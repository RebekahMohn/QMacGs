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ohn\Desktop\00_Scripts_and_Labels\00_METADATA\"/>
    </mc:Choice>
  </mc:AlternateContent>
  <xr:revisionPtr revIDLastSave="0" documentId="13_ncr:1_{7C2946DF-9B6D-4559-9F9B-AC436D1F3E14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metadata_pop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3" i="1"/>
  <c r="F4" i="1"/>
  <c r="F5" i="1"/>
  <c r="F18" i="1"/>
  <c r="F19" i="1"/>
  <c r="F20" i="1"/>
  <c r="F21" i="1"/>
  <c r="F22" i="1"/>
  <c r="F23" i="1"/>
  <c r="F24" i="1"/>
  <c r="F25" i="1"/>
  <c r="F26" i="1"/>
  <c r="F27" i="1"/>
  <c r="F28" i="1"/>
  <c r="F34" i="1"/>
  <c r="F35" i="1"/>
  <c r="F29" i="1"/>
  <c r="F30" i="1"/>
  <c r="F31" i="1"/>
  <c r="F32" i="1"/>
  <c r="F36" i="1"/>
  <c r="F37" i="1"/>
  <c r="F38" i="1"/>
  <c r="F39" i="1"/>
  <c r="F40" i="1"/>
  <c r="F41" i="1"/>
  <c r="F42" i="1"/>
  <c r="F43" i="1"/>
  <c r="F44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4" i="1"/>
  <c r="F65" i="1"/>
  <c r="F66" i="1"/>
  <c r="F68" i="1"/>
  <c r="F69" i="1"/>
  <c r="F70" i="1"/>
  <c r="F71" i="1"/>
  <c r="F72" i="1"/>
  <c r="F73" i="1"/>
  <c r="F74" i="1"/>
  <c r="F75" i="1"/>
  <c r="F2" i="1"/>
</calcChain>
</file>

<file path=xl/sharedStrings.xml><?xml version="1.0" encoding="utf-8"?>
<sst xmlns="http://schemas.openxmlformats.org/spreadsheetml/2006/main" count="754" uniqueCount="268">
  <si>
    <t>state/provIndIowanace</t>
  </si>
  <si>
    <t>substate</t>
  </si>
  <si>
    <t>site</t>
  </si>
  <si>
    <t>Pop</t>
  </si>
  <si>
    <t>latitude.orig</t>
  </si>
  <si>
    <t>longitude.orig</t>
  </si>
  <si>
    <t>MacPop</t>
  </si>
  <si>
    <t>Manitoba</t>
  </si>
  <si>
    <t>Assiniboine Forest, near parking lot/entrance to trail</t>
  </si>
  <si>
    <t>N</t>
  </si>
  <si>
    <t>New York</t>
  </si>
  <si>
    <t>Albany</t>
  </si>
  <si>
    <t>Albany Pine Bush Preserve</t>
  </si>
  <si>
    <t>APB</t>
  </si>
  <si>
    <t>Kentucky</t>
  </si>
  <si>
    <t>Fayette</t>
  </si>
  <si>
    <t>Airdrie Stud Farm est. 1780</t>
  </si>
  <si>
    <t>ASF</t>
  </si>
  <si>
    <t>S</t>
  </si>
  <si>
    <t xml:space="preserve">Briarbrook Farm </t>
  </si>
  <si>
    <t>BBF</t>
  </si>
  <si>
    <t>Tennessee</t>
  </si>
  <si>
    <t>Sumner</t>
  </si>
  <si>
    <t xml:space="preserve">Bledsoe Creek State Park </t>
  </si>
  <si>
    <t>BCP</t>
  </si>
  <si>
    <t>Erie</t>
  </si>
  <si>
    <t xml:space="preserve">Buckhorn Island State Park </t>
  </si>
  <si>
    <t>BIP</t>
  </si>
  <si>
    <t>Washington</t>
  </si>
  <si>
    <t>Batten Kill State Forest</t>
  </si>
  <si>
    <t>BKF</t>
  </si>
  <si>
    <t>Indiana</t>
  </si>
  <si>
    <t>Monroe</t>
  </si>
  <si>
    <t>Bayles Road Research and Teaching Preserve</t>
  </si>
  <si>
    <t>BLR</t>
  </si>
  <si>
    <t>Missouri</t>
  </si>
  <si>
    <t>Mississipi</t>
  </si>
  <si>
    <t xml:space="preserve">Big Oak Tree State Park </t>
  </si>
  <si>
    <t>BOT</t>
  </si>
  <si>
    <t>Lake</t>
  </si>
  <si>
    <t>Burr Oak Woods, Hobart</t>
  </si>
  <si>
    <t>BOW</t>
  </si>
  <si>
    <t>Shannon</t>
  </si>
  <si>
    <t>Eminence, Buttin Rock Access, near river</t>
  </si>
  <si>
    <t>BRA</t>
  </si>
  <si>
    <t>Arkansas</t>
  </si>
  <si>
    <t>Pulaski</t>
  </si>
  <si>
    <t>Burns Park, Little Rock</t>
  </si>
  <si>
    <t>BRP</t>
  </si>
  <si>
    <t>Texas</t>
  </si>
  <si>
    <t>Fort Bend</t>
  </si>
  <si>
    <t>Brazos Bend State Park</t>
  </si>
  <si>
    <t>BRZ</t>
  </si>
  <si>
    <t>Iowa</t>
  </si>
  <si>
    <t>Story</t>
  </si>
  <si>
    <t xml:space="preserve">Brookside Park </t>
  </si>
  <si>
    <t>BSP</t>
  </si>
  <si>
    <t>Massachusetts</t>
  </si>
  <si>
    <t>Berkshire</t>
  </si>
  <si>
    <t>Bartholomew's Cobble</t>
  </si>
  <si>
    <t>BTC</t>
  </si>
  <si>
    <t>Minnesota</t>
  </si>
  <si>
    <t>Anoka</t>
  </si>
  <si>
    <t>Cedar Creek Research Station</t>
  </si>
  <si>
    <t>CDR</t>
  </si>
  <si>
    <t>Illinois</t>
  </si>
  <si>
    <t>Douglas</t>
  </si>
  <si>
    <t>Chickenbristle</t>
  </si>
  <si>
    <t>CHB</t>
  </si>
  <si>
    <t>Linn</t>
  </si>
  <si>
    <t xml:space="preserve">Cherokee Park </t>
  </si>
  <si>
    <t>CHP</t>
  </si>
  <si>
    <t>Gonzales</t>
  </si>
  <si>
    <t xml:space="preserve">Cedar Hill State Park </t>
  </si>
  <si>
    <t xml:space="preserve">Lebanon </t>
  </si>
  <si>
    <t xml:space="preserve">Cedars of Lebanon State Park </t>
  </si>
  <si>
    <t>CLP</t>
  </si>
  <si>
    <t>Jefferson</t>
  </si>
  <si>
    <t xml:space="preserve">Chaumont Barrens Nature Preserve </t>
  </si>
  <si>
    <t>CMB</t>
  </si>
  <si>
    <t>South Dakota</t>
  </si>
  <si>
    <t>Custer</t>
  </si>
  <si>
    <t>Custer State Park driving eastward towards Hermosa on US16 Alt-W</t>
  </si>
  <si>
    <t>CSP</t>
  </si>
  <si>
    <t>St. Louis</t>
  </si>
  <si>
    <t xml:space="preserve">Castlewood State Park </t>
  </si>
  <si>
    <t>CSW</t>
  </si>
  <si>
    <t>Vermont</t>
  </si>
  <si>
    <t>Rutland</t>
  </si>
  <si>
    <t>Delaware Hudson Rail Trail</t>
  </si>
  <si>
    <t>DHT</t>
  </si>
  <si>
    <t>Ohio</t>
  </si>
  <si>
    <t>Crawford</t>
  </si>
  <si>
    <t>Daughmer Prairie Savannah State Nature Preserve</t>
  </si>
  <si>
    <t>DPS</t>
  </si>
  <si>
    <t>Fulton</t>
  </si>
  <si>
    <t>Goll Woods</t>
  </si>
  <si>
    <t>GLW</t>
  </si>
  <si>
    <t>Hendersen</t>
  </si>
  <si>
    <t xml:space="preserve">Green River State Forest </t>
  </si>
  <si>
    <t>GRF</t>
  </si>
  <si>
    <t>Griffy Lake Research and Teaching Preserve</t>
  </si>
  <si>
    <t>GRL</t>
  </si>
  <si>
    <t xml:space="preserve">Camden </t>
  </si>
  <si>
    <t xml:space="preserve">Ha Ha Tonka State Park </t>
  </si>
  <si>
    <t>HHT</t>
  </si>
  <si>
    <t>Johnson</t>
  </si>
  <si>
    <t xml:space="preserve">Heron Pond - Little Black Slough Nature Preserve </t>
  </si>
  <si>
    <t>HP</t>
  </si>
  <si>
    <t>Indiana University Campus</t>
  </si>
  <si>
    <t>IUC</t>
  </si>
  <si>
    <t xml:space="preserve">John James Audubon State Park </t>
  </si>
  <si>
    <t>JJA</t>
  </si>
  <si>
    <t>Kansas</t>
  </si>
  <si>
    <t>Kill Creek Park</t>
  </si>
  <si>
    <t>KCP</t>
  </si>
  <si>
    <t>Riley</t>
  </si>
  <si>
    <t>Konza Prairie Biological Station</t>
  </si>
  <si>
    <t>KZP</t>
  </si>
  <si>
    <t xml:space="preserve">Lower Cascades Park </t>
  </si>
  <si>
    <t>LCP</t>
  </si>
  <si>
    <t xml:space="preserve">Mass Audubon Lime Kiln Farm </t>
  </si>
  <si>
    <t>LKN</t>
  </si>
  <si>
    <t>Michigan</t>
  </si>
  <si>
    <t>Ingham</t>
  </si>
  <si>
    <t>Lake Lansing Park</t>
  </si>
  <si>
    <t>LLP</t>
  </si>
  <si>
    <t>Van Buren</t>
  </si>
  <si>
    <t>Lindsay Wilderness</t>
  </si>
  <si>
    <t>LNW</t>
  </si>
  <si>
    <t>LOB</t>
  </si>
  <si>
    <t>Saline</t>
  </si>
  <si>
    <t>Lakewood Park</t>
  </si>
  <si>
    <t>LWP</t>
  </si>
  <si>
    <t xml:space="preserve">Lexington Cemetery </t>
  </si>
  <si>
    <t>LXC</t>
  </si>
  <si>
    <t>DuPage</t>
  </si>
  <si>
    <t xml:space="preserve">The Morton Arboretum </t>
  </si>
  <si>
    <t>MOR</t>
  </si>
  <si>
    <t>Russell</t>
  </si>
  <si>
    <t>Minooka Park Recreation Area</t>
  </si>
  <si>
    <t>MPR</t>
  </si>
  <si>
    <t>Tippecanoe</t>
  </si>
  <si>
    <t xml:space="preserve">McCormick Woods Trail </t>
  </si>
  <si>
    <t>MWT</t>
  </si>
  <si>
    <t>Naumkaeg</t>
  </si>
  <si>
    <t>NMK</t>
  </si>
  <si>
    <t>Oklahoma</t>
  </si>
  <si>
    <t>Cleveland</t>
  </si>
  <si>
    <t>Norman, Oliver's Woods, University of Oklahoma campus</t>
  </si>
  <si>
    <t>NOW</t>
  </si>
  <si>
    <t>Jackson</t>
  </si>
  <si>
    <t>Oakwood Bottoms, Shawnee National Forest</t>
  </si>
  <si>
    <t>OB</t>
  </si>
  <si>
    <t>Le Sueur</t>
  </si>
  <si>
    <t>Ottawa Bluffs</t>
  </si>
  <si>
    <t>OTB</t>
  </si>
  <si>
    <t>Bay</t>
  </si>
  <si>
    <t>Pinconning Park, Campground</t>
  </si>
  <si>
    <t>PCP</t>
  </si>
  <si>
    <t>Wisconsin</t>
  </si>
  <si>
    <t>Bayfield</t>
  </si>
  <si>
    <t>Pickerel Lake</t>
  </si>
  <si>
    <t>PKL</t>
  </si>
  <si>
    <t>Champaign</t>
  </si>
  <si>
    <t>Pearl King Savanna</t>
  </si>
  <si>
    <t>PKS</t>
  </si>
  <si>
    <t>Palmetto State Park</t>
  </si>
  <si>
    <t>PLM</t>
  </si>
  <si>
    <t xml:space="preserve">Winona </t>
  </si>
  <si>
    <t xml:space="preserve">Prairie Moon Nursery </t>
  </si>
  <si>
    <t>PMN</t>
  </si>
  <si>
    <t>Washtenaw</t>
  </si>
  <si>
    <t>Pinckney Recreation Area</t>
  </si>
  <si>
    <t>PRA</t>
  </si>
  <si>
    <t xml:space="preserve">Barton </t>
  </si>
  <si>
    <t xml:space="preserve">Prairie State Park </t>
  </si>
  <si>
    <t>PSP</t>
  </si>
  <si>
    <t>Stearns</t>
  </si>
  <si>
    <t>Quarry Park State Natural Area, Waite Park</t>
  </si>
  <si>
    <t>QPA</t>
  </si>
  <si>
    <t>Ryerson Conservation Area</t>
  </si>
  <si>
    <t>RCA</t>
  </si>
  <si>
    <t>Sawyer</t>
  </si>
  <si>
    <t>Round Lake, Chequamegon-Nicolet National Forest</t>
  </si>
  <si>
    <t>RLF</t>
  </si>
  <si>
    <t>Caddo</t>
  </si>
  <si>
    <t xml:space="preserve">Red Rock Canyon Adventure Park </t>
  </si>
  <si>
    <t>RRC</t>
  </si>
  <si>
    <t>RUB</t>
  </si>
  <si>
    <t>Schenob Brook Fen</t>
  </si>
  <si>
    <t>SBF</t>
  </si>
  <si>
    <t>Lawrence</t>
  </si>
  <si>
    <t>5 miles south of Spearfish HWY 85 and Colorado Blvd</t>
  </si>
  <si>
    <t xml:space="preserve">Franklin </t>
  </si>
  <si>
    <t xml:space="preserve">Shaw Nature Preserve </t>
  </si>
  <si>
    <t>SH</t>
  </si>
  <si>
    <t>Shawnee Mission Park</t>
  </si>
  <si>
    <t>SMP</t>
  </si>
  <si>
    <t>Seneca</t>
  </si>
  <si>
    <t xml:space="preserve">Sampson State Park </t>
  </si>
  <si>
    <t>SSP</t>
  </si>
  <si>
    <t>Athens</t>
  </si>
  <si>
    <t>Strouds Run State Park</t>
  </si>
  <si>
    <t>STR</t>
  </si>
  <si>
    <t>Spruce Woods Provincial Park</t>
  </si>
  <si>
    <t>SWP</t>
  </si>
  <si>
    <t>Pawhuska</t>
  </si>
  <si>
    <t xml:space="preserve">Tallgrass Prairie Preserve </t>
  </si>
  <si>
    <t>TGP</t>
  </si>
  <si>
    <t>Tower Hill Bottoms SNA</t>
  </si>
  <si>
    <t>THB</t>
  </si>
  <si>
    <t>Tyson Research Center</t>
  </si>
  <si>
    <t>TRC</t>
  </si>
  <si>
    <t>Grant</t>
  </si>
  <si>
    <t>Taylor Wilderness</t>
  </si>
  <si>
    <t>TYL</t>
  </si>
  <si>
    <t>Waukesha</t>
  </si>
  <si>
    <t xml:space="preserve">UW Waukesha Field Station </t>
  </si>
  <si>
    <t>WFS</t>
  </si>
  <si>
    <t>Whiteshell Provincial Park</t>
  </si>
  <si>
    <t>WPP</t>
  </si>
  <si>
    <t>Metadata</t>
  </si>
  <si>
    <t>Updates</t>
  </si>
  <si>
    <t>Date</t>
  </si>
  <si>
    <t>Change</t>
  </si>
  <si>
    <t>CSW was abbreviation for both Castlewood State Park, MO and Castlewood State Park, KY. Updated Castlewood State Park, MO to CWP</t>
  </si>
  <si>
    <t>stateAbb</t>
  </si>
  <si>
    <t>MB</t>
  </si>
  <si>
    <t>KS</t>
  </si>
  <si>
    <t>IL</t>
  </si>
  <si>
    <t>MO</t>
  </si>
  <si>
    <t>NY</t>
  </si>
  <si>
    <t>KY</t>
  </si>
  <si>
    <t>TN</t>
  </si>
  <si>
    <t>TX</t>
  </si>
  <si>
    <t>MN</t>
  </si>
  <si>
    <t>IN</t>
  </si>
  <si>
    <t>AK</t>
  </si>
  <si>
    <t>IA</t>
  </si>
  <si>
    <t>MA</t>
  </si>
  <si>
    <t>SD</t>
  </si>
  <si>
    <t>VE</t>
  </si>
  <si>
    <t>OH</t>
  </si>
  <si>
    <t>MI</t>
  </si>
  <si>
    <t>OK</t>
  </si>
  <si>
    <t>WI</t>
  </si>
  <si>
    <t>ABF (ASF)</t>
  </si>
  <si>
    <t>MB_ASF</t>
  </si>
  <si>
    <t>MO_CSW</t>
  </si>
  <si>
    <t>CWP (CSW)</t>
  </si>
  <si>
    <t>SF (SPF)</t>
  </si>
  <si>
    <t>SD_SPF</t>
  </si>
  <si>
    <t>CHS (CHP)</t>
  </si>
  <si>
    <t>TX_CHP</t>
  </si>
  <si>
    <t>siteABB</t>
  </si>
  <si>
    <t>ColDate</t>
  </si>
  <si>
    <t>2017 (6)</t>
  </si>
  <si>
    <t>?</t>
  </si>
  <si>
    <t>alb</t>
  </si>
  <si>
    <t>lob</t>
  </si>
  <si>
    <t>mue</t>
  </si>
  <si>
    <t>ste</t>
  </si>
  <si>
    <t>n</t>
  </si>
  <si>
    <t>y</t>
  </si>
  <si>
    <t>lat_fixed</t>
  </si>
  <si>
    <t>long_fixed</t>
  </si>
  <si>
    <t>Coordinate Fixed added by calculating the mean for each tree from coord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</si>
</sst>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33" borderId="0" xfId="0" applyFill="1"/>
    <xf numFmtId="0" fontId="0" fillId="0" borderId="0" xfId="0" applyFont="1"/>
    <xf numFmtId="0" fontId="18" fillId="34" borderId="0" xfId="0" applyFont="1" applyFill="1" applyAlignment="1">
      <alignment horizontal="right" vertical="center" wrapText="1"/>
    </xf>
    <xf numFmtId="0" fontId="0" fillId="0" borderId="0" xfId="0" applyFont="1" applyAlignment="1">
      <alignment horizontal="right" vertical="center" wrapText="1"/>
    </xf>
    <xf numFmtId="0" fontId="0" fillId="34" borderId="0" xfId="0" applyFont="1" applyFill="1" applyAlignment="1">
      <alignment horizontal="right" vertical="center" wrapText="1"/>
    </xf>
    <xf numFmtId="0" fontId="0" fillId="34" borderId="0" xfId="0" applyFont="1" applyFill="1" applyAlignment="1">
      <alignment horizontal="right" vertical="center"/>
    </xf>
    <xf numFmtId="0" fontId="0" fillId="0" borderId="0" xfId="0" applyFont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abSelected="1" topLeftCell="A43" workbookViewId="0">
      <selection activeCell="D7" sqref="D7"/>
    </sheetView>
  </sheetViews>
  <sheetFormatPr defaultRowHeight="14.6" x14ac:dyDescent="0.4"/>
  <cols>
    <col min="9" max="10" width="9.23046875" style="4"/>
  </cols>
  <sheetData>
    <row r="1" spans="1:16" x14ac:dyDescent="0.4">
      <c r="A1" t="s">
        <v>0</v>
      </c>
      <c r="B1" t="s">
        <v>227</v>
      </c>
      <c r="C1" t="s">
        <v>1</v>
      </c>
      <c r="D1" t="s">
        <v>2</v>
      </c>
      <c r="E1" t="s">
        <v>255</v>
      </c>
      <c r="F1" t="s">
        <v>3</v>
      </c>
      <c r="G1" t="s">
        <v>4</v>
      </c>
      <c r="H1" t="s">
        <v>5</v>
      </c>
      <c r="I1" s="4" t="s">
        <v>265</v>
      </c>
      <c r="J1" s="4" t="s">
        <v>266</v>
      </c>
      <c r="K1" t="s">
        <v>6</v>
      </c>
      <c r="L1" t="s">
        <v>256</v>
      </c>
      <c r="M1" t="s">
        <v>259</v>
      </c>
      <c r="N1" t="s">
        <v>260</v>
      </c>
      <c r="O1" t="s">
        <v>261</v>
      </c>
      <c r="P1" t="s">
        <v>262</v>
      </c>
    </row>
    <row r="2" spans="1:16" x14ac:dyDescent="0.4">
      <c r="A2" t="s">
        <v>45</v>
      </c>
      <c r="B2" t="s">
        <v>238</v>
      </c>
      <c r="C2" t="s">
        <v>46</v>
      </c>
      <c r="D2" t="s">
        <v>47</v>
      </c>
      <c r="E2" t="s">
        <v>48</v>
      </c>
      <c r="F2" t="str">
        <f t="shared" ref="F2:F32" si="0">_xlfn.CONCAT(B2,"_",E2)</f>
        <v>AK_BRP</v>
      </c>
      <c r="G2">
        <v>34.804527999999998</v>
      </c>
      <c r="H2">
        <v>-92.326498000000001</v>
      </c>
      <c r="I2" s="5">
        <v>34.805329999999998</v>
      </c>
      <c r="J2" s="5">
        <v>-92.327259999999995</v>
      </c>
      <c r="K2" t="s">
        <v>18</v>
      </c>
      <c r="L2">
        <v>2022</v>
      </c>
      <c r="M2" t="s">
        <v>264</v>
      </c>
      <c r="N2" t="s">
        <v>263</v>
      </c>
      <c r="O2" t="s">
        <v>264</v>
      </c>
      <c r="P2" t="s">
        <v>264</v>
      </c>
    </row>
    <row r="3" spans="1:16" x14ac:dyDescent="0.4">
      <c r="A3" t="s">
        <v>53</v>
      </c>
      <c r="B3" t="s">
        <v>239</v>
      </c>
      <c r="C3" t="s">
        <v>54</v>
      </c>
      <c r="D3" t="s">
        <v>55</v>
      </c>
      <c r="E3" t="s">
        <v>56</v>
      </c>
      <c r="F3" t="str">
        <f t="shared" si="0"/>
        <v>IA_BSP</v>
      </c>
      <c r="G3">
        <v>42.031072379999998</v>
      </c>
      <c r="H3">
        <v>-93.630173009999993</v>
      </c>
      <c r="I3" s="5">
        <v>42.03145</v>
      </c>
      <c r="J3" s="5">
        <v>-93.629459999999995</v>
      </c>
      <c r="K3" t="s">
        <v>9</v>
      </c>
      <c r="L3">
        <v>2022</v>
      </c>
      <c r="M3" t="s">
        <v>264</v>
      </c>
      <c r="N3" t="s">
        <v>263</v>
      </c>
      <c r="O3" t="s">
        <v>264</v>
      </c>
      <c r="P3" t="s">
        <v>263</v>
      </c>
    </row>
    <row r="4" spans="1:16" x14ac:dyDescent="0.4">
      <c r="A4" t="s">
        <v>53</v>
      </c>
      <c r="B4" t="s">
        <v>239</v>
      </c>
      <c r="C4" t="s">
        <v>69</v>
      </c>
      <c r="D4" t="s">
        <v>70</v>
      </c>
      <c r="E4" t="s">
        <v>71</v>
      </c>
      <c r="F4" t="str">
        <f t="shared" si="0"/>
        <v>IA_CHP</v>
      </c>
      <c r="G4">
        <v>41.974717130000002</v>
      </c>
      <c r="H4">
        <v>-91.721692700000006</v>
      </c>
      <c r="I4" s="5">
        <v>41.974040000000002</v>
      </c>
      <c r="J4" s="5">
        <v>-91.723870000000005</v>
      </c>
      <c r="K4" t="s">
        <v>9</v>
      </c>
      <c r="L4">
        <v>2022</v>
      </c>
      <c r="M4" t="s">
        <v>264</v>
      </c>
      <c r="N4" t="s">
        <v>263</v>
      </c>
      <c r="O4" t="s">
        <v>264</v>
      </c>
      <c r="P4" t="s">
        <v>263</v>
      </c>
    </row>
    <row r="5" spans="1:16" x14ac:dyDescent="0.4">
      <c r="A5" t="s">
        <v>53</v>
      </c>
      <c r="B5" t="s">
        <v>239</v>
      </c>
      <c r="C5" t="s">
        <v>127</v>
      </c>
      <c r="D5" t="s">
        <v>128</v>
      </c>
      <c r="E5" t="s">
        <v>129</v>
      </c>
      <c r="F5" t="str">
        <f t="shared" si="0"/>
        <v>IA_LNW</v>
      </c>
      <c r="G5">
        <v>40.710377000000001</v>
      </c>
      <c r="H5">
        <v>-91.797389440000003</v>
      </c>
      <c r="I5" s="5">
        <v>40.707590000000003</v>
      </c>
      <c r="J5" s="5">
        <v>-91.793210000000002</v>
      </c>
      <c r="K5" t="s">
        <v>9</v>
      </c>
      <c r="L5">
        <v>2022</v>
      </c>
      <c r="M5" t="s">
        <v>264</v>
      </c>
      <c r="N5" t="s">
        <v>263</v>
      </c>
      <c r="O5" t="s">
        <v>264</v>
      </c>
      <c r="P5" t="s">
        <v>264</v>
      </c>
    </row>
    <row r="6" spans="1:16" x14ac:dyDescent="0.4">
      <c r="A6" t="s">
        <v>65</v>
      </c>
      <c r="B6" t="s">
        <v>230</v>
      </c>
      <c r="C6" t="s">
        <v>66</v>
      </c>
      <c r="D6" t="s">
        <v>67</v>
      </c>
      <c r="E6" t="s">
        <v>68</v>
      </c>
      <c r="F6" t="str">
        <f t="shared" si="0"/>
        <v>IL_CHB</v>
      </c>
      <c r="G6">
        <v>39.839267</v>
      </c>
      <c r="H6">
        <v>-88.367813999999996</v>
      </c>
      <c r="I6" s="5">
        <v>39.839350000000003</v>
      </c>
      <c r="J6" s="5">
        <v>-88.368679999999998</v>
      </c>
      <c r="K6" t="s">
        <v>18</v>
      </c>
      <c r="L6">
        <v>2022</v>
      </c>
      <c r="M6" t="s">
        <v>264</v>
      </c>
      <c r="N6" t="s">
        <v>263</v>
      </c>
      <c r="O6" t="s">
        <v>264</v>
      </c>
      <c r="P6" t="s">
        <v>263</v>
      </c>
    </row>
    <row r="7" spans="1:16" x14ac:dyDescent="0.4">
      <c r="A7" t="s">
        <v>65</v>
      </c>
      <c r="B7" t="s">
        <v>230</v>
      </c>
      <c r="C7" t="s">
        <v>106</v>
      </c>
      <c r="D7" t="s">
        <v>107</v>
      </c>
      <c r="E7" t="s">
        <v>108</v>
      </c>
      <c r="F7" t="str">
        <f t="shared" si="0"/>
        <v>IL_HP</v>
      </c>
      <c r="G7">
        <v>37.359717000000003</v>
      </c>
      <c r="H7">
        <v>-88.917519999999996</v>
      </c>
      <c r="I7" s="5">
        <v>37.358559999999997</v>
      </c>
      <c r="J7" s="5">
        <v>-88.917310000000001</v>
      </c>
      <c r="K7" t="s">
        <v>258</v>
      </c>
      <c r="L7">
        <v>2022</v>
      </c>
      <c r="M7" t="s">
        <v>264</v>
      </c>
      <c r="N7" t="s">
        <v>263</v>
      </c>
      <c r="O7" t="s">
        <v>264</v>
      </c>
      <c r="P7" t="s">
        <v>264</v>
      </c>
    </row>
    <row r="8" spans="1:16" x14ac:dyDescent="0.4">
      <c r="A8" t="s">
        <v>65</v>
      </c>
      <c r="B8" t="s">
        <v>230</v>
      </c>
      <c r="C8" t="s">
        <v>136</v>
      </c>
      <c r="D8" t="s">
        <v>137</v>
      </c>
      <c r="E8" t="s">
        <v>138</v>
      </c>
      <c r="F8" t="str">
        <f t="shared" si="0"/>
        <v>IL_MOR</v>
      </c>
      <c r="G8">
        <v>41.813830000000003</v>
      </c>
      <c r="H8">
        <v>-88.062933000000001</v>
      </c>
      <c r="I8" s="5">
        <v>41.816429999999997</v>
      </c>
      <c r="J8" s="5">
        <v>-88.058710000000005</v>
      </c>
      <c r="K8" t="s">
        <v>9</v>
      </c>
      <c r="L8">
        <v>2022</v>
      </c>
      <c r="M8" t="s">
        <v>264</v>
      </c>
      <c r="N8" t="s">
        <v>263</v>
      </c>
      <c r="O8" t="s">
        <v>264</v>
      </c>
      <c r="P8" t="s">
        <v>263</v>
      </c>
    </row>
    <row r="9" spans="1:16" x14ac:dyDescent="0.4">
      <c r="A9" t="s">
        <v>65</v>
      </c>
      <c r="B9" t="s">
        <v>230</v>
      </c>
      <c r="C9" t="s">
        <v>151</v>
      </c>
      <c r="D9" t="s">
        <v>152</v>
      </c>
      <c r="E9" t="s">
        <v>153</v>
      </c>
      <c r="F9" t="str">
        <f t="shared" si="0"/>
        <v>IL_OB</v>
      </c>
      <c r="G9">
        <v>37.676094239999998</v>
      </c>
      <c r="H9">
        <v>-89.413502500000007</v>
      </c>
      <c r="I9" s="5">
        <v>37.680070000000001</v>
      </c>
      <c r="J9" s="5">
        <v>-89.41283</v>
      </c>
      <c r="K9" t="s">
        <v>18</v>
      </c>
      <c r="L9">
        <v>2022</v>
      </c>
      <c r="M9" t="s">
        <v>264</v>
      </c>
      <c r="N9" t="s">
        <v>263</v>
      </c>
      <c r="O9" t="s">
        <v>264</v>
      </c>
      <c r="P9" t="s">
        <v>264</v>
      </c>
    </row>
    <row r="10" spans="1:16" x14ac:dyDescent="0.4">
      <c r="A10" t="s">
        <v>65</v>
      </c>
      <c r="B10" t="s">
        <v>230</v>
      </c>
      <c r="C10" t="s">
        <v>39</v>
      </c>
      <c r="D10" t="s">
        <v>181</v>
      </c>
      <c r="E10" t="s">
        <v>182</v>
      </c>
      <c r="F10" t="str">
        <f t="shared" si="0"/>
        <v>IL_RCA</v>
      </c>
      <c r="G10">
        <v>42.182388000000003</v>
      </c>
      <c r="H10">
        <v>-87.911775000000006</v>
      </c>
      <c r="I10" s="5">
        <v>42.18121</v>
      </c>
      <c r="J10" s="5">
        <v>-87.90849</v>
      </c>
      <c r="K10" t="s">
        <v>9</v>
      </c>
      <c r="L10">
        <v>2022</v>
      </c>
      <c r="M10" t="s">
        <v>264</v>
      </c>
      <c r="N10" t="s">
        <v>263</v>
      </c>
      <c r="O10" t="s">
        <v>264</v>
      </c>
      <c r="P10" t="s">
        <v>263</v>
      </c>
    </row>
    <row r="11" spans="1:16" x14ac:dyDescent="0.4">
      <c r="A11" t="s">
        <v>31</v>
      </c>
      <c r="B11" t="s">
        <v>237</v>
      </c>
      <c r="C11" t="s">
        <v>32</v>
      </c>
      <c r="D11" t="s">
        <v>33</v>
      </c>
      <c r="E11" t="s">
        <v>34</v>
      </c>
      <c r="F11" t="str">
        <f t="shared" si="0"/>
        <v>IN_BLR</v>
      </c>
      <c r="G11">
        <v>39.220007000000003</v>
      </c>
      <c r="H11">
        <v>-86.542603999999997</v>
      </c>
      <c r="I11" s="5">
        <v>39.220820000000003</v>
      </c>
      <c r="J11" s="5">
        <v>-86.542619999999999</v>
      </c>
      <c r="K11" t="s">
        <v>18</v>
      </c>
      <c r="L11">
        <v>2022</v>
      </c>
      <c r="M11" t="s">
        <v>264</v>
      </c>
      <c r="N11" t="s">
        <v>263</v>
      </c>
      <c r="O11" t="s">
        <v>264</v>
      </c>
      <c r="P11" t="s">
        <v>263</v>
      </c>
    </row>
    <row r="12" spans="1:16" x14ac:dyDescent="0.4">
      <c r="A12" t="s">
        <v>31</v>
      </c>
      <c r="B12" t="s">
        <v>237</v>
      </c>
      <c r="C12" t="s">
        <v>39</v>
      </c>
      <c r="D12" t="s">
        <v>40</v>
      </c>
      <c r="E12" t="s">
        <v>41</v>
      </c>
      <c r="F12" t="str">
        <f t="shared" si="0"/>
        <v>IN_BOW</v>
      </c>
      <c r="G12">
        <v>41.532730000000001</v>
      </c>
      <c r="H12">
        <v>-87.294799999999995</v>
      </c>
      <c r="I12" s="5">
        <v>41.533270000000002</v>
      </c>
      <c r="J12" s="5">
        <v>-87.294300000000007</v>
      </c>
      <c r="K12" t="s">
        <v>9</v>
      </c>
      <c r="L12">
        <v>2017</v>
      </c>
      <c r="M12" t="s">
        <v>264</v>
      </c>
      <c r="N12" t="s">
        <v>263</v>
      </c>
      <c r="O12" t="s">
        <v>264</v>
      </c>
      <c r="P12" t="s">
        <v>263</v>
      </c>
    </row>
    <row r="13" spans="1:16" x14ac:dyDescent="0.4">
      <c r="A13" t="s">
        <v>31</v>
      </c>
      <c r="B13" t="s">
        <v>237</v>
      </c>
      <c r="C13" t="s">
        <v>32</v>
      </c>
      <c r="D13" t="s">
        <v>101</v>
      </c>
      <c r="E13" t="s">
        <v>102</v>
      </c>
      <c r="F13" t="str">
        <f t="shared" si="0"/>
        <v>IN_GRL</v>
      </c>
      <c r="G13">
        <v>39.189734999999999</v>
      </c>
      <c r="H13">
        <v>-86.501863999999998</v>
      </c>
      <c r="I13" s="5">
        <v>39.189109999999999</v>
      </c>
      <c r="J13" s="5">
        <v>-86.500640000000004</v>
      </c>
      <c r="K13" t="s">
        <v>258</v>
      </c>
      <c r="L13">
        <v>2022</v>
      </c>
      <c r="M13" t="s">
        <v>264</v>
      </c>
      <c r="N13" t="s">
        <v>263</v>
      </c>
      <c r="O13" t="s">
        <v>264</v>
      </c>
      <c r="P13" t="s">
        <v>263</v>
      </c>
    </row>
    <row r="14" spans="1:16" x14ac:dyDescent="0.4">
      <c r="A14" t="s">
        <v>31</v>
      </c>
      <c r="B14" t="s">
        <v>237</v>
      </c>
      <c r="C14" t="s">
        <v>32</v>
      </c>
      <c r="D14" t="s">
        <v>109</v>
      </c>
      <c r="E14" t="s">
        <v>110</v>
      </c>
      <c r="F14" t="str">
        <f t="shared" si="0"/>
        <v>IN_IUC</v>
      </c>
      <c r="G14">
        <v>39.168304999999997</v>
      </c>
      <c r="H14">
        <v>-86.524118000000001</v>
      </c>
      <c r="I14" s="5">
        <v>39.16825</v>
      </c>
      <c r="J14" s="5">
        <v>-86.524119999999996</v>
      </c>
      <c r="K14" t="s">
        <v>18</v>
      </c>
      <c r="L14">
        <v>2022</v>
      </c>
      <c r="M14" t="s">
        <v>264</v>
      </c>
      <c r="N14" t="s">
        <v>263</v>
      </c>
      <c r="O14" t="s">
        <v>264</v>
      </c>
      <c r="P14" t="s">
        <v>263</v>
      </c>
    </row>
    <row r="15" spans="1:16" x14ac:dyDescent="0.4">
      <c r="A15" t="s">
        <v>31</v>
      </c>
      <c r="B15" t="s">
        <v>237</v>
      </c>
      <c r="C15" t="s">
        <v>32</v>
      </c>
      <c r="D15" t="s">
        <v>119</v>
      </c>
      <c r="E15" t="s">
        <v>120</v>
      </c>
      <c r="F15" t="str">
        <f t="shared" si="0"/>
        <v>IN_LCP</v>
      </c>
      <c r="G15">
        <v>39.197561</v>
      </c>
      <c r="H15">
        <v>-86.537880000000001</v>
      </c>
      <c r="I15" s="5">
        <v>39.200029999999998</v>
      </c>
      <c r="J15" s="5">
        <v>-86.538759999999996</v>
      </c>
      <c r="K15" t="s">
        <v>18</v>
      </c>
      <c r="L15">
        <v>2022</v>
      </c>
      <c r="M15" t="s">
        <v>264</v>
      </c>
      <c r="N15" t="s">
        <v>263</v>
      </c>
      <c r="O15" t="s">
        <v>264</v>
      </c>
      <c r="P15" t="s">
        <v>263</v>
      </c>
    </row>
    <row r="16" spans="1:16" x14ac:dyDescent="0.4">
      <c r="A16" t="s">
        <v>31</v>
      </c>
      <c r="B16" t="s">
        <v>237</v>
      </c>
      <c r="C16" t="s">
        <v>142</v>
      </c>
      <c r="D16" t="s">
        <v>143</v>
      </c>
      <c r="E16" t="s">
        <v>144</v>
      </c>
      <c r="F16" t="str">
        <f t="shared" si="0"/>
        <v>IN_MWT</v>
      </c>
      <c r="G16">
        <v>40.438583999999999</v>
      </c>
      <c r="H16">
        <v>-86.932946999999999</v>
      </c>
      <c r="I16" s="5">
        <v>40.437379999999997</v>
      </c>
      <c r="J16" s="5">
        <v>-86.932000000000002</v>
      </c>
      <c r="K16" t="s">
        <v>18</v>
      </c>
      <c r="L16">
        <v>2022</v>
      </c>
      <c r="M16" t="s">
        <v>264</v>
      </c>
      <c r="N16" t="s">
        <v>263</v>
      </c>
      <c r="O16" t="s">
        <v>264</v>
      </c>
      <c r="P16" t="s">
        <v>264</v>
      </c>
    </row>
    <row r="17" spans="1:16" x14ac:dyDescent="0.4">
      <c r="A17" t="s">
        <v>31</v>
      </c>
      <c r="B17" t="s">
        <v>237</v>
      </c>
      <c r="C17" t="s">
        <v>214</v>
      </c>
      <c r="D17" t="s">
        <v>215</v>
      </c>
      <c r="E17" t="s">
        <v>216</v>
      </c>
      <c r="F17" t="str">
        <f t="shared" si="0"/>
        <v>IN_TYL</v>
      </c>
      <c r="G17">
        <v>40.457290999999998</v>
      </c>
      <c r="H17">
        <v>-85.509986999999995</v>
      </c>
      <c r="I17" s="5">
        <v>40.456769999999999</v>
      </c>
      <c r="J17" s="5">
        <v>-85.510270000000006</v>
      </c>
      <c r="K17" t="s">
        <v>9</v>
      </c>
      <c r="L17">
        <v>2022</v>
      </c>
      <c r="M17" t="s">
        <v>264</v>
      </c>
      <c r="N17" t="s">
        <v>263</v>
      </c>
      <c r="O17" t="s">
        <v>264</v>
      </c>
      <c r="P17" t="s">
        <v>263</v>
      </c>
    </row>
    <row r="18" spans="1:16" x14ac:dyDescent="0.4">
      <c r="A18" t="s">
        <v>113</v>
      </c>
      <c r="B18" t="s">
        <v>229</v>
      </c>
      <c r="C18" t="s">
        <v>106</v>
      </c>
      <c r="D18" t="s">
        <v>114</v>
      </c>
      <c r="E18" t="s">
        <v>115</v>
      </c>
      <c r="F18" t="str">
        <f t="shared" si="0"/>
        <v>KS_KCP</v>
      </c>
      <c r="G18">
        <v>38.917271999999997</v>
      </c>
      <c r="H18">
        <v>-94.973530999999994</v>
      </c>
      <c r="I18" s="5">
        <v>38.917200000000001</v>
      </c>
      <c r="J18" s="5">
        <v>-94.973600000000005</v>
      </c>
      <c r="K18" t="s">
        <v>258</v>
      </c>
      <c r="L18">
        <v>2022</v>
      </c>
      <c r="M18" t="s">
        <v>264</v>
      </c>
      <c r="N18" t="s">
        <v>263</v>
      </c>
      <c r="O18" t="s">
        <v>264</v>
      </c>
      <c r="P18" t="s">
        <v>264</v>
      </c>
    </row>
    <row r="19" spans="1:16" x14ac:dyDescent="0.4">
      <c r="A19" t="s">
        <v>113</v>
      </c>
      <c r="B19" t="s">
        <v>229</v>
      </c>
      <c r="C19" t="s">
        <v>116</v>
      </c>
      <c r="D19" t="s">
        <v>117</v>
      </c>
      <c r="E19" t="s">
        <v>118</v>
      </c>
      <c r="F19" t="str">
        <f t="shared" si="0"/>
        <v>KS_KZP</v>
      </c>
      <c r="G19">
        <v>39.106898999999999</v>
      </c>
      <c r="H19">
        <v>-96.607647</v>
      </c>
      <c r="I19" s="5">
        <v>39.107680000000002</v>
      </c>
      <c r="J19" s="5">
        <v>-96.604600000000005</v>
      </c>
      <c r="K19" t="s">
        <v>18</v>
      </c>
      <c r="L19">
        <v>2022</v>
      </c>
      <c r="M19" t="s">
        <v>263</v>
      </c>
      <c r="N19" t="s">
        <v>263</v>
      </c>
      <c r="O19" t="s">
        <v>264</v>
      </c>
      <c r="P19" t="s">
        <v>263</v>
      </c>
    </row>
    <row r="20" spans="1:16" x14ac:dyDescent="0.4">
      <c r="A20" t="s">
        <v>113</v>
      </c>
      <c r="B20" t="s">
        <v>229</v>
      </c>
      <c r="C20" t="s">
        <v>131</v>
      </c>
      <c r="D20" t="s">
        <v>132</v>
      </c>
      <c r="E20" t="s">
        <v>133</v>
      </c>
      <c r="F20" t="str">
        <f t="shared" si="0"/>
        <v>KS_LWP</v>
      </c>
      <c r="G20">
        <v>38.842944000000003</v>
      </c>
      <c r="H20">
        <v>-97.588909000000001</v>
      </c>
      <c r="I20" s="5">
        <v>38.842939999999999</v>
      </c>
      <c r="J20" s="5">
        <v>-97.588909999999998</v>
      </c>
      <c r="K20" t="s">
        <v>18</v>
      </c>
      <c r="L20">
        <v>2022</v>
      </c>
      <c r="M20" t="s">
        <v>263</v>
      </c>
      <c r="N20" t="s">
        <v>263</v>
      </c>
      <c r="O20" t="s">
        <v>263</v>
      </c>
      <c r="P20" t="s">
        <v>263</v>
      </c>
    </row>
    <row r="21" spans="1:16" x14ac:dyDescent="0.4">
      <c r="A21" t="s">
        <v>113</v>
      </c>
      <c r="B21" t="s">
        <v>229</v>
      </c>
      <c r="C21" t="s">
        <v>139</v>
      </c>
      <c r="D21" t="s">
        <v>140</v>
      </c>
      <c r="E21" t="s">
        <v>141</v>
      </c>
      <c r="F21" t="str">
        <f t="shared" si="0"/>
        <v>KS_MPR</v>
      </c>
      <c r="G21">
        <v>38.963585999999999</v>
      </c>
      <c r="H21">
        <v>-98.589060000000003</v>
      </c>
      <c r="I21" s="5">
        <v>38.963590000000003</v>
      </c>
      <c r="J21" s="5">
        <v>-98.589060000000003</v>
      </c>
      <c r="K21" t="s">
        <v>18</v>
      </c>
      <c r="L21">
        <v>2022</v>
      </c>
      <c r="M21" t="s">
        <v>263</v>
      </c>
      <c r="N21" t="s">
        <v>263</v>
      </c>
      <c r="O21" t="s">
        <v>263</v>
      </c>
      <c r="P21" t="s">
        <v>263</v>
      </c>
    </row>
    <row r="22" spans="1:16" x14ac:dyDescent="0.4">
      <c r="A22" t="s">
        <v>113</v>
      </c>
      <c r="B22" t="s">
        <v>229</v>
      </c>
      <c r="C22" t="s">
        <v>106</v>
      </c>
      <c r="D22" t="s">
        <v>197</v>
      </c>
      <c r="E22" t="s">
        <v>198</v>
      </c>
      <c r="F22" t="str">
        <f t="shared" si="0"/>
        <v>KS_SMP</v>
      </c>
      <c r="G22">
        <v>38.980761999999999</v>
      </c>
      <c r="H22">
        <v>-94.789191000000002</v>
      </c>
      <c r="I22" s="5">
        <v>38.981749999999998</v>
      </c>
      <c r="J22" s="5">
        <v>-94.796760000000006</v>
      </c>
      <c r="K22" t="s">
        <v>18</v>
      </c>
      <c r="L22">
        <v>2022</v>
      </c>
      <c r="M22" t="s">
        <v>264</v>
      </c>
      <c r="N22" t="s">
        <v>263</v>
      </c>
      <c r="O22" t="s">
        <v>264</v>
      </c>
      <c r="P22" t="s">
        <v>263</v>
      </c>
    </row>
    <row r="23" spans="1:16" x14ac:dyDescent="0.4">
      <c r="A23" t="s">
        <v>14</v>
      </c>
      <c r="B23" t="s">
        <v>233</v>
      </c>
      <c r="C23" t="s">
        <v>15</v>
      </c>
      <c r="D23" t="s">
        <v>16</v>
      </c>
      <c r="E23" t="s">
        <v>17</v>
      </c>
      <c r="F23" t="str">
        <f t="shared" si="0"/>
        <v>KY_ASF</v>
      </c>
      <c r="G23">
        <v>38.139609999999998</v>
      </c>
      <c r="H23">
        <v>-84.759088000000006</v>
      </c>
      <c r="I23" s="5">
        <v>38.137830000000001</v>
      </c>
      <c r="J23" s="5">
        <v>-84.742130000000003</v>
      </c>
      <c r="K23" t="s">
        <v>18</v>
      </c>
      <c r="L23">
        <v>2022</v>
      </c>
      <c r="M23" t="s">
        <v>264</v>
      </c>
      <c r="N23" t="s">
        <v>263</v>
      </c>
      <c r="O23" t="s">
        <v>264</v>
      </c>
      <c r="P23" t="s">
        <v>263</v>
      </c>
    </row>
    <row r="24" spans="1:16" x14ac:dyDescent="0.4">
      <c r="A24" t="s">
        <v>14</v>
      </c>
      <c r="B24" t="s">
        <v>233</v>
      </c>
      <c r="C24" t="s">
        <v>15</v>
      </c>
      <c r="D24" t="s">
        <v>19</v>
      </c>
      <c r="E24" t="s">
        <v>20</v>
      </c>
      <c r="F24" t="str">
        <f t="shared" si="0"/>
        <v>KY_BBF</v>
      </c>
      <c r="G24">
        <v>38.278213999999998</v>
      </c>
      <c r="H24">
        <v>-84.203992</v>
      </c>
      <c r="I24" s="5">
        <v>38.274990000000003</v>
      </c>
      <c r="J24" s="5">
        <v>-84.206360000000004</v>
      </c>
      <c r="K24" t="s">
        <v>18</v>
      </c>
      <c r="L24">
        <v>2022</v>
      </c>
      <c r="M24" t="s">
        <v>264</v>
      </c>
      <c r="N24" t="s">
        <v>263</v>
      </c>
      <c r="O24" t="s">
        <v>264</v>
      </c>
      <c r="P24" t="s">
        <v>264</v>
      </c>
    </row>
    <row r="25" spans="1:16" x14ac:dyDescent="0.4">
      <c r="A25" t="s">
        <v>14</v>
      </c>
      <c r="B25" t="s">
        <v>233</v>
      </c>
      <c r="C25" t="s">
        <v>15</v>
      </c>
      <c r="D25" t="s">
        <v>85</v>
      </c>
      <c r="E25" t="s">
        <v>86</v>
      </c>
      <c r="F25" t="str">
        <f t="shared" si="0"/>
        <v>KY_CSW</v>
      </c>
      <c r="G25">
        <v>38.055833999999997</v>
      </c>
      <c r="H25">
        <v>-84.476246000000003</v>
      </c>
      <c r="I25" s="5">
        <v>38.055459999999997</v>
      </c>
      <c r="J25" s="5">
        <v>-84.47627</v>
      </c>
      <c r="K25" t="s">
        <v>18</v>
      </c>
      <c r="L25">
        <v>2022</v>
      </c>
      <c r="M25" t="s">
        <v>264</v>
      </c>
      <c r="N25" t="s">
        <v>263</v>
      </c>
      <c r="O25" t="s">
        <v>264</v>
      </c>
      <c r="P25" t="s">
        <v>263</v>
      </c>
    </row>
    <row r="26" spans="1:16" x14ac:dyDescent="0.4">
      <c r="A26" t="s">
        <v>14</v>
      </c>
      <c r="B26" t="s">
        <v>233</v>
      </c>
      <c r="C26" t="s">
        <v>98</v>
      </c>
      <c r="D26" t="s">
        <v>99</v>
      </c>
      <c r="E26" t="s">
        <v>100</v>
      </c>
      <c r="F26" t="str">
        <f t="shared" si="0"/>
        <v>KY_GRF</v>
      </c>
      <c r="G26">
        <v>37.899307</v>
      </c>
      <c r="H26">
        <v>-87.506533000000005</v>
      </c>
      <c r="I26" s="5">
        <v>37.898919999999997</v>
      </c>
      <c r="J26" s="5">
        <v>-87.503380000000007</v>
      </c>
      <c r="K26" t="s">
        <v>18</v>
      </c>
      <c r="L26">
        <v>2022</v>
      </c>
      <c r="M26" t="s">
        <v>264</v>
      </c>
      <c r="N26" t="s">
        <v>263</v>
      </c>
      <c r="O26" t="s">
        <v>264</v>
      </c>
      <c r="P26" t="s">
        <v>264</v>
      </c>
    </row>
    <row r="27" spans="1:16" x14ac:dyDescent="0.4">
      <c r="A27" t="s">
        <v>14</v>
      </c>
      <c r="B27" t="s">
        <v>233</v>
      </c>
      <c r="C27" t="s">
        <v>98</v>
      </c>
      <c r="D27" t="s">
        <v>111</v>
      </c>
      <c r="E27" t="s">
        <v>112</v>
      </c>
      <c r="F27" t="str">
        <f t="shared" si="0"/>
        <v>KY_JJA</v>
      </c>
      <c r="G27">
        <v>37.890421000000003</v>
      </c>
      <c r="H27">
        <v>-87.539696000000006</v>
      </c>
      <c r="I27" s="5">
        <v>37.89181</v>
      </c>
      <c r="J27" s="5">
        <v>-87.542090000000002</v>
      </c>
      <c r="K27" t="s">
        <v>258</v>
      </c>
      <c r="L27">
        <v>2022</v>
      </c>
      <c r="M27" t="s">
        <v>264</v>
      </c>
      <c r="N27" t="s">
        <v>263</v>
      </c>
      <c r="O27" t="s">
        <v>264</v>
      </c>
      <c r="P27" t="s">
        <v>263</v>
      </c>
    </row>
    <row r="28" spans="1:16" x14ac:dyDescent="0.4">
      <c r="A28" t="s">
        <v>14</v>
      </c>
      <c r="B28" t="s">
        <v>233</v>
      </c>
      <c r="C28" t="s">
        <v>15</v>
      </c>
      <c r="D28" t="s">
        <v>134</v>
      </c>
      <c r="E28" t="s">
        <v>135</v>
      </c>
      <c r="F28" t="str">
        <f t="shared" si="0"/>
        <v>KY_LXC</v>
      </c>
      <c r="G28">
        <v>38.059359000000001</v>
      </c>
      <c r="H28">
        <v>-86.513459999999995</v>
      </c>
      <c r="I28" s="5">
        <v>38.060200000000002</v>
      </c>
      <c r="J28" s="5">
        <v>-84.508750000000006</v>
      </c>
      <c r="K28" t="s">
        <v>18</v>
      </c>
      <c r="L28">
        <v>2022</v>
      </c>
      <c r="M28" t="s">
        <v>264</v>
      </c>
      <c r="N28" t="s">
        <v>263</v>
      </c>
      <c r="O28" t="s">
        <v>264</v>
      </c>
      <c r="P28" t="s">
        <v>264</v>
      </c>
    </row>
    <row r="29" spans="1:16" x14ac:dyDescent="0.4">
      <c r="A29" t="s">
        <v>57</v>
      </c>
      <c r="B29" t="s">
        <v>240</v>
      </c>
      <c r="C29" t="s">
        <v>58</v>
      </c>
      <c r="D29" t="s">
        <v>59</v>
      </c>
      <c r="E29" t="s">
        <v>60</v>
      </c>
      <c r="F29" t="str">
        <f t="shared" si="0"/>
        <v>MA_BTC</v>
      </c>
      <c r="G29">
        <v>42.056111999999999</v>
      </c>
      <c r="H29">
        <v>-73.350116</v>
      </c>
      <c r="I29" s="5">
        <v>42.056240000000003</v>
      </c>
      <c r="J29" s="5">
        <v>-73.350480000000005</v>
      </c>
      <c r="K29" t="s">
        <v>9</v>
      </c>
      <c r="L29">
        <v>2022</v>
      </c>
      <c r="M29" t="s">
        <v>264</v>
      </c>
      <c r="N29" t="s">
        <v>263</v>
      </c>
      <c r="O29" t="s">
        <v>264</v>
      </c>
      <c r="P29" t="s">
        <v>263</v>
      </c>
    </row>
    <row r="30" spans="1:16" x14ac:dyDescent="0.4">
      <c r="A30" t="s">
        <v>57</v>
      </c>
      <c r="B30" t="s">
        <v>240</v>
      </c>
      <c r="C30" t="s">
        <v>58</v>
      </c>
      <c r="D30" t="s">
        <v>121</v>
      </c>
      <c r="E30" t="s">
        <v>122</v>
      </c>
      <c r="F30" t="str">
        <f t="shared" si="0"/>
        <v>MA_LKN</v>
      </c>
      <c r="G30">
        <v>42.084119999999999</v>
      </c>
      <c r="H30">
        <v>-73.367427000000006</v>
      </c>
      <c r="I30" s="5">
        <v>42.082070000000002</v>
      </c>
      <c r="J30" s="5">
        <v>-73.369320000000002</v>
      </c>
      <c r="K30" t="s">
        <v>9</v>
      </c>
      <c r="L30">
        <v>2022</v>
      </c>
      <c r="M30" t="s">
        <v>264</v>
      </c>
      <c r="N30" t="s">
        <v>263</v>
      </c>
      <c r="O30" t="s">
        <v>264</v>
      </c>
      <c r="P30" t="s">
        <v>263</v>
      </c>
    </row>
    <row r="31" spans="1:16" x14ac:dyDescent="0.4">
      <c r="A31" t="s">
        <v>57</v>
      </c>
      <c r="B31" t="s">
        <v>240</v>
      </c>
      <c r="C31" t="s">
        <v>58</v>
      </c>
      <c r="D31" t="s">
        <v>145</v>
      </c>
      <c r="E31" t="s">
        <v>146</v>
      </c>
      <c r="F31" t="str">
        <f t="shared" si="0"/>
        <v>MA_NMK</v>
      </c>
      <c r="G31">
        <v>42.287503000000001</v>
      </c>
      <c r="H31">
        <v>-73.315911999999997</v>
      </c>
      <c r="I31" s="5">
        <v>42.288290000000003</v>
      </c>
      <c r="J31" s="5">
        <v>-73.317099999999996</v>
      </c>
      <c r="K31" t="s">
        <v>9</v>
      </c>
      <c r="L31">
        <v>2022</v>
      </c>
      <c r="M31" t="s">
        <v>264</v>
      </c>
      <c r="N31" t="s">
        <v>263</v>
      </c>
      <c r="O31" t="s">
        <v>263</v>
      </c>
      <c r="P31" t="s">
        <v>263</v>
      </c>
    </row>
    <row r="32" spans="1:16" x14ac:dyDescent="0.4">
      <c r="A32" t="s">
        <v>57</v>
      </c>
      <c r="B32" t="s">
        <v>240</v>
      </c>
      <c r="C32" t="s">
        <v>58</v>
      </c>
      <c r="D32" t="s">
        <v>190</v>
      </c>
      <c r="E32" t="s">
        <v>191</v>
      </c>
      <c r="F32" t="str">
        <f t="shared" si="0"/>
        <v>MA_SBF</v>
      </c>
      <c r="G32">
        <v>42.084547999999998</v>
      </c>
      <c r="H32">
        <v>-73.385045000000005</v>
      </c>
      <c r="I32" s="5">
        <v>42.084209999999999</v>
      </c>
      <c r="J32" s="5">
        <v>-73.385199999999998</v>
      </c>
      <c r="K32" t="s">
        <v>9</v>
      </c>
      <c r="L32">
        <v>2022</v>
      </c>
      <c r="M32" t="s">
        <v>264</v>
      </c>
      <c r="N32" t="s">
        <v>263</v>
      </c>
      <c r="O32" t="s">
        <v>264</v>
      </c>
      <c r="P32" t="s">
        <v>263</v>
      </c>
    </row>
    <row r="33" spans="1:16" x14ac:dyDescent="0.4">
      <c r="A33" t="s">
        <v>7</v>
      </c>
      <c r="B33" t="s">
        <v>228</v>
      </c>
      <c r="D33" t="s">
        <v>8</v>
      </c>
      <c r="E33" t="s">
        <v>247</v>
      </c>
      <c r="F33" t="s">
        <v>248</v>
      </c>
      <c r="G33">
        <v>49.85783</v>
      </c>
      <c r="H33">
        <v>-97.249110000000002</v>
      </c>
      <c r="I33" s="5">
        <v>49.855110000000003</v>
      </c>
      <c r="J33" s="5">
        <v>-97.247770000000003</v>
      </c>
      <c r="K33" t="s">
        <v>9</v>
      </c>
      <c r="L33">
        <v>2017</v>
      </c>
      <c r="M33" t="s">
        <v>263</v>
      </c>
      <c r="N33" t="s">
        <v>263</v>
      </c>
      <c r="O33" t="s">
        <v>263</v>
      </c>
      <c r="P33" t="s">
        <v>263</v>
      </c>
    </row>
    <row r="34" spans="1:16" x14ac:dyDescent="0.4">
      <c r="A34" t="s">
        <v>7</v>
      </c>
      <c r="B34" t="s">
        <v>228</v>
      </c>
      <c r="D34" t="s">
        <v>205</v>
      </c>
      <c r="E34" t="s">
        <v>206</v>
      </c>
      <c r="F34" t="str">
        <f t="shared" ref="F34:F44" si="1">_xlfn.CONCAT(B34,"_",E34)</f>
        <v>MB_SWP</v>
      </c>
      <c r="G34">
        <v>49.761040000000001</v>
      </c>
      <c r="H34">
        <v>-99.159710000000004</v>
      </c>
      <c r="I34" s="5">
        <v>49.760869999999997</v>
      </c>
      <c r="J34" s="5">
        <v>-99.159329999999997</v>
      </c>
      <c r="K34" t="s">
        <v>9</v>
      </c>
      <c r="L34">
        <v>2017</v>
      </c>
      <c r="M34" t="s">
        <v>263</v>
      </c>
      <c r="N34" t="s">
        <v>263</v>
      </c>
      <c r="O34" t="s">
        <v>263</v>
      </c>
      <c r="P34" t="s">
        <v>263</v>
      </c>
    </row>
    <row r="35" spans="1:16" x14ac:dyDescent="0.4">
      <c r="A35" t="s">
        <v>7</v>
      </c>
      <c r="B35" t="s">
        <v>228</v>
      </c>
      <c r="D35" t="s">
        <v>220</v>
      </c>
      <c r="E35" t="s">
        <v>221</v>
      </c>
      <c r="F35" t="str">
        <f t="shared" si="1"/>
        <v>MB_WPP</v>
      </c>
      <c r="G35">
        <v>49.713590000000003</v>
      </c>
      <c r="H35">
        <v>-95.243489999999994</v>
      </c>
      <c r="I35" s="5">
        <v>49.712490000000003</v>
      </c>
      <c r="J35" s="5">
        <v>-95.244470000000007</v>
      </c>
      <c r="K35" t="s">
        <v>9</v>
      </c>
      <c r="L35">
        <v>2017</v>
      </c>
      <c r="M35" t="s">
        <v>263</v>
      </c>
      <c r="N35" t="s">
        <v>263</v>
      </c>
      <c r="O35" t="s">
        <v>263</v>
      </c>
      <c r="P35" t="s">
        <v>263</v>
      </c>
    </row>
    <row r="36" spans="1:16" x14ac:dyDescent="0.4">
      <c r="A36" t="s">
        <v>123</v>
      </c>
      <c r="B36" t="s">
        <v>244</v>
      </c>
      <c r="C36" t="s">
        <v>124</v>
      </c>
      <c r="D36" t="s">
        <v>125</v>
      </c>
      <c r="E36" t="s">
        <v>126</v>
      </c>
      <c r="F36" t="str">
        <f t="shared" si="1"/>
        <v>MI_LLP</v>
      </c>
      <c r="G36">
        <v>42.766748999999997</v>
      </c>
      <c r="H36">
        <v>-84.385411000000005</v>
      </c>
      <c r="I36" s="5">
        <v>42.766190000000002</v>
      </c>
      <c r="J36" s="5">
        <v>-84.383439999999993</v>
      </c>
      <c r="K36" t="s">
        <v>9</v>
      </c>
      <c r="L36">
        <v>2022</v>
      </c>
      <c r="M36" t="s">
        <v>264</v>
      </c>
      <c r="N36" t="s">
        <v>263</v>
      </c>
      <c r="O36" t="s">
        <v>264</v>
      </c>
      <c r="P36" t="s">
        <v>263</v>
      </c>
    </row>
    <row r="37" spans="1:16" x14ac:dyDescent="0.4">
      <c r="A37" t="s">
        <v>123</v>
      </c>
      <c r="B37" t="s">
        <v>244</v>
      </c>
      <c r="C37" t="s">
        <v>157</v>
      </c>
      <c r="D37" t="s">
        <v>158</v>
      </c>
      <c r="E37" t="s">
        <v>159</v>
      </c>
      <c r="F37" t="str">
        <f t="shared" si="1"/>
        <v>MI_PCP</v>
      </c>
      <c r="G37">
        <v>43.85351</v>
      </c>
      <c r="H37">
        <v>-83.924679999999995</v>
      </c>
      <c r="I37" s="5">
        <v>43.853000000000002</v>
      </c>
      <c r="J37" s="5">
        <v>-83.924379999999999</v>
      </c>
      <c r="K37" t="s">
        <v>9</v>
      </c>
      <c r="L37">
        <v>2017</v>
      </c>
      <c r="M37" t="s">
        <v>264</v>
      </c>
      <c r="N37" t="s">
        <v>263</v>
      </c>
      <c r="O37" t="s">
        <v>263</v>
      </c>
      <c r="P37" t="s">
        <v>263</v>
      </c>
    </row>
    <row r="38" spans="1:16" x14ac:dyDescent="0.4">
      <c r="A38" t="s">
        <v>123</v>
      </c>
      <c r="B38" t="s">
        <v>244</v>
      </c>
      <c r="C38" t="s">
        <v>172</v>
      </c>
      <c r="D38" t="s">
        <v>173</v>
      </c>
      <c r="E38" t="s">
        <v>174</v>
      </c>
      <c r="F38" t="str">
        <f t="shared" si="1"/>
        <v>MI_PRA</v>
      </c>
      <c r="G38">
        <v>42.413184000000001</v>
      </c>
      <c r="H38">
        <v>-83.988669000000002</v>
      </c>
      <c r="I38" s="5">
        <v>42.421810000000001</v>
      </c>
      <c r="J38" s="5">
        <v>-83.992850000000004</v>
      </c>
      <c r="K38" t="s">
        <v>9</v>
      </c>
      <c r="L38">
        <v>2022</v>
      </c>
      <c r="M38" t="s">
        <v>264</v>
      </c>
      <c r="N38" t="s">
        <v>263</v>
      </c>
      <c r="O38" t="s">
        <v>264</v>
      </c>
      <c r="P38" t="s">
        <v>263</v>
      </c>
    </row>
    <row r="39" spans="1:16" x14ac:dyDescent="0.4">
      <c r="A39" t="s">
        <v>61</v>
      </c>
      <c r="B39" t="s">
        <v>236</v>
      </c>
      <c r="C39" t="s">
        <v>62</v>
      </c>
      <c r="D39" t="s">
        <v>63</v>
      </c>
      <c r="E39" t="s">
        <v>64</v>
      </c>
      <c r="F39" t="str">
        <f t="shared" si="1"/>
        <v>MN_CDR</v>
      </c>
      <c r="G39">
        <v>45.398057999999999</v>
      </c>
      <c r="H39">
        <v>-93.182768999999993</v>
      </c>
      <c r="I39" s="5">
        <v>45.409520000000001</v>
      </c>
      <c r="J39" s="5">
        <v>-93.191810000000004</v>
      </c>
      <c r="K39" t="s">
        <v>9</v>
      </c>
      <c r="L39">
        <v>2022</v>
      </c>
      <c r="M39" t="s">
        <v>264</v>
      </c>
      <c r="N39" t="s">
        <v>263</v>
      </c>
      <c r="O39" t="s">
        <v>263</v>
      </c>
      <c r="P39" t="s">
        <v>263</v>
      </c>
    </row>
    <row r="40" spans="1:16" x14ac:dyDescent="0.4">
      <c r="A40" t="s">
        <v>61</v>
      </c>
      <c r="B40" t="s">
        <v>236</v>
      </c>
      <c r="C40" t="s">
        <v>154</v>
      </c>
      <c r="D40" t="s">
        <v>155</v>
      </c>
      <c r="E40" t="s">
        <v>156</v>
      </c>
      <c r="F40" t="str">
        <f t="shared" si="1"/>
        <v>MN_OTB</v>
      </c>
      <c r="G40">
        <v>44.363880000000002</v>
      </c>
      <c r="H40">
        <v>-93.935429999999997</v>
      </c>
      <c r="I40" s="5">
        <v>44.363990000000001</v>
      </c>
      <c r="J40" s="5">
        <v>-93.935460000000006</v>
      </c>
      <c r="K40" t="s">
        <v>9</v>
      </c>
      <c r="L40">
        <v>2017</v>
      </c>
      <c r="M40" t="s">
        <v>263</v>
      </c>
      <c r="N40" t="s">
        <v>263</v>
      </c>
      <c r="O40" t="s">
        <v>263</v>
      </c>
      <c r="P40" t="s">
        <v>263</v>
      </c>
    </row>
    <row r="41" spans="1:16" x14ac:dyDescent="0.4">
      <c r="A41" t="s">
        <v>61</v>
      </c>
      <c r="B41" t="s">
        <v>236</v>
      </c>
      <c r="C41" t="s">
        <v>169</v>
      </c>
      <c r="D41" t="s">
        <v>170</v>
      </c>
      <c r="E41" t="s">
        <v>171</v>
      </c>
      <c r="F41" t="str">
        <f t="shared" si="1"/>
        <v>MN_PMN</v>
      </c>
      <c r="G41">
        <v>43.902219000000002</v>
      </c>
      <c r="H41">
        <v>-91.638919000000001</v>
      </c>
      <c r="I41" s="5">
        <v>43.899810000000002</v>
      </c>
      <c r="J41" s="5">
        <v>-91.637709999999998</v>
      </c>
      <c r="K41" t="s">
        <v>9</v>
      </c>
      <c r="L41">
        <v>2022</v>
      </c>
      <c r="M41" t="s">
        <v>264</v>
      </c>
      <c r="N41" t="s">
        <v>263</v>
      </c>
      <c r="O41" t="s">
        <v>263</v>
      </c>
      <c r="P41" t="s">
        <v>263</v>
      </c>
    </row>
    <row r="42" spans="1:16" s="2" customFormat="1" x14ac:dyDescent="0.4">
      <c r="A42" s="2" t="s">
        <v>61</v>
      </c>
      <c r="B42" s="2" t="s">
        <v>236</v>
      </c>
      <c r="C42" s="2" t="s">
        <v>178</v>
      </c>
      <c r="D42" s="2" t="s">
        <v>179</v>
      </c>
      <c r="E42" s="2" t="s">
        <v>180</v>
      </c>
      <c r="F42" s="2" t="str">
        <f t="shared" si="1"/>
        <v>MN_QPA</v>
      </c>
      <c r="G42" s="2">
        <v>45.53</v>
      </c>
      <c r="H42" s="2">
        <v>-94.232910000000004</v>
      </c>
      <c r="I42" s="5">
        <v>45.529870000000003</v>
      </c>
      <c r="J42" s="5">
        <v>-94.238050000000001</v>
      </c>
      <c r="K42" s="2" t="s">
        <v>9</v>
      </c>
      <c r="L42" s="2">
        <v>2017</v>
      </c>
      <c r="M42" t="s">
        <v>264</v>
      </c>
      <c r="N42" t="s">
        <v>263</v>
      </c>
      <c r="O42" t="s">
        <v>263</v>
      </c>
      <c r="P42" t="s">
        <v>263</v>
      </c>
    </row>
    <row r="43" spans="1:16" x14ac:dyDescent="0.4">
      <c r="A43" t="s">
        <v>35</v>
      </c>
      <c r="B43" t="s">
        <v>231</v>
      </c>
      <c r="C43" t="s">
        <v>36</v>
      </c>
      <c r="D43" t="s">
        <v>37</v>
      </c>
      <c r="E43" t="s">
        <v>38</v>
      </c>
      <c r="F43" t="str">
        <f t="shared" si="1"/>
        <v>MO_BOT</v>
      </c>
      <c r="G43">
        <v>36.644024999999999</v>
      </c>
      <c r="H43">
        <v>-89.290899999999993</v>
      </c>
      <c r="I43" s="5">
        <v>36.643590000000003</v>
      </c>
      <c r="J43" s="5">
        <v>-89.290289999999999</v>
      </c>
      <c r="K43" t="s">
        <v>18</v>
      </c>
      <c r="L43" s="2">
        <v>2022</v>
      </c>
      <c r="M43" t="s">
        <v>264</v>
      </c>
      <c r="N43" t="s">
        <v>263</v>
      </c>
      <c r="O43" t="s">
        <v>264</v>
      </c>
      <c r="P43" t="s">
        <v>263</v>
      </c>
    </row>
    <row r="44" spans="1:16" x14ac:dyDescent="0.4">
      <c r="A44" t="s">
        <v>35</v>
      </c>
      <c r="B44" t="s">
        <v>231</v>
      </c>
      <c r="C44" t="s">
        <v>42</v>
      </c>
      <c r="D44" t="s">
        <v>43</v>
      </c>
      <c r="E44" t="s">
        <v>44</v>
      </c>
      <c r="F44" t="str">
        <f t="shared" si="1"/>
        <v>MO_BRA</v>
      </c>
      <c r="G44">
        <v>37.157670000000003</v>
      </c>
      <c r="H44">
        <v>-91.364739999999998</v>
      </c>
      <c r="I44" s="5">
        <v>37.157319999999999</v>
      </c>
      <c r="J44" s="5">
        <v>-91.364919999999998</v>
      </c>
      <c r="K44" t="s">
        <v>18</v>
      </c>
      <c r="L44" t="s">
        <v>257</v>
      </c>
      <c r="M44" t="s">
        <v>264</v>
      </c>
      <c r="N44" t="s">
        <v>263</v>
      </c>
      <c r="O44" t="s">
        <v>264</v>
      </c>
      <c r="P44" t="s">
        <v>264</v>
      </c>
    </row>
    <row r="45" spans="1:16" x14ac:dyDescent="0.4">
      <c r="A45" t="s">
        <v>35</v>
      </c>
      <c r="B45" t="s">
        <v>231</v>
      </c>
      <c r="C45" t="s">
        <v>84</v>
      </c>
      <c r="D45" t="s">
        <v>85</v>
      </c>
      <c r="E45" t="s">
        <v>250</v>
      </c>
      <c r="F45" t="s">
        <v>249</v>
      </c>
      <c r="G45">
        <v>38.545696999999997</v>
      </c>
      <c r="H45">
        <v>-90.535657</v>
      </c>
      <c r="I45" s="6">
        <v>38.546500000000002</v>
      </c>
      <c r="J45" s="5">
        <v>-90.536479999999997</v>
      </c>
      <c r="K45" t="s">
        <v>18</v>
      </c>
      <c r="L45">
        <v>2022</v>
      </c>
      <c r="M45" t="s">
        <v>264</v>
      </c>
      <c r="N45" t="s">
        <v>263</v>
      </c>
      <c r="O45" t="s">
        <v>264</v>
      </c>
      <c r="P45" t="s">
        <v>264</v>
      </c>
    </row>
    <row r="46" spans="1:16" x14ac:dyDescent="0.4">
      <c r="A46" t="s">
        <v>35</v>
      </c>
      <c r="B46" t="s">
        <v>231</v>
      </c>
      <c r="C46" t="s">
        <v>103</v>
      </c>
      <c r="D46" t="s">
        <v>104</v>
      </c>
      <c r="E46" t="s">
        <v>105</v>
      </c>
      <c r="F46" t="str">
        <f t="shared" ref="F46:F62" si="2">_xlfn.CONCAT(B46,"_",E46)</f>
        <v>MO_HHT</v>
      </c>
      <c r="G46">
        <v>37.990282000000001</v>
      </c>
      <c r="H46">
        <v>-92.774439000000001</v>
      </c>
      <c r="I46" s="7">
        <v>37.980029999999999</v>
      </c>
      <c r="J46" s="7">
        <v>-92.770269999999996</v>
      </c>
      <c r="K46" t="s">
        <v>18</v>
      </c>
      <c r="L46">
        <v>2022</v>
      </c>
      <c r="M46" t="s">
        <v>264</v>
      </c>
      <c r="N46" t="s">
        <v>263</v>
      </c>
      <c r="O46" t="s">
        <v>264</v>
      </c>
      <c r="P46" t="s">
        <v>264</v>
      </c>
    </row>
    <row r="47" spans="1:16" x14ac:dyDescent="0.4">
      <c r="A47" t="s">
        <v>35</v>
      </c>
      <c r="B47" t="s">
        <v>231</v>
      </c>
      <c r="C47" t="s">
        <v>175</v>
      </c>
      <c r="D47" t="s">
        <v>176</v>
      </c>
      <c r="E47" t="s">
        <v>177</v>
      </c>
      <c r="F47" t="str">
        <f t="shared" si="2"/>
        <v>MO_PSP</v>
      </c>
      <c r="G47">
        <v>37.531755590000003</v>
      </c>
      <c r="H47">
        <v>-94.574784399999999</v>
      </c>
      <c r="I47" s="6">
        <v>37.532760000000003</v>
      </c>
      <c r="J47" s="6">
        <v>-94.575659999999999</v>
      </c>
      <c r="K47" t="s">
        <v>258</v>
      </c>
      <c r="L47">
        <v>2022</v>
      </c>
      <c r="M47" t="s">
        <v>264</v>
      </c>
      <c r="N47" t="s">
        <v>263</v>
      </c>
      <c r="O47" t="s">
        <v>264</v>
      </c>
      <c r="P47" t="s">
        <v>264</v>
      </c>
    </row>
    <row r="48" spans="1:16" x14ac:dyDescent="0.4">
      <c r="A48" t="s">
        <v>35</v>
      </c>
      <c r="B48" t="s">
        <v>231</v>
      </c>
      <c r="C48" t="s">
        <v>194</v>
      </c>
      <c r="D48" t="s">
        <v>195</v>
      </c>
      <c r="E48" t="s">
        <v>196</v>
      </c>
      <c r="F48" t="str">
        <f t="shared" si="2"/>
        <v>MO_SH</v>
      </c>
      <c r="G48">
        <v>38.467143</v>
      </c>
      <c r="H48">
        <v>-90.820221000000004</v>
      </c>
      <c r="I48" s="7">
        <v>38.462710000000001</v>
      </c>
      <c r="J48" s="7">
        <v>-90.817430000000002</v>
      </c>
      <c r="K48" t="s">
        <v>18</v>
      </c>
      <c r="L48">
        <v>2022</v>
      </c>
      <c r="M48" t="s">
        <v>264</v>
      </c>
      <c r="N48" t="s">
        <v>263</v>
      </c>
      <c r="O48" t="s">
        <v>264</v>
      </c>
      <c r="P48" t="s">
        <v>264</v>
      </c>
    </row>
    <row r="49" spans="1:16" x14ac:dyDescent="0.4">
      <c r="A49" t="s">
        <v>35</v>
      </c>
      <c r="B49" t="s">
        <v>231</v>
      </c>
      <c r="C49" t="s">
        <v>84</v>
      </c>
      <c r="D49" t="s">
        <v>212</v>
      </c>
      <c r="E49" t="s">
        <v>213</v>
      </c>
      <c r="F49" t="str">
        <f t="shared" si="2"/>
        <v>MO_TRC</v>
      </c>
      <c r="G49">
        <v>38.512087999999999</v>
      </c>
      <c r="H49">
        <v>-90.575698000000003</v>
      </c>
      <c r="I49" s="6">
        <v>38.513579999999997</v>
      </c>
      <c r="J49" s="6">
        <v>-90.567170000000004</v>
      </c>
      <c r="K49" t="s">
        <v>258</v>
      </c>
      <c r="L49">
        <v>2022</v>
      </c>
      <c r="M49" t="s">
        <v>264</v>
      </c>
      <c r="N49" t="s">
        <v>263</v>
      </c>
      <c r="O49" t="s">
        <v>264</v>
      </c>
      <c r="P49" t="s">
        <v>264</v>
      </c>
    </row>
    <row r="50" spans="1:16" x14ac:dyDescent="0.4">
      <c r="A50" t="s">
        <v>10</v>
      </c>
      <c r="B50" t="s">
        <v>232</v>
      </c>
      <c r="C50" t="s">
        <v>11</v>
      </c>
      <c r="D50" t="s">
        <v>12</v>
      </c>
      <c r="E50" t="s">
        <v>13</v>
      </c>
      <c r="F50" t="str">
        <f t="shared" si="2"/>
        <v>NY_APB</v>
      </c>
      <c r="G50">
        <v>42.719489000000003</v>
      </c>
      <c r="H50">
        <v>-73.860055000000003</v>
      </c>
      <c r="I50" s="7">
        <v>42.718000000000004</v>
      </c>
      <c r="J50" s="7">
        <v>-73.856459999999998</v>
      </c>
      <c r="K50" t="s">
        <v>9</v>
      </c>
      <c r="L50">
        <v>2022</v>
      </c>
      <c r="M50" t="s">
        <v>264</v>
      </c>
      <c r="N50" t="s">
        <v>263</v>
      </c>
      <c r="O50" t="s">
        <v>263</v>
      </c>
      <c r="P50" t="s">
        <v>263</v>
      </c>
    </row>
    <row r="51" spans="1:16" x14ac:dyDescent="0.4">
      <c r="A51" t="s">
        <v>10</v>
      </c>
      <c r="B51" t="s">
        <v>232</v>
      </c>
      <c r="C51" t="s">
        <v>25</v>
      </c>
      <c r="D51" t="s">
        <v>26</v>
      </c>
      <c r="E51" t="s">
        <v>27</v>
      </c>
      <c r="F51" t="str">
        <f t="shared" si="2"/>
        <v>NY_BIP</v>
      </c>
      <c r="G51">
        <v>43.057822999999999</v>
      </c>
      <c r="H51">
        <v>-78.971293000000003</v>
      </c>
      <c r="I51" s="6">
        <v>43.057299999999998</v>
      </c>
      <c r="J51" s="6">
        <v>-78.978629999999995</v>
      </c>
      <c r="K51" t="s">
        <v>9</v>
      </c>
      <c r="L51">
        <v>2022</v>
      </c>
      <c r="M51" t="s">
        <v>264</v>
      </c>
      <c r="N51" t="s">
        <v>263</v>
      </c>
      <c r="O51" t="s">
        <v>264</v>
      </c>
      <c r="P51" t="s">
        <v>263</v>
      </c>
    </row>
    <row r="52" spans="1:16" x14ac:dyDescent="0.4">
      <c r="A52" t="s">
        <v>10</v>
      </c>
      <c r="B52" t="s">
        <v>232</v>
      </c>
      <c r="C52" t="s">
        <v>28</v>
      </c>
      <c r="D52" t="s">
        <v>29</v>
      </c>
      <c r="E52" t="s">
        <v>30</v>
      </c>
      <c r="F52" t="str">
        <f t="shared" si="2"/>
        <v>NY_BKF</v>
      </c>
      <c r="G52">
        <v>43.081232</v>
      </c>
      <c r="H52">
        <v>-73.301637999999997</v>
      </c>
      <c r="I52" s="7">
        <v>43.080599999999997</v>
      </c>
      <c r="J52" s="7">
        <v>-73.295760000000001</v>
      </c>
      <c r="K52" t="s">
        <v>258</v>
      </c>
      <c r="L52">
        <v>2022</v>
      </c>
      <c r="M52" t="s">
        <v>264</v>
      </c>
      <c r="N52" t="s">
        <v>263</v>
      </c>
      <c r="O52" t="s">
        <v>263</v>
      </c>
      <c r="P52" t="s">
        <v>263</v>
      </c>
    </row>
    <row r="53" spans="1:16" x14ac:dyDescent="0.4">
      <c r="A53" t="s">
        <v>10</v>
      </c>
      <c r="B53" t="s">
        <v>232</v>
      </c>
      <c r="C53" t="s">
        <v>77</v>
      </c>
      <c r="D53" t="s">
        <v>78</v>
      </c>
      <c r="E53" t="s">
        <v>79</v>
      </c>
      <c r="F53" t="str">
        <f t="shared" si="2"/>
        <v>NY_CMB</v>
      </c>
      <c r="G53">
        <v>44.101258999999999</v>
      </c>
      <c r="H53">
        <v>-76.074804999999998</v>
      </c>
      <c r="I53" s="6">
        <v>44.099550000000001</v>
      </c>
      <c r="J53" s="6">
        <v>-76.077680000000001</v>
      </c>
      <c r="K53" t="s">
        <v>9</v>
      </c>
      <c r="L53">
        <v>2022</v>
      </c>
      <c r="M53" t="s">
        <v>264</v>
      </c>
      <c r="N53" t="s">
        <v>263</v>
      </c>
      <c r="O53" t="s">
        <v>263</v>
      </c>
      <c r="P53" t="s">
        <v>263</v>
      </c>
    </row>
    <row r="54" spans="1:16" x14ac:dyDescent="0.4">
      <c r="A54" t="s">
        <v>10</v>
      </c>
      <c r="B54" t="s">
        <v>232</v>
      </c>
      <c r="C54" t="s">
        <v>199</v>
      </c>
      <c r="D54" t="s">
        <v>200</v>
      </c>
      <c r="E54" t="s">
        <v>201</v>
      </c>
      <c r="F54" t="str">
        <f t="shared" si="2"/>
        <v>NY_SSP</v>
      </c>
      <c r="G54">
        <v>42.706592000000001</v>
      </c>
      <c r="H54">
        <v>-76.900946000000005</v>
      </c>
      <c r="I54" s="7">
        <v>42.719790000000003</v>
      </c>
      <c r="J54" s="7">
        <v>-76.900310000000005</v>
      </c>
      <c r="K54" t="s">
        <v>9</v>
      </c>
      <c r="L54">
        <v>2022</v>
      </c>
      <c r="M54" t="s">
        <v>264</v>
      </c>
      <c r="N54" t="s">
        <v>263</v>
      </c>
      <c r="O54" t="s">
        <v>263</v>
      </c>
      <c r="P54" t="s">
        <v>263</v>
      </c>
    </row>
    <row r="55" spans="1:16" x14ac:dyDescent="0.4">
      <c r="A55" t="s">
        <v>91</v>
      </c>
      <c r="B55" t="s">
        <v>243</v>
      </c>
      <c r="C55" t="s">
        <v>92</v>
      </c>
      <c r="D55" t="s">
        <v>93</v>
      </c>
      <c r="E55" t="s">
        <v>94</v>
      </c>
      <c r="F55" t="str">
        <f t="shared" si="2"/>
        <v>OH_DPS</v>
      </c>
      <c r="G55">
        <v>40.730969999999999</v>
      </c>
      <c r="H55">
        <v>-83.092569999999995</v>
      </c>
      <c r="I55" s="6">
        <v>40.729930000000003</v>
      </c>
      <c r="J55" s="6">
        <v>-83.094340000000003</v>
      </c>
      <c r="K55" t="s">
        <v>9</v>
      </c>
      <c r="L55">
        <v>2017</v>
      </c>
      <c r="M55" t="s">
        <v>264</v>
      </c>
      <c r="N55" t="s">
        <v>263</v>
      </c>
      <c r="O55" t="s">
        <v>264</v>
      </c>
      <c r="P55" t="s">
        <v>263</v>
      </c>
    </row>
    <row r="56" spans="1:16" x14ac:dyDescent="0.4">
      <c r="A56" t="s">
        <v>91</v>
      </c>
      <c r="B56" t="s">
        <v>243</v>
      </c>
      <c r="C56" t="s">
        <v>95</v>
      </c>
      <c r="D56" t="s">
        <v>96</v>
      </c>
      <c r="E56" t="s">
        <v>97</v>
      </c>
      <c r="F56" t="str">
        <f t="shared" si="2"/>
        <v>OH_GLW</v>
      </c>
      <c r="G56">
        <v>41.553216999999997</v>
      </c>
      <c r="H56">
        <v>-84.361215000000001</v>
      </c>
      <c r="I56" s="7">
        <v>41.552140000000001</v>
      </c>
      <c r="J56" s="7">
        <v>-84.356589999999997</v>
      </c>
      <c r="K56" t="s">
        <v>9</v>
      </c>
      <c r="L56">
        <v>2022</v>
      </c>
      <c r="M56" t="s">
        <v>264</v>
      </c>
      <c r="N56" t="s">
        <v>263</v>
      </c>
      <c r="O56" t="s">
        <v>264</v>
      </c>
      <c r="P56" t="s">
        <v>263</v>
      </c>
    </row>
    <row r="57" spans="1:16" x14ac:dyDescent="0.4">
      <c r="A57" t="s">
        <v>91</v>
      </c>
      <c r="B57" t="s">
        <v>243</v>
      </c>
      <c r="C57" t="s">
        <v>164</v>
      </c>
      <c r="D57" t="s">
        <v>165</v>
      </c>
      <c r="E57" t="s">
        <v>166</v>
      </c>
      <c r="F57" t="str">
        <f t="shared" si="2"/>
        <v>OH_PKS</v>
      </c>
      <c r="G57">
        <v>40.043599999999998</v>
      </c>
      <c r="H57">
        <v>-83.479870000000005</v>
      </c>
      <c r="I57" s="6">
        <v>40.044600000000003</v>
      </c>
      <c r="J57" s="6">
        <v>-83.479299999999995</v>
      </c>
      <c r="K57" t="s">
        <v>9</v>
      </c>
      <c r="L57">
        <v>2017</v>
      </c>
      <c r="M57" t="s">
        <v>264</v>
      </c>
      <c r="N57" t="s">
        <v>263</v>
      </c>
      <c r="O57" t="s">
        <v>264</v>
      </c>
      <c r="P57" t="s">
        <v>264</v>
      </c>
    </row>
    <row r="58" spans="1:16" x14ac:dyDescent="0.4">
      <c r="A58" t="s">
        <v>91</v>
      </c>
      <c r="B58" t="s">
        <v>243</v>
      </c>
      <c r="C58" t="s">
        <v>202</v>
      </c>
      <c r="D58" t="s">
        <v>203</v>
      </c>
      <c r="E58" t="s">
        <v>204</v>
      </c>
      <c r="F58" t="str">
        <f t="shared" si="2"/>
        <v>OH_STR</v>
      </c>
      <c r="G58">
        <v>39.345528000000002</v>
      </c>
      <c r="H58">
        <v>-82.034701999999996</v>
      </c>
      <c r="I58" s="7">
        <v>39.346209999999999</v>
      </c>
      <c r="J58" s="7">
        <v>-82.036850000000001</v>
      </c>
      <c r="K58" t="s">
        <v>258</v>
      </c>
      <c r="L58">
        <v>2022</v>
      </c>
      <c r="M58" t="s">
        <v>264</v>
      </c>
      <c r="N58" t="s">
        <v>263</v>
      </c>
      <c r="O58" t="s">
        <v>264</v>
      </c>
      <c r="P58" t="s">
        <v>264</v>
      </c>
    </row>
    <row r="59" spans="1:16" x14ac:dyDescent="0.4">
      <c r="A59" t="s">
        <v>147</v>
      </c>
      <c r="B59" t="s">
        <v>245</v>
      </c>
      <c r="C59" t="s">
        <v>148</v>
      </c>
      <c r="D59" t="s">
        <v>149</v>
      </c>
      <c r="E59" t="s">
        <v>150</v>
      </c>
      <c r="F59" t="str">
        <f t="shared" si="2"/>
        <v>OK_NOW</v>
      </c>
      <c r="G59">
        <v>35.177030000000002</v>
      </c>
      <c r="H59">
        <v>-97.450190000000006</v>
      </c>
      <c r="I59" s="6">
        <v>35.176960000000001</v>
      </c>
      <c r="J59" s="6">
        <v>-97.449849999999998</v>
      </c>
      <c r="K59" t="s">
        <v>18</v>
      </c>
      <c r="L59">
        <v>2017</v>
      </c>
      <c r="M59" t="s">
        <v>263</v>
      </c>
      <c r="N59" t="s">
        <v>263</v>
      </c>
      <c r="O59" t="s">
        <v>264</v>
      </c>
      <c r="P59" t="s">
        <v>264</v>
      </c>
    </row>
    <row r="60" spans="1:16" x14ac:dyDescent="0.4">
      <c r="A60" t="s">
        <v>147</v>
      </c>
      <c r="B60" t="s">
        <v>245</v>
      </c>
      <c r="C60" t="s">
        <v>186</v>
      </c>
      <c r="D60" t="s">
        <v>187</v>
      </c>
      <c r="E60" t="s">
        <v>188</v>
      </c>
      <c r="F60" t="str">
        <f t="shared" si="2"/>
        <v>OK_RRC</v>
      </c>
      <c r="G60">
        <v>35.435994000000001</v>
      </c>
      <c r="H60">
        <v>-98.355638999999996</v>
      </c>
      <c r="I60" s="7">
        <v>35.441090000000003</v>
      </c>
      <c r="J60" s="7">
        <v>-98.353989999999996</v>
      </c>
      <c r="K60" t="s">
        <v>18</v>
      </c>
      <c r="L60">
        <v>2022</v>
      </c>
      <c r="M60" t="s">
        <v>263</v>
      </c>
      <c r="N60" t="s">
        <v>263</v>
      </c>
      <c r="O60" t="s">
        <v>264</v>
      </c>
      <c r="P60" t="s">
        <v>264</v>
      </c>
    </row>
    <row r="61" spans="1:16" x14ac:dyDescent="0.4">
      <c r="A61" t="s">
        <v>147</v>
      </c>
      <c r="B61" t="s">
        <v>245</v>
      </c>
      <c r="C61" t="s">
        <v>207</v>
      </c>
      <c r="D61" t="s">
        <v>208</v>
      </c>
      <c r="E61" t="s">
        <v>209</v>
      </c>
      <c r="F61" t="str">
        <f t="shared" si="2"/>
        <v>OK_TGP</v>
      </c>
      <c r="G61">
        <v>36.845101</v>
      </c>
      <c r="H61">
        <v>-96.426447999999993</v>
      </c>
      <c r="I61" s="6">
        <v>36.846620000000001</v>
      </c>
      <c r="J61" s="6">
        <v>-96.427300000000002</v>
      </c>
      <c r="K61" t="s">
        <v>18</v>
      </c>
      <c r="L61">
        <v>2022</v>
      </c>
      <c r="M61" t="s">
        <v>263</v>
      </c>
      <c r="N61" t="s">
        <v>263</v>
      </c>
      <c r="O61" t="s">
        <v>264</v>
      </c>
      <c r="P61" t="s">
        <v>264</v>
      </c>
    </row>
    <row r="62" spans="1:16" x14ac:dyDescent="0.4">
      <c r="A62" t="s">
        <v>80</v>
      </c>
      <c r="B62" t="s">
        <v>241</v>
      </c>
      <c r="C62" t="s">
        <v>81</v>
      </c>
      <c r="D62" t="s">
        <v>82</v>
      </c>
      <c r="E62" t="s">
        <v>83</v>
      </c>
      <c r="F62" t="str">
        <f t="shared" si="2"/>
        <v>SD_CSP</v>
      </c>
      <c r="G62">
        <v>43.760489999999997</v>
      </c>
      <c r="H62">
        <v>-103.47675</v>
      </c>
      <c r="I62" s="7">
        <v>43.773609999999998</v>
      </c>
      <c r="J62" s="8">
        <v>-103.41015</v>
      </c>
      <c r="K62" t="s">
        <v>9</v>
      </c>
      <c r="L62">
        <v>2017</v>
      </c>
      <c r="M62" t="s">
        <v>263</v>
      </c>
      <c r="N62" t="s">
        <v>263</v>
      </c>
      <c r="O62" t="s">
        <v>263</v>
      </c>
      <c r="P62" t="s">
        <v>263</v>
      </c>
    </row>
    <row r="63" spans="1:16" x14ac:dyDescent="0.4">
      <c r="A63" t="s">
        <v>80</v>
      </c>
      <c r="B63" t="s">
        <v>241</v>
      </c>
      <c r="C63" t="s">
        <v>192</v>
      </c>
      <c r="D63" t="s">
        <v>193</v>
      </c>
      <c r="E63" t="s">
        <v>251</v>
      </c>
      <c r="F63" t="s">
        <v>252</v>
      </c>
      <c r="G63">
        <v>44.474130000000002</v>
      </c>
      <c r="H63">
        <v>-103.73782</v>
      </c>
      <c r="I63" s="6">
        <v>44.467759999999998</v>
      </c>
      <c r="J63" s="9">
        <v>-103.83566</v>
      </c>
      <c r="K63" t="s">
        <v>9</v>
      </c>
      <c r="L63">
        <v>2017</v>
      </c>
      <c r="M63" t="s">
        <v>263</v>
      </c>
      <c r="N63" t="s">
        <v>263</v>
      </c>
      <c r="O63" t="s">
        <v>263</v>
      </c>
      <c r="P63" t="s">
        <v>263</v>
      </c>
    </row>
    <row r="64" spans="1:16" x14ac:dyDescent="0.4">
      <c r="A64" t="s">
        <v>21</v>
      </c>
      <c r="B64" t="s">
        <v>234</v>
      </c>
      <c r="C64" t="s">
        <v>22</v>
      </c>
      <c r="D64" t="s">
        <v>23</v>
      </c>
      <c r="E64" t="s">
        <v>24</v>
      </c>
      <c r="F64" t="str">
        <f>_xlfn.CONCAT(B64,"_",E64)</f>
        <v>TN_BCP</v>
      </c>
      <c r="G64">
        <v>36.375796999999999</v>
      </c>
      <c r="H64">
        <v>-86.357923</v>
      </c>
      <c r="I64" s="7">
        <v>36.377070000000003</v>
      </c>
      <c r="J64" s="7">
        <v>-86.353099999999998</v>
      </c>
      <c r="K64" t="s">
        <v>18</v>
      </c>
      <c r="L64">
        <v>2022</v>
      </c>
      <c r="M64" t="s">
        <v>264</v>
      </c>
      <c r="N64" t="s">
        <v>263</v>
      </c>
      <c r="O64" t="s">
        <v>264</v>
      </c>
      <c r="P64" t="s">
        <v>264</v>
      </c>
    </row>
    <row r="65" spans="1:16" x14ac:dyDescent="0.4">
      <c r="A65" t="s">
        <v>21</v>
      </c>
      <c r="B65" t="s">
        <v>234</v>
      </c>
      <c r="C65" t="s">
        <v>74</v>
      </c>
      <c r="D65" t="s">
        <v>75</v>
      </c>
      <c r="E65" t="s">
        <v>76</v>
      </c>
      <c r="F65" t="str">
        <f>_xlfn.CONCAT(B65,"_",E65)</f>
        <v>TN_CLP</v>
      </c>
      <c r="G65">
        <v>36.072969999999998</v>
      </c>
      <c r="H65">
        <v>-86.313800000000001</v>
      </c>
      <c r="I65" s="6">
        <v>36.074190000000002</v>
      </c>
      <c r="J65" s="6">
        <v>-86.314030000000002</v>
      </c>
      <c r="K65" t="s">
        <v>258</v>
      </c>
      <c r="L65">
        <v>2022</v>
      </c>
      <c r="M65" t="s">
        <v>264</v>
      </c>
      <c r="N65" t="s">
        <v>263</v>
      </c>
      <c r="O65" t="s">
        <v>264</v>
      </c>
      <c r="P65" t="s">
        <v>264</v>
      </c>
    </row>
    <row r="66" spans="1:16" x14ac:dyDescent="0.4">
      <c r="A66" t="s">
        <v>49</v>
      </c>
      <c r="B66" t="s">
        <v>235</v>
      </c>
      <c r="C66" t="s">
        <v>50</v>
      </c>
      <c r="D66" t="s">
        <v>51</v>
      </c>
      <c r="E66" t="s">
        <v>52</v>
      </c>
      <c r="F66" t="str">
        <f>_xlfn.CONCAT(B66,"_",E66)</f>
        <v>TX_BRZ</v>
      </c>
      <c r="G66">
        <v>29.37387</v>
      </c>
      <c r="H66">
        <v>-95.580348999999998</v>
      </c>
      <c r="I66" s="7">
        <v>29.374649999999999</v>
      </c>
      <c r="J66" s="7">
        <v>-95.585210000000004</v>
      </c>
      <c r="K66" t="s">
        <v>18</v>
      </c>
      <c r="L66">
        <v>2022</v>
      </c>
      <c r="M66" t="s">
        <v>263</v>
      </c>
      <c r="N66" t="s">
        <v>263</v>
      </c>
      <c r="O66" t="s">
        <v>263</v>
      </c>
      <c r="P66" t="s">
        <v>264</v>
      </c>
    </row>
    <row r="67" spans="1:16" x14ac:dyDescent="0.4">
      <c r="A67" t="s">
        <v>49</v>
      </c>
      <c r="B67" t="s">
        <v>235</v>
      </c>
      <c r="C67" t="s">
        <v>72</v>
      </c>
      <c r="D67" t="s">
        <v>73</v>
      </c>
      <c r="E67" t="s">
        <v>253</v>
      </c>
      <c r="F67" t="s">
        <v>254</v>
      </c>
      <c r="G67">
        <v>32.637725000000003</v>
      </c>
      <c r="H67">
        <v>-96.977413999999996</v>
      </c>
      <c r="I67" s="6">
        <v>32.630940000000002</v>
      </c>
      <c r="J67" s="6">
        <v>-96.980530000000002</v>
      </c>
      <c r="K67" t="s">
        <v>18</v>
      </c>
      <c r="L67">
        <v>2022</v>
      </c>
      <c r="M67" t="s">
        <v>263</v>
      </c>
      <c r="N67" t="s">
        <v>263</v>
      </c>
      <c r="O67" t="s">
        <v>264</v>
      </c>
      <c r="P67" t="s">
        <v>264</v>
      </c>
    </row>
    <row r="68" spans="1:16" x14ac:dyDescent="0.4">
      <c r="A68" t="s">
        <v>49</v>
      </c>
      <c r="B68" t="s">
        <v>235</v>
      </c>
      <c r="C68" t="s">
        <v>72</v>
      </c>
      <c r="D68" t="s">
        <v>167</v>
      </c>
      <c r="E68" t="s">
        <v>168</v>
      </c>
      <c r="F68" t="str">
        <f t="shared" ref="F68:F75" si="3">_xlfn.CONCAT(B68,"_",E68)</f>
        <v>TX_PLM</v>
      </c>
      <c r="G68">
        <v>29.597151</v>
      </c>
      <c r="H68">
        <v>-97.584878000000003</v>
      </c>
      <c r="I68" s="7">
        <v>29.588819999999998</v>
      </c>
      <c r="J68" s="7">
        <v>-97.583510000000004</v>
      </c>
      <c r="K68" t="s">
        <v>18</v>
      </c>
      <c r="L68">
        <v>2022</v>
      </c>
      <c r="M68" t="s">
        <v>263</v>
      </c>
      <c r="N68" t="s">
        <v>263</v>
      </c>
      <c r="O68" t="s">
        <v>263</v>
      </c>
      <c r="P68" t="s">
        <v>264</v>
      </c>
    </row>
    <row r="69" spans="1:16" x14ac:dyDescent="0.4">
      <c r="A69" t="s">
        <v>87</v>
      </c>
      <c r="B69" t="s">
        <v>242</v>
      </c>
      <c r="C69" t="s">
        <v>88</v>
      </c>
      <c r="D69" t="s">
        <v>89</v>
      </c>
      <c r="E69" t="s">
        <v>90</v>
      </c>
      <c r="F69" t="str">
        <f t="shared" si="3"/>
        <v>VE_DHT</v>
      </c>
      <c r="G69">
        <v>43.604565999999998</v>
      </c>
      <c r="H69">
        <v>-73.180250999999998</v>
      </c>
      <c r="I69" s="6">
        <v>43.600619999999999</v>
      </c>
      <c r="J69" s="6">
        <v>-73.183490000000006</v>
      </c>
      <c r="K69" t="s">
        <v>9</v>
      </c>
      <c r="L69">
        <v>2022</v>
      </c>
      <c r="M69" t="s">
        <v>264</v>
      </c>
      <c r="N69" t="s">
        <v>263</v>
      </c>
      <c r="O69" t="s">
        <v>263</v>
      </c>
      <c r="P69" t="s">
        <v>263</v>
      </c>
    </row>
    <row r="70" spans="1:16" x14ac:dyDescent="0.4">
      <c r="A70" t="s">
        <v>160</v>
      </c>
      <c r="B70" t="s">
        <v>246</v>
      </c>
      <c r="C70" t="s">
        <v>161</v>
      </c>
      <c r="D70" t="s">
        <v>162</v>
      </c>
      <c r="E70" t="s">
        <v>163</v>
      </c>
      <c r="F70" t="str">
        <f t="shared" si="3"/>
        <v>WI_PKL</v>
      </c>
      <c r="G70">
        <v>46.332048</v>
      </c>
      <c r="H70">
        <v>-91.507300999999998</v>
      </c>
      <c r="I70" s="7">
        <v>46.331589999999998</v>
      </c>
      <c r="J70" s="7">
        <v>-91.507239999999996</v>
      </c>
      <c r="K70" t="s">
        <v>9</v>
      </c>
      <c r="L70">
        <v>2022</v>
      </c>
      <c r="M70" t="s">
        <v>263</v>
      </c>
      <c r="N70" t="s">
        <v>263</v>
      </c>
      <c r="O70" t="s">
        <v>263</v>
      </c>
      <c r="P70" t="s">
        <v>263</v>
      </c>
    </row>
    <row r="71" spans="1:16" x14ac:dyDescent="0.4">
      <c r="A71" t="s">
        <v>160</v>
      </c>
      <c r="B71" t="s">
        <v>246</v>
      </c>
      <c r="C71" t="s">
        <v>183</v>
      </c>
      <c r="D71" t="s">
        <v>184</v>
      </c>
      <c r="E71" t="s">
        <v>185</v>
      </c>
      <c r="F71" t="str">
        <f t="shared" si="3"/>
        <v>WI_RLF</v>
      </c>
      <c r="G71">
        <v>46.023829999999997</v>
      </c>
      <c r="H71">
        <v>-91.145570000000006</v>
      </c>
      <c r="I71" s="6">
        <v>46.024479999999997</v>
      </c>
      <c r="J71" s="6">
        <v>-91.138909999999996</v>
      </c>
      <c r="K71" t="s">
        <v>9</v>
      </c>
      <c r="L71" s="3">
        <v>2017</v>
      </c>
      <c r="M71" t="s">
        <v>263</v>
      </c>
      <c r="N71" t="s">
        <v>263</v>
      </c>
      <c r="O71" t="s">
        <v>263</v>
      </c>
      <c r="P71" t="s">
        <v>263</v>
      </c>
    </row>
    <row r="72" spans="1:16" x14ac:dyDescent="0.4">
      <c r="A72" t="s">
        <v>160</v>
      </c>
      <c r="B72" t="s">
        <v>246</v>
      </c>
      <c r="C72" t="s">
        <v>53</v>
      </c>
      <c r="D72" t="s">
        <v>210</v>
      </c>
      <c r="E72" t="s">
        <v>211</v>
      </c>
      <c r="F72" t="str">
        <f t="shared" si="3"/>
        <v>WI_THB</v>
      </c>
      <c r="G72">
        <v>43.148663999999997</v>
      </c>
      <c r="H72">
        <v>-90.043608000000006</v>
      </c>
      <c r="I72" s="7">
        <v>43.149180000000001</v>
      </c>
      <c r="J72" s="7">
        <v>-90.043279999999996</v>
      </c>
      <c r="K72" t="s">
        <v>9</v>
      </c>
      <c r="L72">
        <v>2022</v>
      </c>
      <c r="M72" t="s">
        <v>264</v>
      </c>
      <c r="N72" t="s">
        <v>263</v>
      </c>
      <c r="O72" t="s">
        <v>263</v>
      </c>
      <c r="P72" t="s">
        <v>263</v>
      </c>
    </row>
    <row r="73" spans="1:16" x14ac:dyDescent="0.4">
      <c r="A73" t="s">
        <v>160</v>
      </c>
      <c r="B73" t="s">
        <v>246</v>
      </c>
      <c r="C73" t="s">
        <v>217</v>
      </c>
      <c r="D73" t="s">
        <v>218</v>
      </c>
      <c r="E73" t="s">
        <v>219</v>
      </c>
      <c r="F73" t="str">
        <f t="shared" si="3"/>
        <v>WI_WFS</v>
      </c>
      <c r="G73">
        <v>43.016382999999998</v>
      </c>
      <c r="H73">
        <v>-88.438509999999994</v>
      </c>
      <c r="I73" s="6">
        <v>43.017479999999999</v>
      </c>
      <c r="J73" s="6">
        <v>-88.438230000000004</v>
      </c>
      <c r="K73" t="s">
        <v>9</v>
      </c>
      <c r="L73">
        <v>2022</v>
      </c>
      <c r="M73" t="s">
        <v>264</v>
      </c>
      <c r="N73" t="s">
        <v>263</v>
      </c>
      <c r="O73" t="s">
        <v>263</v>
      </c>
      <c r="P73" t="s">
        <v>263</v>
      </c>
    </row>
    <row r="74" spans="1:16" x14ac:dyDescent="0.4">
      <c r="E74" t="s">
        <v>130</v>
      </c>
      <c r="F74" t="str">
        <f t="shared" si="3"/>
        <v>_LOB</v>
      </c>
      <c r="L74">
        <v>2022</v>
      </c>
      <c r="M74" t="s">
        <v>264</v>
      </c>
      <c r="N74" t="s">
        <v>263</v>
      </c>
      <c r="O74" t="s">
        <v>264</v>
      </c>
      <c r="P74" t="s">
        <v>263</v>
      </c>
    </row>
    <row r="75" spans="1:16" x14ac:dyDescent="0.4">
      <c r="E75" t="s">
        <v>189</v>
      </c>
      <c r="F75" t="str">
        <f t="shared" si="3"/>
        <v>_RUB</v>
      </c>
      <c r="L75">
        <v>2022</v>
      </c>
      <c r="M75" t="s">
        <v>264</v>
      </c>
      <c r="N75" t="s">
        <v>263</v>
      </c>
      <c r="O75" t="s">
        <v>264</v>
      </c>
      <c r="P75" t="s">
        <v>263</v>
      </c>
    </row>
  </sheetData>
  <sortState xmlns:xlrd2="http://schemas.microsoft.com/office/spreadsheetml/2017/richdata2" ref="A2:I76">
    <sortCondition ref="B2:B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5" sqref="B5"/>
    </sheetView>
  </sheetViews>
  <sheetFormatPr defaultRowHeight="14.6" x14ac:dyDescent="0.4"/>
  <cols>
    <col min="1" max="1" width="9.3828125" bestFit="1" customWidth="1"/>
  </cols>
  <sheetData>
    <row r="1" spans="1:2" x14ac:dyDescent="0.4">
      <c r="A1" t="s">
        <v>222</v>
      </c>
    </row>
    <row r="2" spans="1:2" x14ac:dyDescent="0.4">
      <c r="A2" t="s">
        <v>223</v>
      </c>
    </row>
    <row r="3" spans="1:2" x14ac:dyDescent="0.4">
      <c r="A3" t="s">
        <v>224</v>
      </c>
      <c r="B3" t="s">
        <v>225</v>
      </c>
    </row>
    <row r="4" spans="1:2" x14ac:dyDescent="0.4">
      <c r="A4" s="1">
        <v>45567</v>
      </c>
      <c r="B4" t="s">
        <v>226</v>
      </c>
    </row>
    <row r="5" spans="1:2" x14ac:dyDescent="0.4">
      <c r="A5" s="1">
        <v>46245</v>
      </c>
      <c r="B5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metadata_pops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2024-10-02T14:30:12Z</dcterms:created>
  <dcterms:modified xsi:type="dcterms:W3CDTF">2026-09-04T16:35:39Z</dcterms:modified>
</cp:coreProperties>
</file>