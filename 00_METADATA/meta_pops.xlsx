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mohn\Desktop\00_Scripts_and_Labels\00_METADATA\"/>
    </mc:Choice>
  </mc:AlternateContent>
  <xr:revisionPtr revIDLastSave="0" documentId="13_ncr:1_{2E8D66B5-92D9-4313-9655-1E6678D97ABD}" xr6:coauthVersionLast="47" xr6:coauthVersionMax="47" xr10:uidLastSave="{00000000-0000-0000-0000-000000000000}"/>
  <bookViews>
    <workbookView xWindow="-103" yWindow="-103" windowWidth="16663" windowHeight="9772" tabRatio="817" firstSheet="3" activeTab="6" xr2:uid="{00000000-000D-0000-FFFF-FFFF00000000}"/>
  </bookViews>
  <sheets>
    <sheet name="meta_pops_state" sheetId="1" r:id="rId1"/>
    <sheet name="SpeciesPerPop" sheetId="4" r:id="rId2"/>
    <sheet name="Sheet2" sheetId="3" r:id="rId3"/>
    <sheet name="Sheet3" sheetId="11" r:id="rId4"/>
    <sheet name="Sheet4" sheetId="5" r:id="rId5"/>
    <sheet name="Sheet9" sheetId="10" r:id="rId6"/>
    <sheet name="Sheet1" sheetId="2" r:id="rId7"/>
    <sheet name="MAC_PAINT2" sheetId="22" r:id="rId8"/>
    <sheet name="ConStruct" sheetId="19" r:id="rId9"/>
    <sheet name="Sheet11" sheetId="17" r:id="rId10"/>
    <sheet name="ADMIX_ALL" sheetId="13" r:id="rId11"/>
    <sheet name="ADMIX_SS" sheetId="12" r:id="rId12"/>
    <sheet name="MONG_PHYLO" sheetId="14" r:id="rId13"/>
    <sheet name="MAC_PHYLO" sheetId="15" r:id="rId14"/>
    <sheet name="MAC_DSUITE" sheetId="16" r:id="rId15"/>
    <sheet name="GEA" sheetId="18" r:id="rId16"/>
    <sheet name="MONG_DSUITE" sheetId="20" r:id="rId17"/>
    <sheet name="MAC_PAINT" sheetId="21" r:id="rId18"/>
  </sheets>
  <definedNames>
    <definedName name="_xlnm._FilterDatabase" localSheetId="14" hidden="1">MAC_DSUITE!$A$1:$C$348</definedName>
    <definedName name="_xlnm._FilterDatabase" localSheetId="6" hidden="1">Sheet1!$A$1:$AW$721</definedName>
  </definedNames>
  <calcPr calcId="191029"/>
  <pivotCaches>
    <pivotCache cacheId="0"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U3" i="2" l="1"/>
  <c r="AU4" i="2"/>
  <c r="AU5" i="2"/>
  <c r="AU6" i="2"/>
  <c r="AU7" i="2"/>
  <c r="AU8" i="2"/>
  <c r="AU9" i="2"/>
  <c r="AU10" i="2"/>
  <c r="AU11" i="2"/>
  <c r="AU12" i="2"/>
  <c r="AU13" i="2"/>
  <c r="AU14" i="2"/>
  <c r="AU15" i="2"/>
  <c r="AU16" i="2"/>
  <c r="AU17" i="2"/>
  <c r="AU18" i="2"/>
  <c r="AU19" i="2"/>
  <c r="AU20" i="2"/>
  <c r="AU21" i="2"/>
  <c r="AU22" i="2"/>
  <c r="AU23" i="2"/>
  <c r="AU24" i="2"/>
  <c r="AU25" i="2"/>
  <c r="AU26" i="2"/>
  <c r="AU27" i="2"/>
  <c r="AU28" i="2"/>
  <c r="AU29" i="2"/>
  <c r="AU30" i="2"/>
  <c r="AU31" i="2"/>
  <c r="AU32" i="2"/>
  <c r="AU33" i="2"/>
  <c r="AU34" i="2"/>
  <c r="AU35" i="2"/>
  <c r="AU36" i="2"/>
  <c r="AU37" i="2"/>
  <c r="AU38" i="2"/>
  <c r="AU39" i="2"/>
  <c r="AU40" i="2"/>
  <c r="AU41" i="2"/>
  <c r="AU42" i="2"/>
  <c r="AU43" i="2"/>
  <c r="AU44" i="2"/>
  <c r="AU45" i="2"/>
  <c r="AU46" i="2"/>
  <c r="AU47" i="2"/>
  <c r="AU48" i="2"/>
  <c r="AU49" i="2"/>
  <c r="AU50" i="2"/>
  <c r="AU51" i="2"/>
  <c r="AU52" i="2"/>
  <c r="AU53" i="2"/>
  <c r="AU54" i="2"/>
  <c r="AU55" i="2"/>
  <c r="AU56" i="2"/>
  <c r="AU57" i="2"/>
  <c r="AU58" i="2"/>
  <c r="AU59" i="2"/>
  <c r="AU60" i="2"/>
  <c r="AU61" i="2"/>
  <c r="AU62" i="2"/>
  <c r="AU63" i="2"/>
  <c r="AU64" i="2"/>
  <c r="AU65" i="2"/>
  <c r="AU66" i="2"/>
  <c r="AU67" i="2"/>
  <c r="AU68" i="2"/>
  <c r="AU69" i="2"/>
  <c r="AU70" i="2"/>
  <c r="AU71" i="2"/>
  <c r="AU72" i="2"/>
  <c r="AU73" i="2"/>
  <c r="AU74" i="2"/>
  <c r="AU75" i="2"/>
  <c r="AU76" i="2"/>
  <c r="AU77" i="2"/>
  <c r="AU78" i="2"/>
  <c r="AU79" i="2"/>
  <c r="AU80" i="2"/>
  <c r="AU81" i="2"/>
  <c r="AU82" i="2"/>
  <c r="AU83" i="2"/>
  <c r="AU84" i="2"/>
  <c r="AU85" i="2"/>
  <c r="AU86" i="2"/>
  <c r="AU87" i="2"/>
  <c r="AU88" i="2"/>
  <c r="AU89" i="2"/>
  <c r="AU90" i="2"/>
  <c r="AU91" i="2"/>
  <c r="AU92" i="2"/>
  <c r="AU93" i="2"/>
  <c r="AU94" i="2"/>
  <c r="AU95" i="2"/>
  <c r="AU96" i="2"/>
  <c r="AU97" i="2"/>
  <c r="AU98" i="2"/>
  <c r="AU99" i="2"/>
  <c r="AU100" i="2"/>
  <c r="AU101" i="2"/>
  <c r="AU102" i="2"/>
  <c r="AU103" i="2"/>
  <c r="AU104" i="2"/>
  <c r="AU105" i="2"/>
  <c r="AU106" i="2"/>
  <c r="AU107" i="2"/>
  <c r="AU108" i="2"/>
  <c r="AU109" i="2"/>
  <c r="AU110" i="2"/>
  <c r="AU111" i="2"/>
  <c r="AU112" i="2"/>
  <c r="AU113" i="2"/>
  <c r="AU114" i="2"/>
  <c r="AU115" i="2"/>
  <c r="AU116" i="2"/>
  <c r="AU117" i="2"/>
  <c r="AU118" i="2"/>
  <c r="AU119" i="2"/>
  <c r="AU120" i="2"/>
  <c r="AU121" i="2"/>
  <c r="AU122" i="2"/>
  <c r="AU123" i="2"/>
  <c r="AU124" i="2"/>
  <c r="AU125" i="2"/>
  <c r="AU126" i="2"/>
  <c r="AU127" i="2"/>
  <c r="AU128" i="2"/>
  <c r="AU129" i="2"/>
  <c r="AU130" i="2"/>
  <c r="AU131" i="2"/>
  <c r="AU132" i="2"/>
  <c r="AU133" i="2"/>
  <c r="AU134" i="2"/>
  <c r="AU135" i="2"/>
  <c r="AU136" i="2"/>
  <c r="AU137" i="2"/>
  <c r="AU138" i="2"/>
  <c r="AU139" i="2"/>
  <c r="AU140" i="2"/>
  <c r="AU141" i="2"/>
  <c r="AU142" i="2"/>
  <c r="AU143" i="2"/>
  <c r="AU144" i="2"/>
  <c r="AU145" i="2"/>
  <c r="AU146" i="2"/>
  <c r="AU147" i="2"/>
  <c r="AU148" i="2"/>
  <c r="AU149" i="2"/>
  <c r="AU150" i="2"/>
  <c r="AU151" i="2"/>
  <c r="AU152" i="2"/>
  <c r="AU153" i="2"/>
  <c r="AU154" i="2"/>
  <c r="AU155" i="2"/>
  <c r="AU156" i="2"/>
  <c r="AU157" i="2"/>
  <c r="AU158" i="2"/>
  <c r="AU159" i="2"/>
  <c r="AU160" i="2"/>
  <c r="AU161" i="2"/>
  <c r="AU162" i="2"/>
  <c r="AU163" i="2"/>
  <c r="AU164" i="2"/>
  <c r="AU165" i="2"/>
  <c r="AU166" i="2"/>
  <c r="AU167" i="2"/>
  <c r="AU168" i="2"/>
  <c r="AU169" i="2"/>
  <c r="AU170" i="2"/>
  <c r="AU171" i="2"/>
  <c r="AU172" i="2"/>
  <c r="AU173" i="2"/>
  <c r="AU174" i="2"/>
  <c r="AU175" i="2"/>
  <c r="AU176" i="2"/>
  <c r="AU177" i="2"/>
  <c r="AU178" i="2"/>
  <c r="AU179" i="2"/>
  <c r="AU180" i="2"/>
  <c r="AU181" i="2"/>
  <c r="AU182" i="2"/>
  <c r="AU183" i="2"/>
  <c r="AU184" i="2"/>
  <c r="AU185" i="2"/>
  <c r="AU186" i="2"/>
  <c r="AU187" i="2"/>
  <c r="AU188" i="2"/>
  <c r="AU189" i="2"/>
  <c r="AU190" i="2"/>
  <c r="AU191" i="2"/>
  <c r="AU192" i="2"/>
  <c r="AU193" i="2"/>
  <c r="AU194" i="2"/>
  <c r="AU195" i="2"/>
  <c r="AU196" i="2"/>
  <c r="AU197" i="2"/>
  <c r="AU198" i="2"/>
  <c r="AU199" i="2"/>
  <c r="AU200" i="2"/>
  <c r="AU201" i="2"/>
  <c r="AU202" i="2"/>
  <c r="AU203" i="2"/>
  <c r="AU204" i="2"/>
  <c r="AU205" i="2"/>
  <c r="AU206" i="2"/>
  <c r="AU207" i="2"/>
  <c r="AU208" i="2"/>
  <c r="AU209" i="2"/>
  <c r="AU210" i="2"/>
  <c r="AU211" i="2"/>
  <c r="AU212" i="2"/>
  <c r="AU213" i="2"/>
  <c r="AU214" i="2"/>
  <c r="AU215" i="2"/>
  <c r="AU216" i="2"/>
  <c r="AU217" i="2"/>
  <c r="AU218" i="2"/>
  <c r="AU219" i="2"/>
  <c r="AU220" i="2"/>
  <c r="AU221" i="2"/>
  <c r="AU222" i="2"/>
  <c r="AU223" i="2"/>
  <c r="AU224" i="2"/>
  <c r="AU225" i="2"/>
  <c r="AU226" i="2"/>
  <c r="AU227" i="2"/>
  <c r="AU228" i="2"/>
  <c r="AU229" i="2"/>
  <c r="AU230" i="2"/>
  <c r="AU231" i="2"/>
  <c r="AU232" i="2"/>
  <c r="AU233" i="2"/>
  <c r="AU234" i="2"/>
  <c r="AU235" i="2"/>
  <c r="AU236" i="2"/>
  <c r="AU237" i="2"/>
  <c r="AU238" i="2"/>
  <c r="AU239" i="2"/>
  <c r="AU240" i="2"/>
  <c r="AU241" i="2"/>
  <c r="AU242" i="2"/>
  <c r="AU243" i="2"/>
  <c r="AU244" i="2"/>
  <c r="AU245" i="2"/>
  <c r="AU246" i="2"/>
  <c r="AU247" i="2"/>
  <c r="AU248" i="2"/>
  <c r="AU249" i="2"/>
  <c r="AU250" i="2"/>
  <c r="AU251" i="2"/>
  <c r="AU252" i="2"/>
  <c r="AU253" i="2"/>
  <c r="AU254" i="2"/>
  <c r="AU255" i="2"/>
  <c r="AU256" i="2"/>
  <c r="AU257" i="2"/>
  <c r="AU258" i="2"/>
  <c r="AU259" i="2"/>
  <c r="AU260" i="2"/>
  <c r="AU261" i="2"/>
  <c r="AU262" i="2"/>
  <c r="AU263" i="2"/>
  <c r="AU264" i="2"/>
  <c r="AU265" i="2"/>
  <c r="AU266" i="2"/>
  <c r="AU267" i="2"/>
  <c r="AU268" i="2"/>
  <c r="AU269" i="2"/>
  <c r="AU270" i="2"/>
  <c r="AU271" i="2"/>
  <c r="AU272" i="2"/>
  <c r="AU273" i="2"/>
  <c r="AU274" i="2"/>
  <c r="AU275" i="2"/>
  <c r="AU276" i="2"/>
  <c r="AU277" i="2"/>
  <c r="AU278" i="2"/>
  <c r="AU279" i="2"/>
  <c r="AU280" i="2"/>
  <c r="AU281" i="2"/>
  <c r="AU282" i="2"/>
  <c r="AU283" i="2"/>
  <c r="AU284" i="2"/>
  <c r="AU285" i="2"/>
  <c r="AU286" i="2"/>
  <c r="AU287" i="2"/>
  <c r="AU288" i="2"/>
  <c r="AU289" i="2"/>
  <c r="AU290" i="2"/>
  <c r="AU291" i="2"/>
  <c r="AU292" i="2"/>
  <c r="AU293" i="2"/>
  <c r="AU294" i="2"/>
  <c r="AU295" i="2"/>
  <c r="AU296" i="2"/>
  <c r="AU297" i="2"/>
  <c r="AU298" i="2"/>
  <c r="AU299" i="2"/>
  <c r="AU300" i="2"/>
  <c r="AU301" i="2"/>
  <c r="AU302" i="2"/>
  <c r="AU303" i="2"/>
  <c r="AU304" i="2"/>
  <c r="AU305" i="2"/>
  <c r="AU306" i="2"/>
  <c r="AU307" i="2"/>
  <c r="AU308" i="2"/>
  <c r="AU309" i="2"/>
  <c r="AU310" i="2"/>
  <c r="AU311" i="2"/>
  <c r="AU312" i="2"/>
  <c r="AU313" i="2"/>
  <c r="AU314" i="2"/>
  <c r="AU315" i="2"/>
  <c r="AU316" i="2"/>
  <c r="AU317" i="2"/>
  <c r="AU318" i="2"/>
  <c r="AU319" i="2"/>
  <c r="AU320" i="2"/>
  <c r="AU321" i="2"/>
  <c r="AU322" i="2"/>
  <c r="AU323" i="2"/>
  <c r="AU324" i="2"/>
  <c r="AU325" i="2"/>
  <c r="AU326" i="2"/>
  <c r="AU327" i="2"/>
  <c r="AU328" i="2"/>
  <c r="AU329" i="2"/>
  <c r="AU330" i="2"/>
  <c r="AU331" i="2"/>
  <c r="AU332" i="2"/>
  <c r="AU333" i="2"/>
  <c r="AU334" i="2"/>
  <c r="AU335" i="2"/>
  <c r="AU336" i="2"/>
  <c r="AU337" i="2"/>
  <c r="AU338" i="2"/>
  <c r="AU339" i="2"/>
  <c r="AU340" i="2"/>
  <c r="AU341" i="2"/>
  <c r="AU342" i="2"/>
  <c r="AU343" i="2"/>
  <c r="AU344" i="2"/>
  <c r="AU345" i="2"/>
  <c r="AU346" i="2"/>
  <c r="AU347" i="2"/>
  <c r="AU348" i="2"/>
  <c r="AU349" i="2"/>
  <c r="AU350" i="2"/>
  <c r="AU351" i="2"/>
  <c r="AU352" i="2"/>
  <c r="AU353" i="2"/>
  <c r="AU354" i="2"/>
  <c r="AU355" i="2"/>
  <c r="AU356" i="2"/>
  <c r="AU357" i="2"/>
  <c r="AU358" i="2"/>
  <c r="AU359" i="2"/>
  <c r="AU360" i="2"/>
  <c r="AU361" i="2"/>
  <c r="AU362" i="2"/>
  <c r="AU363" i="2"/>
  <c r="AU364" i="2"/>
  <c r="AU365" i="2"/>
  <c r="AU366" i="2"/>
  <c r="AU367" i="2"/>
  <c r="AU368" i="2"/>
  <c r="AU369" i="2"/>
  <c r="AU370" i="2"/>
  <c r="AU371" i="2"/>
  <c r="AU372" i="2"/>
  <c r="AU373" i="2"/>
  <c r="AU374" i="2"/>
  <c r="AU375" i="2"/>
  <c r="AU376" i="2"/>
  <c r="AU377" i="2"/>
  <c r="AU378" i="2"/>
  <c r="AU379" i="2"/>
  <c r="AU380" i="2"/>
  <c r="AU381" i="2"/>
  <c r="AU382" i="2"/>
  <c r="AU383" i="2"/>
  <c r="AU384" i="2"/>
  <c r="AU385" i="2"/>
  <c r="AU386" i="2"/>
  <c r="AU387" i="2"/>
  <c r="AU388" i="2"/>
  <c r="AU389" i="2"/>
  <c r="AU390" i="2"/>
  <c r="AU391" i="2"/>
  <c r="AU392" i="2"/>
  <c r="AU393" i="2"/>
  <c r="AU394" i="2"/>
  <c r="AU395" i="2"/>
  <c r="AU396" i="2"/>
  <c r="AU397" i="2"/>
  <c r="AU398" i="2"/>
  <c r="AU399" i="2"/>
  <c r="AU400" i="2"/>
  <c r="AU401" i="2"/>
  <c r="AU402" i="2"/>
  <c r="AU403" i="2"/>
  <c r="AU404" i="2"/>
  <c r="AU405" i="2"/>
  <c r="AU406" i="2"/>
  <c r="AU407" i="2"/>
  <c r="AU408" i="2"/>
  <c r="AU409" i="2"/>
  <c r="AU410" i="2"/>
  <c r="AU411" i="2"/>
  <c r="AU412" i="2"/>
  <c r="AU413" i="2"/>
  <c r="AU414" i="2"/>
  <c r="AU415" i="2"/>
  <c r="AU416" i="2"/>
  <c r="AU417" i="2"/>
  <c r="AU418" i="2"/>
  <c r="AU419" i="2"/>
  <c r="AU420" i="2"/>
  <c r="AU421" i="2"/>
  <c r="AU422" i="2"/>
  <c r="AU423" i="2"/>
  <c r="AU424" i="2"/>
  <c r="AU425" i="2"/>
  <c r="AU426" i="2"/>
  <c r="AU427" i="2"/>
  <c r="AU428" i="2"/>
  <c r="AU429" i="2"/>
  <c r="AU430" i="2"/>
  <c r="AU431" i="2"/>
  <c r="AU432" i="2"/>
  <c r="AU433" i="2"/>
  <c r="AU434" i="2"/>
  <c r="AU435" i="2"/>
  <c r="AU436" i="2"/>
  <c r="AU437" i="2"/>
  <c r="AU438" i="2"/>
  <c r="AU439" i="2"/>
  <c r="AU440" i="2"/>
  <c r="AU441" i="2"/>
  <c r="AU442" i="2"/>
  <c r="AU443" i="2"/>
  <c r="AU444" i="2"/>
  <c r="AU445" i="2"/>
  <c r="AU446" i="2"/>
  <c r="AU447" i="2"/>
  <c r="AU448" i="2"/>
  <c r="AU449" i="2"/>
  <c r="AU450" i="2"/>
  <c r="AU451" i="2"/>
  <c r="AU452" i="2"/>
  <c r="AU453" i="2"/>
  <c r="AU454" i="2"/>
  <c r="AU455" i="2"/>
  <c r="AU456" i="2"/>
  <c r="AU457" i="2"/>
  <c r="AU458" i="2"/>
  <c r="AU459" i="2"/>
  <c r="AU460" i="2"/>
  <c r="AU461" i="2"/>
  <c r="AU462" i="2"/>
  <c r="AU463" i="2"/>
  <c r="AU464" i="2"/>
  <c r="AU465" i="2"/>
  <c r="AU466" i="2"/>
  <c r="AU467" i="2"/>
  <c r="AU468" i="2"/>
  <c r="AU469" i="2"/>
  <c r="AU470" i="2"/>
  <c r="AU471" i="2"/>
  <c r="AU472" i="2"/>
  <c r="AU473" i="2"/>
  <c r="AU474" i="2"/>
  <c r="AU475" i="2"/>
  <c r="AU476" i="2"/>
  <c r="AU477" i="2"/>
  <c r="AU478" i="2"/>
  <c r="AU479" i="2"/>
  <c r="AU480" i="2"/>
  <c r="AU481" i="2"/>
  <c r="AU482" i="2"/>
  <c r="AU483" i="2"/>
  <c r="AU484" i="2"/>
  <c r="AU485" i="2"/>
  <c r="AU486" i="2"/>
  <c r="AU487" i="2"/>
  <c r="AU488" i="2"/>
  <c r="AU489" i="2"/>
  <c r="AU490" i="2"/>
  <c r="AU491" i="2"/>
  <c r="AU492" i="2"/>
  <c r="AU493" i="2"/>
  <c r="AU494" i="2"/>
  <c r="AU495" i="2"/>
  <c r="AU496" i="2"/>
  <c r="AU497" i="2"/>
  <c r="AU498" i="2"/>
  <c r="AU499" i="2"/>
  <c r="AU500" i="2"/>
  <c r="AU501" i="2"/>
  <c r="AU502" i="2"/>
  <c r="AU503" i="2"/>
  <c r="AU504" i="2"/>
  <c r="AU505" i="2"/>
  <c r="AU506" i="2"/>
  <c r="AU507" i="2"/>
  <c r="AU508" i="2"/>
  <c r="AU509" i="2"/>
  <c r="AU510" i="2"/>
  <c r="AU511" i="2"/>
  <c r="AU512" i="2"/>
  <c r="AU513" i="2"/>
  <c r="AU514" i="2"/>
  <c r="AU515" i="2"/>
  <c r="AU516" i="2"/>
  <c r="AU517" i="2"/>
  <c r="AU518" i="2"/>
  <c r="AU519" i="2"/>
  <c r="AU520" i="2"/>
  <c r="AU521" i="2"/>
  <c r="AU522" i="2"/>
  <c r="AU523" i="2"/>
  <c r="AU524" i="2"/>
  <c r="AU525" i="2"/>
  <c r="AU526" i="2"/>
  <c r="AU527" i="2"/>
  <c r="AU528" i="2"/>
  <c r="AU529" i="2"/>
  <c r="AU530" i="2"/>
  <c r="AU531" i="2"/>
  <c r="AU532" i="2"/>
  <c r="AU533" i="2"/>
  <c r="AU534" i="2"/>
  <c r="AU535" i="2"/>
  <c r="AU536" i="2"/>
  <c r="AU537" i="2"/>
  <c r="AU538" i="2"/>
  <c r="AU539" i="2"/>
  <c r="AU540" i="2"/>
  <c r="AU541" i="2"/>
  <c r="AU542" i="2"/>
  <c r="AU543" i="2"/>
  <c r="AU544" i="2"/>
  <c r="AU545" i="2"/>
  <c r="AU546" i="2"/>
  <c r="AU547" i="2"/>
  <c r="AU548" i="2"/>
  <c r="AU549" i="2"/>
  <c r="AU550" i="2"/>
  <c r="AU551" i="2"/>
  <c r="AU552" i="2"/>
  <c r="AU553" i="2"/>
  <c r="AU554" i="2"/>
  <c r="AU555" i="2"/>
  <c r="AU556" i="2"/>
  <c r="AU557" i="2"/>
  <c r="AU558" i="2"/>
  <c r="AU559" i="2"/>
  <c r="AU560" i="2"/>
  <c r="AU561" i="2"/>
  <c r="AU562" i="2"/>
  <c r="AU563" i="2"/>
  <c r="AU564" i="2"/>
  <c r="AU565" i="2"/>
  <c r="AU566" i="2"/>
  <c r="AU567" i="2"/>
  <c r="AU568" i="2"/>
  <c r="AU569" i="2"/>
  <c r="AU570" i="2"/>
  <c r="AU571" i="2"/>
  <c r="AU572" i="2"/>
  <c r="AU573" i="2"/>
  <c r="AU574" i="2"/>
  <c r="AU575" i="2"/>
  <c r="AU576" i="2"/>
  <c r="AU577" i="2"/>
  <c r="AU578" i="2"/>
  <c r="AU579" i="2"/>
  <c r="AU580" i="2"/>
  <c r="AU581" i="2"/>
  <c r="AU582" i="2"/>
  <c r="AU583" i="2"/>
  <c r="AU584" i="2"/>
  <c r="AU585" i="2"/>
  <c r="AU586" i="2"/>
  <c r="AU587" i="2"/>
  <c r="AU588" i="2"/>
  <c r="AU589" i="2"/>
  <c r="AU590" i="2"/>
  <c r="AU591" i="2"/>
  <c r="AU592" i="2"/>
  <c r="AU593" i="2"/>
  <c r="AU594" i="2"/>
  <c r="AU595" i="2"/>
  <c r="AU596" i="2"/>
  <c r="AU597" i="2"/>
  <c r="AU598" i="2"/>
  <c r="AU599" i="2"/>
  <c r="AU600" i="2"/>
  <c r="AU601" i="2"/>
  <c r="AU602" i="2"/>
  <c r="AU603" i="2"/>
  <c r="AU604" i="2"/>
  <c r="AU605" i="2"/>
  <c r="AU606" i="2"/>
  <c r="AU607" i="2"/>
  <c r="AU608" i="2"/>
  <c r="AU609" i="2"/>
  <c r="AU610" i="2"/>
  <c r="AU611" i="2"/>
  <c r="AU612" i="2"/>
  <c r="AU613" i="2"/>
  <c r="AU614" i="2"/>
  <c r="AU615" i="2"/>
  <c r="AU616" i="2"/>
  <c r="AU617" i="2"/>
  <c r="AU618" i="2"/>
  <c r="AU619" i="2"/>
  <c r="AU620" i="2"/>
  <c r="AU621" i="2"/>
  <c r="AU622" i="2"/>
  <c r="AU623" i="2"/>
  <c r="AU624" i="2"/>
  <c r="AU625" i="2"/>
  <c r="AU626" i="2"/>
  <c r="AU627" i="2"/>
  <c r="AU628" i="2"/>
  <c r="AU629" i="2"/>
  <c r="AU630" i="2"/>
  <c r="AU631" i="2"/>
  <c r="AU632" i="2"/>
  <c r="AU633" i="2"/>
  <c r="AU634" i="2"/>
  <c r="AU635" i="2"/>
  <c r="AU636" i="2"/>
  <c r="AU637" i="2"/>
  <c r="AU638" i="2"/>
  <c r="AU639" i="2"/>
  <c r="AU640" i="2"/>
  <c r="AU641" i="2"/>
  <c r="AU642" i="2"/>
  <c r="AU643" i="2"/>
  <c r="AU644" i="2"/>
  <c r="AU645" i="2"/>
  <c r="AU646" i="2"/>
  <c r="AU647" i="2"/>
  <c r="AU648" i="2"/>
  <c r="AU649" i="2"/>
  <c r="AU650" i="2"/>
  <c r="AU651" i="2"/>
  <c r="AU652" i="2"/>
  <c r="AU653" i="2"/>
  <c r="AU654" i="2"/>
  <c r="AU655" i="2"/>
  <c r="AU656" i="2"/>
  <c r="AU657" i="2"/>
  <c r="AU658" i="2"/>
  <c r="AU659" i="2"/>
  <c r="AU660" i="2"/>
  <c r="AU661" i="2"/>
  <c r="AU662" i="2"/>
  <c r="AU663" i="2"/>
  <c r="AU664" i="2"/>
  <c r="AU665" i="2"/>
  <c r="AU666" i="2"/>
  <c r="AU667" i="2"/>
  <c r="AU668" i="2"/>
  <c r="AU669" i="2"/>
  <c r="AU670" i="2"/>
  <c r="AU671" i="2"/>
  <c r="AU672" i="2"/>
  <c r="AU673" i="2"/>
  <c r="AU674" i="2"/>
  <c r="AU675" i="2"/>
  <c r="AU676" i="2"/>
  <c r="AU677" i="2"/>
  <c r="AU678" i="2"/>
  <c r="AU679" i="2"/>
  <c r="AU680" i="2"/>
  <c r="AU681" i="2"/>
  <c r="AU682" i="2"/>
  <c r="AU683" i="2"/>
  <c r="AU684" i="2"/>
  <c r="AU685" i="2"/>
  <c r="AU686" i="2"/>
  <c r="AU687" i="2"/>
  <c r="AU688" i="2"/>
  <c r="AU689" i="2"/>
  <c r="AU690" i="2"/>
  <c r="AU691" i="2"/>
  <c r="AU692" i="2"/>
  <c r="AU693" i="2"/>
  <c r="AU694" i="2"/>
  <c r="AU695" i="2"/>
  <c r="AU696" i="2"/>
  <c r="AU697" i="2"/>
  <c r="AU698" i="2"/>
  <c r="AU699" i="2"/>
  <c r="AU700" i="2"/>
  <c r="AU701" i="2"/>
  <c r="AU702" i="2"/>
  <c r="AU703" i="2"/>
  <c r="AU704" i="2"/>
  <c r="AU705" i="2"/>
  <c r="AU706" i="2"/>
  <c r="AU707" i="2"/>
  <c r="AU708" i="2"/>
  <c r="AU709" i="2"/>
  <c r="AU710" i="2"/>
  <c r="AU711" i="2"/>
  <c r="AU712" i="2"/>
  <c r="AU713" i="2"/>
  <c r="AU714" i="2"/>
  <c r="AU715" i="2"/>
  <c r="AU716" i="2"/>
  <c r="AU717" i="2"/>
  <c r="AU718" i="2"/>
  <c r="AU719" i="2"/>
  <c r="AU720" i="2"/>
  <c r="AU721" i="2"/>
  <c r="AU2" i="2"/>
  <c r="AT2" i="2"/>
  <c r="E13" i="14"/>
  <c r="G13" i="14" s="1"/>
  <c r="E14" i="14"/>
  <c r="G14" i="14" s="1"/>
  <c r="H14" i="14" s="1"/>
  <c r="E15" i="14"/>
  <c r="G15" i="14" s="1"/>
  <c r="H15" i="14" s="1"/>
  <c r="E16" i="14"/>
  <c r="G16" i="14" s="1"/>
  <c r="H16" i="14" s="1"/>
  <c r="E57" i="14"/>
  <c r="G57" i="14" s="1"/>
  <c r="E58" i="14"/>
  <c r="G58" i="14" s="1"/>
  <c r="H58" i="14" s="1"/>
  <c r="E3" i="14"/>
  <c r="G3" i="14" s="1"/>
  <c r="E18" i="14"/>
  <c r="G18" i="14" s="1"/>
  <c r="E19" i="14"/>
  <c r="G19" i="14" s="1"/>
  <c r="E21" i="14"/>
  <c r="G21" i="14" s="1"/>
  <c r="E42" i="14"/>
  <c r="G42" i="14" s="1"/>
  <c r="E59" i="14"/>
  <c r="G59" i="14" s="1"/>
  <c r="E60" i="14"/>
  <c r="E20" i="14"/>
  <c r="G20" i="14" s="1"/>
  <c r="E11" i="14"/>
  <c r="G11" i="14" s="1"/>
  <c r="H11" i="14" s="1"/>
  <c r="E6" i="14"/>
  <c r="G6" i="14" s="1"/>
  <c r="E10" i="14"/>
  <c r="G10" i="14" s="1"/>
  <c r="E46" i="14"/>
  <c r="G46" i="14" s="1"/>
  <c r="E45" i="14"/>
  <c r="E5" i="14"/>
  <c r="G5" i="14" s="1"/>
  <c r="E4" i="14"/>
  <c r="G4" i="14" s="1"/>
  <c r="E2" i="14"/>
  <c r="G2" i="14" s="1"/>
  <c r="E17" i="14"/>
  <c r="G17" i="14" s="1"/>
  <c r="E61" i="14"/>
  <c r="G61" i="14" s="1"/>
  <c r="E7" i="14"/>
  <c r="E8" i="14"/>
  <c r="G8" i="14" s="1"/>
  <c r="E43" i="14"/>
  <c r="G43" i="14" s="1"/>
  <c r="E9" i="14"/>
  <c r="G9" i="14" s="1"/>
  <c r="H9" i="14" s="1"/>
  <c r="E44" i="14"/>
  <c r="G44" i="14" s="1"/>
  <c r="E23" i="14"/>
  <c r="G23" i="14" s="1"/>
  <c r="E22" i="14"/>
  <c r="G22" i="14" s="1"/>
  <c r="E24" i="14"/>
  <c r="G24" i="14" s="1"/>
  <c r="E31" i="14"/>
  <c r="G31" i="14" s="1"/>
  <c r="E25" i="14"/>
  <c r="G25" i="14" s="1"/>
  <c r="E29" i="14"/>
  <c r="G29" i="14" s="1"/>
  <c r="E30" i="14"/>
  <c r="G30" i="14" s="1"/>
  <c r="E27" i="14"/>
  <c r="E26" i="14"/>
  <c r="G26" i="14" s="1"/>
  <c r="E28" i="14"/>
  <c r="G28" i="14" s="1"/>
  <c r="E49" i="14"/>
  <c r="G49" i="14" s="1"/>
  <c r="E47" i="14"/>
  <c r="G47" i="14" s="1"/>
  <c r="E48" i="14"/>
  <c r="G48" i="14" s="1"/>
  <c r="E51" i="14"/>
  <c r="E50" i="14"/>
  <c r="G50" i="14" s="1"/>
  <c r="E36" i="14"/>
  <c r="G36" i="14" s="1"/>
  <c r="E32" i="14"/>
  <c r="G32" i="14" s="1"/>
  <c r="E33" i="14"/>
  <c r="G33" i="14" s="1"/>
  <c r="E35" i="14"/>
  <c r="G35" i="14" s="1"/>
  <c r="E34" i="14"/>
  <c r="E40" i="14"/>
  <c r="G40" i="14" s="1"/>
  <c r="E39" i="14"/>
  <c r="G39" i="14" s="1"/>
  <c r="E41" i="14"/>
  <c r="G41" i="14" s="1"/>
  <c r="E37" i="14"/>
  <c r="G37" i="14" s="1"/>
  <c r="H37" i="14" s="1"/>
  <c r="E38" i="14"/>
  <c r="G38" i="14" s="1"/>
  <c r="E53" i="14"/>
  <c r="G53" i="14" s="1"/>
  <c r="E54" i="14"/>
  <c r="G54" i="14" s="1"/>
  <c r="E55" i="14"/>
  <c r="G55" i="14" s="1"/>
  <c r="E56" i="14"/>
  <c r="G56" i="14" s="1"/>
  <c r="E52" i="14"/>
  <c r="G52" i="14" s="1"/>
  <c r="E12" i="14"/>
  <c r="D12" i="14"/>
  <c r="D13" i="14"/>
  <c r="D14" i="14"/>
  <c r="D15" i="14"/>
  <c r="D16" i="14"/>
  <c r="D57" i="14"/>
  <c r="D58" i="14"/>
  <c r="D3" i="14"/>
  <c r="D18" i="14"/>
  <c r="D19" i="14"/>
  <c r="D21" i="14"/>
  <c r="D42" i="14"/>
  <c r="D59" i="14"/>
  <c r="D60" i="14"/>
  <c r="D20" i="14"/>
  <c r="D11" i="14"/>
  <c r="D6" i="14"/>
  <c r="D10" i="14"/>
  <c r="D46" i="14"/>
  <c r="D45" i="14"/>
  <c r="D5" i="14"/>
  <c r="D4" i="14"/>
  <c r="D2" i="14"/>
  <c r="D17" i="14"/>
  <c r="D61" i="14"/>
  <c r="D7" i="14"/>
  <c r="D8" i="14"/>
  <c r="D43" i="14"/>
  <c r="D9" i="14"/>
  <c r="D44" i="14"/>
  <c r="D23" i="14"/>
  <c r="D22" i="14"/>
  <c r="D24" i="14"/>
  <c r="D31" i="14"/>
  <c r="D25" i="14"/>
  <c r="D29" i="14"/>
  <c r="D30" i="14"/>
  <c r="D27" i="14"/>
  <c r="D26" i="14"/>
  <c r="D28" i="14"/>
  <c r="D49" i="14"/>
  <c r="D47" i="14"/>
  <c r="D48" i="14"/>
  <c r="D51" i="14"/>
  <c r="D50" i="14"/>
  <c r="D36" i="14"/>
  <c r="D32" i="14"/>
  <c r="D33" i="14"/>
  <c r="D35" i="14"/>
  <c r="D34" i="14"/>
  <c r="D40" i="14"/>
  <c r="D39" i="14"/>
  <c r="D41" i="14"/>
  <c r="D37" i="14"/>
  <c r="D38" i="14"/>
  <c r="D53" i="14"/>
  <c r="D54" i="14"/>
  <c r="D55" i="14"/>
  <c r="D56" i="14"/>
  <c r="D52" i="14"/>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2" i="15"/>
  <c r="AM3" i="2"/>
  <c r="AN3" i="2"/>
  <c r="AO3" i="2"/>
  <c r="AP3" i="2"/>
  <c r="AQ3" i="2"/>
  <c r="AR3" i="2"/>
  <c r="AS3" i="2"/>
  <c r="AT3" i="2"/>
  <c r="AM4" i="2"/>
  <c r="AN4" i="2"/>
  <c r="AO4" i="2"/>
  <c r="AP4" i="2"/>
  <c r="AQ4" i="2"/>
  <c r="AR4" i="2"/>
  <c r="AS4" i="2"/>
  <c r="AT4" i="2"/>
  <c r="AM5" i="2"/>
  <c r="AN5" i="2"/>
  <c r="AO5" i="2"/>
  <c r="AP5" i="2"/>
  <c r="AQ5" i="2"/>
  <c r="AR5" i="2"/>
  <c r="AS5" i="2"/>
  <c r="AT5" i="2"/>
  <c r="AM6" i="2"/>
  <c r="AN6" i="2"/>
  <c r="AO6" i="2"/>
  <c r="AP6" i="2"/>
  <c r="AQ6" i="2"/>
  <c r="AR6" i="2"/>
  <c r="AS6" i="2"/>
  <c r="AT6" i="2"/>
  <c r="AM7" i="2"/>
  <c r="AN7" i="2"/>
  <c r="AO7" i="2"/>
  <c r="AP7" i="2"/>
  <c r="AQ7" i="2"/>
  <c r="AR7" i="2"/>
  <c r="AS7" i="2"/>
  <c r="AT7" i="2"/>
  <c r="AM8" i="2"/>
  <c r="AN8" i="2"/>
  <c r="AO8" i="2"/>
  <c r="AP8" i="2"/>
  <c r="AQ8" i="2"/>
  <c r="AR8" i="2"/>
  <c r="AS8" i="2"/>
  <c r="AT8" i="2"/>
  <c r="AM9" i="2"/>
  <c r="AN9" i="2"/>
  <c r="AO9" i="2"/>
  <c r="AP9" i="2"/>
  <c r="AQ9" i="2"/>
  <c r="AR9" i="2"/>
  <c r="AS9" i="2"/>
  <c r="AT9" i="2"/>
  <c r="AM10" i="2"/>
  <c r="AN10" i="2"/>
  <c r="AO10" i="2"/>
  <c r="AP10" i="2"/>
  <c r="AQ10" i="2"/>
  <c r="AR10" i="2"/>
  <c r="AS10" i="2"/>
  <c r="AT10" i="2"/>
  <c r="AM11" i="2"/>
  <c r="AN11" i="2"/>
  <c r="AO11" i="2"/>
  <c r="AP11" i="2"/>
  <c r="AQ11" i="2"/>
  <c r="AR11" i="2"/>
  <c r="AS11" i="2"/>
  <c r="AT11" i="2"/>
  <c r="AM12" i="2"/>
  <c r="AN12" i="2"/>
  <c r="AO12" i="2"/>
  <c r="AP12" i="2"/>
  <c r="AQ12" i="2"/>
  <c r="AR12" i="2"/>
  <c r="AS12" i="2"/>
  <c r="AT12" i="2"/>
  <c r="AM13" i="2"/>
  <c r="AN13" i="2"/>
  <c r="AO13" i="2"/>
  <c r="AP13" i="2"/>
  <c r="AQ13" i="2"/>
  <c r="AR13" i="2"/>
  <c r="AS13" i="2"/>
  <c r="AT13" i="2"/>
  <c r="AM14" i="2"/>
  <c r="AN14" i="2"/>
  <c r="AO14" i="2"/>
  <c r="AP14" i="2"/>
  <c r="AQ14" i="2"/>
  <c r="AR14" i="2"/>
  <c r="AS14" i="2"/>
  <c r="AT14" i="2"/>
  <c r="AM15" i="2"/>
  <c r="AN15" i="2"/>
  <c r="AO15" i="2"/>
  <c r="AP15" i="2"/>
  <c r="AQ15" i="2"/>
  <c r="AR15" i="2"/>
  <c r="AS15" i="2"/>
  <c r="AT15" i="2"/>
  <c r="AM16" i="2"/>
  <c r="AN16" i="2"/>
  <c r="AO16" i="2"/>
  <c r="AP16" i="2"/>
  <c r="AQ16" i="2"/>
  <c r="AR16" i="2"/>
  <c r="AS16" i="2"/>
  <c r="AT16" i="2"/>
  <c r="AM17" i="2"/>
  <c r="AN17" i="2"/>
  <c r="AO17" i="2"/>
  <c r="AP17" i="2"/>
  <c r="AQ17" i="2"/>
  <c r="AR17" i="2"/>
  <c r="AS17" i="2"/>
  <c r="AT17" i="2"/>
  <c r="AM18" i="2"/>
  <c r="AN18" i="2"/>
  <c r="AO18" i="2"/>
  <c r="AP18" i="2"/>
  <c r="AQ18" i="2"/>
  <c r="AR18" i="2"/>
  <c r="AS18" i="2"/>
  <c r="AT18" i="2"/>
  <c r="AM19" i="2"/>
  <c r="AN19" i="2"/>
  <c r="AO19" i="2"/>
  <c r="AP19" i="2"/>
  <c r="AQ19" i="2"/>
  <c r="AR19" i="2"/>
  <c r="AS19" i="2"/>
  <c r="AT19" i="2"/>
  <c r="AM20" i="2"/>
  <c r="AN20" i="2"/>
  <c r="AO20" i="2"/>
  <c r="AP20" i="2"/>
  <c r="AQ20" i="2"/>
  <c r="AR20" i="2"/>
  <c r="AS20" i="2"/>
  <c r="AT20" i="2"/>
  <c r="AM21" i="2"/>
  <c r="AN21" i="2"/>
  <c r="AO21" i="2"/>
  <c r="AP21" i="2"/>
  <c r="AQ21" i="2"/>
  <c r="AR21" i="2"/>
  <c r="AS21" i="2"/>
  <c r="AT21" i="2"/>
  <c r="AM22" i="2"/>
  <c r="AN22" i="2"/>
  <c r="AO22" i="2"/>
  <c r="AP22" i="2"/>
  <c r="AQ22" i="2"/>
  <c r="AR22" i="2"/>
  <c r="AS22" i="2"/>
  <c r="AT22" i="2"/>
  <c r="AM23" i="2"/>
  <c r="AN23" i="2"/>
  <c r="AO23" i="2"/>
  <c r="AP23" i="2"/>
  <c r="AQ23" i="2"/>
  <c r="AR23" i="2"/>
  <c r="AS23" i="2"/>
  <c r="AT23" i="2"/>
  <c r="AM24" i="2"/>
  <c r="AN24" i="2"/>
  <c r="AO24" i="2"/>
  <c r="AP24" i="2"/>
  <c r="AQ24" i="2"/>
  <c r="AR24" i="2"/>
  <c r="AS24" i="2"/>
  <c r="AT24" i="2"/>
  <c r="AM25" i="2"/>
  <c r="AN25" i="2"/>
  <c r="AO25" i="2"/>
  <c r="AP25" i="2"/>
  <c r="AQ25" i="2"/>
  <c r="AR25" i="2"/>
  <c r="AS25" i="2"/>
  <c r="AT25" i="2"/>
  <c r="AM26" i="2"/>
  <c r="AN26" i="2"/>
  <c r="AO26" i="2"/>
  <c r="AP26" i="2"/>
  <c r="AQ26" i="2"/>
  <c r="AR26" i="2"/>
  <c r="AS26" i="2"/>
  <c r="AT26" i="2"/>
  <c r="AM27" i="2"/>
  <c r="AN27" i="2"/>
  <c r="AO27" i="2"/>
  <c r="AP27" i="2"/>
  <c r="AQ27" i="2"/>
  <c r="AR27" i="2"/>
  <c r="AS27" i="2"/>
  <c r="AT27" i="2"/>
  <c r="AM28" i="2"/>
  <c r="AN28" i="2"/>
  <c r="AO28" i="2"/>
  <c r="AP28" i="2"/>
  <c r="AQ28" i="2"/>
  <c r="AR28" i="2"/>
  <c r="AS28" i="2"/>
  <c r="AT28" i="2"/>
  <c r="AM29" i="2"/>
  <c r="AN29" i="2"/>
  <c r="AO29" i="2"/>
  <c r="AP29" i="2"/>
  <c r="AQ29" i="2"/>
  <c r="AR29" i="2"/>
  <c r="AS29" i="2"/>
  <c r="AT29" i="2"/>
  <c r="AM30" i="2"/>
  <c r="AN30" i="2"/>
  <c r="AO30" i="2"/>
  <c r="AP30" i="2"/>
  <c r="AQ30" i="2"/>
  <c r="AR30" i="2"/>
  <c r="AS30" i="2"/>
  <c r="AT30" i="2"/>
  <c r="AM31" i="2"/>
  <c r="AN31" i="2"/>
  <c r="AO31" i="2"/>
  <c r="AP31" i="2"/>
  <c r="AQ31" i="2"/>
  <c r="AR31" i="2"/>
  <c r="AS31" i="2"/>
  <c r="AT31" i="2"/>
  <c r="AM32" i="2"/>
  <c r="AN32" i="2"/>
  <c r="AO32" i="2"/>
  <c r="AP32" i="2"/>
  <c r="AQ32" i="2"/>
  <c r="AR32" i="2"/>
  <c r="AS32" i="2"/>
  <c r="AT32" i="2"/>
  <c r="AM33" i="2"/>
  <c r="AN33" i="2"/>
  <c r="AO33" i="2"/>
  <c r="AP33" i="2"/>
  <c r="AQ33" i="2"/>
  <c r="AR33" i="2"/>
  <c r="AS33" i="2"/>
  <c r="AT33" i="2"/>
  <c r="AM34" i="2"/>
  <c r="AN34" i="2"/>
  <c r="AO34" i="2"/>
  <c r="AP34" i="2"/>
  <c r="AQ34" i="2"/>
  <c r="AR34" i="2"/>
  <c r="AS34" i="2"/>
  <c r="AT34" i="2"/>
  <c r="AM35" i="2"/>
  <c r="AN35" i="2"/>
  <c r="AO35" i="2"/>
  <c r="AP35" i="2"/>
  <c r="AQ35" i="2"/>
  <c r="AR35" i="2"/>
  <c r="AS35" i="2"/>
  <c r="AT35" i="2"/>
  <c r="AM36" i="2"/>
  <c r="AN36" i="2"/>
  <c r="AO36" i="2"/>
  <c r="AP36" i="2"/>
  <c r="AQ36" i="2"/>
  <c r="AR36" i="2"/>
  <c r="AS36" i="2"/>
  <c r="AT36" i="2"/>
  <c r="AM37" i="2"/>
  <c r="AN37" i="2"/>
  <c r="AO37" i="2"/>
  <c r="AP37" i="2"/>
  <c r="AQ37" i="2"/>
  <c r="AR37" i="2"/>
  <c r="AS37" i="2"/>
  <c r="AT37" i="2"/>
  <c r="AM38" i="2"/>
  <c r="AN38" i="2"/>
  <c r="AO38" i="2"/>
  <c r="AP38" i="2"/>
  <c r="AQ38" i="2"/>
  <c r="AR38" i="2"/>
  <c r="AS38" i="2"/>
  <c r="AT38" i="2"/>
  <c r="AM39" i="2"/>
  <c r="AN39" i="2"/>
  <c r="AO39" i="2"/>
  <c r="AP39" i="2"/>
  <c r="AQ39" i="2"/>
  <c r="AR39" i="2"/>
  <c r="AS39" i="2"/>
  <c r="AT39" i="2"/>
  <c r="AM40" i="2"/>
  <c r="AN40" i="2"/>
  <c r="AO40" i="2"/>
  <c r="AP40" i="2"/>
  <c r="AQ40" i="2"/>
  <c r="AR40" i="2"/>
  <c r="AS40" i="2"/>
  <c r="AT40" i="2"/>
  <c r="AM41" i="2"/>
  <c r="AN41" i="2"/>
  <c r="AO41" i="2"/>
  <c r="AP41" i="2"/>
  <c r="AQ41" i="2"/>
  <c r="AR41" i="2"/>
  <c r="AS41" i="2"/>
  <c r="AT41" i="2"/>
  <c r="AM42" i="2"/>
  <c r="AN42" i="2"/>
  <c r="AO42" i="2"/>
  <c r="AP42" i="2"/>
  <c r="AQ42" i="2"/>
  <c r="AR42" i="2"/>
  <c r="AS42" i="2"/>
  <c r="AT42" i="2"/>
  <c r="AM43" i="2"/>
  <c r="AN43" i="2"/>
  <c r="AO43" i="2"/>
  <c r="AP43" i="2"/>
  <c r="AQ43" i="2"/>
  <c r="AR43" i="2"/>
  <c r="AS43" i="2"/>
  <c r="AT43" i="2"/>
  <c r="AM44" i="2"/>
  <c r="AN44" i="2"/>
  <c r="AO44" i="2"/>
  <c r="AP44" i="2"/>
  <c r="AQ44" i="2"/>
  <c r="AR44" i="2"/>
  <c r="AS44" i="2"/>
  <c r="AT44" i="2"/>
  <c r="AM45" i="2"/>
  <c r="AN45" i="2"/>
  <c r="AO45" i="2"/>
  <c r="AP45" i="2"/>
  <c r="AQ45" i="2"/>
  <c r="AR45" i="2"/>
  <c r="AS45" i="2"/>
  <c r="AT45" i="2"/>
  <c r="AM46" i="2"/>
  <c r="AN46" i="2"/>
  <c r="AO46" i="2"/>
  <c r="AP46" i="2"/>
  <c r="AQ46" i="2"/>
  <c r="AR46" i="2"/>
  <c r="AS46" i="2"/>
  <c r="AT46" i="2"/>
  <c r="AM47" i="2"/>
  <c r="AN47" i="2"/>
  <c r="AO47" i="2"/>
  <c r="AP47" i="2"/>
  <c r="AQ47" i="2"/>
  <c r="AR47" i="2"/>
  <c r="AS47" i="2"/>
  <c r="AT47" i="2"/>
  <c r="AM48" i="2"/>
  <c r="AN48" i="2"/>
  <c r="AO48" i="2"/>
  <c r="AP48" i="2"/>
  <c r="AQ48" i="2"/>
  <c r="AR48" i="2"/>
  <c r="AS48" i="2"/>
  <c r="AT48" i="2"/>
  <c r="AM49" i="2"/>
  <c r="AN49" i="2"/>
  <c r="AO49" i="2"/>
  <c r="AP49" i="2"/>
  <c r="AQ49" i="2"/>
  <c r="AR49" i="2"/>
  <c r="AS49" i="2"/>
  <c r="AT49" i="2"/>
  <c r="AM50" i="2"/>
  <c r="AN50" i="2"/>
  <c r="AO50" i="2"/>
  <c r="AP50" i="2"/>
  <c r="AQ50" i="2"/>
  <c r="AR50" i="2"/>
  <c r="AS50" i="2"/>
  <c r="AT50" i="2"/>
  <c r="AM51" i="2"/>
  <c r="AN51" i="2"/>
  <c r="AO51" i="2"/>
  <c r="AP51" i="2"/>
  <c r="AQ51" i="2"/>
  <c r="AR51" i="2"/>
  <c r="AS51" i="2"/>
  <c r="AT51" i="2"/>
  <c r="AM52" i="2"/>
  <c r="AN52" i="2"/>
  <c r="AO52" i="2"/>
  <c r="AP52" i="2"/>
  <c r="AQ52" i="2"/>
  <c r="AR52" i="2"/>
  <c r="AS52" i="2"/>
  <c r="AT52" i="2"/>
  <c r="AM53" i="2"/>
  <c r="AN53" i="2"/>
  <c r="AO53" i="2"/>
  <c r="AP53" i="2"/>
  <c r="AQ53" i="2"/>
  <c r="AR53" i="2"/>
  <c r="AS53" i="2"/>
  <c r="AT53" i="2"/>
  <c r="AM54" i="2"/>
  <c r="AN54" i="2"/>
  <c r="AO54" i="2"/>
  <c r="AP54" i="2"/>
  <c r="AQ54" i="2"/>
  <c r="AR54" i="2"/>
  <c r="AS54" i="2"/>
  <c r="AT54" i="2"/>
  <c r="AM55" i="2"/>
  <c r="AN55" i="2"/>
  <c r="AO55" i="2"/>
  <c r="AP55" i="2"/>
  <c r="AQ55" i="2"/>
  <c r="AR55" i="2"/>
  <c r="AS55" i="2"/>
  <c r="AT55" i="2"/>
  <c r="AM56" i="2"/>
  <c r="AN56" i="2"/>
  <c r="AO56" i="2"/>
  <c r="AP56" i="2"/>
  <c r="AQ56" i="2"/>
  <c r="AR56" i="2"/>
  <c r="AS56" i="2"/>
  <c r="AT56" i="2"/>
  <c r="AM57" i="2"/>
  <c r="AN57" i="2"/>
  <c r="AO57" i="2"/>
  <c r="AP57" i="2"/>
  <c r="AQ57" i="2"/>
  <c r="AR57" i="2"/>
  <c r="AS57" i="2"/>
  <c r="AT57" i="2"/>
  <c r="AM58" i="2"/>
  <c r="AN58" i="2"/>
  <c r="AO58" i="2"/>
  <c r="AP58" i="2"/>
  <c r="AQ58" i="2"/>
  <c r="AR58" i="2"/>
  <c r="AS58" i="2"/>
  <c r="AT58" i="2"/>
  <c r="AM59" i="2"/>
  <c r="AN59" i="2"/>
  <c r="AO59" i="2"/>
  <c r="AP59" i="2"/>
  <c r="AQ59" i="2"/>
  <c r="AR59" i="2"/>
  <c r="AS59" i="2"/>
  <c r="AT59" i="2"/>
  <c r="AM60" i="2"/>
  <c r="AN60" i="2"/>
  <c r="AO60" i="2"/>
  <c r="AP60" i="2"/>
  <c r="AQ60" i="2"/>
  <c r="AR60" i="2"/>
  <c r="AS60" i="2"/>
  <c r="AT60" i="2"/>
  <c r="AM61" i="2"/>
  <c r="AN61" i="2"/>
  <c r="AO61" i="2"/>
  <c r="AP61" i="2"/>
  <c r="AQ61" i="2"/>
  <c r="AR61" i="2"/>
  <c r="AS61" i="2"/>
  <c r="AT61" i="2"/>
  <c r="AM62" i="2"/>
  <c r="AN62" i="2"/>
  <c r="AO62" i="2"/>
  <c r="AP62" i="2"/>
  <c r="AQ62" i="2"/>
  <c r="AR62" i="2"/>
  <c r="AS62" i="2"/>
  <c r="AT62" i="2"/>
  <c r="AM63" i="2"/>
  <c r="AN63" i="2"/>
  <c r="AO63" i="2"/>
  <c r="AP63" i="2"/>
  <c r="AQ63" i="2"/>
  <c r="AR63" i="2"/>
  <c r="AS63" i="2"/>
  <c r="AT63" i="2"/>
  <c r="AM64" i="2"/>
  <c r="AN64" i="2"/>
  <c r="AO64" i="2"/>
  <c r="AP64" i="2"/>
  <c r="AQ64" i="2"/>
  <c r="AR64" i="2"/>
  <c r="AS64" i="2"/>
  <c r="AT64" i="2"/>
  <c r="AM65" i="2"/>
  <c r="AN65" i="2"/>
  <c r="AO65" i="2"/>
  <c r="AP65" i="2"/>
  <c r="AQ65" i="2"/>
  <c r="AR65" i="2"/>
  <c r="AS65" i="2"/>
  <c r="AT65" i="2"/>
  <c r="AM66" i="2"/>
  <c r="AN66" i="2"/>
  <c r="AO66" i="2"/>
  <c r="AP66" i="2"/>
  <c r="AQ66" i="2"/>
  <c r="AR66" i="2"/>
  <c r="AS66" i="2"/>
  <c r="AT66" i="2"/>
  <c r="AM67" i="2"/>
  <c r="AN67" i="2"/>
  <c r="AO67" i="2"/>
  <c r="AP67" i="2"/>
  <c r="AQ67" i="2"/>
  <c r="AR67" i="2"/>
  <c r="AS67" i="2"/>
  <c r="AT67" i="2"/>
  <c r="AM68" i="2"/>
  <c r="AN68" i="2"/>
  <c r="AO68" i="2"/>
  <c r="AP68" i="2"/>
  <c r="AQ68" i="2"/>
  <c r="AR68" i="2"/>
  <c r="AS68" i="2"/>
  <c r="AT68" i="2"/>
  <c r="AM69" i="2"/>
  <c r="AN69" i="2"/>
  <c r="AO69" i="2"/>
  <c r="AP69" i="2"/>
  <c r="AQ69" i="2"/>
  <c r="AR69" i="2"/>
  <c r="AS69" i="2"/>
  <c r="AT69" i="2"/>
  <c r="AM70" i="2"/>
  <c r="AN70" i="2"/>
  <c r="AO70" i="2"/>
  <c r="AP70" i="2"/>
  <c r="AQ70" i="2"/>
  <c r="AR70" i="2"/>
  <c r="AS70" i="2"/>
  <c r="AT70" i="2"/>
  <c r="AM71" i="2"/>
  <c r="AN71" i="2"/>
  <c r="AO71" i="2"/>
  <c r="AP71" i="2"/>
  <c r="AQ71" i="2"/>
  <c r="AR71" i="2"/>
  <c r="AS71" i="2"/>
  <c r="AT71" i="2"/>
  <c r="AM72" i="2"/>
  <c r="AN72" i="2"/>
  <c r="AO72" i="2"/>
  <c r="AP72" i="2"/>
  <c r="AQ72" i="2"/>
  <c r="AR72" i="2"/>
  <c r="AS72" i="2"/>
  <c r="AT72" i="2"/>
  <c r="AM73" i="2"/>
  <c r="AN73" i="2"/>
  <c r="AO73" i="2"/>
  <c r="AP73" i="2"/>
  <c r="AQ73" i="2"/>
  <c r="AR73" i="2"/>
  <c r="AS73" i="2"/>
  <c r="AT73" i="2"/>
  <c r="AM74" i="2"/>
  <c r="AN74" i="2"/>
  <c r="AO74" i="2"/>
  <c r="AP74" i="2"/>
  <c r="AQ74" i="2"/>
  <c r="AR74" i="2"/>
  <c r="AS74" i="2"/>
  <c r="AT74" i="2"/>
  <c r="AM75" i="2"/>
  <c r="AN75" i="2"/>
  <c r="AO75" i="2"/>
  <c r="AP75" i="2"/>
  <c r="AQ75" i="2"/>
  <c r="AR75" i="2"/>
  <c r="AS75" i="2"/>
  <c r="AT75" i="2"/>
  <c r="AM76" i="2"/>
  <c r="AN76" i="2"/>
  <c r="AO76" i="2"/>
  <c r="AP76" i="2"/>
  <c r="AQ76" i="2"/>
  <c r="AR76" i="2"/>
  <c r="AS76" i="2"/>
  <c r="AT76" i="2"/>
  <c r="AM77" i="2"/>
  <c r="AN77" i="2"/>
  <c r="AO77" i="2"/>
  <c r="AP77" i="2"/>
  <c r="AQ77" i="2"/>
  <c r="AR77" i="2"/>
  <c r="AS77" i="2"/>
  <c r="AT77" i="2"/>
  <c r="AM78" i="2"/>
  <c r="AN78" i="2"/>
  <c r="AO78" i="2"/>
  <c r="AP78" i="2"/>
  <c r="AQ78" i="2"/>
  <c r="AR78" i="2"/>
  <c r="AS78" i="2"/>
  <c r="AT78" i="2"/>
  <c r="AM79" i="2"/>
  <c r="AN79" i="2"/>
  <c r="AO79" i="2"/>
  <c r="AP79" i="2"/>
  <c r="AQ79" i="2"/>
  <c r="AR79" i="2"/>
  <c r="AS79" i="2"/>
  <c r="AT79" i="2"/>
  <c r="AM80" i="2"/>
  <c r="AN80" i="2"/>
  <c r="AO80" i="2"/>
  <c r="AP80" i="2"/>
  <c r="AQ80" i="2"/>
  <c r="AR80" i="2"/>
  <c r="AS80" i="2"/>
  <c r="AT80" i="2"/>
  <c r="AM81" i="2"/>
  <c r="AN81" i="2"/>
  <c r="AO81" i="2"/>
  <c r="AP81" i="2"/>
  <c r="AQ81" i="2"/>
  <c r="AR81" i="2"/>
  <c r="AS81" i="2"/>
  <c r="AT81" i="2"/>
  <c r="AM82" i="2"/>
  <c r="AN82" i="2"/>
  <c r="AO82" i="2"/>
  <c r="AP82" i="2"/>
  <c r="AQ82" i="2"/>
  <c r="AR82" i="2"/>
  <c r="AS82" i="2"/>
  <c r="AT82" i="2"/>
  <c r="AM83" i="2"/>
  <c r="AN83" i="2"/>
  <c r="AO83" i="2"/>
  <c r="AP83" i="2"/>
  <c r="AQ83" i="2"/>
  <c r="AR83" i="2"/>
  <c r="AS83" i="2"/>
  <c r="AT83" i="2"/>
  <c r="AM84" i="2"/>
  <c r="AN84" i="2"/>
  <c r="AO84" i="2"/>
  <c r="AP84" i="2"/>
  <c r="AQ84" i="2"/>
  <c r="AR84" i="2"/>
  <c r="AS84" i="2"/>
  <c r="AT84" i="2"/>
  <c r="AM85" i="2"/>
  <c r="AN85" i="2"/>
  <c r="AO85" i="2"/>
  <c r="AP85" i="2"/>
  <c r="AQ85" i="2"/>
  <c r="AR85" i="2"/>
  <c r="AS85" i="2"/>
  <c r="AT85" i="2"/>
  <c r="AM86" i="2"/>
  <c r="AN86" i="2"/>
  <c r="AO86" i="2"/>
  <c r="AP86" i="2"/>
  <c r="AQ86" i="2"/>
  <c r="AR86" i="2"/>
  <c r="AS86" i="2"/>
  <c r="AT86" i="2"/>
  <c r="AM87" i="2"/>
  <c r="AN87" i="2"/>
  <c r="AO87" i="2"/>
  <c r="AP87" i="2"/>
  <c r="AQ87" i="2"/>
  <c r="AR87" i="2"/>
  <c r="AS87" i="2"/>
  <c r="AT87" i="2"/>
  <c r="AM88" i="2"/>
  <c r="AN88" i="2"/>
  <c r="AO88" i="2"/>
  <c r="AP88" i="2"/>
  <c r="AQ88" i="2"/>
  <c r="AR88" i="2"/>
  <c r="AS88" i="2"/>
  <c r="AT88" i="2"/>
  <c r="AM89" i="2"/>
  <c r="AN89" i="2"/>
  <c r="AO89" i="2"/>
  <c r="AP89" i="2"/>
  <c r="AQ89" i="2"/>
  <c r="AR89" i="2"/>
  <c r="AS89" i="2"/>
  <c r="AT89" i="2"/>
  <c r="AM90" i="2"/>
  <c r="AN90" i="2"/>
  <c r="AO90" i="2"/>
  <c r="AP90" i="2"/>
  <c r="AQ90" i="2"/>
  <c r="AR90" i="2"/>
  <c r="AS90" i="2"/>
  <c r="AT90" i="2"/>
  <c r="AM91" i="2"/>
  <c r="AN91" i="2"/>
  <c r="AO91" i="2"/>
  <c r="AP91" i="2"/>
  <c r="AQ91" i="2"/>
  <c r="AR91" i="2"/>
  <c r="AS91" i="2"/>
  <c r="AT91" i="2"/>
  <c r="AM92" i="2"/>
  <c r="AN92" i="2"/>
  <c r="AO92" i="2"/>
  <c r="AP92" i="2"/>
  <c r="AQ92" i="2"/>
  <c r="AR92" i="2"/>
  <c r="AS92" i="2"/>
  <c r="AT92" i="2"/>
  <c r="AM93" i="2"/>
  <c r="AN93" i="2"/>
  <c r="AO93" i="2"/>
  <c r="AP93" i="2"/>
  <c r="AQ93" i="2"/>
  <c r="AR93" i="2"/>
  <c r="AS93" i="2"/>
  <c r="AT93" i="2"/>
  <c r="AM94" i="2"/>
  <c r="AN94" i="2"/>
  <c r="AO94" i="2"/>
  <c r="AP94" i="2"/>
  <c r="AQ94" i="2"/>
  <c r="AR94" i="2"/>
  <c r="AS94" i="2"/>
  <c r="AT94" i="2"/>
  <c r="AM95" i="2"/>
  <c r="AN95" i="2"/>
  <c r="AO95" i="2"/>
  <c r="AP95" i="2"/>
  <c r="AQ95" i="2"/>
  <c r="AR95" i="2"/>
  <c r="AS95" i="2"/>
  <c r="AT95" i="2"/>
  <c r="AM96" i="2"/>
  <c r="AN96" i="2"/>
  <c r="AO96" i="2"/>
  <c r="AP96" i="2"/>
  <c r="AQ96" i="2"/>
  <c r="AR96" i="2"/>
  <c r="AS96" i="2"/>
  <c r="AT96" i="2"/>
  <c r="AM97" i="2"/>
  <c r="AN97" i="2"/>
  <c r="AO97" i="2"/>
  <c r="AP97" i="2"/>
  <c r="AQ97" i="2"/>
  <c r="AR97" i="2"/>
  <c r="AS97" i="2"/>
  <c r="AT97" i="2"/>
  <c r="AM98" i="2"/>
  <c r="AN98" i="2"/>
  <c r="AO98" i="2"/>
  <c r="AP98" i="2"/>
  <c r="AQ98" i="2"/>
  <c r="AR98" i="2"/>
  <c r="AS98" i="2"/>
  <c r="AT98" i="2"/>
  <c r="AM99" i="2"/>
  <c r="AN99" i="2"/>
  <c r="AO99" i="2"/>
  <c r="AP99" i="2"/>
  <c r="AQ99" i="2"/>
  <c r="AR99" i="2"/>
  <c r="AS99" i="2"/>
  <c r="AT99" i="2"/>
  <c r="AM100" i="2"/>
  <c r="AN100" i="2"/>
  <c r="AO100" i="2"/>
  <c r="AP100" i="2"/>
  <c r="AQ100" i="2"/>
  <c r="AR100" i="2"/>
  <c r="AS100" i="2"/>
  <c r="AT100" i="2"/>
  <c r="AM101" i="2"/>
  <c r="AN101" i="2"/>
  <c r="AO101" i="2"/>
  <c r="AP101" i="2"/>
  <c r="AQ101" i="2"/>
  <c r="AR101" i="2"/>
  <c r="AS101" i="2"/>
  <c r="AT101" i="2"/>
  <c r="AM102" i="2"/>
  <c r="AN102" i="2"/>
  <c r="AO102" i="2"/>
  <c r="AP102" i="2"/>
  <c r="AQ102" i="2"/>
  <c r="AR102" i="2"/>
  <c r="AS102" i="2"/>
  <c r="AT102" i="2"/>
  <c r="AM103" i="2"/>
  <c r="AN103" i="2"/>
  <c r="AO103" i="2"/>
  <c r="AP103" i="2"/>
  <c r="AQ103" i="2"/>
  <c r="AR103" i="2"/>
  <c r="AS103" i="2"/>
  <c r="AT103" i="2"/>
  <c r="AM104" i="2"/>
  <c r="AN104" i="2"/>
  <c r="AO104" i="2"/>
  <c r="AP104" i="2"/>
  <c r="AQ104" i="2"/>
  <c r="AR104" i="2"/>
  <c r="AS104" i="2"/>
  <c r="AT104" i="2"/>
  <c r="AM105" i="2"/>
  <c r="AN105" i="2"/>
  <c r="AO105" i="2"/>
  <c r="AP105" i="2"/>
  <c r="AQ105" i="2"/>
  <c r="AR105" i="2"/>
  <c r="AS105" i="2"/>
  <c r="AT105" i="2"/>
  <c r="AM106" i="2"/>
  <c r="AN106" i="2"/>
  <c r="AO106" i="2"/>
  <c r="AP106" i="2"/>
  <c r="AQ106" i="2"/>
  <c r="AR106" i="2"/>
  <c r="AS106" i="2"/>
  <c r="AT106" i="2"/>
  <c r="AM107" i="2"/>
  <c r="AN107" i="2"/>
  <c r="AO107" i="2"/>
  <c r="AP107" i="2"/>
  <c r="AQ107" i="2"/>
  <c r="AR107" i="2"/>
  <c r="AS107" i="2"/>
  <c r="AT107" i="2"/>
  <c r="AM108" i="2"/>
  <c r="AN108" i="2"/>
  <c r="AO108" i="2"/>
  <c r="AP108" i="2"/>
  <c r="AQ108" i="2"/>
  <c r="AR108" i="2"/>
  <c r="AS108" i="2"/>
  <c r="AT108" i="2"/>
  <c r="AM109" i="2"/>
  <c r="AN109" i="2"/>
  <c r="AO109" i="2"/>
  <c r="AP109" i="2"/>
  <c r="AQ109" i="2"/>
  <c r="AR109" i="2"/>
  <c r="AS109" i="2"/>
  <c r="AT109" i="2"/>
  <c r="AM110" i="2"/>
  <c r="AN110" i="2"/>
  <c r="AO110" i="2"/>
  <c r="AP110" i="2"/>
  <c r="AQ110" i="2"/>
  <c r="AR110" i="2"/>
  <c r="AS110" i="2"/>
  <c r="AT110" i="2"/>
  <c r="AM111" i="2"/>
  <c r="AN111" i="2"/>
  <c r="AO111" i="2"/>
  <c r="AP111" i="2"/>
  <c r="AQ111" i="2"/>
  <c r="AR111" i="2"/>
  <c r="AS111" i="2"/>
  <c r="AT111" i="2"/>
  <c r="AM112" i="2"/>
  <c r="AN112" i="2"/>
  <c r="AO112" i="2"/>
  <c r="AP112" i="2"/>
  <c r="AQ112" i="2"/>
  <c r="AR112" i="2"/>
  <c r="AS112" i="2"/>
  <c r="AT112" i="2"/>
  <c r="AM113" i="2"/>
  <c r="AN113" i="2"/>
  <c r="AO113" i="2"/>
  <c r="AP113" i="2"/>
  <c r="AQ113" i="2"/>
  <c r="AR113" i="2"/>
  <c r="AS113" i="2"/>
  <c r="AT113" i="2"/>
  <c r="AM114" i="2"/>
  <c r="AN114" i="2"/>
  <c r="AO114" i="2"/>
  <c r="AP114" i="2"/>
  <c r="AQ114" i="2"/>
  <c r="AR114" i="2"/>
  <c r="AS114" i="2"/>
  <c r="AT114" i="2"/>
  <c r="AM115" i="2"/>
  <c r="AN115" i="2"/>
  <c r="AO115" i="2"/>
  <c r="AP115" i="2"/>
  <c r="AQ115" i="2"/>
  <c r="AR115" i="2"/>
  <c r="AS115" i="2"/>
  <c r="AT115" i="2"/>
  <c r="AM116" i="2"/>
  <c r="AN116" i="2"/>
  <c r="AO116" i="2"/>
  <c r="AP116" i="2"/>
  <c r="AQ116" i="2"/>
  <c r="AR116" i="2"/>
  <c r="AS116" i="2"/>
  <c r="AT116" i="2"/>
  <c r="AM117" i="2"/>
  <c r="AN117" i="2"/>
  <c r="AO117" i="2"/>
  <c r="AP117" i="2"/>
  <c r="AQ117" i="2"/>
  <c r="AR117" i="2"/>
  <c r="AS117" i="2"/>
  <c r="AT117" i="2"/>
  <c r="AM118" i="2"/>
  <c r="AN118" i="2"/>
  <c r="AO118" i="2"/>
  <c r="AP118" i="2"/>
  <c r="AQ118" i="2"/>
  <c r="AR118" i="2"/>
  <c r="AS118" i="2"/>
  <c r="AT118" i="2"/>
  <c r="AM119" i="2"/>
  <c r="AN119" i="2"/>
  <c r="AO119" i="2"/>
  <c r="AP119" i="2"/>
  <c r="AQ119" i="2"/>
  <c r="AR119" i="2"/>
  <c r="AS119" i="2"/>
  <c r="AT119" i="2"/>
  <c r="AM120" i="2"/>
  <c r="AN120" i="2"/>
  <c r="AO120" i="2"/>
  <c r="AP120" i="2"/>
  <c r="AQ120" i="2"/>
  <c r="AR120" i="2"/>
  <c r="AS120" i="2"/>
  <c r="AT120" i="2"/>
  <c r="AM121" i="2"/>
  <c r="AN121" i="2"/>
  <c r="AO121" i="2"/>
  <c r="AP121" i="2"/>
  <c r="AQ121" i="2"/>
  <c r="AR121" i="2"/>
  <c r="AS121" i="2"/>
  <c r="AT121" i="2"/>
  <c r="AM122" i="2"/>
  <c r="AN122" i="2"/>
  <c r="AO122" i="2"/>
  <c r="AP122" i="2"/>
  <c r="AQ122" i="2"/>
  <c r="AR122" i="2"/>
  <c r="AS122" i="2"/>
  <c r="AT122" i="2"/>
  <c r="AM123" i="2"/>
  <c r="AN123" i="2"/>
  <c r="AO123" i="2"/>
  <c r="AP123" i="2"/>
  <c r="AQ123" i="2"/>
  <c r="AR123" i="2"/>
  <c r="AS123" i="2"/>
  <c r="AT123" i="2"/>
  <c r="AM124" i="2"/>
  <c r="AN124" i="2"/>
  <c r="AO124" i="2"/>
  <c r="AP124" i="2"/>
  <c r="AQ124" i="2"/>
  <c r="AR124" i="2"/>
  <c r="AS124" i="2"/>
  <c r="AT124" i="2"/>
  <c r="AM125" i="2"/>
  <c r="AN125" i="2"/>
  <c r="AO125" i="2"/>
  <c r="AP125" i="2"/>
  <c r="AQ125" i="2"/>
  <c r="AR125" i="2"/>
  <c r="AS125" i="2"/>
  <c r="AT125" i="2"/>
  <c r="AM126" i="2"/>
  <c r="AN126" i="2"/>
  <c r="AO126" i="2"/>
  <c r="AP126" i="2"/>
  <c r="AQ126" i="2"/>
  <c r="AR126" i="2"/>
  <c r="AS126" i="2"/>
  <c r="AT126" i="2"/>
  <c r="AM127" i="2"/>
  <c r="AN127" i="2"/>
  <c r="AO127" i="2"/>
  <c r="AP127" i="2"/>
  <c r="AQ127" i="2"/>
  <c r="AR127" i="2"/>
  <c r="AS127" i="2"/>
  <c r="AT127" i="2"/>
  <c r="AM128" i="2"/>
  <c r="AN128" i="2"/>
  <c r="AO128" i="2"/>
  <c r="AP128" i="2"/>
  <c r="AQ128" i="2"/>
  <c r="AR128" i="2"/>
  <c r="AS128" i="2"/>
  <c r="AT128" i="2"/>
  <c r="AM129" i="2"/>
  <c r="AN129" i="2"/>
  <c r="AO129" i="2"/>
  <c r="AP129" i="2"/>
  <c r="AQ129" i="2"/>
  <c r="AR129" i="2"/>
  <c r="AS129" i="2"/>
  <c r="AT129" i="2"/>
  <c r="AM130" i="2"/>
  <c r="AN130" i="2"/>
  <c r="AO130" i="2"/>
  <c r="AP130" i="2"/>
  <c r="AQ130" i="2"/>
  <c r="AR130" i="2"/>
  <c r="AS130" i="2"/>
  <c r="AT130" i="2"/>
  <c r="AM131" i="2"/>
  <c r="AN131" i="2"/>
  <c r="AO131" i="2"/>
  <c r="AP131" i="2"/>
  <c r="AQ131" i="2"/>
  <c r="AR131" i="2"/>
  <c r="AS131" i="2"/>
  <c r="AT131" i="2"/>
  <c r="AM132" i="2"/>
  <c r="AN132" i="2"/>
  <c r="AO132" i="2"/>
  <c r="AP132" i="2"/>
  <c r="AQ132" i="2"/>
  <c r="AR132" i="2"/>
  <c r="AS132" i="2"/>
  <c r="AT132" i="2"/>
  <c r="AM133" i="2"/>
  <c r="AN133" i="2"/>
  <c r="AO133" i="2"/>
  <c r="AP133" i="2"/>
  <c r="AQ133" i="2"/>
  <c r="AR133" i="2"/>
  <c r="AS133" i="2"/>
  <c r="AT133" i="2"/>
  <c r="AM134" i="2"/>
  <c r="AN134" i="2"/>
  <c r="AO134" i="2"/>
  <c r="AP134" i="2"/>
  <c r="AQ134" i="2"/>
  <c r="AR134" i="2"/>
  <c r="AS134" i="2"/>
  <c r="AT134" i="2"/>
  <c r="AM135" i="2"/>
  <c r="AN135" i="2"/>
  <c r="AO135" i="2"/>
  <c r="AP135" i="2"/>
  <c r="AQ135" i="2"/>
  <c r="AR135" i="2"/>
  <c r="AS135" i="2"/>
  <c r="AT135" i="2"/>
  <c r="AM136" i="2"/>
  <c r="AN136" i="2"/>
  <c r="AO136" i="2"/>
  <c r="AP136" i="2"/>
  <c r="AQ136" i="2"/>
  <c r="AR136" i="2"/>
  <c r="AS136" i="2"/>
  <c r="AT136" i="2"/>
  <c r="AM137" i="2"/>
  <c r="AN137" i="2"/>
  <c r="AO137" i="2"/>
  <c r="AP137" i="2"/>
  <c r="AQ137" i="2"/>
  <c r="AR137" i="2"/>
  <c r="AS137" i="2"/>
  <c r="AT137" i="2"/>
  <c r="AM138" i="2"/>
  <c r="AN138" i="2"/>
  <c r="AO138" i="2"/>
  <c r="AP138" i="2"/>
  <c r="AQ138" i="2"/>
  <c r="AR138" i="2"/>
  <c r="AS138" i="2"/>
  <c r="AT138" i="2"/>
  <c r="AM139" i="2"/>
  <c r="AN139" i="2"/>
  <c r="AO139" i="2"/>
  <c r="AP139" i="2"/>
  <c r="AQ139" i="2"/>
  <c r="AR139" i="2"/>
  <c r="AS139" i="2"/>
  <c r="AT139" i="2"/>
  <c r="AM140" i="2"/>
  <c r="AN140" i="2"/>
  <c r="AO140" i="2"/>
  <c r="AP140" i="2"/>
  <c r="AQ140" i="2"/>
  <c r="AR140" i="2"/>
  <c r="AS140" i="2"/>
  <c r="AT140" i="2"/>
  <c r="AM141" i="2"/>
  <c r="AN141" i="2"/>
  <c r="AO141" i="2"/>
  <c r="AP141" i="2"/>
  <c r="AQ141" i="2"/>
  <c r="AR141" i="2"/>
  <c r="AS141" i="2"/>
  <c r="AT141" i="2"/>
  <c r="AM142" i="2"/>
  <c r="AN142" i="2"/>
  <c r="AO142" i="2"/>
  <c r="AP142" i="2"/>
  <c r="AQ142" i="2"/>
  <c r="AR142" i="2"/>
  <c r="AS142" i="2"/>
  <c r="AT142" i="2"/>
  <c r="AM143" i="2"/>
  <c r="AN143" i="2"/>
  <c r="AO143" i="2"/>
  <c r="AP143" i="2"/>
  <c r="AQ143" i="2"/>
  <c r="AR143" i="2"/>
  <c r="AS143" i="2"/>
  <c r="AT143" i="2"/>
  <c r="AM144" i="2"/>
  <c r="AN144" i="2"/>
  <c r="AO144" i="2"/>
  <c r="AP144" i="2"/>
  <c r="AQ144" i="2"/>
  <c r="AR144" i="2"/>
  <c r="AS144" i="2"/>
  <c r="AT144" i="2"/>
  <c r="AM145" i="2"/>
  <c r="AN145" i="2"/>
  <c r="AO145" i="2"/>
  <c r="AP145" i="2"/>
  <c r="AQ145" i="2"/>
  <c r="AR145" i="2"/>
  <c r="AS145" i="2"/>
  <c r="AT145" i="2"/>
  <c r="AM146" i="2"/>
  <c r="AN146" i="2"/>
  <c r="AO146" i="2"/>
  <c r="AP146" i="2"/>
  <c r="AQ146" i="2"/>
  <c r="AR146" i="2"/>
  <c r="AS146" i="2"/>
  <c r="AT146" i="2"/>
  <c r="AM147" i="2"/>
  <c r="AN147" i="2"/>
  <c r="AO147" i="2"/>
  <c r="AP147" i="2"/>
  <c r="AQ147" i="2"/>
  <c r="AR147" i="2"/>
  <c r="AS147" i="2"/>
  <c r="AT147" i="2"/>
  <c r="AM148" i="2"/>
  <c r="AN148" i="2"/>
  <c r="AO148" i="2"/>
  <c r="AP148" i="2"/>
  <c r="AQ148" i="2"/>
  <c r="AR148" i="2"/>
  <c r="AS148" i="2"/>
  <c r="AT148" i="2"/>
  <c r="AM149" i="2"/>
  <c r="AN149" i="2"/>
  <c r="AO149" i="2"/>
  <c r="AP149" i="2"/>
  <c r="AQ149" i="2"/>
  <c r="AR149" i="2"/>
  <c r="AS149" i="2"/>
  <c r="AT149" i="2"/>
  <c r="AM150" i="2"/>
  <c r="AN150" i="2"/>
  <c r="AO150" i="2"/>
  <c r="AP150" i="2"/>
  <c r="AQ150" i="2"/>
  <c r="AR150" i="2"/>
  <c r="AS150" i="2"/>
  <c r="AT150" i="2"/>
  <c r="AM151" i="2"/>
  <c r="AN151" i="2"/>
  <c r="AO151" i="2"/>
  <c r="AP151" i="2"/>
  <c r="AQ151" i="2"/>
  <c r="AR151" i="2"/>
  <c r="AS151" i="2"/>
  <c r="AT151" i="2"/>
  <c r="AM152" i="2"/>
  <c r="AN152" i="2"/>
  <c r="AO152" i="2"/>
  <c r="AP152" i="2"/>
  <c r="AQ152" i="2"/>
  <c r="AR152" i="2"/>
  <c r="AS152" i="2"/>
  <c r="AT152" i="2"/>
  <c r="AM153" i="2"/>
  <c r="AN153" i="2"/>
  <c r="AO153" i="2"/>
  <c r="AP153" i="2"/>
  <c r="AQ153" i="2"/>
  <c r="AR153" i="2"/>
  <c r="AS153" i="2"/>
  <c r="AT153" i="2"/>
  <c r="AM154" i="2"/>
  <c r="AN154" i="2"/>
  <c r="AO154" i="2"/>
  <c r="AP154" i="2"/>
  <c r="AQ154" i="2"/>
  <c r="AR154" i="2"/>
  <c r="AS154" i="2"/>
  <c r="AT154" i="2"/>
  <c r="AM155" i="2"/>
  <c r="AN155" i="2"/>
  <c r="AO155" i="2"/>
  <c r="AP155" i="2"/>
  <c r="AQ155" i="2"/>
  <c r="AR155" i="2"/>
  <c r="AS155" i="2"/>
  <c r="AT155" i="2"/>
  <c r="AM156" i="2"/>
  <c r="AN156" i="2"/>
  <c r="AO156" i="2"/>
  <c r="AP156" i="2"/>
  <c r="AQ156" i="2"/>
  <c r="AR156" i="2"/>
  <c r="AS156" i="2"/>
  <c r="AT156" i="2"/>
  <c r="AM157" i="2"/>
  <c r="AN157" i="2"/>
  <c r="AO157" i="2"/>
  <c r="AP157" i="2"/>
  <c r="AQ157" i="2"/>
  <c r="AR157" i="2"/>
  <c r="AS157" i="2"/>
  <c r="AT157" i="2"/>
  <c r="AM158" i="2"/>
  <c r="AN158" i="2"/>
  <c r="AO158" i="2"/>
  <c r="AP158" i="2"/>
  <c r="AQ158" i="2"/>
  <c r="AR158" i="2"/>
  <c r="AS158" i="2"/>
  <c r="AT158" i="2"/>
  <c r="AM159" i="2"/>
  <c r="AN159" i="2"/>
  <c r="AO159" i="2"/>
  <c r="AP159" i="2"/>
  <c r="AQ159" i="2"/>
  <c r="AR159" i="2"/>
  <c r="AS159" i="2"/>
  <c r="AT159" i="2"/>
  <c r="AM160" i="2"/>
  <c r="AN160" i="2"/>
  <c r="AO160" i="2"/>
  <c r="AP160" i="2"/>
  <c r="AQ160" i="2"/>
  <c r="AR160" i="2"/>
  <c r="AS160" i="2"/>
  <c r="AT160" i="2"/>
  <c r="AM161" i="2"/>
  <c r="AN161" i="2"/>
  <c r="AO161" i="2"/>
  <c r="AP161" i="2"/>
  <c r="AQ161" i="2"/>
  <c r="AR161" i="2"/>
  <c r="AS161" i="2"/>
  <c r="AT161" i="2"/>
  <c r="AM162" i="2"/>
  <c r="AN162" i="2"/>
  <c r="AO162" i="2"/>
  <c r="AP162" i="2"/>
  <c r="AQ162" i="2"/>
  <c r="AR162" i="2"/>
  <c r="AS162" i="2"/>
  <c r="AT162" i="2"/>
  <c r="AM163" i="2"/>
  <c r="AN163" i="2"/>
  <c r="AO163" i="2"/>
  <c r="AP163" i="2"/>
  <c r="AQ163" i="2"/>
  <c r="AR163" i="2"/>
  <c r="AS163" i="2"/>
  <c r="AT163" i="2"/>
  <c r="AM164" i="2"/>
  <c r="AN164" i="2"/>
  <c r="AO164" i="2"/>
  <c r="AP164" i="2"/>
  <c r="AQ164" i="2"/>
  <c r="AR164" i="2"/>
  <c r="AS164" i="2"/>
  <c r="AT164" i="2"/>
  <c r="AM165" i="2"/>
  <c r="AN165" i="2"/>
  <c r="AO165" i="2"/>
  <c r="AP165" i="2"/>
  <c r="AQ165" i="2"/>
  <c r="AR165" i="2"/>
  <c r="AS165" i="2"/>
  <c r="AT165" i="2"/>
  <c r="AM166" i="2"/>
  <c r="AN166" i="2"/>
  <c r="AO166" i="2"/>
  <c r="AP166" i="2"/>
  <c r="AQ166" i="2"/>
  <c r="AR166" i="2"/>
  <c r="AS166" i="2"/>
  <c r="AT166" i="2"/>
  <c r="AM167" i="2"/>
  <c r="AN167" i="2"/>
  <c r="AO167" i="2"/>
  <c r="AP167" i="2"/>
  <c r="AQ167" i="2"/>
  <c r="AR167" i="2"/>
  <c r="AS167" i="2"/>
  <c r="AT167" i="2"/>
  <c r="AM168" i="2"/>
  <c r="AN168" i="2"/>
  <c r="AO168" i="2"/>
  <c r="AP168" i="2"/>
  <c r="AQ168" i="2"/>
  <c r="AR168" i="2"/>
  <c r="AS168" i="2"/>
  <c r="AT168" i="2"/>
  <c r="AM169" i="2"/>
  <c r="AN169" i="2"/>
  <c r="AO169" i="2"/>
  <c r="AP169" i="2"/>
  <c r="AQ169" i="2"/>
  <c r="AR169" i="2"/>
  <c r="AS169" i="2"/>
  <c r="AT169" i="2"/>
  <c r="AM170" i="2"/>
  <c r="AN170" i="2"/>
  <c r="AO170" i="2"/>
  <c r="AP170" i="2"/>
  <c r="AQ170" i="2"/>
  <c r="AR170" i="2"/>
  <c r="AS170" i="2"/>
  <c r="AT170" i="2"/>
  <c r="AM171" i="2"/>
  <c r="AN171" i="2"/>
  <c r="AO171" i="2"/>
  <c r="AP171" i="2"/>
  <c r="AQ171" i="2"/>
  <c r="AR171" i="2"/>
  <c r="AS171" i="2"/>
  <c r="AT171" i="2"/>
  <c r="AM172" i="2"/>
  <c r="AN172" i="2"/>
  <c r="AO172" i="2"/>
  <c r="AP172" i="2"/>
  <c r="AQ172" i="2"/>
  <c r="AR172" i="2"/>
  <c r="AS172" i="2"/>
  <c r="AT172" i="2"/>
  <c r="AM173" i="2"/>
  <c r="AN173" i="2"/>
  <c r="AO173" i="2"/>
  <c r="AP173" i="2"/>
  <c r="AQ173" i="2"/>
  <c r="AR173" i="2"/>
  <c r="AS173" i="2"/>
  <c r="AT173" i="2"/>
  <c r="AM174" i="2"/>
  <c r="AN174" i="2"/>
  <c r="AO174" i="2"/>
  <c r="AP174" i="2"/>
  <c r="AQ174" i="2"/>
  <c r="AR174" i="2"/>
  <c r="AS174" i="2"/>
  <c r="AT174" i="2"/>
  <c r="AM175" i="2"/>
  <c r="AN175" i="2"/>
  <c r="AO175" i="2"/>
  <c r="AP175" i="2"/>
  <c r="AQ175" i="2"/>
  <c r="AR175" i="2"/>
  <c r="AS175" i="2"/>
  <c r="AT175" i="2"/>
  <c r="AM176" i="2"/>
  <c r="AN176" i="2"/>
  <c r="AO176" i="2"/>
  <c r="AP176" i="2"/>
  <c r="AQ176" i="2"/>
  <c r="AR176" i="2"/>
  <c r="AS176" i="2"/>
  <c r="AT176" i="2"/>
  <c r="AM177" i="2"/>
  <c r="AN177" i="2"/>
  <c r="AO177" i="2"/>
  <c r="AP177" i="2"/>
  <c r="AQ177" i="2"/>
  <c r="AR177" i="2"/>
  <c r="AS177" i="2"/>
  <c r="AT177" i="2"/>
  <c r="AM178" i="2"/>
  <c r="AN178" i="2"/>
  <c r="AO178" i="2"/>
  <c r="AP178" i="2"/>
  <c r="AQ178" i="2"/>
  <c r="AR178" i="2"/>
  <c r="AS178" i="2"/>
  <c r="AT178" i="2"/>
  <c r="AM179" i="2"/>
  <c r="AN179" i="2"/>
  <c r="AO179" i="2"/>
  <c r="AP179" i="2"/>
  <c r="AQ179" i="2"/>
  <c r="AR179" i="2"/>
  <c r="AS179" i="2"/>
  <c r="AT179" i="2"/>
  <c r="AM180" i="2"/>
  <c r="AN180" i="2"/>
  <c r="AO180" i="2"/>
  <c r="AP180" i="2"/>
  <c r="AQ180" i="2"/>
  <c r="AR180" i="2"/>
  <c r="AS180" i="2"/>
  <c r="AT180" i="2"/>
  <c r="AM181" i="2"/>
  <c r="AN181" i="2"/>
  <c r="AO181" i="2"/>
  <c r="AP181" i="2"/>
  <c r="AQ181" i="2"/>
  <c r="AR181" i="2"/>
  <c r="AS181" i="2"/>
  <c r="AT181" i="2"/>
  <c r="AM182" i="2"/>
  <c r="AN182" i="2"/>
  <c r="AO182" i="2"/>
  <c r="AP182" i="2"/>
  <c r="AQ182" i="2"/>
  <c r="AR182" i="2"/>
  <c r="AS182" i="2"/>
  <c r="AT182" i="2"/>
  <c r="AM183" i="2"/>
  <c r="AN183" i="2"/>
  <c r="AO183" i="2"/>
  <c r="AP183" i="2"/>
  <c r="AQ183" i="2"/>
  <c r="AR183" i="2"/>
  <c r="AS183" i="2"/>
  <c r="AT183" i="2"/>
  <c r="AM184" i="2"/>
  <c r="AN184" i="2"/>
  <c r="AO184" i="2"/>
  <c r="AP184" i="2"/>
  <c r="AQ184" i="2"/>
  <c r="AR184" i="2"/>
  <c r="AS184" i="2"/>
  <c r="AT184" i="2"/>
  <c r="AM185" i="2"/>
  <c r="AN185" i="2"/>
  <c r="AO185" i="2"/>
  <c r="AP185" i="2"/>
  <c r="AQ185" i="2"/>
  <c r="AR185" i="2"/>
  <c r="AS185" i="2"/>
  <c r="AT185" i="2"/>
  <c r="AM186" i="2"/>
  <c r="AN186" i="2"/>
  <c r="AO186" i="2"/>
  <c r="AP186" i="2"/>
  <c r="AQ186" i="2"/>
  <c r="AR186" i="2"/>
  <c r="AS186" i="2"/>
  <c r="AT186" i="2"/>
  <c r="AM187" i="2"/>
  <c r="AN187" i="2"/>
  <c r="AO187" i="2"/>
  <c r="AP187" i="2"/>
  <c r="AQ187" i="2"/>
  <c r="AR187" i="2"/>
  <c r="AS187" i="2"/>
  <c r="AT187" i="2"/>
  <c r="AM188" i="2"/>
  <c r="AN188" i="2"/>
  <c r="AO188" i="2"/>
  <c r="AP188" i="2"/>
  <c r="AQ188" i="2"/>
  <c r="AR188" i="2"/>
  <c r="AS188" i="2"/>
  <c r="AT188" i="2"/>
  <c r="AM189" i="2"/>
  <c r="AN189" i="2"/>
  <c r="AO189" i="2"/>
  <c r="AP189" i="2"/>
  <c r="AQ189" i="2"/>
  <c r="AR189" i="2"/>
  <c r="AS189" i="2"/>
  <c r="AT189" i="2"/>
  <c r="AM190" i="2"/>
  <c r="AN190" i="2"/>
  <c r="AO190" i="2"/>
  <c r="AP190" i="2"/>
  <c r="AQ190" i="2"/>
  <c r="AR190" i="2"/>
  <c r="AS190" i="2"/>
  <c r="AT190" i="2"/>
  <c r="AM191" i="2"/>
  <c r="AN191" i="2"/>
  <c r="AO191" i="2"/>
  <c r="AP191" i="2"/>
  <c r="AQ191" i="2"/>
  <c r="AR191" i="2"/>
  <c r="AS191" i="2"/>
  <c r="AT191" i="2"/>
  <c r="AM192" i="2"/>
  <c r="AN192" i="2"/>
  <c r="AO192" i="2"/>
  <c r="AP192" i="2"/>
  <c r="AQ192" i="2"/>
  <c r="AR192" i="2"/>
  <c r="AS192" i="2"/>
  <c r="AT192" i="2"/>
  <c r="AM193" i="2"/>
  <c r="AN193" i="2"/>
  <c r="AO193" i="2"/>
  <c r="AP193" i="2"/>
  <c r="AQ193" i="2"/>
  <c r="AR193" i="2"/>
  <c r="AS193" i="2"/>
  <c r="AT193" i="2"/>
  <c r="AM194" i="2"/>
  <c r="AN194" i="2"/>
  <c r="AO194" i="2"/>
  <c r="AP194" i="2"/>
  <c r="AQ194" i="2"/>
  <c r="AR194" i="2"/>
  <c r="AS194" i="2"/>
  <c r="AT194" i="2"/>
  <c r="AM195" i="2"/>
  <c r="AN195" i="2"/>
  <c r="AO195" i="2"/>
  <c r="AP195" i="2"/>
  <c r="AQ195" i="2"/>
  <c r="AR195" i="2"/>
  <c r="AS195" i="2"/>
  <c r="AT195" i="2"/>
  <c r="AM196" i="2"/>
  <c r="AN196" i="2"/>
  <c r="AO196" i="2"/>
  <c r="AP196" i="2"/>
  <c r="AQ196" i="2"/>
  <c r="AR196" i="2"/>
  <c r="AS196" i="2"/>
  <c r="AT196" i="2"/>
  <c r="AM197" i="2"/>
  <c r="AN197" i="2"/>
  <c r="AO197" i="2"/>
  <c r="AP197" i="2"/>
  <c r="AQ197" i="2"/>
  <c r="AR197" i="2"/>
  <c r="AS197" i="2"/>
  <c r="AT197" i="2"/>
  <c r="AM198" i="2"/>
  <c r="AN198" i="2"/>
  <c r="AO198" i="2"/>
  <c r="AP198" i="2"/>
  <c r="AQ198" i="2"/>
  <c r="AR198" i="2"/>
  <c r="AS198" i="2"/>
  <c r="AT198" i="2"/>
  <c r="AM199" i="2"/>
  <c r="AN199" i="2"/>
  <c r="AO199" i="2"/>
  <c r="AP199" i="2"/>
  <c r="AQ199" i="2"/>
  <c r="AR199" i="2"/>
  <c r="AS199" i="2"/>
  <c r="AT199" i="2"/>
  <c r="AM200" i="2"/>
  <c r="AN200" i="2"/>
  <c r="AO200" i="2"/>
  <c r="AP200" i="2"/>
  <c r="AQ200" i="2"/>
  <c r="AR200" i="2"/>
  <c r="AS200" i="2"/>
  <c r="AT200" i="2"/>
  <c r="AM201" i="2"/>
  <c r="AN201" i="2"/>
  <c r="AO201" i="2"/>
  <c r="AP201" i="2"/>
  <c r="AQ201" i="2"/>
  <c r="AR201" i="2"/>
  <c r="AS201" i="2"/>
  <c r="AT201" i="2"/>
  <c r="AM202" i="2"/>
  <c r="AN202" i="2"/>
  <c r="AO202" i="2"/>
  <c r="AP202" i="2"/>
  <c r="AQ202" i="2"/>
  <c r="AR202" i="2"/>
  <c r="AS202" i="2"/>
  <c r="AT202" i="2"/>
  <c r="AM203" i="2"/>
  <c r="AN203" i="2"/>
  <c r="AO203" i="2"/>
  <c r="AP203" i="2"/>
  <c r="AQ203" i="2"/>
  <c r="AR203" i="2"/>
  <c r="AS203" i="2"/>
  <c r="AT203" i="2"/>
  <c r="AM204" i="2"/>
  <c r="AN204" i="2"/>
  <c r="AO204" i="2"/>
  <c r="AP204" i="2"/>
  <c r="AQ204" i="2"/>
  <c r="AR204" i="2"/>
  <c r="AS204" i="2"/>
  <c r="AT204" i="2"/>
  <c r="AM205" i="2"/>
  <c r="AN205" i="2"/>
  <c r="AO205" i="2"/>
  <c r="AP205" i="2"/>
  <c r="AQ205" i="2"/>
  <c r="AR205" i="2"/>
  <c r="AS205" i="2"/>
  <c r="AT205" i="2"/>
  <c r="AM206" i="2"/>
  <c r="AN206" i="2"/>
  <c r="AO206" i="2"/>
  <c r="AP206" i="2"/>
  <c r="AQ206" i="2"/>
  <c r="AR206" i="2"/>
  <c r="AS206" i="2"/>
  <c r="AT206" i="2"/>
  <c r="AM207" i="2"/>
  <c r="AN207" i="2"/>
  <c r="AO207" i="2"/>
  <c r="AP207" i="2"/>
  <c r="AQ207" i="2"/>
  <c r="AR207" i="2"/>
  <c r="AS207" i="2"/>
  <c r="AT207" i="2"/>
  <c r="AM208" i="2"/>
  <c r="AN208" i="2"/>
  <c r="AO208" i="2"/>
  <c r="AP208" i="2"/>
  <c r="AQ208" i="2"/>
  <c r="AR208" i="2"/>
  <c r="AS208" i="2"/>
  <c r="AT208" i="2"/>
  <c r="AM209" i="2"/>
  <c r="AN209" i="2"/>
  <c r="AO209" i="2"/>
  <c r="AP209" i="2"/>
  <c r="AQ209" i="2"/>
  <c r="AR209" i="2"/>
  <c r="AS209" i="2"/>
  <c r="AT209" i="2"/>
  <c r="AM210" i="2"/>
  <c r="AN210" i="2"/>
  <c r="AO210" i="2"/>
  <c r="AP210" i="2"/>
  <c r="AQ210" i="2"/>
  <c r="AR210" i="2"/>
  <c r="AS210" i="2"/>
  <c r="AT210" i="2"/>
  <c r="AM211" i="2"/>
  <c r="AN211" i="2"/>
  <c r="AO211" i="2"/>
  <c r="AP211" i="2"/>
  <c r="AQ211" i="2"/>
  <c r="AR211" i="2"/>
  <c r="AS211" i="2"/>
  <c r="AT211" i="2"/>
  <c r="AM212" i="2"/>
  <c r="AN212" i="2"/>
  <c r="AO212" i="2"/>
  <c r="AP212" i="2"/>
  <c r="AQ212" i="2"/>
  <c r="AR212" i="2"/>
  <c r="AS212" i="2"/>
  <c r="AT212" i="2"/>
  <c r="AM213" i="2"/>
  <c r="AN213" i="2"/>
  <c r="AO213" i="2"/>
  <c r="AP213" i="2"/>
  <c r="AQ213" i="2"/>
  <c r="AR213" i="2"/>
  <c r="AS213" i="2"/>
  <c r="AT213" i="2"/>
  <c r="AM214" i="2"/>
  <c r="AN214" i="2"/>
  <c r="AO214" i="2"/>
  <c r="AP214" i="2"/>
  <c r="AQ214" i="2"/>
  <c r="AR214" i="2"/>
  <c r="AS214" i="2"/>
  <c r="AT214" i="2"/>
  <c r="AM215" i="2"/>
  <c r="AN215" i="2"/>
  <c r="AO215" i="2"/>
  <c r="AP215" i="2"/>
  <c r="AQ215" i="2"/>
  <c r="AR215" i="2"/>
  <c r="AS215" i="2"/>
  <c r="AT215" i="2"/>
  <c r="AM216" i="2"/>
  <c r="AN216" i="2"/>
  <c r="AO216" i="2"/>
  <c r="AP216" i="2"/>
  <c r="AQ216" i="2"/>
  <c r="AR216" i="2"/>
  <c r="AS216" i="2"/>
  <c r="AT216" i="2"/>
  <c r="AM217" i="2"/>
  <c r="AN217" i="2"/>
  <c r="AO217" i="2"/>
  <c r="AP217" i="2"/>
  <c r="AQ217" i="2"/>
  <c r="AR217" i="2"/>
  <c r="AS217" i="2"/>
  <c r="AT217" i="2"/>
  <c r="AM218" i="2"/>
  <c r="AN218" i="2"/>
  <c r="AO218" i="2"/>
  <c r="AP218" i="2"/>
  <c r="AQ218" i="2"/>
  <c r="AR218" i="2"/>
  <c r="AS218" i="2"/>
  <c r="AT218" i="2"/>
  <c r="AM219" i="2"/>
  <c r="AN219" i="2"/>
  <c r="AO219" i="2"/>
  <c r="AP219" i="2"/>
  <c r="AQ219" i="2"/>
  <c r="AR219" i="2"/>
  <c r="AS219" i="2"/>
  <c r="AT219" i="2"/>
  <c r="AM220" i="2"/>
  <c r="AN220" i="2"/>
  <c r="AO220" i="2"/>
  <c r="AP220" i="2"/>
  <c r="AQ220" i="2"/>
  <c r="AR220" i="2"/>
  <c r="AS220" i="2"/>
  <c r="AT220" i="2"/>
  <c r="AM221" i="2"/>
  <c r="AN221" i="2"/>
  <c r="AO221" i="2"/>
  <c r="AP221" i="2"/>
  <c r="AQ221" i="2"/>
  <c r="AR221" i="2"/>
  <c r="AS221" i="2"/>
  <c r="AT221" i="2"/>
  <c r="AM222" i="2"/>
  <c r="AN222" i="2"/>
  <c r="AO222" i="2"/>
  <c r="AP222" i="2"/>
  <c r="AQ222" i="2"/>
  <c r="AR222" i="2"/>
  <c r="AS222" i="2"/>
  <c r="AT222" i="2"/>
  <c r="AM223" i="2"/>
  <c r="AN223" i="2"/>
  <c r="AO223" i="2"/>
  <c r="AP223" i="2"/>
  <c r="AQ223" i="2"/>
  <c r="AR223" i="2"/>
  <c r="AS223" i="2"/>
  <c r="AT223" i="2"/>
  <c r="AM224" i="2"/>
  <c r="AN224" i="2"/>
  <c r="AO224" i="2"/>
  <c r="AP224" i="2"/>
  <c r="AQ224" i="2"/>
  <c r="AR224" i="2"/>
  <c r="AS224" i="2"/>
  <c r="AT224" i="2"/>
  <c r="AM225" i="2"/>
  <c r="AN225" i="2"/>
  <c r="AO225" i="2"/>
  <c r="AP225" i="2"/>
  <c r="AQ225" i="2"/>
  <c r="AR225" i="2"/>
  <c r="AS225" i="2"/>
  <c r="AT225" i="2"/>
  <c r="AM226" i="2"/>
  <c r="AN226" i="2"/>
  <c r="AO226" i="2"/>
  <c r="AP226" i="2"/>
  <c r="AQ226" i="2"/>
  <c r="AR226" i="2"/>
  <c r="AS226" i="2"/>
  <c r="AT226" i="2"/>
  <c r="AM227" i="2"/>
  <c r="AN227" i="2"/>
  <c r="AO227" i="2"/>
  <c r="AP227" i="2"/>
  <c r="AQ227" i="2"/>
  <c r="AR227" i="2"/>
  <c r="AS227" i="2"/>
  <c r="AT227" i="2"/>
  <c r="AM228" i="2"/>
  <c r="AN228" i="2"/>
  <c r="AO228" i="2"/>
  <c r="AP228" i="2"/>
  <c r="AQ228" i="2"/>
  <c r="AR228" i="2"/>
  <c r="AS228" i="2"/>
  <c r="AT228" i="2"/>
  <c r="AM229" i="2"/>
  <c r="AN229" i="2"/>
  <c r="AO229" i="2"/>
  <c r="AP229" i="2"/>
  <c r="AQ229" i="2"/>
  <c r="AR229" i="2"/>
  <c r="AS229" i="2"/>
  <c r="AT229" i="2"/>
  <c r="AM230" i="2"/>
  <c r="AN230" i="2"/>
  <c r="AO230" i="2"/>
  <c r="AP230" i="2"/>
  <c r="AQ230" i="2"/>
  <c r="AR230" i="2"/>
  <c r="AS230" i="2"/>
  <c r="AT230" i="2"/>
  <c r="AM231" i="2"/>
  <c r="AN231" i="2"/>
  <c r="AO231" i="2"/>
  <c r="AP231" i="2"/>
  <c r="AQ231" i="2"/>
  <c r="AR231" i="2"/>
  <c r="AS231" i="2"/>
  <c r="AT231" i="2"/>
  <c r="AM232" i="2"/>
  <c r="AN232" i="2"/>
  <c r="AO232" i="2"/>
  <c r="AP232" i="2"/>
  <c r="AQ232" i="2"/>
  <c r="AR232" i="2"/>
  <c r="AS232" i="2"/>
  <c r="AT232" i="2"/>
  <c r="AM233" i="2"/>
  <c r="AN233" i="2"/>
  <c r="AO233" i="2"/>
  <c r="AP233" i="2"/>
  <c r="AQ233" i="2"/>
  <c r="AR233" i="2"/>
  <c r="AS233" i="2"/>
  <c r="AT233" i="2"/>
  <c r="AM234" i="2"/>
  <c r="AN234" i="2"/>
  <c r="AO234" i="2"/>
  <c r="AP234" i="2"/>
  <c r="AQ234" i="2"/>
  <c r="AR234" i="2"/>
  <c r="AS234" i="2"/>
  <c r="AT234" i="2"/>
  <c r="AM235" i="2"/>
  <c r="AN235" i="2"/>
  <c r="AO235" i="2"/>
  <c r="AP235" i="2"/>
  <c r="AQ235" i="2"/>
  <c r="AR235" i="2"/>
  <c r="AS235" i="2"/>
  <c r="AT235" i="2"/>
  <c r="AM236" i="2"/>
  <c r="AN236" i="2"/>
  <c r="AO236" i="2"/>
  <c r="AP236" i="2"/>
  <c r="AQ236" i="2"/>
  <c r="AR236" i="2"/>
  <c r="AS236" i="2"/>
  <c r="AT236" i="2"/>
  <c r="AM237" i="2"/>
  <c r="AN237" i="2"/>
  <c r="AO237" i="2"/>
  <c r="AP237" i="2"/>
  <c r="AQ237" i="2"/>
  <c r="AR237" i="2"/>
  <c r="AS237" i="2"/>
  <c r="AT237" i="2"/>
  <c r="AM238" i="2"/>
  <c r="AN238" i="2"/>
  <c r="AO238" i="2"/>
  <c r="AP238" i="2"/>
  <c r="AQ238" i="2"/>
  <c r="AR238" i="2"/>
  <c r="AS238" i="2"/>
  <c r="AT238" i="2"/>
  <c r="AM239" i="2"/>
  <c r="AN239" i="2"/>
  <c r="AO239" i="2"/>
  <c r="AP239" i="2"/>
  <c r="AQ239" i="2"/>
  <c r="AR239" i="2"/>
  <c r="AS239" i="2"/>
  <c r="AT239" i="2"/>
  <c r="AM240" i="2"/>
  <c r="AN240" i="2"/>
  <c r="AO240" i="2"/>
  <c r="AP240" i="2"/>
  <c r="AQ240" i="2"/>
  <c r="AR240" i="2"/>
  <c r="AS240" i="2"/>
  <c r="AT240" i="2"/>
  <c r="AM241" i="2"/>
  <c r="AN241" i="2"/>
  <c r="AO241" i="2"/>
  <c r="AP241" i="2"/>
  <c r="AQ241" i="2"/>
  <c r="AR241" i="2"/>
  <c r="AS241" i="2"/>
  <c r="AT241" i="2"/>
  <c r="AM242" i="2"/>
  <c r="AN242" i="2"/>
  <c r="AO242" i="2"/>
  <c r="AP242" i="2"/>
  <c r="AQ242" i="2"/>
  <c r="AR242" i="2"/>
  <c r="AS242" i="2"/>
  <c r="AT242" i="2"/>
  <c r="AM243" i="2"/>
  <c r="AN243" i="2"/>
  <c r="AO243" i="2"/>
  <c r="AP243" i="2"/>
  <c r="AQ243" i="2"/>
  <c r="AR243" i="2"/>
  <c r="AS243" i="2"/>
  <c r="AT243" i="2"/>
  <c r="AM244" i="2"/>
  <c r="AN244" i="2"/>
  <c r="AO244" i="2"/>
  <c r="AP244" i="2"/>
  <c r="AQ244" i="2"/>
  <c r="AR244" i="2"/>
  <c r="AS244" i="2"/>
  <c r="AT244" i="2"/>
  <c r="AM245" i="2"/>
  <c r="AN245" i="2"/>
  <c r="AO245" i="2"/>
  <c r="AP245" i="2"/>
  <c r="AQ245" i="2"/>
  <c r="AR245" i="2"/>
  <c r="AS245" i="2"/>
  <c r="AT245" i="2"/>
  <c r="AM246" i="2"/>
  <c r="AN246" i="2"/>
  <c r="AO246" i="2"/>
  <c r="AP246" i="2"/>
  <c r="AQ246" i="2"/>
  <c r="AR246" i="2"/>
  <c r="AS246" i="2"/>
  <c r="AT246" i="2"/>
  <c r="AM247" i="2"/>
  <c r="AN247" i="2"/>
  <c r="AO247" i="2"/>
  <c r="AP247" i="2"/>
  <c r="AQ247" i="2"/>
  <c r="AR247" i="2"/>
  <c r="AS247" i="2"/>
  <c r="AT247" i="2"/>
  <c r="AM248" i="2"/>
  <c r="AN248" i="2"/>
  <c r="AO248" i="2"/>
  <c r="AP248" i="2"/>
  <c r="AQ248" i="2"/>
  <c r="AR248" i="2"/>
  <c r="AS248" i="2"/>
  <c r="AT248" i="2"/>
  <c r="AM249" i="2"/>
  <c r="AN249" i="2"/>
  <c r="AO249" i="2"/>
  <c r="AP249" i="2"/>
  <c r="AQ249" i="2"/>
  <c r="AR249" i="2"/>
  <c r="AS249" i="2"/>
  <c r="AT249" i="2"/>
  <c r="AM250" i="2"/>
  <c r="AN250" i="2"/>
  <c r="AO250" i="2"/>
  <c r="AP250" i="2"/>
  <c r="AQ250" i="2"/>
  <c r="AR250" i="2"/>
  <c r="AS250" i="2"/>
  <c r="AT250" i="2"/>
  <c r="AM251" i="2"/>
  <c r="AN251" i="2"/>
  <c r="AO251" i="2"/>
  <c r="AP251" i="2"/>
  <c r="AQ251" i="2"/>
  <c r="AR251" i="2"/>
  <c r="AS251" i="2"/>
  <c r="AT251" i="2"/>
  <c r="AM252" i="2"/>
  <c r="AN252" i="2"/>
  <c r="AO252" i="2"/>
  <c r="AP252" i="2"/>
  <c r="AQ252" i="2"/>
  <c r="AR252" i="2"/>
  <c r="AS252" i="2"/>
  <c r="AT252" i="2"/>
  <c r="AM253" i="2"/>
  <c r="AN253" i="2"/>
  <c r="AO253" i="2"/>
  <c r="AP253" i="2"/>
  <c r="AQ253" i="2"/>
  <c r="AR253" i="2"/>
  <c r="AS253" i="2"/>
  <c r="AT253" i="2"/>
  <c r="AM254" i="2"/>
  <c r="AN254" i="2"/>
  <c r="AO254" i="2"/>
  <c r="AP254" i="2"/>
  <c r="AQ254" i="2"/>
  <c r="AR254" i="2"/>
  <c r="AS254" i="2"/>
  <c r="AT254" i="2"/>
  <c r="AM255" i="2"/>
  <c r="AN255" i="2"/>
  <c r="AO255" i="2"/>
  <c r="AP255" i="2"/>
  <c r="AQ255" i="2"/>
  <c r="AR255" i="2"/>
  <c r="AS255" i="2"/>
  <c r="AT255" i="2"/>
  <c r="AM256" i="2"/>
  <c r="AN256" i="2"/>
  <c r="AO256" i="2"/>
  <c r="AP256" i="2"/>
  <c r="AQ256" i="2"/>
  <c r="AR256" i="2"/>
  <c r="AS256" i="2"/>
  <c r="AT256" i="2"/>
  <c r="AM257" i="2"/>
  <c r="AN257" i="2"/>
  <c r="AO257" i="2"/>
  <c r="AP257" i="2"/>
  <c r="AQ257" i="2"/>
  <c r="AR257" i="2"/>
  <c r="AS257" i="2"/>
  <c r="AT257" i="2"/>
  <c r="AM258" i="2"/>
  <c r="AN258" i="2"/>
  <c r="AO258" i="2"/>
  <c r="AP258" i="2"/>
  <c r="AQ258" i="2"/>
  <c r="AR258" i="2"/>
  <c r="AS258" i="2"/>
  <c r="AT258" i="2"/>
  <c r="AM259" i="2"/>
  <c r="AN259" i="2"/>
  <c r="AO259" i="2"/>
  <c r="AP259" i="2"/>
  <c r="AQ259" i="2"/>
  <c r="AR259" i="2"/>
  <c r="AS259" i="2"/>
  <c r="AT259" i="2"/>
  <c r="AM260" i="2"/>
  <c r="AN260" i="2"/>
  <c r="AO260" i="2"/>
  <c r="AP260" i="2"/>
  <c r="AQ260" i="2"/>
  <c r="AR260" i="2"/>
  <c r="AS260" i="2"/>
  <c r="AT260" i="2"/>
  <c r="AM261" i="2"/>
  <c r="AN261" i="2"/>
  <c r="AO261" i="2"/>
  <c r="AP261" i="2"/>
  <c r="AQ261" i="2"/>
  <c r="AR261" i="2"/>
  <c r="AS261" i="2"/>
  <c r="AT261" i="2"/>
  <c r="AM262" i="2"/>
  <c r="AN262" i="2"/>
  <c r="AO262" i="2"/>
  <c r="AP262" i="2"/>
  <c r="AQ262" i="2"/>
  <c r="AR262" i="2"/>
  <c r="AS262" i="2"/>
  <c r="AT262" i="2"/>
  <c r="AM263" i="2"/>
  <c r="AN263" i="2"/>
  <c r="AO263" i="2"/>
  <c r="AP263" i="2"/>
  <c r="AQ263" i="2"/>
  <c r="AR263" i="2"/>
  <c r="AS263" i="2"/>
  <c r="AT263" i="2"/>
  <c r="AM264" i="2"/>
  <c r="AN264" i="2"/>
  <c r="AO264" i="2"/>
  <c r="AP264" i="2"/>
  <c r="AQ264" i="2"/>
  <c r="AR264" i="2"/>
  <c r="AS264" i="2"/>
  <c r="AT264" i="2"/>
  <c r="AM265" i="2"/>
  <c r="AN265" i="2"/>
  <c r="AO265" i="2"/>
  <c r="AP265" i="2"/>
  <c r="AQ265" i="2"/>
  <c r="AR265" i="2"/>
  <c r="AS265" i="2"/>
  <c r="AT265" i="2"/>
  <c r="AM266" i="2"/>
  <c r="AN266" i="2"/>
  <c r="AO266" i="2"/>
  <c r="AP266" i="2"/>
  <c r="AQ266" i="2"/>
  <c r="AR266" i="2"/>
  <c r="AS266" i="2"/>
  <c r="AT266" i="2"/>
  <c r="AM267" i="2"/>
  <c r="AN267" i="2"/>
  <c r="AO267" i="2"/>
  <c r="AP267" i="2"/>
  <c r="AQ267" i="2"/>
  <c r="AR267" i="2"/>
  <c r="AS267" i="2"/>
  <c r="AT267" i="2"/>
  <c r="AM268" i="2"/>
  <c r="AN268" i="2"/>
  <c r="AO268" i="2"/>
  <c r="AP268" i="2"/>
  <c r="AQ268" i="2"/>
  <c r="AR268" i="2"/>
  <c r="AS268" i="2"/>
  <c r="AT268" i="2"/>
  <c r="AM269" i="2"/>
  <c r="AN269" i="2"/>
  <c r="AO269" i="2"/>
  <c r="AP269" i="2"/>
  <c r="AQ269" i="2"/>
  <c r="AR269" i="2"/>
  <c r="AS269" i="2"/>
  <c r="AT269" i="2"/>
  <c r="AM270" i="2"/>
  <c r="AN270" i="2"/>
  <c r="AO270" i="2"/>
  <c r="AP270" i="2"/>
  <c r="AQ270" i="2"/>
  <c r="AR270" i="2"/>
  <c r="AS270" i="2"/>
  <c r="AT270" i="2"/>
  <c r="AM271" i="2"/>
  <c r="AN271" i="2"/>
  <c r="AO271" i="2"/>
  <c r="AP271" i="2"/>
  <c r="AQ271" i="2"/>
  <c r="AR271" i="2"/>
  <c r="AS271" i="2"/>
  <c r="AT271" i="2"/>
  <c r="AM272" i="2"/>
  <c r="AN272" i="2"/>
  <c r="AO272" i="2"/>
  <c r="AP272" i="2"/>
  <c r="AQ272" i="2"/>
  <c r="AR272" i="2"/>
  <c r="AS272" i="2"/>
  <c r="AT272" i="2"/>
  <c r="AM273" i="2"/>
  <c r="AN273" i="2"/>
  <c r="AO273" i="2"/>
  <c r="AP273" i="2"/>
  <c r="AQ273" i="2"/>
  <c r="AR273" i="2"/>
  <c r="AS273" i="2"/>
  <c r="AT273" i="2"/>
  <c r="AM274" i="2"/>
  <c r="AN274" i="2"/>
  <c r="AO274" i="2"/>
  <c r="AP274" i="2"/>
  <c r="AQ274" i="2"/>
  <c r="AR274" i="2"/>
  <c r="AS274" i="2"/>
  <c r="AT274" i="2"/>
  <c r="AM275" i="2"/>
  <c r="AN275" i="2"/>
  <c r="AO275" i="2"/>
  <c r="AP275" i="2"/>
  <c r="AQ275" i="2"/>
  <c r="AR275" i="2"/>
  <c r="AS275" i="2"/>
  <c r="AT275" i="2"/>
  <c r="AM276" i="2"/>
  <c r="AN276" i="2"/>
  <c r="AO276" i="2"/>
  <c r="AP276" i="2"/>
  <c r="AQ276" i="2"/>
  <c r="AR276" i="2"/>
  <c r="AS276" i="2"/>
  <c r="AT276" i="2"/>
  <c r="AM277" i="2"/>
  <c r="AN277" i="2"/>
  <c r="AO277" i="2"/>
  <c r="AP277" i="2"/>
  <c r="AQ277" i="2"/>
  <c r="AR277" i="2"/>
  <c r="AS277" i="2"/>
  <c r="AT277" i="2"/>
  <c r="AM278" i="2"/>
  <c r="AN278" i="2"/>
  <c r="AO278" i="2"/>
  <c r="AP278" i="2"/>
  <c r="AQ278" i="2"/>
  <c r="AR278" i="2"/>
  <c r="AS278" i="2"/>
  <c r="AT278" i="2"/>
  <c r="AM279" i="2"/>
  <c r="AN279" i="2"/>
  <c r="AO279" i="2"/>
  <c r="AP279" i="2"/>
  <c r="AQ279" i="2"/>
  <c r="AR279" i="2"/>
  <c r="AS279" i="2"/>
  <c r="AT279" i="2"/>
  <c r="AM280" i="2"/>
  <c r="AN280" i="2"/>
  <c r="AO280" i="2"/>
  <c r="AP280" i="2"/>
  <c r="AQ280" i="2"/>
  <c r="AR280" i="2"/>
  <c r="AS280" i="2"/>
  <c r="AT280" i="2"/>
  <c r="AM281" i="2"/>
  <c r="AN281" i="2"/>
  <c r="AO281" i="2"/>
  <c r="AP281" i="2"/>
  <c r="AQ281" i="2"/>
  <c r="AR281" i="2"/>
  <c r="AS281" i="2"/>
  <c r="AT281" i="2"/>
  <c r="AM282" i="2"/>
  <c r="AN282" i="2"/>
  <c r="AO282" i="2"/>
  <c r="AP282" i="2"/>
  <c r="AQ282" i="2"/>
  <c r="AR282" i="2"/>
  <c r="AS282" i="2"/>
  <c r="AT282" i="2"/>
  <c r="AM283" i="2"/>
  <c r="AN283" i="2"/>
  <c r="AO283" i="2"/>
  <c r="AP283" i="2"/>
  <c r="AQ283" i="2"/>
  <c r="AR283" i="2"/>
  <c r="AS283" i="2"/>
  <c r="AT283" i="2"/>
  <c r="AM284" i="2"/>
  <c r="AN284" i="2"/>
  <c r="AO284" i="2"/>
  <c r="AP284" i="2"/>
  <c r="AQ284" i="2"/>
  <c r="AR284" i="2"/>
  <c r="AS284" i="2"/>
  <c r="AT284" i="2"/>
  <c r="AM285" i="2"/>
  <c r="AN285" i="2"/>
  <c r="AO285" i="2"/>
  <c r="AP285" i="2"/>
  <c r="AQ285" i="2"/>
  <c r="AR285" i="2"/>
  <c r="AS285" i="2"/>
  <c r="AT285" i="2"/>
  <c r="AM286" i="2"/>
  <c r="AN286" i="2"/>
  <c r="AO286" i="2"/>
  <c r="AP286" i="2"/>
  <c r="AQ286" i="2"/>
  <c r="AR286" i="2"/>
  <c r="AS286" i="2"/>
  <c r="AT286" i="2"/>
  <c r="AM287" i="2"/>
  <c r="AN287" i="2"/>
  <c r="AO287" i="2"/>
  <c r="AP287" i="2"/>
  <c r="AQ287" i="2"/>
  <c r="AR287" i="2"/>
  <c r="AS287" i="2"/>
  <c r="AT287" i="2"/>
  <c r="AM288" i="2"/>
  <c r="AN288" i="2"/>
  <c r="AO288" i="2"/>
  <c r="AP288" i="2"/>
  <c r="AQ288" i="2"/>
  <c r="AR288" i="2"/>
  <c r="AS288" i="2"/>
  <c r="AT288" i="2"/>
  <c r="AM289" i="2"/>
  <c r="AN289" i="2"/>
  <c r="AO289" i="2"/>
  <c r="AP289" i="2"/>
  <c r="AQ289" i="2"/>
  <c r="AR289" i="2"/>
  <c r="AS289" i="2"/>
  <c r="AT289" i="2"/>
  <c r="AM290" i="2"/>
  <c r="AN290" i="2"/>
  <c r="AO290" i="2"/>
  <c r="AP290" i="2"/>
  <c r="AQ290" i="2"/>
  <c r="AR290" i="2"/>
  <c r="AS290" i="2"/>
  <c r="AT290" i="2"/>
  <c r="AM291" i="2"/>
  <c r="AN291" i="2"/>
  <c r="AO291" i="2"/>
  <c r="AP291" i="2"/>
  <c r="AQ291" i="2"/>
  <c r="AR291" i="2"/>
  <c r="AS291" i="2"/>
  <c r="AT291" i="2"/>
  <c r="AM292" i="2"/>
  <c r="AN292" i="2"/>
  <c r="AO292" i="2"/>
  <c r="AP292" i="2"/>
  <c r="AQ292" i="2"/>
  <c r="AR292" i="2"/>
  <c r="AS292" i="2"/>
  <c r="AT292" i="2"/>
  <c r="AM293" i="2"/>
  <c r="AN293" i="2"/>
  <c r="AO293" i="2"/>
  <c r="AP293" i="2"/>
  <c r="AQ293" i="2"/>
  <c r="AR293" i="2"/>
  <c r="AS293" i="2"/>
  <c r="AT293" i="2"/>
  <c r="AM294" i="2"/>
  <c r="AN294" i="2"/>
  <c r="AO294" i="2"/>
  <c r="AP294" i="2"/>
  <c r="AQ294" i="2"/>
  <c r="AR294" i="2"/>
  <c r="AS294" i="2"/>
  <c r="AT294" i="2"/>
  <c r="AM295" i="2"/>
  <c r="AN295" i="2"/>
  <c r="AO295" i="2"/>
  <c r="AP295" i="2"/>
  <c r="AQ295" i="2"/>
  <c r="AR295" i="2"/>
  <c r="AS295" i="2"/>
  <c r="AT295" i="2"/>
  <c r="AM296" i="2"/>
  <c r="AN296" i="2"/>
  <c r="AO296" i="2"/>
  <c r="AP296" i="2"/>
  <c r="AQ296" i="2"/>
  <c r="AR296" i="2"/>
  <c r="AS296" i="2"/>
  <c r="AT296" i="2"/>
  <c r="AM297" i="2"/>
  <c r="AN297" i="2"/>
  <c r="AO297" i="2"/>
  <c r="AP297" i="2"/>
  <c r="AQ297" i="2"/>
  <c r="AR297" i="2"/>
  <c r="AS297" i="2"/>
  <c r="AT297" i="2"/>
  <c r="AM298" i="2"/>
  <c r="AN298" i="2"/>
  <c r="AO298" i="2"/>
  <c r="AP298" i="2"/>
  <c r="AQ298" i="2"/>
  <c r="AR298" i="2"/>
  <c r="AS298" i="2"/>
  <c r="AT298" i="2"/>
  <c r="AM299" i="2"/>
  <c r="AN299" i="2"/>
  <c r="AO299" i="2"/>
  <c r="AP299" i="2"/>
  <c r="AQ299" i="2"/>
  <c r="AR299" i="2"/>
  <c r="AS299" i="2"/>
  <c r="AT299" i="2"/>
  <c r="AM300" i="2"/>
  <c r="AN300" i="2"/>
  <c r="AO300" i="2"/>
  <c r="AP300" i="2"/>
  <c r="AQ300" i="2"/>
  <c r="AR300" i="2"/>
  <c r="AS300" i="2"/>
  <c r="AT300" i="2"/>
  <c r="AM301" i="2"/>
  <c r="AN301" i="2"/>
  <c r="AO301" i="2"/>
  <c r="AP301" i="2"/>
  <c r="AQ301" i="2"/>
  <c r="AR301" i="2"/>
  <c r="AS301" i="2"/>
  <c r="AT301" i="2"/>
  <c r="AM302" i="2"/>
  <c r="AN302" i="2"/>
  <c r="AO302" i="2"/>
  <c r="AP302" i="2"/>
  <c r="AQ302" i="2"/>
  <c r="AR302" i="2"/>
  <c r="AS302" i="2"/>
  <c r="AT302" i="2"/>
  <c r="AM303" i="2"/>
  <c r="AN303" i="2"/>
  <c r="AO303" i="2"/>
  <c r="AP303" i="2"/>
  <c r="AQ303" i="2"/>
  <c r="AR303" i="2"/>
  <c r="AS303" i="2"/>
  <c r="AT303" i="2"/>
  <c r="AM304" i="2"/>
  <c r="AN304" i="2"/>
  <c r="AO304" i="2"/>
  <c r="AP304" i="2"/>
  <c r="AQ304" i="2"/>
  <c r="AR304" i="2"/>
  <c r="AS304" i="2"/>
  <c r="AT304" i="2"/>
  <c r="AM305" i="2"/>
  <c r="AN305" i="2"/>
  <c r="AO305" i="2"/>
  <c r="AP305" i="2"/>
  <c r="AQ305" i="2"/>
  <c r="AR305" i="2"/>
  <c r="AS305" i="2"/>
  <c r="AT305" i="2"/>
  <c r="AM306" i="2"/>
  <c r="AN306" i="2"/>
  <c r="AO306" i="2"/>
  <c r="AP306" i="2"/>
  <c r="AQ306" i="2"/>
  <c r="AR306" i="2"/>
  <c r="AS306" i="2"/>
  <c r="AT306" i="2"/>
  <c r="AM307" i="2"/>
  <c r="AN307" i="2"/>
  <c r="AO307" i="2"/>
  <c r="AP307" i="2"/>
  <c r="AQ307" i="2"/>
  <c r="AR307" i="2"/>
  <c r="AS307" i="2"/>
  <c r="AT307" i="2"/>
  <c r="AM308" i="2"/>
  <c r="AN308" i="2"/>
  <c r="AO308" i="2"/>
  <c r="AP308" i="2"/>
  <c r="AQ308" i="2"/>
  <c r="AR308" i="2"/>
  <c r="AS308" i="2"/>
  <c r="AT308" i="2"/>
  <c r="AM309" i="2"/>
  <c r="AN309" i="2"/>
  <c r="AO309" i="2"/>
  <c r="AP309" i="2"/>
  <c r="AQ309" i="2"/>
  <c r="AR309" i="2"/>
  <c r="AS309" i="2"/>
  <c r="AT309" i="2"/>
  <c r="AM310" i="2"/>
  <c r="AN310" i="2"/>
  <c r="AO310" i="2"/>
  <c r="AP310" i="2"/>
  <c r="AQ310" i="2"/>
  <c r="AR310" i="2"/>
  <c r="AS310" i="2"/>
  <c r="AT310" i="2"/>
  <c r="AM311" i="2"/>
  <c r="AN311" i="2"/>
  <c r="AO311" i="2"/>
  <c r="AP311" i="2"/>
  <c r="AQ311" i="2"/>
  <c r="AR311" i="2"/>
  <c r="AS311" i="2"/>
  <c r="AT311" i="2"/>
  <c r="AM312" i="2"/>
  <c r="AN312" i="2"/>
  <c r="AO312" i="2"/>
  <c r="AP312" i="2"/>
  <c r="AQ312" i="2"/>
  <c r="AR312" i="2"/>
  <c r="AS312" i="2"/>
  <c r="AT312" i="2"/>
  <c r="AM313" i="2"/>
  <c r="AN313" i="2"/>
  <c r="AO313" i="2"/>
  <c r="AP313" i="2"/>
  <c r="AQ313" i="2"/>
  <c r="AR313" i="2"/>
  <c r="AS313" i="2"/>
  <c r="AT313" i="2"/>
  <c r="AM314" i="2"/>
  <c r="AN314" i="2"/>
  <c r="AO314" i="2"/>
  <c r="AP314" i="2"/>
  <c r="AQ314" i="2"/>
  <c r="AR314" i="2"/>
  <c r="AS314" i="2"/>
  <c r="AT314" i="2"/>
  <c r="AM315" i="2"/>
  <c r="AN315" i="2"/>
  <c r="AO315" i="2"/>
  <c r="AP315" i="2"/>
  <c r="AQ315" i="2"/>
  <c r="AR315" i="2"/>
  <c r="AS315" i="2"/>
  <c r="AT315" i="2"/>
  <c r="AM316" i="2"/>
  <c r="AN316" i="2"/>
  <c r="AO316" i="2"/>
  <c r="AP316" i="2"/>
  <c r="AQ316" i="2"/>
  <c r="AR316" i="2"/>
  <c r="AS316" i="2"/>
  <c r="AT316" i="2"/>
  <c r="AM317" i="2"/>
  <c r="AN317" i="2"/>
  <c r="AO317" i="2"/>
  <c r="AP317" i="2"/>
  <c r="AQ317" i="2"/>
  <c r="AR317" i="2"/>
  <c r="AS317" i="2"/>
  <c r="AT317" i="2"/>
  <c r="AM318" i="2"/>
  <c r="AN318" i="2"/>
  <c r="AO318" i="2"/>
  <c r="AP318" i="2"/>
  <c r="AQ318" i="2"/>
  <c r="AR318" i="2"/>
  <c r="AS318" i="2"/>
  <c r="AT318" i="2"/>
  <c r="AM319" i="2"/>
  <c r="AN319" i="2"/>
  <c r="AO319" i="2"/>
  <c r="AP319" i="2"/>
  <c r="AQ319" i="2"/>
  <c r="AR319" i="2"/>
  <c r="AS319" i="2"/>
  <c r="AT319" i="2"/>
  <c r="AM320" i="2"/>
  <c r="AN320" i="2"/>
  <c r="AO320" i="2"/>
  <c r="AP320" i="2"/>
  <c r="AQ320" i="2"/>
  <c r="AR320" i="2"/>
  <c r="AS320" i="2"/>
  <c r="AT320" i="2"/>
  <c r="AM321" i="2"/>
  <c r="AN321" i="2"/>
  <c r="AO321" i="2"/>
  <c r="AP321" i="2"/>
  <c r="AQ321" i="2"/>
  <c r="AR321" i="2"/>
  <c r="AS321" i="2"/>
  <c r="AT321" i="2"/>
  <c r="AM322" i="2"/>
  <c r="AN322" i="2"/>
  <c r="AO322" i="2"/>
  <c r="AP322" i="2"/>
  <c r="AQ322" i="2"/>
  <c r="AR322" i="2"/>
  <c r="AS322" i="2"/>
  <c r="AT322" i="2"/>
  <c r="AM323" i="2"/>
  <c r="AN323" i="2"/>
  <c r="AO323" i="2"/>
  <c r="AP323" i="2"/>
  <c r="AQ323" i="2"/>
  <c r="AR323" i="2"/>
  <c r="AS323" i="2"/>
  <c r="AT323" i="2"/>
  <c r="AM324" i="2"/>
  <c r="AN324" i="2"/>
  <c r="AO324" i="2"/>
  <c r="AP324" i="2"/>
  <c r="AQ324" i="2"/>
  <c r="AR324" i="2"/>
  <c r="AS324" i="2"/>
  <c r="AT324" i="2"/>
  <c r="AM325" i="2"/>
  <c r="AN325" i="2"/>
  <c r="AO325" i="2"/>
  <c r="AP325" i="2"/>
  <c r="AQ325" i="2"/>
  <c r="AR325" i="2"/>
  <c r="AS325" i="2"/>
  <c r="AT325" i="2"/>
  <c r="AM326" i="2"/>
  <c r="AN326" i="2"/>
  <c r="AO326" i="2"/>
  <c r="AP326" i="2"/>
  <c r="AQ326" i="2"/>
  <c r="AR326" i="2"/>
  <c r="AS326" i="2"/>
  <c r="AT326" i="2"/>
  <c r="AM327" i="2"/>
  <c r="AN327" i="2"/>
  <c r="AO327" i="2"/>
  <c r="AP327" i="2"/>
  <c r="AQ327" i="2"/>
  <c r="AR327" i="2"/>
  <c r="AS327" i="2"/>
  <c r="AT327" i="2"/>
  <c r="AM328" i="2"/>
  <c r="AN328" i="2"/>
  <c r="AO328" i="2"/>
  <c r="AP328" i="2"/>
  <c r="AQ328" i="2"/>
  <c r="AR328" i="2"/>
  <c r="AS328" i="2"/>
  <c r="AT328" i="2"/>
  <c r="AM329" i="2"/>
  <c r="AN329" i="2"/>
  <c r="AO329" i="2"/>
  <c r="AP329" i="2"/>
  <c r="AQ329" i="2"/>
  <c r="AR329" i="2"/>
  <c r="AS329" i="2"/>
  <c r="AT329" i="2"/>
  <c r="AM330" i="2"/>
  <c r="AN330" i="2"/>
  <c r="AO330" i="2"/>
  <c r="AP330" i="2"/>
  <c r="AQ330" i="2"/>
  <c r="AR330" i="2"/>
  <c r="AS330" i="2"/>
  <c r="AT330" i="2"/>
  <c r="AM331" i="2"/>
  <c r="AN331" i="2"/>
  <c r="AO331" i="2"/>
  <c r="AP331" i="2"/>
  <c r="AQ331" i="2"/>
  <c r="AR331" i="2"/>
  <c r="AS331" i="2"/>
  <c r="AT331" i="2"/>
  <c r="AM332" i="2"/>
  <c r="AN332" i="2"/>
  <c r="AO332" i="2"/>
  <c r="AP332" i="2"/>
  <c r="AQ332" i="2"/>
  <c r="AR332" i="2"/>
  <c r="AS332" i="2"/>
  <c r="AT332" i="2"/>
  <c r="AM333" i="2"/>
  <c r="AN333" i="2"/>
  <c r="AO333" i="2"/>
  <c r="AP333" i="2"/>
  <c r="AQ333" i="2"/>
  <c r="AR333" i="2"/>
  <c r="AS333" i="2"/>
  <c r="AT333" i="2"/>
  <c r="AM334" i="2"/>
  <c r="AN334" i="2"/>
  <c r="AO334" i="2"/>
  <c r="AP334" i="2"/>
  <c r="AQ334" i="2"/>
  <c r="AR334" i="2"/>
  <c r="AS334" i="2"/>
  <c r="AT334" i="2"/>
  <c r="AM335" i="2"/>
  <c r="AN335" i="2"/>
  <c r="AO335" i="2"/>
  <c r="AP335" i="2"/>
  <c r="AQ335" i="2"/>
  <c r="AR335" i="2"/>
  <c r="AS335" i="2"/>
  <c r="AT335" i="2"/>
  <c r="AM336" i="2"/>
  <c r="AN336" i="2"/>
  <c r="AO336" i="2"/>
  <c r="AP336" i="2"/>
  <c r="AQ336" i="2"/>
  <c r="AR336" i="2"/>
  <c r="AS336" i="2"/>
  <c r="AT336" i="2"/>
  <c r="AM337" i="2"/>
  <c r="AN337" i="2"/>
  <c r="AO337" i="2"/>
  <c r="AP337" i="2"/>
  <c r="AQ337" i="2"/>
  <c r="AR337" i="2"/>
  <c r="AS337" i="2"/>
  <c r="AT337" i="2"/>
  <c r="AM338" i="2"/>
  <c r="AN338" i="2"/>
  <c r="AO338" i="2"/>
  <c r="AP338" i="2"/>
  <c r="AQ338" i="2"/>
  <c r="AR338" i="2"/>
  <c r="AS338" i="2"/>
  <c r="AT338" i="2"/>
  <c r="AM339" i="2"/>
  <c r="AN339" i="2"/>
  <c r="AO339" i="2"/>
  <c r="AP339" i="2"/>
  <c r="AQ339" i="2"/>
  <c r="AR339" i="2"/>
  <c r="AS339" i="2"/>
  <c r="AT339" i="2"/>
  <c r="AM340" i="2"/>
  <c r="AN340" i="2"/>
  <c r="AO340" i="2"/>
  <c r="AP340" i="2"/>
  <c r="AQ340" i="2"/>
  <c r="AR340" i="2"/>
  <c r="AS340" i="2"/>
  <c r="AT340" i="2"/>
  <c r="AM341" i="2"/>
  <c r="AN341" i="2"/>
  <c r="AO341" i="2"/>
  <c r="AP341" i="2"/>
  <c r="AQ341" i="2"/>
  <c r="AR341" i="2"/>
  <c r="AS341" i="2"/>
  <c r="AT341" i="2"/>
  <c r="AM342" i="2"/>
  <c r="AN342" i="2"/>
  <c r="AO342" i="2"/>
  <c r="AP342" i="2"/>
  <c r="AQ342" i="2"/>
  <c r="AR342" i="2"/>
  <c r="AS342" i="2"/>
  <c r="AT342" i="2"/>
  <c r="AM343" i="2"/>
  <c r="AN343" i="2"/>
  <c r="AO343" i="2"/>
  <c r="AP343" i="2"/>
  <c r="AQ343" i="2"/>
  <c r="AR343" i="2"/>
  <c r="AS343" i="2"/>
  <c r="AT343" i="2"/>
  <c r="AM344" i="2"/>
  <c r="AN344" i="2"/>
  <c r="AO344" i="2"/>
  <c r="AP344" i="2"/>
  <c r="AQ344" i="2"/>
  <c r="AR344" i="2"/>
  <c r="AS344" i="2"/>
  <c r="AT344" i="2"/>
  <c r="AM345" i="2"/>
  <c r="AN345" i="2"/>
  <c r="AO345" i="2"/>
  <c r="AP345" i="2"/>
  <c r="AQ345" i="2"/>
  <c r="AR345" i="2"/>
  <c r="AS345" i="2"/>
  <c r="AT345" i="2"/>
  <c r="AM346" i="2"/>
  <c r="AN346" i="2"/>
  <c r="AO346" i="2"/>
  <c r="AP346" i="2"/>
  <c r="AQ346" i="2"/>
  <c r="AR346" i="2"/>
  <c r="AS346" i="2"/>
  <c r="AT346" i="2"/>
  <c r="AM347" i="2"/>
  <c r="AN347" i="2"/>
  <c r="AO347" i="2"/>
  <c r="AP347" i="2"/>
  <c r="AQ347" i="2"/>
  <c r="AR347" i="2"/>
  <c r="AS347" i="2"/>
  <c r="AT347" i="2"/>
  <c r="AM348" i="2"/>
  <c r="AN348" i="2"/>
  <c r="AO348" i="2"/>
  <c r="AP348" i="2"/>
  <c r="AQ348" i="2"/>
  <c r="AR348" i="2"/>
  <c r="AS348" i="2"/>
  <c r="AT348" i="2"/>
  <c r="AM349" i="2"/>
  <c r="AN349" i="2"/>
  <c r="AO349" i="2"/>
  <c r="AP349" i="2"/>
  <c r="AQ349" i="2"/>
  <c r="AR349" i="2"/>
  <c r="AS349" i="2"/>
  <c r="AT349" i="2"/>
  <c r="AM350" i="2"/>
  <c r="AN350" i="2"/>
  <c r="AO350" i="2"/>
  <c r="AP350" i="2"/>
  <c r="AQ350" i="2"/>
  <c r="AR350" i="2"/>
  <c r="AS350" i="2"/>
  <c r="AT350" i="2"/>
  <c r="AM351" i="2"/>
  <c r="AN351" i="2"/>
  <c r="AO351" i="2"/>
  <c r="AP351" i="2"/>
  <c r="AQ351" i="2"/>
  <c r="AR351" i="2"/>
  <c r="AS351" i="2"/>
  <c r="AT351" i="2"/>
  <c r="AM352" i="2"/>
  <c r="AN352" i="2"/>
  <c r="AO352" i="2"/>
  <c r="AP352" i="2"/>
  <c r="AQ352" i="2"/>
  <c r="AR352" i="2"/>
  <c r="AS352" i="2"/>
  <c r="AT352" i="2"/>
  <c r="AM353" i="2"/>
  <c r="AN353" i="2"/>
  <c r="AO353" i="2"/>
  <c r="AP353" i="2"/>
  <c r="AQ353" i="2"/>
  <c r="AR353" i="2"/>
  <c r="AS353" i="2"/>
  <c r="AT353" i="2"/>
  <c r="AM354" i="2"/>
  <c r="AN354" i="2"/>
  <c r="AO354" i="2"/>
  <c r="AP354" i="2"/>
  <c r="AQ354" i="2"/>
  <c r="AR354" i="2"/>
  <c r="AS354" i="2"/>
  <c r="AT354" i="2"/>
  <c r="AM355" i="2"/>
  <c r="AN355" i="2"/>
  <c r="AO355" i="2"/>
  <c r="AP355" i="2"/>
  <c r="AQ355" i="2"/>
  <c r="AR355" i="2"/>
  <c r="AS355" i="2"/>
  <c r="AT355" i="2"/>
  <c r="AM356" i="2"/>
  <c r="AN356" i="2"/>
  <c r="AO356" i="2"/>
  <c r="AP356" i="2"/>
  <c r="AQ356" i="2"/>
  <c r="AR356" i="2"/>
  <c r="AS356" i="2"/>
  <c r="AT356" i="2"/>
  <c r="AM357" i="2"/>
  <c r="AN357" i="2"/>
  <c r="AO357" i="2"/>
  <c r="AP357" i="2"/>
  <c r="AQ357" i="2"/>
  <c r="AR357" i="2"/>
  <c r="AS357" i="2"/>
  <c r="AT357" i="2"/>
  <c r="AM358" i="2"/>
  <c r="AN358" i="2"/>
  <c r="AO358" i="2"/>
  <c r="AP358" i="2"/>
  <c r="AQ358" i="2"/>
  <c r="AR358" i="2"/>
  <c r="AS358" i="2"/>
  <c r="AT358" i="2"/>
  <c r="AM359" i="2"/>
  <c r="AN359" i="2"/>
  <c r="AO359" i="2"/>
  <c r="AP359" i="2"/>
  <c r="AQ359" i="2"/>
  <c r="AR359" i="2"/>
  <c r="AS359" i="2"/>
  <c r="AT359" i="2"/>
  <c r="AM360" i="2"/>
  <c r="AN360" i="2"/>
  <c r="AO360" i="2"/>
  <c r="AP360" i="2"/>
  <c r="AQ360" i="2"/>
  <c r="AR360" i="2"/>
  <c r="AS360" i="2"/>
  <c r="AT360" i="2"/>
  <c r="AM361" i="2"/>
  <c r="AN361" i="2"/>
  <c r="AO361" i="2"/>
  <c r="AP361" i="2"/>
  <c r="AQ361" i="2"/>
  <c r="AR361" i="2"/>
  <c r="AS361" i="2"/>
  <c r="AT361" i="2"/>
  <c r="AM362" i="2"/>
  <c r="AN362" i="2"/>
  <c r="AO362" i="2"/>
  <c r="AP362" i="2"/>
  <c r="AQ362" i="2"/>
  <c r="AR362" i="2"/>
  <c r="AS362" i="2"/>
  <c r="AT362" i="2"/>
  <c r="AM363" i="2"/>
  <c r="AN363" i="2"/>
  <c r="AO363" i="2"/>
  <c r="AP363" i="2"/>
  <c r="AQ363" i="2"/>
  <c r="AR363" i="2"/>
  <c r="AS363" i="2"/>
  <c r="AT363" i="2"/>
  <c r="AM364" i="2"/>
  <c r="AN364" i="2"/>
  <c r="AO364" i="2"/>
  <c r="AP364" i="2"/>
  <c r="AQ364" i="2"/>
  <c r="AR364" i="2"/>
  <c r="AS364" i="2"/>
  <c r="AT364" i="2"/>
  <c r="AM365" i="2"/>
  <c r="AN365" i="2"/>
  <c r="AO365" i="2"/>
  <c r="AP365" i="2"/>
  <c r="AQ365" i="2"/>
  <c r="AR365" i="2"/>
  <c r="AS365" i="2"/>
  <c r="AT365" i="2"/>
  <c r="AM366" i="2"/>
  <c r="AN366" i="2"/>
  <c r="AO366" i="2"/>
  <c r="AP366" i="2"/>
  <c r="AQ366" i="2"/>
  <c r="AR366" i="2"/>
  <c r="AS366" i="2"/>
  <c r="AT366" i="2"/>
  <c r="AM367" i="2"/>
  <c r="AN367" i="2"/>
  <c r="AO367" i="2"/>
  <c r="AP367" i="2"/>
  <c r="AQ367" i="2"/>
  <c r="AR367" i="2"/>
  <c r="AS367" i="2"/>
  <c r="AT367" i="2"/>
  <c r="AM368" i="2"/>
  <c r="AN368" i="2"/>
  <c r="AO368" i="2"/>
  <c r="AP368" i="2"/>
  <c r="AQ368" i="2"/>
  <c r="AR368" i="2"/>
  <c r="AS368" i="2"/>
  <c r="AT368" i="2"/>
  <c r="AM369" i="2"/>
  <c r="AN369" i="2"/>
  <c r="AO369" i="2"/>
  <c r="AP369" i="2"/>
  <c r="AQ369" i="2"/>
  <c r="AR369" i="2"/>
  <c r="AS369" i="2"/>
  <c r="AT369" i="2"/>
  <c r="AM370" i="2"/>
  <c r="AN370" i="2"/>
  <c r="AO370" i="2"/>
  <c r="AP370" i="2"/>
  <c r="AQ370" i="2"/>
  <c r="AR370" i="2"/>
  <c r="AS370" i="2"/>
  <c r="AT370" i="2"/>
  <c r="AM371" i="2"/>
  <c r="AN371" i="2"/>
  <c r="AO371" i="2"/>
  <c r="AP371" i="2"/>
  <c r="AQ371" i="2"/>
  <c r="AR371" i="2"/>
  <c r="AS371" i="2"/>
  <c r="AT371" i="2"/>
  <c r="AM372" i="2"/>
  <c r="AN372" i="2"/>
  <c r="AO372" i="2"/>
  <c r="AP372" i="2"/>
  <c r="AQ372" i="2"/>
  <c r="AR372" i="2"/>
  <c r="AS372" i="2"/>
  <c r="AT372" i="2"/>
  <c r="AM373" i="2"/>
  <c r="AN373" i="2"/>
  <c r="AO373" i="2"/>
  <c r="AP373" i="2"/>
  <c r="AQ373" i="2"/>
  <c r="AR373" i="2"/>
  <c r="AS373" i="2"/>
  <c r="AT373" i="2"/>
  <c r="AM374" i="2"/>
  <c r="AN374" i="2"/>
  <c r="AO374" i="2"/>
  <c r="AP374" i="2"/>
  <c r="AQ374" i="2"/>
  <c r="AR374" i="2"/>
  <c r="AS374" i="2"/>
  <c r="AT374" i="2"/>
  <c r="AM375" i="2"/>
  <c r="AN375" i="2"/>
  <c r="AO375" i="2"/>
  <c r="AP375" i="2"/>
  <c r="AQ375" i="2"/>
  <c r="AR375" i="2"/>
  <c r="AS375" i="2"/>
  <c r="AT375" i="2"/>
  <c r="AM376" i="2"/>
  <c r="AN376" i="2"/>
  <c r="AO376" i="2"/>
  <c r="AP376" i="2"/>
  <c r="AQ376" i="2"/>
  <c r="AR376" i="2"/>
  <c r="AS376" i="2"/>
  <c r="AT376" i="2"/>
  <c r="AM377" i="2"/>
  <c r="AN377" i="2"/>
  <c r="AO377" i="2"/>
  <c r="AP377" i="2"/>
  <c r="AQ377" i="2"/>
  <c r="AR377" i="2"/>
  <c r="AS377" i="2"/>
  <c r="AT377" i="2"/>
  <c r="AM378" i="2"/>
  <c r="AN378" i="2"/>
  <c r="AO378" i="2"/>
  <c r="AP378" i="2"/>
  <c r="AQ378" i="2"/>
  <c r="AR378" i="2"/>
  <c r="AS378" i="2"/>
  <c r="AT378" i="2"/>
  <c r="AM379" i="2"/>
  <c r="AN379" i="2"/>
  <c r="AO379" i="2"/>
  <c r="AP379" i="2"/>
  <c r="AQ379" i="2"/>
  <c r="AR379" i="2"/>
  <c r="AS379" i="2"/>
  <c r="AT379" i="2"/>
  <c r="AM380" i="2"/>
  <c r="AN380" i="2"/>
  <c r="AO380" i="2"/>
  <c r="AP380" i="2"/>
  <c r="AQ380" i="2"/>
  <c r="AR380" i="2"/>
  <c r="AS380" i="2"/>
  <c r="AT380" i="2"/>
  <c r="AM381" i="2"/>
  <c r="AN381" i="2"/>
  <c r="AO381" i="2"/>
  <c r="AP381" i="2"/>
  <c r="AQ381" i="2"/>
  <c r="AR381" i="2"/>
  <c r="AS381" i="2"/>
  <c r="AT381" i="2"/>
  <c r="AM382" i="2"/>
  <c r="AN382" i="2"/>
  <c r="AO382" i="2"/>
  <c r="AP382" i="2"/>
  <c r="AQ382" i="2"/>
  <c r="AR382" i="2"/>
  <c r="AS382" i="2"/>
  <c r="AT382" i="2"/>
  <c r="AM383" i="2"/>
  <c r="AN383" i="2"/>
  <c r="AO383" i="2"/>
  <c r="AP383" i="2"/>
  <c r="AQ383" i="2"/>
  <c r="AR383" i="2"/>
  <c r="AS383" i="2"/>
  <c r="AT383" i="2"/>
  <c r="AM384" i="2"/>
  <c r="AN384" i="2"/>
  <c r="AO384" i="2"/>
  <c r="AP384" i="2"/>
  <c r="AQ384" i="2"/>
  <c r="AR384" i="2"/>
  <c r="AS384" i="2"/>
  <c r="AT384" i="2"/>
  <c r="AM385" i="2"/>
  <c r="AN385" i="2"/>
  <c r="AO385" i="2"/>
  <c r="AP385" i="2"/>
  <c r="AQ385" i="2"/>
  <c r="AR385" i="2"/>
  <c r="AS385" i="2"/>
  <c r="AT385" i="2"/>
  <c r="AM386" i="2"/>
  <c r="AN386" i="2"/>
  <c r="AO386" i="2"/>
  <c r="AP386" i="2"/>
  <c r="AQ386" i="2"/>
  <c r="AR386" i="2"/>
  <c r="AS386" i="2"/>
  <c r="AT386" i="2"/>
  <c r="AM387" i="2"/>
  <c r="AN387" i="2"/>
  <c r="AO387" i="2"/>
  <c r="AP387" i="2"/>
  <c r="AQ387" i="2"/>
  <c r="AR387" i="2"/>
  <c r="AS387" i="2"/>
  <c r="AT387" i="2"/>
  <c r="AM388" i="2"/>
  <c r="AN388" i="2"/>
  <c r="AO388" i="2"/>
  <c r="AP388" i="2"/>
  <c r="AQ388" i="2"/>
  <c r="AR388" i="2"/>
  <c r="AS388" i="2"/>
  <c r="AT388" i="2"/>
  <c r="AM389" i="2"/>
  <c r="AN389" i="2"/>
  <c r="AO389" i="2"/>
  <c r="AP389" i="2"/>
  <c r="AQ389" i="2"/>
  <c r="AR389" i="2"/>
  <c r="AS389" i="2"/>
  <c r="AT389" i="2"/>
  <c r="AM390" i="2"/>
  <c r="AN390" i="2"/>
  <c r="AO390" i="2"/>
  <c r="AP390" i="2"/>
  <c r="AQ390" i="2"/>
  <c r="AR390" i="2"/>
  <c r="AS390" i="2"/>
  <c r="AT390" i="2"/>
  <c r="AM391" i="2"/>
  <c r="AN391" i="2"/>
  <c r="AO391" i="2"/>
  <c r="AP391" i="2"/>
  <c r="AQ391" i="2"/>
  <c r="AR391" i="2"/>
  <c r="AS391" i="2"/>
  <c r="AT391" i="2"/>
  <c r="AM392" i="2"/>
  <c r="AN392" i="2"/>
  <c r="AO392" i="2"/>
  <c r="AP392" i="2"/>
  <c r="AQ392" i="2"/>
  <c r="AR392" i="2"/>
  <c r="AS392" i="2"/>
  <c r="AT392" i="2"/>
  <c r="AM393" i="2"/>
  <c r="AN393" i="2"/>
  <c r="AO393" i="2"/>
  <c r="AP393" i="2"/>
  <c r="AQ393" i="2"/>
  <c r="AR393" i="2"/>
  <c r="AS393" i="2"/>
  <c r="AT393" i="2"/>
  <c r="AM394" i="2"/>
  <c r="AN394" i="2"/>
  <c r="AO394" i="2"/>
  <c r="AP394" i="2"/>
  <c r="AQ394" i="2"/>
  <c r="AR394" i="2"/>
  <c r="AS394" i="2"/>
  <c r="AT394" i="2"/>
  <c r="AM395" i="2"/>
  <c r="AN395" i="2"/>
  <c r="AO395" i="2"/>
  <c r="AP395" i="2"/>
  <c r="AQ395" i="2"/>
  <c r="AR395" i="2"/>
  <c r="AS395" i="2"/>
  <c r="AT395" i="2"/>
  <c r="AM396" i="2"/>
  <c r="AN396" i="2"/>
  <c r="AO396" i="2"/>
  <c r="AP396" i="2"/>
  <c r="AQ396" i="2"/>
  <c r="AR396" i="2"/>
  <c r="AS396" i="2"/>
  <c r="AT396" i="2"/>
  <c r="AM397" i="2"/>
  <c r="AN397" i="2"/>
  <c r="AO397" i="2"/>
  <c r="AP397" i="2"/>
  <c r="AQ397" i="2"/>
  <c r="AR397" i="2"/>
  <c r="AS397" i="2"/>
  <c r="AT397" i="2"/>
  <c r="AM398" i="2"/>
  <c r="AN398" i="2"/>
  <c r="AO398" i="2"/>
  <c r="AP398" i="2"/>
  <c r="AQ398" i="2"/>
  <c r="AR398" i="2"/>
  <c r="AS398" i="2"/>
  <c r="AT398" i="2"/>
  <c r="AM399" i="2"/>
  <c r="AN399" i="2"/>
  <c r="AO399" i="2"/>
  <c r="AP399" i="2"/>
  <c r="AQ399" i="2"/>
  <c r="AR399" i="2"/>
  <c r="AS399" i="2"/>
  <c r="AT399" i="2"/>
  <c r="AM400" i="2"/>
  <c r="AN400" i="2"/>
  <c r="AO400" i="2"/>
  <c r="AP400" i="2"/>
  <c r="AQ400" i="2"/>
  <c r="AR400" i="2"/>
  <c r="AS400" i="2"/>
  <c r="AT400" i="2"/>
  <c r="AM401" i="2"/>
  <c r="AN401" i="2"/>
  <c r="AO401" i="2"/>
  <c r="AP401" i="2"/>
  <c r="AQ401" i="2"/>
  <c r="AR401" i="2"/>
  <c r="AS401" i="2"/>
  <c r="AT401" i="2"/>
  <c r="AM402" i="2"/>
  <c r="AN402" i="2"/>
  <c r="AO402" i="2"/>
  <c r="AP402" i="2"/>
  <c r="AQ402" i="2"/>
  <c r="AR402" i="2"/>
  <c r="AS402" i="2"/>
  <c r="AT402" i="2"/>
  <c r="AM403" i="2"/>
  <c r="AN403" i="2"/>
  <c r="AO403" i="2"/>
  <c r="AP403" i="2"/>
  <c r="AQ403" i="2"/>
  <c r="AR403" i="2"/>
  <c r="AS403" i="2"/>
  <c r="AT403" i="2"/>
  <c r="AM404" i="2"/>
  <c r="AN404" i="2"/>
  <c r="AO404" i="2"/>
  <c r="AP404" i="2"/>
  <c r="AQ404" i="2"/>
  <c r="AR404" i="2"/>
  <c r="AS404" i="2"/>
  <c r="AT404" i="2"/>
  <c r="AM405" i="2"/>
  <c r="AN405" i="2"/>
  <c r="AO405" i="2"/>
  <c r="AP405" i="2"/>
  <c r="AQ405" i="2"/>
  <c r="AR405" i="2"/>
  <c r="AS405" i="2"/>
  <c r="AT405" i="2"/>
  <c r="AM406" i="2"/>
  <c r="AN406" i="2"/>
  <c r="AO406" i="2"/>
  <c r="AP406" i="2"/>
  <c r="AQ406" i="2"/>
  <c r="AR406" i="2"/>
  <c r="AS406" i="2"/>
  <c r="AT406" i="2"/>
  <c r="AM407" i="2"/>
  <c r="AN407" i="2"/>
  <c r="AO407" i="2"/>
  <c r="AP407" i="2"/>
  <c r="AQ407" i="2"/>
  <c r="AR407" i="2"/>
  <c r="AS407" i="2"/>
  <c r="AT407" i="2"/>
  <c r="AM408" i="2"/>
  <c r="AN408" i="2"/>
  <c r="AO408" i="2"/>
  <c r="AP408" i="2"/>
  <c r="AQ408" i="2"/>
  <c r="AR408" i="2"/>
  <c r="AS408" i="2"/>
  <c r="AT408" i="2"/>
  <c r="AM409" i="2"/>
  <c r="AN409" i="2"/>
  <c r="AO409" i="2"/>
  <c r="AP409" i="2"/>
  <c r="AQ409" i="2"/>
  <c r="AR409" i="2"/>
  <c r="AS409" i="2"/>
  <c r="AT409" i="2"/>
  <c r="AM410" i="2"/>
  <c r="AN410" i="2"/>
  <c r="AO410" i="2"/>
  <c r="AP410" i="2"/>
  <c r="AQ410" i="2"/>
  <c r="AR410" i="2"/>
  <c r="AS410" i="2"/>
  <c r="AT410" i="2"/>
  <c r="AM411" i="2"/>
  <c r="AN411" i="2"/>
  <c r="AO411" i="2"/>
  <c r="AP411" i="2"/>
  <c r="AQ411" i="2"/>
  <c r="AR411" i="2"/>
  <c r="AS411" i="2"/>
  <c r="AT411" i="2"/>
  <c r="AM412" i="2"/>
  <c r="AN412" i="2"/>
  <c r="AO412" i="2"/>
  <c r="AP412" i="2"/>
  <c r="AQ412" i="2"/>
  <c r="AR412" i="2"/>
  <c r="AS412" i="2"/>
  <c r="AT412" i="2"/>
  <c r="AM413" i="2"/>
  <c r="AN413" i="2"/>
  <c r="AO413" i="2"/>
  <c r="AP413" i="2"/>
  <c r="AQ413" i="2"/>
  <c r="AR413" i="2"/>
  <c r="AS413" i="2"/>
  <c r="AT413" i="2"/>
  <c r="AM414" i="2"/>
  <c r="AN414" i="2"/>
  <c r="AO414" i="2"/>
  <c r="AP414" i="2"/>
  <c r="AQ414" i="2"/>
  <c r="AR414" i="2"/>
  <c r="AS414" i="2"/>
  <c r="AT414" i="2"/>
  <c r="AM415" i="2"/>
  <c r="AN415" i="2"/>
  <c r="AO415" i="2"/>
  <c r="AP415" i="2"/>
  <c r="AQ415" i="2"/>
  <c r="AR415" i="2"/>
  <c r="AS415" i="2"/>
  <c r="AT415" i="2"/>
  <c r="AM416" i="2"/>
  <c r="AN416" i="2"/>
  <c r="AO416" i="2"/>
  <c r="AP416" i="2"/>
  <c r="AQ416" i="2"/>
  <c r="AR416" i="2"/>
  <c r="AS416" i="2"/>
  <c r="AT416" i="2"/>
  <c r="AM417" i="2"/>
  <c r="AN417" i="2"/>
  <c r="AO417" i="2"/>
  <c r="AP417" i="2"/>
  <c r="AQ417" i="2"/>
  <c r="AR417" i="2"/>
  <c r="AS417" i="2"/>
  <c r="AT417" i="2"/>
  <c r="AM418" i="2"/>
  <c r="AN418" i="2"/>
  <c r="AO418" i="2"/>
  <c r="AP418" i="2"/>
  <c r="AQ418" i="2"/>
  <c r="AR418" i="2"/>
  <c r="AS418" i="2"/>
  <c r="AT418" i="2"/>
  <c r="AM419" i="2"/>
  <c r="AN419" i="2"/>
  <c r="AO419" i="2"/>
  <c r="AP419" i="2"/>
  <c r="AQ419" i="2"/>
  <c r="AR419" i="2"/>
  <c r="AS419" i="2"/>
  <c r="AT419" i="2"/>
  <c r="AM420" i="2"/>
  <c r="AN420" i="2"/>
  <c r="AO420" i="2"/>
  <c r="AP420" i="2"/>
  <c r="AQ420" i="2"/>
  <c r="AR420" i="2"/>
  <c r="AS420" i="2"/>
  <c r="AT420" i="2"/>
  <c r="AM421" i="2"/>
  <c r="AN421" i="2"/>
  <c r="AO421" i="2"/>
  <c r="AP421" i="2"/>
  <c r="AQ421" i="2"/>
  <c r="AR421" i="2"/>
  <c r="AS421" i="2"/>
  <c r="AT421" i="2"/>
  <c r="AM422" i="2"/>
  <c r="AN422" i="2"/>
  <c r="AO422" i="2"/>
  <c r="AP422" i="2"/>
  <c r="AQ422" i="2"/>
  <c r="AR422" i="2"/>
  <c r="AS422" i="2"/>
  <c r="AT422" i="2"/>
  <c r="AM423" i="2"/>
  <c r="AN423" i="2"/>
  <c r="AO423" i="2"/>
  <c r="AP423" i="2"/>
  <c r="AQ423" i="2"/>
  <c r="AR423" i="2"/>
  <c r="AS423" i="2"/>
  <c r="AT423" i="2"/>
  <c r="AM424" i="2"/>
  <c r="AN424" i="2"/>
  <c r="AO424" i="2"/>
  <c r="AP424" i="2"/>
  <c r="AQ424" i="2"/>
  <c r="AR424" i="2"/>
  <c r="AS424" i="2"/>
  <c r="AT424" i="2"/>
  <c r="AM425" i="2"/>
  <c r="AN425" i="2"/>
  <c r="AO425" i="2"/>
  <c r="AP425" i="2"/>
  <c r="AQ425" i="2"/>
  <c r="AR425" i="2"/>
  <c r="AS425" i="2"/>
  <c r="AT425" i="2"/>
  <c r="AM426" i="2"/>
  <c r="AN426" i="2"/>
  <c r="AO426" i="2"/>
  <c r="AP426" i="2"/>
  <c r="AQ426" i="2"/>
  <c r="AR426" i="2"/>
  <c r="AS426" i="2"/>
  <c r="AT426" i="2"/>
  <c r="AM427" i="2"/>
  <c r="AN427" i="2"/>
  <c r="AO427" i="2"/>
  <c r="AP427" i="2"/>
  <c r="AQ427" i="2"/>
  <c r="AR427" i="2"/>
  <c r="AS427" i="2"/>
  <c r="AT427" i="2"/>
  <c r="AM428" i="2"/>
  <c r="AN428" i="2"/>
  <c r="AO428" i="2"/>
  <c r="AP428" i="2"/>
  <c r="AQ428" i="2"/>
  <c r="AR428" i="2"/>
  <c r="AS428" i="2"/>
  <c r="AT428" i="2"/>
  <c r="AM429" i="2"/>
  <c r="AN429" i="2"/>
  <c r="AO429" i="2"/>
  <c r="AP429" i="2"/>
  <c r="AQ429" i="2"/>
  <c r="AR429" i="2"/>
  <c r="AS429" i="2"/>
  <c r="AT429" i="2"/>
  <c r="AM430" i="2"/>
  <c r="AN430" i="2"/>
  <c r="AO430" i="2"/>
  <c r="AP430" i="2"/>
  <c r="AQ430" i="2"/>
  <c r="AR430" i="2"/>
  <c r="AS430" i="2"/>
  <c r="AT430" i="2"/>
  <c r="AM431" i="2"/>
  <c r="AN431" i="2"/>
  <c r="AO431" i="2"/>
  <c r="AP431" i="2"/>
  <c r="AQ431" i="2"/>
  <c r="AR431" i="2"/>
  <c r="AS431" i="2"/>
  <c r="AT431" i="2"/>
  <c r="AM432" i="2"/>
  <c r="AN432" i="2"/>
  <c r="AO432" i="2"/>
  <c r="AP432" i="2"/>
  <c r="AQ432" i="2"/>
  <c r="AR432" i="2"/>
  <c r="AS432" i="2"/>
  <c r="AT432" i="2"/>
  <c r="AM433" i="2"/>
  <c r="AN433" i="2"/>
  <c r="AO433" i="2"/>
  <c r="AP433" i="2"/>
  <c r="AQ433" i="2"/>
  <c r="AR433" i="2"/>
  <c r="AS433" i="2"/>
  <c r="AT433" i="2"/>
  <c r="AM434" i="2"/>
  <c r="AN434" i="2"/>
  <c r="AO434" i="2"/>
  <c r="AP434" i="2"/>
  <c r="AQ434" i="2"/>
  <c r="AR434" i="2"/>
  <c r="AS434" i="2"/>
  <c r="AT434" i="2"/>
  <c r="AM435" i="2"/>
  <c r="AN435" i="2"/>
  <c r="AO435" i="2"/>
  <c r="AP435" i="2"/>
  <c r="AQ435" i="2"/>
  <c r="AR435" i="2"/>
  <c r="AS435" i="2"/>
  <c r="AT435" i="2"/>
  <c r="AM436" i="2"/>
  <c r="AN436" i="2"/>
  <c r="AO436" i="2"/>
  <c r="AP436" i="2"/>
  <c r="AQ436" i="2"/>
  <c r="AR436" i="2"/>
  <c r="AS436" i="2"/>
  <c r="AT436" i="2"/>
  <c r="AM437" i="2"/>
  <c r="AN437" i="2"/>
  <c r="AO437" i="2"/>
  <c r="AP437" i="2"/>
  <c r="AQ437" i="2"/>
  <c r="AR437" i="2"/>
  <c r="AS437" i="2"/>
  <c r="AT437" i="2"/>
  <c r="AM438" i="2"/>
  <c r="AN438" i="2"/>
  <c r="AO438" i="2"/>
  <c r="AP438" i="2"/>
  <c r="AQ438" i="2"/>
  <c r="AR438" i="2"/>
  <c r="AS438" i="2"/>
  <c r="AT438" i="2"/>
  <c r="AM439" i="2"/>
  <c r="AN439" i="2"/>
  <c r="AO439" i="2"/>
  <c r="AP439" i="2"/>
  <c r="AQ439" i="2"/>
  <c r="AR439" i="2"/>
  <c r="AS439" i="2"/>
  <c r="AT439" i="2"/>
  <c r="AM440" i="2"/>
  <c r="AN440" i="2"/>
  <c r="AO440" i="2"/>
  <c r="AP440" i="2"/>
  <c r="AQ440" i="2"/>
  <c r="AR440" i="2"/>
  <c r="AS440" i="2"/>
  <c r="AT440" i="2"/>
  <c r="AM441" i="2"/>
  <c r="AN441" i="2"/>
  <c r="AO441" i="2"/>
  <c r="AP441" i="2"/>
  <c r="AQ441" i="2"/>
  <c r="AR441" i="2"/>
  <c r="AS441" i="2"/>
  <c r="AT441" i="2"/>
  <c r="AM442" i="2"/>
  <c r="AN442" i="2"/>
  <c r="AO442" i="2"/>
  <c r="AP442" i="2"/>
  <c r="AQ442" i="2"/>
  <c r="AR442" i="2"/>
  <c r="AS442" i="2"/>
  <c r="AT442" i="2"/>
  <c r="AM443" i="2"/>
  <c r="AN443" i="2"/>
  <c r="AO443" i="2"/>
  <c r="AP443" i="2"/>
  <c r="AQ443" i="2"/>
  <c r="AR443" i="2"/>
  <c r="AS443" i="2"/>
  <c r="AT443" i="2"/>
  <c r="AM444" i="2"/>
  <c r="AN444" i="2"/>
  <c r="AO444" i="2"/>
  <c r="AP444" i="2"/>
  <c r="AQ444" i="2"/>
  <c r="AR444" i="2"/>
  <c r="AS444" i="2"/>
  <c r="AT444" i="2"/>
  <c r="AM445" i="2"/>
  <c r="AN445" i="2"/>
  <c r="AO445" i="2"/>
  <c r="AP445" i="2"/>
  <c r="AQ445" i="2"/>
  <c r="AR445" i="2"/>
  <c r="AS445" i="2"/>
  <c r="AT445" i="2"/>
  <c r="AM446" i="2"/>
  <c r="AN446" i="2"/>
  <c r="AO446" i="2"/>
  <c r="AP446" i="2"/>
  <c r="AQ446" i="2"/>
  <c r="AR446" i="2"/>
  <c r="AS446" i="2"/>
  <c r="AT446" i="2"/>
  <c r="AM447" i="2"/>
  <c r="AN447" i="2"/>
  <c r="AO447" i="2"/>
  <c r="AP447" i="2"/>
  <c r="AQ447" i="2"/>
  <c r="AR447" i="2"/>
  <c r="AS447" i="2"/>
  <c r="AT447" i="2"/>
  <c r="AM448" i="2"/>
  <c r="AN448" i="2"/>
  <c r="AO448" i="2"/>
  <c r="AP448" i="2"/>
  <c r="AQ448" i="2"/>
  <c r="AR448" i="2"/>
  <c r="AS448" i="2"/>
  <c r="AT448" i="2"/>
  <c r="AM449" i="2"/>
  <c r="AN449" i="2"/>
  <c r="AO449" i="2"/>
  <c r="AP449" i="2"/>
  <c r="AQ449" i="2"/>
  <c r="AR449" i="2"/>
  <c r="AS449" i="2"/>
  <c r="AT449" i="2"/>
  <c r="AM450" i="2"/>
  <c r="AN450" i="2"/>
  <c r="AO450" i="2"/>
  <c r="AP450" i="2"/>
  <c r="AQ450" i="2"/>
  <c r="AR450" i="2"/>
  <c r="AS450" i="2"/>
  <c r="AT450" i="2"/>
  <c r="AM451" i="2"/>
  <c r="AN451" i="2"/>
  <c r="AO451" i="2"/>
  <c r="AP451" i="2"/>
  <c r="AQ451" i="2"/>
  <c r="AR451" i="2"/>
  <c r="AS451" i="2"/>
  <c r="AT451" i="2"/>
  <c r="AM452" i="2"/>
  <c r="AN452" i="2"/>
  <c r="AO452" i="2"/>
  <c r="AP452" i="2"/>
  <c r="AQ452" i="2"/>
  <c r="AR452" i="2"/>
  <c r="AS452" i="2"/>
  <c r="AT452" i="2"/>
  <c r="AM453" i="2"/>
  <c r="AN453" i="2"/>
  <c r="AO453" i="2"/>
  <c r="AP453" i="2"/>
  <c r="AQ453" i="2"/>
  <c r="AR453" i="2"/>
  <c r="AS453" i="2"/>
  <c r="AT453" i="2"/>
  <c r="AM454" i="2"/>
  <c r="AN454" i="2"/>
  <c r="AO454" i="2"/>
  <c r="AP454" i="2"/>
  <c r="AQ454" i="2"/>
  <c r="AR454" i="2"/>
  <c r="AS454" i="2"/>
  <c r="AT454" i="2"/>
  <c r="AM455" i="2"/>
  <c r="AN455" i="2"/>
  <c r="AO455" i="2"/>
  <c r="AP455" i="2"/>
  <c r="AQ455" i="2"/>
  <c r="AR455" i="2"/>
  <c r="AS455" i="2"/>
  <c r="AT455" i="2"/>
  <c r="AM456" i="2"/>
  <c r="AN456" i="2"/>
  <c r="AO456" i="2"/>
  <c r="AP456" i="2"/>
  <c r="AQ456" i="2"/>
  <c r="AR456" i="2"/>
  <c r="AS456" i="2"/>
  <c r="AT456" i="2"/>
  <c r="AM457" i="2"/>
  <c r="AN457" i="2"/>
  <c r="AO457" i="2"/>
  <c r="AP457" i="2"/>
  <c r="AQ457" i="2"/>
  <c r="AR457" i="2"/>
  <c r="AS457" i="2"/>
  <c r="AT457" i="2"/>
  <c r="AM458" i="2"/>
  <c r="AN458" i="2"/>
  <c r="AO458" i="2"/>
  <c r="AP458" i="2"/>
  <c r="AQ458" i="2"/>
  <c r="AR458" i="2"/>
  <c r="AS458" i="2"/>
  <c r="AT458" i="2"/>
  <c r="AM459" i="2"/>
  <c r="AN459" i="2"/>
  <c r="AO459" i="2"/>
  <c r="AP459" i="2"/>
  <c r="AQ459" i="2"/>
  <c r="AR459" i="2"/>
  <c r="AS459" i="2"/>
  <c r="AT459" i="2"/>
  <c r="AM460" i="2"/>
  <c r="AN460" i="2"/>
  <c r="AO460" i="2"/>
  <c r="AP460" i="2"/>
  <c r="AQ460" i="2"/>
  <c r="AR460" i="2"/>
  <c r="AS460" i="2"/>
  <c r="AT460" i="2"/>
  <c r="AM461" i="2"/>
  <c r="AN461" i="2"/>
  <c r="AO461" i="2"/>
  <c r="AP461" i="2"/>
  <c r="AQ461" i="2"/>
  <c r="AR461" i="2"/>
  <c r="AS461" i="2"/>
  <c r="AT461" i="2"/>
  <c r="AM462" i="2"/>
  <c r="AN462" i="2"/>
  <c r="AO462" i="2"/>
  <c r="AP462" i="2"/>
  <c r="AQ462" i="2"/>
  <c r="AR462" i="2"/>
  <c r="AS462" i="2"/>
  <c r="AT462" i="2"/>
  <c r="AM463" i="2"/>
  <c r="AN463" i="2"/>
  <c r="AO463" i="2"/>
  <c r="AP463" i="2"/>
  <c r="AQ463" i="2"/>
  <c r="AR463" i="2"/>
  <c r="AS463" i="2"/>
  <c r="AT463" i="2"/>
  <c r="AM464" i="2"/>
  <c r="AN464" i="2"/>
  <c r="AO464" i="2"/>
  <c r="AP464" i="2"/>
  <c r="AQ464" i="2"/>
  <c r="AR464" i="2"/>
  <c r="AS464" i="2"/>
  <c r="AT464" i="2"/>
  <c r="AM465" i="2"/>
  <c r="AN465" i="2"/>
  <c r="AO465" i="2"/>
  <c r="AP465" i="2"/>
  <c r="AQ465" i="2"/>
  <c r="AR465" i="2"/>
  <c r="AS465" i="2"/>
  <c r="AT465" i="2"/>
  <c r="AM466" i="2"/>
  <c r="AN466" i="2"/>
  <c r="AO466" i="2"/>
  <c r="AP466" i="2"/>
  <c r="AQ466" i="2"/>
  <c r="AR466" i="2"/>
  <c r="AS466" i="2"/>
  <c r="AT466" i="2"/>
  <c r="AM467" i="2"/>
  <c r="AN467" i="2"/>
  <c r="AO467" i="2"/>
  <c r="AP467" i="2"/>
  <c r="AQ467" i="2"/>
  <c r="AR467" i="2"/>
  <c r="AS467" i="2"/>
  <c r="AT467" i="2"/>
  <c r="AM468" i="2"/>
  <c r="AN468" i="2"/>
  <c r="AO468" i="2"/>
  <c r="AP468" i="2"/>
  <c r="AQ468" i="2"/>
  <c r="AR468" i="2"/>
  <c r="AS468" i="2"/>
  <c r="AT468" i="2"/>
  <c r="AM469" i="2"/>
  <c r="AN469" i="2"/>
  <c r="AO469" i="2"/>
  <c r="AP469" i="2"/>
  <c r="AQ469" i="2"/>
  <c r="AR469" i="2"/>
  <c r="AS469" i="2"/>
  <c r="AT469" i="2"/>
  <c r="AM470" i="2"/>
  <c r="AN470" i="2"/>
  <c r="AO470" i="2"/>
  <c r="AP470" i="2"/>
  <c r="AQ470" i="2"/>
  <c r="AR470" i="2"/>
  <c r="AS470" i="2"/>
  <c r="AT470" i="2"/>
  <c r="AM471" i="2"/>
  <c r="AN471" i="2"/>
  <c r="AO471" i="2"/>
  <c r="AP471" i="2"/>
  <c r="AQ471" i="2"/>
  <c r="AR471" i="2"/>
  <c r="AS471" i="2"/>
  <c r="AT471" i="2"/>
  <c r="AM472" i="2"/>
  <c r="AN472" i="2"/>
  <c r="AO472" i="2"/>
  <c r="AP472" i="2"/>
  <c r="AQ472" i="2"/>
  <c r="AR472" i="2"/>
  <c r="AS472" i="2"/>
  <c r="AT472" i="2"/>
  <c r="AM473" i="2"/>
  <c r="AN473" i="2"/>
  <c r="AO473" i="2"/>
  <c r="AP473" i="2"/>
  <c r="AQ473" i="2"/>
  <c r="AR473" i="2"/>
  <c r="AS473" i="2"/>
  <c r="AT473" i="2"/>
  <c r="AM474" i="2"/>
  <c r="AN474" i="2"/>
  <c r="AO474" i="2"/>
  <c r="AP474" i="2"/>
  <c r="AQ474" i="2"/>
  <c r="AR474" i="2"/>
  <c r="AS474" i="2"/>
  <c r="AT474" i="2"/>
  <c r="AM475" i="2"/>
  <c r="AN475" i="2"/>
  <c r="AO475" i="2"/>
  <c r="AP475" i="2"/>
  <c r="AQ475" i="2"/>
  <c r="AR475" i="2"/>
  <c r="AS475" i="2"/>
  <c r="AT475" i="2"/>
  <c r="AM476" i="2"/>
  <c r="AN476" i="2"/>
  <c r="AO476" i="2"/>
  <c r="AP476" i="2"/>
  <c r="AQ476" i="2"/>
  <c r="AR476" i="2"/>
  <c r="AS476" i="2"/>
  <c r="AT476" i="2"/>
  <c r="AM477" i="2"/>
  <c r="AN477" i="2"/>
  <c r="AO477" i="2"/>
  <c r="AP477" i="2"/>
  <c r="AQ477" i="2"/>
  <c r="AR477" i="2"/>
  <c r="AS477" i="2"/>
  <c r="AT477" i="2"/>
  <c r="AM478" i="2"/>
  <c r="AN478" i="2"/>
  <c r="AO478" i="2"/>
  <c r="AP478" i="2"/>
  <c r="AQ478" i="2"/>
  <c r="AR478" i="2"/>
  <c r="AS478" i="2"/>
  <c r="AT478" i="2"/>
  <c r="AM479" i="2"/>
  <c r="AN479" i="2"/>
  <c r="AO479" i="2"/>
  <c r="AP479" i="2"/>
  <c r="AQ479" i="2"/>
  <c r="AR479" i="2"/>
  <c r="AS479" i="2"/>
  <c r="AT479" i="2"/>
  <c r="AM480" i="2"/>
  <c r="AN480" i="2"/>
  <c r="AO480" i="2"/>
  <c r="AP480" i="2"/>
  <c r="AQ480" i="2"/>
  <c r="AR480" i="2"/>
  <c r="AS480" i="2"/>
  <c r="AT480" i="2"/>
  <c r="AM481" i="2"/>
  <c r="AN481" i="2"/>
  <c r="AO481" i="2"/>
  <c r="AP481" i="2"/>
  <c r="AQ481" i="2"/>
  <c r="AR481" i="2"/>
  <c r="AS481" i="2"/>
  <c r="AT481" i="2"/>
  <c r="AM482" i="2"/>
  <c r="AN482" i="2"/>
  <c r="AO482" i="2"/>
  <c r="AP482" i="2"/>
  <c r="AQ482" i="2"/>
  <c r="AR482" i="2"/>
  <c r="AS482" i="2"/>
  <c r="AT482" i="2"/>
  <c r="AM483" i="2"/>
  <c r="AN483" i="2"/>
  <c r="AO483" i="2"/>
  <c r="AP483" i="2"/>
  <c r="AQ483" i="2"/>
  <c r="AR483" i="2"/>
  <c r="AS483" i="2"/>
  <c r="AT483" i="2"/>
  <c r="AM484" i="2"/>
  <c r="AN484" i="2"/>
  <c r="AO484" i="2"/>
  <c r="AP484" i="2"/>
  <c r="AQ484" i="2"/>
  <c r="AR484" i="2"/>
  <c r="AS484" i="2"/>
  <c r="AT484" i="2"/>
  <c r="AM485" i="2"/>
  <c r="AN485" i="2"/>
  <c r="AO485" i="2"/>
  <c r="AP485" i="2"/>
  <c r="AQ485" i="2"/>
  <c r="AR485" i="2"/>
  <c r="AS485" i="2"/>
  <c r="AT485" i="2"/>
  <c r="AM486" i="2"/>
  <c r="AN486" i="2"/>
  <c r="AO486" i="2"/>
  <c r="AP486" i="2"/>
  <c r="AQ486" i="2"/>
  <c r="AR486" i="2"/>
  <c r="AS486" i="2"/>
  <c r="AT486" i="2"/>
  <c r="AM487" i="2"/>
  <c r="AN487" i="2"/>
  <c r="AO487" i="2"/>
  <c r="AP487" i="2"/>
  <c r="AQ487" i="2"/>
  <c r="AR487" i="2"/>
  <c r="AS487" i="2"/>
  <c r="AT487" i="2"/>
  <c r="AM488" i="2"/>
  <c r="AN488" i="2"/>
  <c r="AO488" i="2"/>
  <c r="AP488" i="2"/>
  <c r="AQ488" i="2"/>
  <c r="AR488" i="2"/>
  <c r="AS488" i="2"/>
  <c r="AT488" i="2"/>
  <c r="AM489" i="2"/>
  <c r="AN489" i="2"/>
  <c r="AO489" i="2"/>
  <c r="AP489" i="2"/>
  <c r="AQ489" i="2"/>
  <c r="AR489" i="2"/>
  <c r="AS489" i="2"/>
  <c r="AT489" i="2"/>
  <c r="AM490" i="2"/>
  <c r="AN490" i="2"/>
  <c r="AO490" i="2"/>
  <c r="AP490" i="2"/>
  <c r="AQ490" i="2"/>
  <c r="AR490" i="2"/>
  <c r="AS490" i="2"/>
  <c r="AT490" i="2"/>
  <c r="AM491" i="2"/>
  <c r="AN491" i="2"/>
  <c r="AO491" i="2"/>
  <c r="AP491" i="2"/>
  <c r="AQ491" i="2"/>
  <c r="AR491" i="2"/>
  <c r="AS491" i="2"/>
  <c r="AT491" i="2"/>
  <c r="AM492" i="2"/>
  <c r="AN492" i="2"/>
  <c r="AO492" i="2"/>
  <c r="AP492" i="2"/>
  <c r="AQ492" i="2"/>
  <c r="AR492" i="2"/>
  <c r="AS492" i="2"/>
  <c r="AT492" i="2"/>
  <c r="AM493" i="2"/>
  <c r="AN493" i="2"/>
  <c r="AO493" i="2"/>
  <c r="AP493" i="2"/>
  <c r="AQ493" i="2"/>
  <c r="AR493" i="2"/>
  <c r="AS493" i="2"/>
  <c r="AT493" i="2"/>
  <c r="AM494" i="2"/>
  <c r="AN494" i="2"/>
  <c r="AO494" i="2"/>
  <c r="AP494" i="2"/>
  <c r="AQ494" i="2"/>
  <c r="AR494" i="2"/>
  <c r="AS494" i="2"/>
  <c r="AT494" i="2"/>
  <c r="AM495" i="2"/>
  <c r="AN495" i="2"/>
  <c r="AO495" i="2"/>
  <c r="AP495" i="2"/>
  <c r="AQ495" i="2"/>
  <c r="AR495" i="2"/>
  <c r="AS495" i="2"/>
  <c r="AT495" i="2"/>
  <c r="AM496" i="2"/>
  <c r="AN496" i="2"/>
  <c r="AO496" i="2"/>
  <c r="AP496" i="2"/>
  <c r="AQ496" i="2"/>
  <c r="AR496" i="2"/>
  <c r="AS496" i="2"/>
  <c r="AT496" i="2"/>
  <c r="AM497" i="2"/>
  <c r="AN497" i="2"/>
  <c r="AO497" i="2"/>
  <c r="AP497" i="2"/>
  <c r="AQ497" i="2"/>
  <c r="AR497" i="2"/>
  <c r="AS497" i="2"/>
  <c r="AT497" i="2"/>
  <c r="AM498" i="2"/>
  <c r="AN498" i="2"/>
  <c r="AO498" i="2"/>
  <c r="AP498" i="2"/>
  <c r="AQ498" i="2"/>
  <c r="AR498" i="2"/>
  <c r="AS498" i="2"/>
  <c r="AT498" i="2"/>
  <c r="AM499" i="2"/>
  <c r="AN499" i="2"/>
  <c r="AO499" i="2"/>
  <c r="AP499" i="2"/>
  <c r="AQ499" i="2"/>
  <c r="AR499" i="2"/>
  <c r="AS499" i="2"/>
  <c r="AT499" i="2"/>
  <c r="AM500" i="2"/>
  <c r="AN500" i="2"/>
  <c r="AO500" i="2"/>
  <c r="AP500" i="2"/>
  <c r="AQ500" i="2"/>
  <c r="AR500" i="2"/>
  <c r="AS500" i="2"/>
  <c r="AT500" i="2"/>
  <c r="AM501" i="2"/>
  <c r="AN501" i="2"/>
  <c r="AO501" i="2"/>
  <c r="AP501" i="2"/>
  <c r="AQ501" i="2"/>
  <c r="AR501" i="2"/>
  <c r="AS501" i="2"/>
  <c r="AT501" i="2"/>
  <c r="AM502" i="2"/>
  <c r="AN502" i="2"/>
  <c r="AO502" i="2"/>
  <c r="AP502" i="2"/>
  <c r="AQ502" i="2"/>
  <c r="AR502" i="2"/>
  <c r="AS502" i="2"/>
  <c r="AT502" i="2"/>
  <c r="AM503" i="2"/>
  <c r="AN503" i="2"/>
  <c r="AO503" i="2"/>
  <c r="AP503" i="2"/>
  <c r="AQ503" i="2"/>
  <c r="AR503" i="2"/>
  <c r="AS503" i="2"/>
  <c r="AT503" i="2"/>
  <c r="AM504" i="2"/>
  <c r="AN504" i="2"/>
  <c r="AO504" i="2"/>
  <c r="AP504" i="2"/>
  <c r="AQ504" i="2"/>
  <c r="AR504" i="2"/>
  <c r="AS504" i="2"/>
  <c r="AT504" i="2"/>
  <c r="AM505" i="2"/>
  <c r="AN505" i="2"/>
  <c r="AO505" i="2"/>
  <c r="AP505" i="2"/>
  <c r="AQ505" i="2"/>
  <c r="AR505" i="2"/>
  <c r="AS505" i="2"/>
  <c r="AT505" i="2"/>
  <c r="AM506" i="2"/>
  <c r="AN506" i="2"/>
  <c r="AO506" i="2"/>
  <c r="AP506" i="2"/>
  <c r="AQ506" i="2"/>
  <c r="AR506" i="2"/>
  <c r="AS506" i="2"/>
  <c r="AT506" i="2"/>
  <c r="AM507" i="2"/>
  <c r="AN507" i="2"/>
  <c r="AO507" i="2"/>
  <c r="AP507" i="2"/>
  <c r="AQ507" i="2"/>
  <c r="AR507" i="2"/>
  <c r="AS507" i="2"/>
  <c r="AT507" i="2"/>
  <c r="AM508" i="2"/>
  <c r="AN508" i="2"/>
  <c r="AO508" i="2"/>
  <c r="AP508" i="2"/>
  <c r="AQ508" i="2"/>
  <c r="AR508" i="2"/>
  <c r="AS508" i="2"/>
  <c r="AT508" i="2"/>
  <c r="AM509" i="2"/>
  <c r="AN509" i="2"/>
  <c r="AO509" i="2"/>
  <c r="AP509" i="2"/>
  <c r="AQ509" i="2"/>
  <c r="AR509" i="2"/>
  <c r="AS509" i="2"/>
  <c r="AT509" i="2"/>
  <c r="AM510" i="2"/>
  <c r="AN510" i="2"/>
  <c r="AO510" i="2"/>
  <c r="AP510" i="2"/>
  <c r="AQ510" i="2"/>
  <c r="AR510" i="2"/>
  <c r="AS510" i="2"/>
  <c r="AT510" i="2"/>
  <c r="AM511" i="2"/>
  <c r="AN511" i="2"/>
  <c r="AO511" i="2"/>
  <c r="AP511" i="2"/>
  <c r="AQ511" i="2"/>
  <c r="AR511" i="2"/>
  <c r="AS511" i="2"/>
  <c r="AT511" i="2"/>
  <c r="AM512" i="2"/>
  <c r="AN512" i="2"/>
  <c r="AO512" i="2"/>
  <c r="AP512" i="2"/>
  <c r="AQ512" i="2"/>
  <c r="AR512" i="2"/>
  <c r="AS512" i="2"/>
  <c r="AT512" i="2"/>
  <c r="AM513" i="2"/>
  <c r="AN513" i="2"/>
  <c r="AO513" i="2"/>
  <c r="AP513" i="2"/>
  <c r="AQ513" i="2"/>
  <c r="AR513" i="2"/>
  <c r="AS513" i="2"/>
  <c r="AT513" i="2"/>
  <c r="AM514" i="2"/>
  <c r="AN514" i="2"/>
  <c r="AO514" i="2"/>
  <c r="AP514" i="2"/>
  <c r="AQ514" i="2"/>
  <c r="AR514" i="2"/>
  <c r="AS514" i="2"/>
  <c r="AT514" i="2"/>
  <c r="AM515" i="2"/>
  <c r="AN515" i="2"/>
  <c r="AO515" i="2"/>
  <c r="AP515" i="2"/>
  <c r="AQ515" i="2"/>
  <c r="AR515" i="2"/>
  <c r="AS515" i="2"/>
  <c r="AT515" i="2"/>
  <c r="AM516" i="2"/>
  <c r="AN516" i="2"/>
  <c r="AO516" i="2"/>
  <c r="AP516" i="2"/>
  <c r="AQ516" i="2"/>
  <c r="AR516" i="2"/>
  <c r="AS516" i="2"/>
  <c r="AT516" i="2"/>
  <c r="AM517" i="2"/>
  <c r="AN517" i="2"/>
  <c r="AO517" i="2"/>
  <c r="AP517" i="2"/>
  <c r="AQ517" i="2"/>
  <c r="AR517" i="2"/>
  <c r="AS517" i="2"/>
  <c r="AT517" i="2"/>
  <c r="AM518" i="2"/>
  <c r="AN518" i="2"/>
  <c r="AO518" i="2"/>
  <c r="AP518" i="2"/>
  <c r="AQ518" i="2"/>
  <c r="AR518" i="2"/>
  <c r="AS518" i="2"/>
  <c r="AT518" i="2"/>
  <c r="AM519" i="2"/>
  <c r="AN519" i="2"/>
  <c r="AO519" i="2"/>
  <c r="AP519" i="2"/>
  <c r="AQ519" i="2"/>
  <c r="AR519" i="2"/>
  <c r="AS519" i="2"/>
  <c r="AT519" i="2"/>
  <c r="AM520" i="2"/>
  <c r="AN520" i="2"/>
  <c r="AO520" i="2"/>
  <c r="AP520" i="2"/>
  <c r="AQ520" i="2"/>
  <c r="AR520" i="2"/>
  <c r="AS520" i="2"/>
  <c r="AT520" i="2"/>
  <c r="AM521" i="2"/>
  <c r="AN521" i="2"/>
  <c r="AO521" i="2"/>
  <c r="AP521" i="2"/>
  <c r="AQ521" i="2"/>
  <c r="AR521" i="2"/>
  <c r="AS521" i="2"/>
  <c r="AT521" i="2"/>
  <c r="AM522" i="2"/>
  <c r="AN522" i="2"/>
  <c r="AO522" i="2"/>
  <c r="AP522" i="2"/>
  <c r="AQ522" i="2"/>
  <c r="AR522" i="2"/>
  <c r="AS522" i="2"/>
  <c r="AT522" i="2"/>
  <c r="AM523" i="2"/>
  <c r="AN523" i="2"/>
  <c r="AO523" i="2"/>
  <c r="AP523" i="2"/>
  <c r="AQ523" i="2"/>
  <c r="AR523" i="2"/>
  <c r="AS523" i="2"/>
  <c r="AT523" i="2"/>
  <c r="AM524" i="2"/>
  <c r="AN524" i="2"/>
  <c r="AO524" i="2"/>
  <c r="AP524" i="2"/>
  <c r="AQ524" i="2"/>
  <c r="AR524" i="2"/>
  <c r="AS524" i="2"/>
  <c r="AT524" i="2"/>
  <c r="AM525" i="2"/>
  <c r="AN525" i="2"/>
  <c r="AO525" i="2"/>
  <c r="AP525" i="2"/>
  <c r="AQ525" i="2"/>
  <c r="AR525" i="2"/>
  <c r="AS525" i="2"/>
  <c r="AT525" i="2"/>
  <c r="AM526" i="2"/>
  <c r="AN526" i="2"/>
  <c r="AO526" i="2"/>
  <c r="AP526" i="2"/>
  <c r="AQ526" i="2"/>
  <c r="AR526" i="2"/>
  <c r="AS526" i="2"/>
  <c r="AT526" i="2"/>
  <c r="AM527" i="2"/>
  <c r="AN527" i="2"/>
  <c r="AO527" i="2"/>
  <c r="AP527" i="2"/>
  <c r="AQ527" i="2"/>
  <c r="AR527" i="2"/>
  <c r="AS527" i="2"/>
  <c r="AT527" i="2"/>
  <c r="AM528" i="2"/>
  <c r="AN528" i="2"/>
  <c r="AO528" i="2"/>
  <c r="AP528" i="2"/>
  <c r="AQ528" i="2"/>
  <c r="AR528" i="2"/>
  <c r="AS528" i="2"/>
  <c r="AT528" i="2"/>
  <c r="AM529" i="2"/>
  <c r="AN529" i="2"/>
  <c r="AO529" i="2"/>
  <c r="AP529" i="2"/>
  <c r="AQ529" i="2"/>
  <c r="AR529" i="2"/>
  <c r="AS529" i="2"/>
  <c r="AT529" i="2"/>
  <c r="AM530" i="2"/>
  <c r="AN530" i="2"/>
  <c r="AO530" i="2"/>
  <c r="AP530" i="2"/>
  <c r="AQ530" i="2"/>
  <c r="AR530" i="2"/>
  <c r="AS530" i="2"/>
  <c r="AT530" i="2"/>
  <c r="AM531" i="2"/>
  <c r="AN531" i="2"/>
  <c r="AO531" i="2"/>
  <c r="AP531" i="2"/>
  <c r="AQ531" i="2"/>
  <c r="AR531" i="2"/>
  <c r="AS531" i="2"/>
  <c r="AT531" i="2"/>
  <c r="AM532" i="2"/>
  <c r="AN532" i="2"/>
  <c r="AO532" i="2"/>
  <c r="AP532" i="2"/>
  <c r="AQ532" i="2"/>
  <c r="AR532" i="2"/>
  <c r="AS532" i="2"/>
  <c r="AT532" i="2"/>
  <c r="AM533" i="2"/>
  <c r="AN533" i="2"/>
  <c r="AO533" i="2"/>
  <c r="AP533" i="2"/>
  <c r="AQ533" i="2"/>
  <c r="AR533" i="2"/>
  <c r="AS533" i="2"/>
  <c r="AT533" i="2"/>
  <c r="AM534" i="2"/>
  <c r="AN534" i="2"/>
  <c r="AO534" i="2"/>
  <c r="AP534" i="2"/>
  <c r="AQ534" i="2"/>
  <c r="AR534" i="2"/>
  <c r="AS534" i="2"/>
  <c r="AT534" i="2"/>
  <c r="AM535" i="2"/>
  <c r="AN535" i="2"/>
  <c r="AO535" i="2"/>
  <c r="AP535" i="2"/>
  <c r="AQ535" i="2"/>
  <c r="AR535" i="2"/>
  <c r="AS535" i="2"/>
  <c r="AT535" i="2"/>
  <c r="AM536" i="2"/>
  <c r="AN536" i="2"/>
  <c r="AO536" i="2"/>
  <c r="AP536" i="2"/>
  <c r="AQ536" i="2"/>
  <c r="AR536" i="2"/>
  <c r="AS536" i="2"/>
  <c r="AT536" i="2"/>
  <c r="AM537" i="2"/>
  <c r="AN537" i="2"/>
  <c r="AO537" i="2"/>
  <c r="AP537" i="2"/>
  <c r="AQ537" i="2"/>
  <c r="AR537" i="2"/>
  <c r="AS537" i="2"/>
  <c r="AT537" i="2"/>
  <c r="AM538" i="2"/>
  <c r="AN538" i="2"/>
  <c r="AO538" i="2"/>
  <c r="AP538" i="2"/>
  <c r="AQ538" i="2"/>
  <c r="AR538" i="2"/>
  <c r="AS538" i="2"/>
  <c r="AT538" i="2"/>
  <c r="AM539" i="2"/>
  <c r="AN539" i="2"/>
  <c r="AO539" i="2"/>
  <c r="AP539" i="2"/>
  <c r="AQ539" i="2"/>
  <c r="AR539" i="2"/>
  <c r="AS539" i="2"/>
  <c r="AT539" i="2"/>
  <c r="AM540" i="2"/>
  <c r="AN540" i="2"/>
  <c r="AO540" i="2"/>
  <c r="AP540" i="2"/>
  <c r="AQ540" i="2"/>
  <c r="AR540" i="2"/>
  <c r="AS540" i="2"/>
  <c r="AT540" i="2"/>
  <c r="AM541" i="2"/>
  <c r="AN541" i="2"/>
  <c r="AO541" i="2"/>
  <c r="AP541" i="2"/>
  <c r="AQ541" i="2"/>
  <c r="AR541" i="2"/>
  <c r="AS541" i="2"/>
  <c r="AT541" i="2"/>
  <c r="AM542" i="2"/>
  <c r="AN542" i="2"/>
  <c r="AO542" i="2"/>
  <c r="AP542" i="2"/>
  <c r="AQ542" i="2"/>
  <c r="AR542" i="2"/>
  <c r="AS542" i="2"/>
  <c r="AT542" i="2"/>
  <c r="AM543" i="2"/>
  <c r="AN543" i="2"/>
  <c r="AO543" i="2"/>
  <c r="AP543" i="2"/>
  <c r="AQ543" i="2"/>
  <c r="AR543" i="2"/>
  <c r="AS543" i="2"/>
  <c r="AT543" i="2"/>
  <c r="AM544" i="2"/>
  <c r="AN544" i="2"/>
  <c r="AO544" i="2"/>
  <c r="AP544" i="2"/>
  <c r="AQ544" i="2"/>
  <c r="AR544" i="2"/>
  <c r="AS544" i="2"/>
  <c r="AT544" i="2"/>
  <c r="AM545" i="2"/>
  <c r="AN545" i="2"/>
  <c r="AO545" i="2"/>
  <c r="AP545" i="2"/>
  <c r="AQ545" i="2"/>
  <c r="AR545" i="2"/>
  <c r="AS545" i="2"/>
  <c r="AT545" i="2"/>
  <c r="AM546" i="2"/>
  <c r="AN546" i="2"/>
  <c r="AO546" i="2"/>
  <c r="AP546" i="2"/>
  <c r="AQ546" i="2"/>
  <c r="AR546" i="2"/>
  <c r="AS546" i="2"/>
  <c r="AT546" i="2"/>
  <c r="AM547" i="2"/>
  <c r="AN547" i="2"/>
  <c r="AO547" i="2"/>
  <c r="AP547" i="2"/>
  <c r="AQ547" i="2"/>
  <c r="AR547" i="2"/>
  <c r="AS547" i="2"/>
  <c r="AT547" i="2"/>
  <c r="AM548" i="2"/>
  <c r="AN548" i="2"/>
  <c r="AO548" i="2"/>
  <c r="AP548" i="2"/>
  <c r="AQ548" i="2"/>
  <c r="AR548" i="2"/>
  <c r="AS548" i="2"/>
  <c r="AT548" i="2"/>
  <c r="AM549" i="2"/>
  <c r="AN549" i="2"/>
  <c r="AO549" i="2"/>
  <c r="AP549" i="2"/>
  <c r="AQ549" i="2"/>
  <c r="AR549" i="2"/>
  <c r="AS549" i="2"/>
  <c r="AT549" i="2"/>
  <c r="AM550" i="2"/>
  <c r="AN550" i="2"/>
  <c r="AO550" i="2"/>
  <c r="AP550" i="2"/>
  <c r="AQ550" i="2"/>
  <c r="AR550" i="2"/>
  <c r="AS550" i="2"/>
  <c r="AT550" i="2"/>
  <c r="AM551" i="2"/>
  <c r="AN551" i="2"/>
  <c r="AO551" i="2"/>
  <c r="AP551" i="2"/>
  <c r="AQ551" i="2"/>
  <c r="AR551" i="2"/>
  <c r="AS551" i="2"/>
  <c r="AT551" i="2"/>
  <c r="AM552" i="2"/>
  <c r="AN552" i="2"/>
  <c r="AO552" i="2"/>
  <c r="AP552" i="2"/>
  <c r="AQ552" i="2"/>
  <c r="AR552" i="2"/>
  <c r="AS552" i="2"/>
  <c r="AT552" i="2"/>
  <c r="AM553" i="2"/>
  <c r="AN553" i="2"/>
  <c r="AO553" i="2"/>
  <c r="AP553" i="2"/>
  <c r="AQ553" i="2"/>
  <c r="AR553" i="2"/>
  <c r="AS553" i="2"/>
  <c r="AT553" i="2"/>
  <c r="AM554" i="2"/>
  <c r="AN554" i="2"/>
  <c r="AO554" i="2"/>
  <c r="AP554" i="2"/>
  <c r="AQ554" i="2"/>
  <c r="AR554" i="2"/>
  <c r="AS554" i="2"/>
  <c r="AT554" i="2"/>
  <c r="AM555" i="2"/>
  <c r="AN555" i="2"/>
  <c r="AO555" i="2"/>
  <c r="AP555" i="2"/>
  <c r="AQ555" i="2"/>
  <c r="AR555" i="2"/>
  <c r="AS555" i="2"/>
  <c r="AT555" i="2"/>
  <c r="AM556" i="2"/>
  <c r="AN556" i="2"/>
  <c r="AO556" i="2"/>
  <c r="AP556" i="2"/>
  <c r="AQ556" i="2"/>
  <c r="AR556" i="2"/>
  <c r="AS556" i="2"/>
  <c r="AT556" i="2"/>
  <c r="AM557" i="2"/>
  <c r="AN557" i="2"/>
  <c r="AO557" i="2"/>
  <c r="AP557" i="2"/>
  <c r="AQ557" i="2"/>
  <c r="AR557" i="2"/>
  <c r="AS557" i="2"/>
  <c r="AT557" i="2"/>
  <c r="AM558" i="2"/>
  <c r="AN558" i="2"/>
  <c r="AO558" i="2"/>
  <c r="AP558" i="2"/>
  <c r="AQ558" i="2"/>
  <c r="AR558" i="2"/>
  <c r="AS558" i="2"/>
  <c r="AT558" i="2"/>
  <c r="AM559" i="2"/>
  <c r="AN559" i="2"/>
  <c r="AO559" i="2"/>
  <c r="AP559" i="2"/>
  <c r="AQ559" i="2"/>
  <c r="AR559" i="2"/>
  <c r="AS559" i="2"/>
  <c r="AT559" i="2"/>
  <c r="AM560" i="2"/>
  <c r="AN560" i="2"/>
  <c r="AO560" i="2"/>
  <c r="AP560" i="2"/>
  <c r="AQ560" i="2"/>
  <c r="AR560" i="2"/>
  <c r="AS560" i="2"/>
  <c r="AT560" i="2"/>
  <c r="AM561" i="2"/>
  <c r="AN561" i="2"/>
  <c r="AO561" i="2"/>
  <c r="AP561" i="2"/>
  <c r="AQ561" i="2"/>
  <c r="AR561" i="2"/>
  <c r="AS561" i="2"/>
  <c r="AT561" i="2"/>
  <c r="AM562" i="2"/>
  <c r="AN562" i="2"/>
  <c r="AO562" i="2"/>
  <c r="AP562" i="2"/>
  <c r="AQ562" i="2"/>
  <c r="AR562" i="2"/>
  <c r="AS562" i="2"/>
  <c r="AT562" i="2"/>
  <c r="AM563" i="2"/>
  <c r="AN563" i="2"/>
  <c r="AO563" i="2"/>
  <c r="AP563" i="2"/>
  <c r="AQ563" i="2"/>
  <c r="AR563" i="2"/>
  <c r="AS563" i="2"/>
  <c r="AT563" i="2"/>
  <c r="AM564" i="2"/>
  <c r="AN564" i="2"/>
  <c r="AO564" i="2"/>
  <c r="AP564" i="2"/>
  <c r="AQ564" i="2"/>
  <c r="AR564" i="2"/>
  <c r="AS564" i="2"/>
  <c r="AT564" i="2"/>
  <c r="AM565" i="2"/>
  <c r="AN565" i="2"/>
  <c r="AO565" i="2"/>
  <c r="AP565" i="2"/>
  <c r="AQ565" i="2"/>
  <c r="AR565" i="2"/>
  <c r="AS565" i="2"/>
  <c r="AT565" i="2"/>
  <c r="AM566" i="2"/>
  <c r="AN566" i="2"/>
  <c r="AO566" i="2"/>
  <c r="AP566" i="2"/>
  <c r="AQ566" i="2"/>
  <c r="AR566" i="2"/>
  <c r="AS566" i="2"/>
  <c r="AT566" i="2"/>
  <c r="AM567" i="2"/>
  <c r="AN567" i="2"/>
  <c r="AO567" i="2"/>
  <c r="AP567" i="2"/>
  <c r="AQ567" i="2"/>
  <c r="AR567" i="2"/>
  <c r="AS567" i="2"/>
  <c r="AT567" i="2"/>
  <c r="AM568" i="2"/>
  <c r="AN568" i="2"/>
  <c r="AO568" i="2"/>
  <c r="AP568" i="2"/>
  <c r="AQ568" i="2"/>
  <c r="AR568" i="2"/>
  <c r="AS568" i="2"/>
  <c r="AT568" i="2"/>
  <c r="AM569" i="2"/>
  <c r="AN569" i="2"/>
  <c r="AO569" i="2"/>
  <c r="AP569" i="2"/>
  <c r="AQ569" i="2"/>
  <c r="AR569" i="2"/>
  <c r="AS569" i="2"/>
  <c r="AT569" i="2"/>
  <c r="AM570" i="2"/>
  <c r="AN570" i="2"/>
  <c r="AO570" i="2"/>
  <c r="AP570" i="2"/>
  <c r="AQ570" i="2"/>
  <c r="AR570" i="2"/>
  <c r="AS570" i="2"/>
  <c r="AT570" i="2"/>
  <c r="AM571" i="2"/>
  <c r="AN571" i="2"/>
  <c r="AO571" i="2"/>
  <c r="AP571" i="2"/>
  <c r="AQ571" i="2"/>
  <c r="AR571" i="2"/>
  <c r="AS571" i="2"/>
  <c r="AT571" i="2"/>
  <c r="AM572" i="2"/>
  <c r="AN572" i="2"/>
  <c r="AO572" i="2"/>
  <c r="AP572" i="2"/>
  <c r="AQ572" i="2"/>
  <c r="AR572" i="2"/>
  <c r="AS572" i="2"/>
  <c r="AT572" i="2"/>
  <c r="AM573" i="2"/>
  <c r="AN573" i="2"/>
  <c r="AO573" i="2"/>
  <c r="AP573" i="2"/>
  <c r="AQ573" i="2"/>
  <c r="AR573" i="2"/>
  <c r="AS573" i="2"/>
  <c r="AT573" i="2"/>
  <c r="AM574" i="2"/>
  <c r="AN574" i="2"/>
  <c r="AO574" i="2"/>
  <c r="AP574" i="2"/>
  <c r="AQ574" i="2"/>
  <c r="AR574" i="2"/>
  <c r="AS574" i="2"/>
  <c r="AT574" i="2"/>
  <c r="AM575" i="2"/>
  <c r="AN575" i="2"/>
  <c r="AO575" i="2"/>
  <c r="AP575" i="2"/>
  <c r="AQ575" i="2"/>
  <c r="AR575" i="2"/>
  <c r="AS575" i="2"/>
  <c r="AT575" i="2"/>
  <c r="AM576" i="2"/>
  <c r="AN576" i="2"/>
  <c r="AO576" i="2"/>
  <c r="AP576" i="2"/>
  <c r="AQ576" i="2"/>
  <c r="AR576" i="2"/>
  <c r="AS576" i="2"/>
  <c r="AT576" i="2"/>
  <c r="AM577" i="2"/>
  <c r="AN577" i="2"/>
  <c r="AO577" i="2"/>
  <c r="AP577" i="2"/>
  <c r="AQ577" i="2"/>
  <c r="AR577" i="2"/>
  <c r="AS577" i="2"/>
  <c r="AT577" i="2"/>
  <c r="AM578" i="2"/>
  <c r="AN578" i="2"/>
  <c r="AO578" i="2"/>
  <c r="AP578" i="2"/>
  <c r="AQ578" i="2"/>
  <c r="AR578" i="2"/>
  <c r="AS578" i="2"/>
  <c r="AT578" i="2"/>
  <c r="AM579" i="2"/>
  <c r="AN579" i="2"/>
  <c r="AO579" i="2"/>
  <c r="AP579" i="2"/>
  <c r="AQ579" i="2"/>
  <c r="AR579" i="2"/>
  <c r="AS579" i="2"/>
  <c r="AT579" i="2"/>
  <c r="AM580" i="2"/>
  <c r="AN580" i="2"/>
  <c r="AO580" i="2"/>
  <c r="AP580" i="2"/>
  <c r="AQ580" i="2"/>
  <c r="AR580" i="2"/>
  <c r="AS580" i="2"/>
  <c r="AT580" i="2"/>
  <c r="AM581" i="2"/>
  <c r="AN581" i="2"/>
  <c r="AO581" i="2"/>
  <c r="AP581" i="2"/>
  <c r="AQ581" i="2"/>
  <c r="AR581" i="2"/>
  <c r="AS581" i="2"/>
  <c r="AT581" i="2"/>
  <c r="AM582" i="2"/>
  <c r="AN582" i="2"/>
  <c r="AO582" i="2"/>
  <c r="AP582" i="2"/>
  <c r="AQ582" i="2"/>
  <c r="AR582" i="2"/>
  <c r="AS582" i="2"/>
  <c r="AT582" i="2"/>
  <c r="AM583" i="2"/>
  <c r="AN583" i="2"/>
  <c r="AO583" i="2"/>
  <c r="AP583" i="2"/>
  <c r="AQ583" i="2"/>
  <c r="AR583" i="2"/>
  <c r="AS583" i="2"/>
  <c r="AT583" i="2"/>
  <c r="AM584" i="2"/>
  <c r="AN584" i="2"/>
  <c r="AO584" i="2"/>
  <c r="AP584" i="2"/>
  <c r="AQ584" i="2"/>
  <c r="AR584" i="2"/>
  <c r="AS584" i="2"/>
  <c r="AT584" i="2"/>
  <c r="AM585" i="2"/>
  <c r="AN585" i="2"/>
  <c r="AO585" i="2"/>
  <c r="AP585" i="2"/>
  <c r="AQ585" i="2"/>
  <c r="AR585" i="2"/>
  <c r="AS585" i="2"/>
  <c r="AT585" i="2"/>
  <c r="AM586" i="2"/>
  <c r="AN586" i="2"/>
  <c r="AO586" i="2"/>
  <c r="AP586" i="2"/>
  <c r="AQ586" i="2"/>
  <c r="AR586" i="2"/>
  <c r="AS586" i="2"/>
  <c r="AT586" i="2"/>
  <c r="AM587" i="2"/>
  <c r="AN587" i="2"/>
  <c r="AO587" i="2"/>
  <c r="AP587" i="2"/>
  <c r="AQ587" i="2"/>
  <c r="AR587" i="2"/>
  <c r="AS587" i="2"/>
  <c r="AT587" i="2"/>
  <c r="AM588" i="2"/>
  <c r="AN588" i="2"/>
  <c r="AO588" i="2"/>
  <c r="AP588" i="2"/>
  <c r="AQ588" i="2"/>
  <c r="AR588" i="2"/>
  <c r="AS588" i="2"/>
  <c r="AT588" i="2"/>
  <c r="AM589" i="2"/>
  <c r="AN589" i="2"/>
  <c r="AO589" i="2"/>
  <c r="AP589" i="2"/>
  <c r="AQ589" i="2"/>
  <c r="AR589" i="2"/>
  <c r="AS589" i="2"/>
  <c r="AT589" i="2"/>
  <c r="AM590" i="2"/>
  <c r="AN590" i="2"/>
  <c r="AO590" i="2"/>
  <c r="AP590" i="2"/>
  <c r="AQ590" i="2"/>
  <c r="AR590" i="2"/>
  <c r="AS590" i="2"/>
  <c r="AT590" i="2"/>
  <c r="AM591" i="2"/>
  <c r="AN591" i="2"/>
  <c r="AO591" i="2"/>
  <c r="AP591" i="2"/>
  <c r="AQ591" i="2"/>
  <c r="AR591" i="2"/>
  <c r="AS591" i="2"/>
  <c r="AT591" i="2"/>
  <c r="AM592" i="2"/>
  <c r="AN592" i="2"/>
  <c r="AO592" i="2"/>
  <c r="AP592" i="2"/>
  <c r="AQ592" i="2"/>
  <c r="AR592" i="2"/>
  <c r="AS592" i="2"/>
  <c r="AT592" i="2"/>
  <c r="AM593" i="2"/>
  <c r="AN593" i="2"/>
  <c r="AO593" i="2"/>
  <c r="AP593" i="2"/>
  <c r="AQ593" i="2"/>
  <c r="AR593" i="2"/>
  <c r="AS593" i="2"/>
  <c r="AT593" i="2"/>
  <c r="AM594" i="2"/>
  <c r="AN594" i="2"/>
  <c r="AO594" i="2"/>
  <c r="AP594" i="2"/>
  <c r="AQ594" i="2"/>
  <c r="AR594" i="2"/>
  <c r="AS594" i="2"/>
  <c r="AT594" i="2"/>
  <c r="AM595" i="2"/>
  <c r="AN595" i="2"/>
  <c r="AO595" i="2"/>
  <c r="AP595" i="2"/>
  <c r="AQ595" i="2"/>
  <c r="AR595" i="2"/>
  <c r="AS595" i="2"/>
  <c r="AT595" i="2"/>
  <c r="AM596" i="2"/>
  <c r="AN596" i="2"/>
  <c r="AO596" i="2"/>
  <c r="AP596" i="2"/>
  <c r="AQ596" i="2"/>
  <c r="AR596" i="2"/>
  <c r="AS596" i="2"/>
  <c r="AT596" i="2"/>
  <c r="AM597" i="2"/>
  <c r="AN597" i="2"/>
  <c r="AO597" i="2"/>
  <c r="AP597" i="2"/>
  <c r="AQ597" i="2"/>
  <c r="AR597" i="2"/>
  <c r="AS597" i="2"/>
  <c r="AT597" i="2"/>
  <c r="AM598" i="2"/>
  <c r="AN598" i="2"/>
  <c r="AO598" i="2"/>
  <c r="AP598" i="2"/>
  <c r="AQ598" i="2"/>
  <c r="AR598" i="2"/>
  <c r="AS598" i="2"/>
  <c r="AT598" i="2"/>
  <c r="AM599" i="2"/>
  <c r="AN599" i="2"/>
  <c r="AO599" i="2"/>
  <c r="AP599" i="2"/>
  <c r="AQ599" i="2"/>
  <c r="AR599" i="2"/>
  <c r="AS599" i="2"/>
  <c r="AT599" i="2"/>
  <c r="AM600" i="2"/>
  <c r="AN600" i="2"/>
  <c r="AO600" i="2"/>
  <c r="AP600" i="2"/>
  <c r="AQ600" i="2"/>
  <c r="AR600" i="2"/>
  <c r="AS600" i="2"/>
  <c r="AT600" i="2"/>
  <c r="AM601" i="2"/>
  <c r="AN601" i="2"/>
  <c r="AO601" i="2"/>
  <c r="AP601" i="2"/>
  <c r="AQ601" i="2"/>
  <c r="AR601" i="2"/>
  <c r="AS601" i="2"/>
  <c r="AT601" i="2"/>
  <c r="AM602" i="2"/>
  <c r="AN602" i="2"/>
  <c r="AO602" i="2"/>
  <c r="AP602" i="2"/>
  <c r="AQ602" i="2"/>
  <c r="AR602" i="2"/>
  <c r="AS602" i="2"/>
  <c r="AT602" i="2"/>
  <c r="AM603" i="2"/>
  <c r="AN603" i="2"/>
  <c r="AO603" i="2"/>
  <c r="AP603" i="2"/>
  <c r="AQ603" i="2"/>
  <c r="AR603" i="2"/>
  <c r="AS603" i="2"/>
  <c r="AT603" i="2"/>
  <c r="AM604" i="2"/>
  <c r="AN604" i="2"/>
  <c r="AO604" i="2"/>
  <c r="AP604" i="2"/>
  <c r="AQ604" i="2"/>
  <c r="AR604" i="2"/>
  <c r="AS604" i="2"/>
  <c r="AT604" i="2"/>
  <c r="AM605" i="2"/>
  <c r="AN605" i="2"/>
  <c r="AO605" i="2"/>
  <c r="AP605" i="2"/>
  <c r="AQ605" i="2"/>
  <c r="AR605" i="2"/>
  <c r="AS605" i="2"/>
  <c r="AT605" i="2"/>
  <c r="AM606" i="2"/>
  <c r="AN606" i="2"/>
  <c r="AO606" i="2"/>
  <c r="AP606" i="2"/>
  <c r="AQ606" i="2"/>
  <c r="AR606" i="2"/>
  <c r="AS606" i="2"/>
  <c r="AT606" i="2"/>
  <c r="AM607" i="2"/>
  <c r="AN607" i="2"/>
  <c r="AO607" i="2"/>
  <c r="AP607" i="2"/>
  <c r="AQ607" i="2"/>
  <c r="AR607" i="2"/>
  <c r="AS607" i="2"/>
  <c r="AT607" i="2"/>
  <c r="AM608" i="2"/>
  <c r="AN608" i="2"/>
  <c r="AO608" i="2"/>
  <c r="AP608" i="2"/>
  <c r="AQ608" i="2"/>
  <c r="AR608" i="2"/>
  <c r="AS608" i="2"/>
  <c r="AT608" i="2"/>
  <c r="AM609" i="2"/>
  <c r="AN609" i="2"/>
  <c r="AO609" i="2"/>
  <c r="AP609" i="2"/>
  <c r="AQ609" i="2"/>
  <c r="AR609" i="2"/>
  <c r="AS609" i="2"/>
  <c r="AT609" i="2"/>
  <c r="AM610" i="2"/>
  <c r="AN610" i="2"/>
  <c r="AO610" i="2"/>
  <c r="AP610" i="2"/>
  <c r="AQ610" i="2"/>
  <c r="AR610" i="2"/>
  <c r="AS610" i="2"/>
  <c r="AT610" i="2"/>
  <c r="AM611" i="2"/>
  <c r="AN611" i="2"/>
  <c r="AO611" i="2"/>
  <c r="AP611" i="2"/>
  <c r="AQ611" i="2"/>
  <c r="AR611" i="2"/>
  <c r="AS611" i="2"/>
  <c r="AT611" i="2"/>
  <c r="AM612" i="2"/>
  <c r="AN612" i="2"/>
  <c r="AO612" i="2"/>
  <c r="AP612" i="2"/>
  <c r="AQ612" i="2"/>
  <c r="AR612" i="2"/>
  <c r="AS612" i="2"/>
  <c r="AT612" i="2"/>
  <c r="AM613" i="2"/>
  <c r="AN613" i="2"/>
  <c r="AO613" i="2"/>
  <c r="AP613" i="2"/>
  <c r="AQ613" i="2"/>
  <c r="AR613" i="2"/>
  <c r="AS613" i="2"/>
  <c r="AT613" i="2"/>
  <c r="AM614" i="2"/>
  <c r="AN614" i="2"/>
  <c r="AO614" i="2"/>
  <c r="AP614" i="2"/>
  <c r="AQ614" i="2"/>
  <c r="AR614" i="2"/>
  <c r="AS614" i="2"/>
  <c r="AT614" i="2"/>
  <c r="AM615" i="2"/>
  <c r="AN615" i="2"/>
  <c r="AO615" i="2"/>
  <c r="AP615" i="2"/>
  <c r="AQ615" i="2"/>
  <c r="AR615" i="2"/>
  <c r="AS615" i="2"/>
  <c r="AT615" i="2"/>
  <c r="AM616" i="2"/>
  <c r="AN616" i="2"/>
  <c r="AO616" i="2"/>
  <c r="AP616" i="2"/>
  <c r="AQ616" i="2"/>
  <c r="AR616" i="2"/>
  <c r="AS616" i="2"/>
  <c r="AT616" i="2"/>
  <c r="AM617" i="2"/>
  <c r="AN617" i="2"/>
  <c r="AO617" i="2"/>
  <c r="AP617" i="2"/>
  <c r="AQ617" i="2"/>
  <c r="AR617" i="2"/>
  <c r="AS617" i="2"/>
  <c r="AT617" i="2"/>
  <c r="AM618" i="2"/>
  <c r="AN618" i="2"/>
  <c r="AO618" i="2"/>
  <c r="AP618" i="2"/>
  <c r="AQ618" i="2"/>
  <c r="AR618" i="2"/>
  <c r="AS618" i="2"/>
  <c r="AT618" i="2"/>
  <c r="AM619" i="2"/>
  <c r="AN619" i="2"/>
  <c r="AO619" i="2"/>
  <c r="AP619" i="2"/>
  <c r="AQ619" i="2"/>
  <c r="AR619" i="2"/>
  <c r="AS619" i="2"/>
  <c r="AT619" i="2"/>
  <c r="AM620" i="2"/>
  <c r="AN620" i="2"/>
  <c r="AO620" i="2"/>
  <c r="AP620" i="2"/>
  <c r="AQ620" i="2"/>
  <c r="AR620" i="2"/>
  <c r="AS620" i="2"/>
  <c r="AT620" i="2"/>
  <c r="AM621" i="2"/>
  <c r="AN621" i="2"/>
  <c r="AO621" i="2"/>
  <c r="AP621" i="2"/>
  <c r="AQ621" i="2"/>
  <c r="AR621" i="2"/>
  <c r="AS621" i="2"/>
  <c r="AT621" i="2"/>
  <c r="AM622" i="2"/>
  <c r="AN622" i="2"/>
  <c r="AO622" i="2"/>
  <c r="AP622" i="2"/>
  <c r="AQ622" i="2"/>
  <c r="AR622" i="2"/>
  <c r="AS622" i="2"/>
  <c r="AT622" i="2"/>
  <c r="AM623" i="2"/>
  <c r="AN623" i="2"/>
  <c r="AO623" i="2"/>
  <c r="AP623" i="2"/>
  <c r="AQ623" i="2"/>
  <c r="AR623" i="2"/>
  <c r="AS623" i="2"/>
  <c r="AT623" i="2"/>
  <c r="AM624" i="2"/>
  <c r="AN624" i="2"/>
  <c r="AO624" i="2"/>
  <c r="AP624" i="2"/>
  <c r="AQ624" i="2"/>
  <c r="AR624" i="2"/>
  <c r="AS624" i="2"/>
  <c r="AT624" i="2"/>
  <c r="AM625" i="2"/>
  <c r="AN625" i="2"/>
  <c r="AO625" i="2"/>
  <c r="AP625" i="2"/>
  <c r="AQ625" i="2"/>
  <c r="AR625" i="2"/>
  <c r="AS625" i="2"/>
  <c r="AT625" i="2"/>
  <c r="AM626" i="2"/>
  <c r="AN626" i="2"/>
  <c r="AO626" i="2"/>
  <c r="AP626" i="2"/>
  <c r="AQ626" i="2"/>
  <c r="AR626" i="2"/>
  <c r="AS626" i="2"/>
  <c r="AT626" i="2"/>
  <c r="AM627" i="2"/>
  <c r="AN627" i="2"/>
  <c r="AO627" i="2"/>
  <c r="AP627" i="2"/>
  <c r="AQ627" i="2"/>
  <c r="AR627" i="2"/>
  <c r="AS627" i="2"/>
  <c r="AT627" i="2"/>
  <c r="AM628" i="2"/>
  <c r="AN628" i="2"/>
  <c r="AO628" i="2"/>
  <c r="AP628" i="2"/>
  <c r="AQ628" i="2"/>
  <c r="AR628" i="2"/>
  <c r="AS628" i="2"/>
  <c r="AT628" i="2"/>
  <c r="AM629" i="2"/>
  <c r="AN629" i="2"/>
  <c r="AO629" i="2"/>
  <c r="AP629" i="2"/>
  <c r="AQ629" i="2"/>
  <c r="AR629" i="2"/>
  <c r="AS629" i="2"/>
  <c r="AT629" i="2"/>
  <c r="AM630" i="2"/>
  <c r="AN630" i="2"/>
  <c r="AO630" i="2"/>
  <c r="AP630" i="2"/>
  <c r="AQ630" i="2"/>
  <c r="AR630" i="2"/>
  <c r="AS630" i="2"/>
  <c r="AT630" i="2"/>
  <c r="AM631" i="2"/>
  <c r="AN631" i="2"/>
  <c r="AO631" i="2"/>
  <c r="AP631" i="2"/>
  <c r="AQ631" i="2"/>
  <c r="AR631" i="2"/>
  <c r="AS631" i="2"/>
  <c r="AT631" i="2"/>
  <c r="AM632" i="2"/>
  <c r="AN632" i="2"/>
  <c r="AO632" i="2"/>
  <c r="AP632" i="2"/>
  <c r="AQ632" i="2"/>
  <c r="AR632" i="2"/>
  <c r="AS632" i="2"/>
  <c r="AT632" i="2"/>
  <c r="AM633" i="2"/>
  <c r="AN633" i="2"/>
  <c r="AO633" i="2"/>
  <c r="AP633" i="2"/>
  <c r="AQ633" i="2"/>
  <c r="AR633" i="2"/>
  <c r="AS633" i="2"/>
  <c r="AT633" i="2"/>
  <c r="AM634" i="2"/>
  <c r="AN634" i="2"/>
  <c r="AO634" i="2"/>
  <c r="AP634" i="2"/>
  <c r="AQ634" i="2"/>
  <c r="AR634" i="2"/>
  <c r="AS634" i="2"/>
  <c r="AT634" i="2"/>
  <c r="AM635" i="2"/>
  <c r="AN635" i="2"/>
  <c r="AO635" i="2"/>
  <c r="AP635" i="2"/>
  <c r="AQ635" i="2"/>
  <c r="AR635" i="2"/>
  <c r="AS635" i="2"/>
  <c r="AT635" i="2"/>
  <c r="AM636" i="2"/>
  <c r="AN636" i="2"/>
  <c r="AO636" i="2"/>
  <c r="AP636" i="2"/>
  <c r="AQ636" i="2"/>
  <c r="AR636" i="2"/>
  <c r="AS636" i="2"/>
  <c r="AT636" i="2"/>
  <c r="AM637" i="2"/>
  <c r="AN637" i="2"/>
  <c r="AO637" i="2"/>
  <c r="AP637" i="2"/>
  <c r="AQ637" i="2"/>
  <c r="AR637" i="2"/>
  <c r="AS637" i="2"/>
  <c r="AT637" i="2"/>
  <c r="AM638" i="2"/>
  <c r="AN638" i="2"/>
  <c r="AO638" i="2"/>
  <c r="AP638" i="2"/>
  <c r="AQ638" i="2"/>
  <c r="AR638" i="2"/>
  <c r="AS638" i="2"/>
  <c r="AT638" i="2"/>
  <c r="AM639" i="2"/>
  <c r="AN639" i="2"/>
  <c r="AO639" i="2"/>
  <c r="AP639" i="2"/>
  <c r="AQ639" i="2"/>
  <c r="AR639" i="2"/>
  <c r="AS639" i="2"/>
  <c r="AT639" i="2"/>
  <c r="AM640" i="2"/>
  <c r="AN640" i="2"/>
  <c r="AO640" i="2"/>
  <c r="AP640" i="2"/>
  <c r="AQ640" i="2"/>
  <c r="AR640" i="2"/>
  <c r="AS640" i="2"/>
  <c r="AT640" i="2"/>
  <c r="AM641" i="2"/>
  <c r="AN641" i="2"/>
  <c r="AO641" i="2"/>
  <c r="AP641" i="2"/>
  <c r="AQ641" i="2"/>
  <c r="AR641" i="2"/>
  <c r="AS641" i="2"/>
  <c r="AT641" i="2"/>
  <c r="AM642" i="2"/>
  <c r="AN642" i="2"/>
  <c r="AO642" i="2"/>
  <c r="AP642" i="2"/>
  <c r="AQ642" i="2"/>
  <c r="AR642" i="2"/>
  <c r="AS642" i="2"/>
  <c r="AT642" i="2"/>
  <c r="AM643" i="2"/>
  <c r="AN643" i="2"/>
  <c r="AO643" i="2"/>
  <c r="AP643" i="2"/>
  <c r="AQ643" i="2"/>
  <c r="AR643" i="2"/>
  <c r="AS643" i="2"/>
  <c r="AT643" i="2"/>
  <c r="AM644" i="2"/>
  <c r="AN644" i="2"/>
  <c r="AO644" i="2"/>
  <c r="AP644" i="2"/>
  <c r="AQ644" i="2"/>
  <c r="AR644" i="2"/>
  <c r="AS644" i="2"/>
  <c r="AT644" i="2"/>
  <c r="AM645" i="2"/>
  <c r="AN645" i="2"/>
  <c r="AO645" i="2"/>
  <c r="AP645" i="2"/>
  <c r="AQ645" i="2"/>
  <c r="AR645" i="2"/>
  <c r="AS645" i="2"/>
  <c r="AT645" i="2"/>
  <c r="AM646" i="2"/>
  <c r="AN646" i="2"/>
  <c r="AO646" i="2"/>
  <c r="AP646" i="2"/>
  <c r="AQ646" i="2"/>
  <c r="AR646" i="2"/>
  <c r="AS646" i="2"/>
  <c r="AT646" i="2"/>
  <c r="AM647" i="2"/>
  <c r="AN647" i="2"/>
  <c r="AO647" i="2"/>
  <c r="AP647" i="2"/>
  <c r="AQ647" i="2"/>
  <c r="AR647" i="2"/>
  <c r="AS647" i="2"/>
  <c r="AT647" i="2"/>
  <c r="AM648" i="2"/>
  <c r="AN648" i="2"/>
  <c r="AO648" i="2"/>
  <c r="AP648" i="2"/>
  <c r="AQ648" i="2"/>
  <c r="AR648" i="2"/>
  <c r="AS648" i="2"/>
  <c r="AT648" i="2"/>
  <c r="AM649" i="2"/>
  <c r="AN649" i="2"/>
  <c r="AO649" i="2"/>
  <c r="AP649" i="2"/>
  <c r="AQ649" i="2"/>
  <c r="AR649" i="2"/>
  <c r="AS649" i="2"/>
  <c r="AT649" i="2"/>
  <c r="AM650" i="2"/>
  <c r="AN650" i="2"/>
  <c r="AO650" i="2"/>
  <c r="AP650" i="2"/>
  <c r="AQ650" i="2"/>
  <c r="AR650" i="2"/>
  <c r="AS650" i="2"/>
  <c r="AT650" i="2"/>
  <c r="AM651" i="2"/>
  <c r="AN651" i="2"/>
  <c r="AO651" i="2"/>
  <c r="AP651" i="2"/>
  <c r="AQ651" i="2"/>
  <c r="AR651" i="2"/>
  <c r="AS651" i="2"/>
  <c r="AT651" i="2"/>
  <c r="AM652" i="2"/>
  <c r="AN652" i="2"/>
  <c r="AO652" i="2"/>
  <c r="AP652" i="2"/>
  <c r="AQ652" i="2"/>
  <c r="AR652" i="2"/>
  <c r="AS652" i="2"/>
  <c r="AT652" i="2"/>
  <c r="AM653" i="2"/>
  <c r="AN653" i="2"/>
  <c r="AO653" i="2"/>
  <c r="AP653" i="2"/>
  <c r="AQ653" i="2"/>
  <c r="AR653" i="2"/>
  <c r="AS653" i="2"/>
  <c r="AT653" i="2"/>
  <c r="AM654" i="2"/>
  <c r="AN654" i="2"/>
  <c r="AO654" i="2"/>
  <c r="AP654" i="2"/>
  <c r="AQ654" i="2"/>
  <c r="AR654" i="2"/>
  <c r="AS654" i="2"/>
  <c r="AT654" i="2"/>
  <c r="AM655" i="2"/>
  <c r="AN655" i="2"/>
  <c r="AO655" i="2"/>
  <c r="AP655" i="2"/>
  <c r="AQ655" i="2"/>
  <c r="AR655" i="2"/>
  <c r="AS655" i="2"/>
  <c r="AT655" i="2"/>
  <c r="AM656" i="2"/>
  <c r="AN656" i="2"/>
  <c r="AO656" i="2"/>
  <c r="AP656" i="2"/>
  <c r="AQ656" i="2"/>
  <c r="AR656" i="2"/>
  <c r="AS656" i="2"/>
  <c r="AT656" i="2"/>
  <c r="AM657" i="2"/>
  <c r="AN657" i="2"/>
  <c r="AO657" i="2"/>
  <c r="AP657" i="2"/>
  <c r="AQ657" i="2"/>
  <c r="AR657" i="2"/>
  <c r="AS657" i="2"/>
  <c r="AT657" i="2"/>
  <c r="AM658" i="2"/>
  <c r="AN658" i="2"/>
  <c r="AO658" i="2"/>
  <c r="AP658" i="2"/>
  <c r="AQ658" i="2"/>
  <c r="AR658" i="2"/>
  <c r="AS658" i="2"/>
  <c r="AT658" i="2"/>
  <c r="AM659" i="2"/>
  <c r="AN659" i="2"/>
  <c r="AO659" i="2"/>
  <c r="AP659" i="2"/>
  <c r="AQ659" i="2"/>
  <c r="AR659" i="2"/>
  <c r="AS659" i="2"/>
  <c r="AT659" i="2"/>
  <c r="AM660" i="2"/>
  <c r="AN660" i="2"/>
  <c r="AO660" i="2"/>
  <c r="AP660" i="2"/>
  <c r="AQ660" i="2"/>
  <c r="AR660" i="2"/>
  <c r="AS660" i="2"/>
  <c r="AT660" i="2"/>
  <c r="AM661" i="2"/>
  <c r="AN661" i="2"/>
  <c r="AO661" i="2"/>
  <c r="AP661" i="2"/>
  <c r="AQ661" i="2"/>
  <c r="AR661" i="2"/>
  <c r="AS661" i="2"/>
  <c r="AT661" i="2"/>
  <c r="AM662" i="2"/>
  <c r="AN662" i="2"/>
  <c r="AO662" i="2"/>
  <c r="AP662" i="2"/>
  <c r="AQ662" i="2"/>
  <c r="AR662" i="2"/>
  <c r="AS662" i="2"/>
  <c r="AT662" i="2"/>
  <c r="AM663" i="2"/>
  <c r="AN663" i="2"/>
  <c r="AO663" i="2"/>
  <c r="AP663" i="2"/>
  <c r="AQ663" i="2"/>
  <c r="AR663" i="2"/>
  <c r="AS663" i="2"/>
  <c r="AT663" i="2"/>
  <c r="AM664" i="2"/>
  <c r="AN664" i="2"/>
  <c r="AO664" i="2"/>
  <c r="AP664" i="2"/>
  <c r="AQ664" i="2"/>
  <c r="AR664" i="2"/>
  <c r="AS664" i="2"/>
  <c r="AT664" i="2"/>
  <c r="AM665" i="2"/>
  <c r="AN665" i="2"/>
  <c r="AO665" i="2"/>
  <c r="AP665" i="2"/>
  <c r="AQ665" i="2"/>
  <c r="AR665" i="2"/>
  <c r="AS665" i="2"/>
  <c r="AT665" i="2"/>
  <c r="AM666" i="2"/>
  <c r="AN666" i="2"/>
  <c r="AO666" i="2"/>
  <c r="AP666" i="2"/>
  <c r="AQ666" i="2"/>
  <c r="AR666" i="2"/>
  <c r="AS666" i="2"/>
  <c r="AT666" i="2"/>
  <c r="AM667" i="2"/>
  <c r="AN667" i="2"/>
  <c r="AO667" i="2"/>
  <c r="AP667" i="2"/>
  <c r="AQ667" i="2"/>
  <c r="AR667" i="2"/>
  <c r="AS667" i="2"/>
  <c r="AT667" i="2"/>
  <c r="AM668" i="2"/>
  <c r="AN668" i="2"/>
  <c r="AO668" i="2"/>
  <c r="AP668" i="2"/>
  <c r="AQ668" i="2"/>
  <c r="AR668" i="2"/>
  <c r="AS668" i="2"/>
  <c r="AT668" i="2"/>
  <c r="AM669" i="2"/>
  <c r="AN669" i="2"/>
  <c r="AO669" i="2"/>
  <c r="AP669" i="2"/>
  <c r="AQ669" i="2"/>
  <c r="AR669" i="2"/>
  <c r="AS669" i="2"/>
  <c r="AT669" i="2"/>
  <c r="AM670" i="2"/>
  <c r="AN670" i="2"/>
  <c r="AO670" i="2"/>
  <c r="AP670" i="2"/>
  <c r="AQ670" i="2"/>
  <c r="AR670" i="2"/>
  <c r="AS670" i="2"/>
  <c r="AT670" i="2"/>
  <c r="AM671" i="2"/>
  <c r="AN671" i="2"/>
  <c r="AO671" i="2"/>
  <c r="AP671" i="2"/>
  <c r="AQ671" i="2"/>
  <c r="AR671" i="2"/>
  <c r="AS671" i="2"/>
  <c r="AT671" i="2"/>
  <c r="AM672" i="2"/>
  <c r="AN672" i="2"/>
  <c r="AO672" i="2"/>
  <c r="AP672" i="2"/>
  <c r="AQ672" i="2"/>
  <c r="AR672" i="2"/>
  <c r="AS672" i="2"/>
  <c r="AT672" i="2"/>
  <c r="AM673" i="2"/>
  <c r="AN673" i="2"/>
  <c r="AO673" i="2"/>
  <c r="AP673" i="2"/>
  <c r="AQ673" i="2"/>
  <c r="AR673" i="2"/>
  <c r="AS673" i="2"/>
  <c r="AT673" i="2"/>
  <c r="AM674" i="2"/>
  <c r="AN674" i="2"/>
  <c r="AO674" i="2"/>
  <c r="AP674" i="2"/>
  <c r="AQ674" i="2"/>
  <c r="AR674" i="2"/>
  <c r="AS674" i="2"/>
  <c r="AT674" i="2"/>
  <c r="AM675" i="2"/>
  <c r="AN675" i="2"/>
  <c r="AO675" i="2"/>
  <c r="AP675" i="2"/>
  <c r="AQ675" i="2"/>
  <c r="AR675" i="2"/>
  <c r="AS675" i="2"/>
  <c r="AT675" i="2"/>
  <c r="AM676" i="2"/>
  <c r="AN676" i="2"/>
  <c r="AO676" i="2"/>
  <c r="AP676" i="2"/>
  <c r="AQ676" i="2"/>
  <c r="AR676" i="2"/>
  <c r="AS676" i="2"/>
  <c r="AT676" i="2"/>
  <c r="AM677" i="2"/>
  <c r="AN677" i="2"/>
  <c r="AO677" i="2"/>
  <c r="AP677" i="2"/>
  <c r="AQ677" i="2"/>
  <c r="AR677" i="2"/>
  <c r="AS677" i="2"/>
  <c r="AT677" i="2"/>
  <c r="AM678" i="2"/>
  <c r="AN678" i="2"/>
  <c r="AO678" i="2"/>
  <c r="AP678" i="2"/>
  <c r="AQ678" i="2"/>
  <c r="AR678" i="2"/>
  <c r="AS678" i="2"/>
  <c r="AT678" i="2"/>
  <c r="AM679" i="2"/>
  <c r="AN679" i="2"/>
  <c r="AO679" i="2"/>
  <c r="AP679" i="2"/>
  <c r="AQ679" i="2"/>
  <c r="AR679" i="2"/>
  <c r="AS679" i="2"/>
  <c r="AT679" i="2"/>
  <c r="AM680" i="2"/>
  <c r="AN680" i="2"/>
  <c r="AO680" i="2"/>
  <c r="AP680" i="2"/>
  <c r="AQ680" i="2"/>
  <c r="AR680" i="2"/>
  <c r="AS680" i="2"/>
  <c r="AT680" i="2"/>
  <c r="AM681" i="2"/>
  <c r="AN681" i="2"/>
  <c r="AO681" i="2"/>
  <c r="AP681" i="2"/>
  <c r="AQ681" i="2"/>
  <c r="AR681" i="2"/>
  <c r="AS681" i="2"/>
  <c r="AT681" i="2"/>
  <c r="AM682" i="2"/>
  <c r="AN682" i="2"/>
  <c r="AO682" i="2"/>
  <c r="AP682" i="2"/>
  <c r="AQ682" i="2"/>
  <c r="AR682" i="2"/>
  <c r="AS682" i="2"/>
  <c r="AT682" i="2"/>
  <c r="AM683" i="2"/>
  <c r="AN683" i="2"/>
  <c r="AO683" i="2"/>
  <c r="AP683" i="2"/>
  <c r="AQ683" i="2"/>
  <c r="AR683" i="2"/>
  <c r="AS683" i="2"/>
  <c r="AT683" i="2"/>
  <c r="AM684" i="2"/>
  <c r="AN684" i="2"/>
  <c r="AO684" i="2"/>
  <c r="AP684" i="2"/>
  <c r="AQ684" i="2"/>
  <c r="AR684" i="2"/>
  <c r="AS684" i="2"/>
  <c r="AT684" i="2"/>
  <c r="AM685" i="2"/>
  <c r="AN685" i="2"/>
  <c r="AO685" i="2"/>
  <c r="AP685" i="2"/>
  <c r="AQ685" i="2"/>
  <c r="AR685" i="2"/>
  <c r="AS685" i="2"/>
  <c r="AT685" i="2"/>
  <c r="AM686" i="2"/>
  <c r="AN686" i="2"/>
  <c r="AO686" i="2"/>
  <c r="AP686" i="2"/>
  <c r="AQ686" i="2"/>
  <c r="AR686" i="2"/>
  <c r="AS686" i="2"/>
  <c r="AT686" i="2"/>
  <c r="AM687" i="2"/>
  <c r="AN687" i="2"/>
  <c r="AO687" i="2"/>
  <c r="AP687" i="2"/>
  <c r="AQ687" i="2"/>
  <c r="AR687" i="2"/>
  <c r="AS687" i="2"/>
  <c r="AT687" i="2"/>
  <c r="AM688" i="2"/>
  <c r="AN688" i="2"/>
  <c r="AO688" i="2"/>
  <c r="AP688" i="2"/>
  <c r="AQ688" i="2"/>
  <c r="AR688" i="2"/>
  <c r="AS688" i="2"/>
  <c r="AT688" i="2"/>
  <c r="AM689" i="2"/>
  <c r="AN689" i="2"/>
  <c r="AO689" i="2"/>
  <c r="AP689" i="2"/>
  <c r="AQ689" i="2"/>
  <c r="AR689" i="2"/>
  <c r="AS689" i="2"/>
  <c r="AT689" i="2"/>
  <c r="AM690" i="2"/>
  <c r="AN690" i="2"/>
  <c r="AO690" i="2"/>
  <c r="AP690" i="2"/>
  <c r="AQ690" i="2"/>
  <c r="AR690" i="2"/>
  <c r="AS690" i="2"/>
  <c r="AT690" i="2"/>
  <c r="AM691" i="2"/>
  <c r="AN691" i="2"/>
  <c r="AO691" i="2"/>
  <c r="AP691" i="2"/>
  <c r="AQ691" i="2"/>
  <c r="AR691" i="2"/>
  <c r="AS691" i="2"/>
  <c r="AT691" i="2"/>
  <c r="AM692" i="2"/>
  <c r="AN692" i="2"/>
  <c r="AO692" i="2"/>
  <c r="AP692" i="2"/>
  <c r="AQ692" i="2"/>
  <c r="AR692" i="2"/>
  <c r="AS692" i="2"/>
  <c r="AT692" i="2"/>
  <c r="AM693" i="2"/>
  <c r="AN693" i="2"/>
  <c r="AO693" i="2"/>
  <c r="AP693" i="2"/>
  <c r="AQ693" i="2"/>
  <c r="AR693" i="2"/>
  <c r="AS693" i="2"/>
  <c r="AT693" i="2"/>
  <c r="AM694" i="2"/>
  <c r="AN694" i="2"/>
  <c r="AO694" i="2"/>
  <c r="AP694" i="2"/>
  <c r="AQ694" i="2"/>
  <c r="AR694" i="2"/>
  <c r="AS694" i="2"/>
  <c r="AT694" i="2"/>
  <c r="AM695" i="2"/>
  <c r="AN695" i="2"/>
  <c r="AO695" i="2"/>
  <c r="AP695" i="2"/>
  <c r="AQ695" i="2"/>
  <c r="AR695" i="2"/>
  <c r="AS695" i="2"/>
  <c r="AT695" i="2"/>
  <c r="AM696" i="2"/>
  <c r="AN696" i="2"/>
  <c r="AO696" i="2"/>
  <c r="AP696" i="2"/>
  <c r="AQ696" i="2"/>
  <c r="AR696" i="2"/>
  <c r="AS696" i="2"/>
  <c r="AT696" i="2"/>
  <c r="AM697" i="2"/>
  <c r="AN697" i="2"/>
  <c r="AO697" i="2"/>
  <c r="AP697" i="2"/>
  <c r="AQ697" i="2"/>
  <c r="AR697" i="2"/>
  <c r="AS697" i="2"/>
  <c r="AT697" i="2"/>
  <c r="AM698" i="2"/>
  <c r="AN698" i="2"/>
  <c r="AO698" i="2"/>
  <c r="AP698" i="2"/>
  <c r="AQ698" i="2"/>
  <c r="AR698" i="2"/>
  <c r="AS698" i="2"/>
  <c r="AT698" i="2"/>
  <c r="AM699" i="2"/>
  <c r="AN699" i="2"/>
  <c r="AO699" i="2"/>
  <c r="AP699" i="2"/>
  <c r="AQ699" i="2"/>
  <c r="AR699" i="2"/>
  <c r="AS699" i="2"/>
  <c r="AT699" i="2"/>
  <c r="AM700" i="2"/>
  <c r="AN700" i="2"/>
  <c r="AO700" i="2"/>
  <c r="AP700" i="2"/>
  <c r="AQ700" i="2"/>
  <c r="AR700" i="2"/>
  <c r="AS700" i="2"/>
  <c r="AT700" i="2"/>
  <c r="AM701" i="2"/>
  <c r="AN701" i="2"/>
  <c r="AO701" i="2"/>
  <c r="AP701" i="2"/>
  <c r="AQ701" i="2"/>
  <c r="AR701" i="2"/>
  <c r="AS701" i="2"/>
  <c r="AT701" i="2"/>
  <c r="AM702" i="2"/>
  <c r="AN702" i="2"/>
  <c r="AO702" i="2"/>
  <c r="AP702" i="2"/>
  <c r="AQ702" i="2"/>
  <c r="AR702" i="2"/>
  <c r="AS702" i="2"/>
  <c r="AT702" i="2"/>
  <c r="AM703" i="2"/>
  <c r="AN703" i="2"/>
  <c r="AO703" i="2"/>
  <c r="AP703" i="2"/>
  <c r="AQ703" i="2"/>
  <c r="AR703" i="2"/>
  <c r="AS703" i="2"/>
  <c r="AT703" i="2"/>
  <c r="AM704" i="2"/>
  <c r="AN704" i="2"/>
  <c r="AO704" i="2"/>
  <c r="AP704" i="2"/>
  <c r="AQ704" i="2"/>
  <c r="AR704" i="2"/>
  <c r="AS704" i="2"/>
  <c r="AT704" i="2"/>
  <c r="AM705" i="2"/>
  <c r="AN705" i="2"/>
  <c r="AO705" i="2"/>
  <c r="AP705" i="2"/>
  <c r="AQ705" i="2"/>
  <c r="AR705" i="2"/>
  <c r="AS705" i="2"/>
  <c r="AT705" i="2"/>
  <c r="AM706" i="2"/>
  <c r="AN706" i="2"/>
  <c r="AO706" i="2"/>
  <c r="AP706" i="2"/>
  <c r="AQ706" i="2"/>
  <c r="AR706" i="2"/>
  <c r="AS706" i="2"/>
  <c r="AT706" i="2"/>
  <c r="AM707" i="2"/>
  <c r="AN707" i="2"/>
  <c r="AO707" i="2"/>
  <c r="AP707" i="2"/>
  <c r="AQ707" i="2"/>
  <c r="AR707" i="2"/>
  <c r="AS707" i="2"/>
  <c r="AT707" i="2"/>
  <c r="AM708" i="2"/>
  <c r="AN708" i="2"/>
  <c r="AO708" i="2"/>
  <c r="AP708" i="2"/>
  <c r="AQ708" i="2"/>
  <c r="AR708" i="2"/>
  <c r="AS708" i="2"/>
  <c r="AT708" i="2"/>
  <c r="AM709" i="2"/>
  <c r="AN709" i="2"/>
  <c r="AO709" i="2"/>
  <c r="AP709" i="2"/>
  <c r="AQ709" i="2"/>
  <c r="AR709" i="2"/>
  <c r="AS709" i="2"/>
  <c r="AT709" i="2"/>
  <c r="AM710" i="2"/>
  <c r="AN710" i="2"/>
  <c r="AO710" i="2"/>
  <c r="AP710" i="2"/>
  <c r="AQ710" i="2"/>
  <c r="AR710" i="2"/>
  <c r="AS710" i="2"/>
  <c r="AT710" i="2"/>
  <c r="AM711" i="2"/>
  <c r="AN711" i="2"/>
  <c r="AO711" i="2"/>
  <c r="AP711" i="2"/>
  <c r="AQ711" i="2"/>
  <c r="AR711" i="2"/>
  <c r="AS711" i="2"/>
  <c r="AT711" i="2"/>
  <c r="AM712" i="2"/>
  <c r="AN712" i="2"/>
  <c r="AO712" i="2"/>
  <c r="AP712" i="2"/>
  <c r="AQ712" i="2"/>
  <c r="AR712" i="2"/>
  <c r="AS712" i="2"/>
  <c r="AT712" i="2"/>
  <c r="AM713" i="2"/>
  <c r="AN713" i="2"/>
  <c r="AO713" i="2"/>
  <c r="AP713" i="2"/>
  <c r="AQ713" i="2"/>
  <c r="AR713" i="2"/>
  <c r="AS713" i="2"/>
  <c r="AT713" i="2"/>
  <c r="AM714" i="2"/>
  <c r="AN714" i="2"/>
  <c r="AO714" i="2"/>
  <c r="AP714" i="2"/>
  <c r="AQ714" i="2"/>
  <c r="AR714" i="2"/>
  <c r="AS714" i="2"/>
  <c r="AT714" i="2"/>
  <c r="AM715" i="2"/>
  <c r="AN715" i="2"/>
  <c r="AO715" i="2"/>
  <c r="AP715" i="2"/>
  <c r="AQ715" i="2"/>
  <c r="AR715" i="2"/>
  <c r="AS715" i="2"/>
  <c r="AT715" i="2"/>
  <c r="AM716" i="2"/>
  <c r="AN716" i="2"/>
  <c r="AO716" i="2"/>
  <c r="AP716" i="2"/>
  <c r="AQ716" i="2"/>
  <c r="AR716" i="2"/>
  <c r="AS716" i="2"/>
  <c r="AT716" i="2"/>
  <c r="AM717" i="2"/>
  <c r="AN717" i="2"/>
  <c r="AO717" i="2"/>
  <c r="AP717" i="2"/>
  <c r="AQ717" i="2"/>
  <c r="AR717" i="2"/>
  <c r="AS717" i="2"/>
  <c r="AT717" i="2"/>
  <c r="AM718" i="2"/>
  <c r="AN718" i="2"/>
  <c r="AO718" i="2"/>
  <c r="AP718" i="2"/>
  <c r="AQ718" i="2"/>
  <c r="AR718" i="2"/>
  <c r="AS718" i="2"/>
  <c r="AT718" i="2"/>
  <c r="AM719" i="2"/>
  <c r="AN719" i="2"/>
  <c r="AO719" i="2"/>
  <c r="AP719" i="2"/>
  <c r="AQ719" i="2"/>
  <c r="AR719" i="2"/>
  <c r="AS719" i="2"/>
  <c r="AT719" i="2"/>
  <c r="AM720" i="2"/>
  <c r="AN720" i="2"/>
  <c r="AO720" i="2"/>
  <c r="AP720" i="2"/>
  <c r="AQ720" i="2"/>
  <c r="AR720" i="2"/>
  <c r="AS720" i="2"/>
  <c r="AT720" i="2"/>
  <c r="AM721" i="2"/>
  <c r="AN721" i="2"/>
  <c r="AO721" i="2"/>
  <c r="AP721" i="2"/>
  <c r="AQ721" i="2"/>
  <c r="AR721" i="2"/>
  <c r="AS721" i="2"/>
  <c r="AT721" i="2"/>
  <c r="AS2" i="2"/>
  <c r="AR2" i="2"/>
  <c r="AQ2" i="2"/>
  <c r="AP2" i="2"/>
  <c r="AO2" i="2"/>
  <c r="AN2" i="2"/>
  <c r="AM2" i="2"/>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61" i="5"/>
  <c r="H62" i="5"/>
  <c r="H63" i="5"/>
  <c r="H64" i="5"/>
  <c r="H65" i="5"/>
  <c r="H66" i="5"/>
  <c r="H67" i="5"/>
  <c r="H68" i="5"/>
  <c r="H69" i="5"/>
  <c r="H70" i="5"/>
  <c r="H71" i="5"/>
  <c r="H72" i="5"/>
  <c r="H73" i="5"/>
  <c r="H74" i="5"/>
  <c r="H75" i="5"/>
  <c r="H76" i="5"/>
  <c r="H77" i="5"/>
  <c r="H78" i="5"/>
  <c r="H79" i="5"/>
  <c r="H80" i="5"/>
  <c r="H81" i="5"/>
  <c r="H82" i="5"/>
  <c r="H84" i="5"/>
  <c r="H85" i="5"/>
  <c r="H86" i="5"/>
  <c r="H87" i="5"/>
  <c r="H88" i="5"/>
  <c r="H89" i="5"/>
  <c r="H90" i="5"/>
  <c r="H91" i="5"/>
  <c r="H92" i="5"/>
  <c r="H93" i="5"/>
  <c r="H94"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5" i="5"/>
  <c r="H228" i="5"/>
  <c r="H229"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1" i="5"/>
  <c r="H322" i="5"/>
  <c r="H323" i="5"/>
  <c r="H324" i="5"/>
  <c r="H325" i="5"/>
  <c r="H326" i="5"/>
  <c r="H328" i="5"/>
  <c r="H329" i="5"/>
  <c r="H331" i="5"/>
  <c r="H332" i="5"/>
  <c r="H333" i="5"/>
  <c r="H334" i="5"/>
  <c r="H335" i="5"/>
  <c r="H336" i="5"/>
  <c r="H337" i="5"/>
  <c r="H338" i="5"/>
  <c r="H339" i="5"/>
  <c r="H340" i="5"/>
  <c r="H341" i="5"/>
  <c r="H342" i="5"/>
  <c r="H343" i="5"/>
  <c r="H344" i="5"/>
  <c r="H345" i="5"/>
  <c r="H346" i="5"/>
  <c r="H347" i="5"/>
  <c r="H348" i="5"/>
  <c r="H349" i="5"/>
  <c r="H350"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4"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6" i="5"/>
  <c r="H467" i="5"/>
  <c r="H468" i="5"/>
  <c r="H469" i="5"/>
  <c r="H470" i="5"/>
  <c r="H472" i="5"/>
  <c r="H474" i="5"/>
  <c r="H475" i="5"/>
  <c r="H476" i="5"/>
  <c r="H477" i="5"/>
  <c r="H478" i="5"/>
  <c r="H479" i="5"/>
  <c r="H480" i="5"/>
  <c r="H481" i="5"/>
  <c r="H482" i="5"/>
  <c r="H483" i="5"/>
  <c r="H484" i="5"/>
  <c r="H485" i="5"/>
  <c r="H486" i="5"/>
  <c r="H487" i="5"/>
  <c r="H488"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2" i="5"/>
  <c r="B721" i="5"/>
  <c r="B720" i="5"/>
  <c r="B719" i="5"/>
  <c r="B718" i="5"/>
  <c r="B717" i="5"/>
  <c r="B716" i="5"/>
  <c r="B715" i="5"/>
  <c r="B714" i="5"/>
  <c r="B713" i="5"/>
  <c r="B712" i="5"/>
  <c r="B711" i="5"/>
  <c r="B710" i="5"/>
  <c r="B709" i="5"/>
  <c r="B708" i="5"/>
  <c r="B707" i="5"/>
  <c r="B706" i="5"/>
  <c r="B705" i="5"/>
  <c r="B704" i="5"/>
  <c r="B703" i="5"/>
  <c r="B702" i="5"/>
  <c r="B701" i="5"/>
  <c r="B700" i="5"/>
  <c r="B699" i="5"/>
  <c r="B698" i="5"/>
  <c r="B697" i="5"/>
  <c r="B696" i="5"/>
  <c r="B695" i="5"/>
  <c r="B694" i="5"/>
  <c r="B693" i="5"/>
  <c r="B692" i="5"/>
  <c r="B691" i="5"/>
  <c r="B690" i="5"/>
  <c r="B689" i="5"/>
  <c r="B688" i="5"/>
  <c r="B687" i="5"/>
  <c r="B686" i="5"/>
  <c r="B685" i="5"/>
  <c r="B684" i="5"/>
  <c r="B683" i="5"/>
  <c r="B682" i="5"/>
  <c r="B681" i="5"/>
  <c r="B680" i="5"/>
  <c r="B679" i="5"/>
  <c r="B678" i="5"/>
  <c r="B677" i="5"/>
  <c r="B676" i="5"/>
  <c r="B675" i="5"/>
  <c r="B674" i="5"/>
  <c r="B673" i="5"/>
  <c r="B672" i="5"/>
  <c r="B671" i="5"/>
  <c r="B670" i="5"/>
  <c r="B669" i="5"/>
  <c r="B668" i="5"/>
  <c r="B667" i="5"/>
  <c r="B666" i="5"/>
  <c r="B665" i="5"/>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B635" i="5"/>
  <c r="B634" i="5"/>
  <c r="B633" i="5"/>
  <c r="B632" i="5"/>
  <c r="B631" i="5"/>
  <c r="B630" i="5"/>
  <c r="B629" i="5"/>
  <c r="B628" i="5"/>
  <c r="B627" i="5"/>
  <c r="B626" i="5"/>
  <c r="B625" i="5"/>
  <c r="B624" i="5"/>
  <c r="B623" i="5"/>
  <c r="B622" i="5"/>
  <c r="B621" i="5"/>
  <c r="B620" i="5"/>
  <c r="B619" i="5"/>
  <c r="B618" i="5"/>
  <c r="B617" i="5"/>
  <c r="B616" i="5"/>
  <c r="B615" i="5"/>
  <c r="B614" i="5"/>
  <c r="B613" i="5"/>
  <c r="B612" i="5"/>
  <c r="B611" i="5"/>
  <c r="B610" i="5"/>
  <c r="B609" i="5"/>
  <c r="B608" i="5"/>
  <c r="B607" i="5"/>
  <c r="B606" i="5"/>
  <c r="B605" i="5"/>
  <c r="B604" i="5"/>
  <c r="B603" i="5"/>
  <c r="B602" i="5"/>
  <c r="B601" i="5"/>
  <c r="B600" i="5"/>
  <c r="B599"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2" i="5"/>
  <c r="D2" i="2"/>
  <c r="D3" i="2"/>
  <c r="D4" i="2"/>
  <c r="D5" i="2"/>
  <c r="D6" i="2"/>
  <c r="D7" i="2"/>
  <c r="D8" i="2"/>
  <c r="D9" i="2"/>
  <c r="D10" i="2"/>
  <c r="D11" i="2"/>
  <c r="D12" i="2"/>
  <c r="D13" i="2"/>
  <c r="D14" i="2"/>
  <c r="D15" i="2"/>
  <c r="D16" i="2"/>
  <c r="D17" i="2"/>
  <c r="D18" i="2"/>
  <c r="D19" i="2"/>
  <c r="D20" i="2"/>
  <c r="D21" i="2"/>
  <c r="D22" i="2"/>
  <c r="D23" i="2"/>
  <c r="D24" i="2"/>
  <c r="D25" i="2"/>
  <c r="D26" i="2"/>
  <c r="D27" i="2"/>
  <c r="D28" i="2"/>
  <c r="D442" i="2"/>
  <c r="D443" i="2"/>
  <c r="D444" i="2"/>
  <c r="D445" i="2"/>
  <c r="D446" i="2"/>
  <c r="D447" i="2"/>
  <c r="D448" i="2"/>
  <c r="D449" i="2"/>
  <c r="D450" i="2"/>
  <c r="D451" i="2"/>
  <c r="D452" i="2"/>
  <c r="D453" i="2"/>
  <c r="D454" i="2"/>
  <c r="D455" i="2"/>
  <c r="D456" i="2"/>
  <c r="D457" i="2"/>
  <c r="D458" i="2"/>
  <c r="D459" i="2"/>
  <c r="D460" i="2"/>
  <c r="D461" i="2"/>
  <c r="D90" i="2"/>
  <c r="D91" i="2"/>
  <c r="D92" i="2"/>
  <c r="D93" i="2"/>
  <c r="D94" i="2"/>
  <c r="D110" i="2"/>
  <c r="D111" i="2"/>
  <c r="D112" i="2"/>
  <c r="D113" i="2"/>
  <c r="D114" i="2"/>
  <c r="D95" i="2"/>
  <c r="D96" i="2"/>
  <c r="D97" i="2"/>
  <c r="D98" i="2"/>
  <c r="D99" i="2"/>
  <c r="D100" i="2"/>
  <c r="D101" i="2"/>
  <c r="D102" i="2"/>
  <c r="D103" i="2"/>
  <c r="D104" i="2"/>
  <c r="D105" i="2"/>
  <c r="D106" i="2"/>
  <c r="D107" i="2"/>
  <c r="D108" i="2"/>
  <c r="D109" i="2"/>
  <c r="D553" i="2"/>
  <c r="D554" i="2"/>
  <c r="D555" i="2"/>
  <c r="D556" i="2"/>
  <c r="D557" i="2"/>
  <c r="D558" i="2"/>
  <c r="D559" i="2"/>
  <c r="D560" i="2"/>
  <c r="D561" i="2"/>
  <c r="D562" i="2"/>
  <c r="D29" i="2"/>
  <c r="D30" i="2"/>
  <c r="D31" i="2"/>
  <c r="D41" i="2"/>
  <c r="D44" i="2"/>
  <c r="D43" i="2"/>
  <c r="D42" i="2"/>
  <c r="D45" i="2"/>
  <c r="D46" i="2"/>
  <c r="D48" i="2"/>
  <c r="D47" i="2"/>
  <c r="D49" i="2"/>
  <c r="D51" i="2"/>
  <c r="D50" i="2"/>
  <c r="D52" i="2"/>
  <c r="D53" i="2"/>
  <c r="D65" i="2"/>
  <c r="D66" i="2"/>
  <c r="D67" i="2"/>
  <c r="D68" i="2"/>
  <c r="D69" i="2"/>
  <c r="D70" i="2"/>
  <c r="D71" i="2"/>
  <c r="D72" i="2"/>
  <c r="D73" i="2"/>
  <c r="D74" i="2"/>
  <c r="D492" i="2"/>
  <c r="D493" i="2"/>
  <c r="D494" i="2"/>
  <c r="D495" i="2"/>
  <c r="D496" i="2"/>
  <c r="D497" i="2"/>
  <c r="D498" i="2"/>
  <c r="D499" i="2"/>
  <c r="D500" i="2"/>
  <c r="D501" i="2"/>
  <c r="D502" i="2"/>
  <c r="D503" i="2"/>
  <c r="D504" i="2"/>
  <c r="D505" i="2"/>
  <c r="D506" i="2"/>
  <c r="D531" i="2"/>
  <c r="D532" i="2"/>
  <c r="D540" i="2"/>
  <c r="D541" i="2"/>
  <c r="D542" i="2"/>
  <c r="D543" i="2"/>
  <c r="D544" i="2"/>
  <c r="D545" i="2"/>
  <c r="D533" i="2"/>
  <c r="D534" i="2"/>
  <c r="D535" i="2"/>
  <c r="D536" i="2"/>
  <c r="D537" i="2"/>
  <c r="D538" i="2"/>
  <c r="D539" i="2"/>
  <c r="D507" i="2"/>
  <c r="D508" i="2"/>
  <c r="D509" i="2"/>
  <c r="D510" i="2"/>
  <c r="D511" i="2"/>
  <c r="D512" i="2"/>
  <c r="D513" i="2"/>
  <c r="D514" i="2"/>
  <c r="D515" i="2"/>
  <c r="D516" i="2"/>
  <c r="D517" i="2"/>
  <c r="D518" i="2"/>
  <c r="D519" i="2"/>
  <c r="D520" i="2"/>
  <c r="D521" i="2"/>
  <c r="D522" i="2"/>
  <c r="D523" i="2"/>
  <c r="D524" i="2"/>
  <c r="D525" i="2"/>
  <c r="D526" i="2"/>
  <c r="D527" i="2"/>
  <c r="D528" i="2"/>
  <c r="D529" i="2"/>
  <c r="D530" i="2"/>
  <c r="D641" i="2"/>
  <c r="D642" i="2"/>
  <c r="D643" i="2"/>
  <c r="D644" i="2"/>
  <c r="D645" i="2"/>
  <c r="D646" i="2"/>
  <c r="D647" i="2"/>
  <c r="D648" i="2"/>
  <c r="D649" i="2"/>
  <c r="D650" i="2"/>
  <c r="D702" i="2"/>
  <c r="D703" i="2"/>
  <c r="D704" i="2"/>
  <c r="D705" i="2"/>
  <c r="D706" i="2"/>
  <c r="D707" i="2"/>
  <c r="D708" i="2"/>
  <c r="D709" i="2"/>
  <c r="D710" i="2"/>
  <c r="D712" i="2"/>
  <c r="D713" i="2"/>
  <c r="D714" i="2"/>
  <c r="D715" i="2"/>
  <c r="D716" i="2"/>
  <c r="D717" i="2"/>
  <c r="D718" i="2"/>
  <c r="D719" i="2"/>
  <c r="D720" i="2"/>
  <c r="D721" i="2"/>
  <c r="D711" i="2"/>
  <c r="D347" i="2"/>
  <c r="D348" i="2"/>
  <c r="D349" i="2"/>
  <c r="D350" i="2"/>
  <c r="D351" i="2"/>
  <c r="D352" i="2"/>
  <c r="D353" i="2"/>
  <c r="D354" i="2"/>
  <c r="D355" i="2"/>
  <c r="D356" i="2"/>
  <c r="D357" i="2"/>
  <c r="D358" i="2"/>
  <c r="D327" i="2"/>
  <c r="D328" i="2"/>
  <c r="D329" i="2"/>
  <c r="D330" i="2"/>
  <c r="D331" i="2"/>
  <c r="D332" i="2"/>
  <c r="D333" i="2"/>
  <c r="D334" i="2"/>
  <c r="D335" i="2"/>
  <c r="D336" i="2"/>
  <c r="D337" i="2"/>
  <c r="D338" i="2"/>
  <c r="D339" i="2"/>
  <c r="D340" i="2"/>
  <c r="D341" i="2"/>
  <c r="D342" i="2"/>
  <c r="D343" i="2"/>
  <c r="D344" i="2"/>
  <c r="D345" i="2"/>
  <c r="D346" i="2"/>
  <c r="D219" i="2"/>
  <c r="D220" i="2"/>
  <c r="D221" i="2"/>
  <c r="D222" i="2"/>
  <c r="D223" i="2"/>
  <c r="D224" i="2"/>
  <c r="D225" i="2"/>
  <c r="D226" i="2"/>
  <c r="D227" i="2"/>
  <c r="D228" i="2"/>
  <c r="D209" i="2"/>
  <c r="D210" i="2"/>
  <c r="D211" i="2"/>
  <c r="D212" i="2"/>
  <c r="D213" i="2"/>
  <c r="D214" i="2"/>
  <c r="D215" i="2"/>
  <c r="D216" i="2"/>
  <c r="D217" i="2"/>
  <c r="D218" i="2"/>
  <c r="D206" i="2"/>
  <c r="D207" i="2"/>
  <c r="D208" i="2"/>
  <c r="D244" i="2"/>
  <c r="D245" i="2"/>
  <c r="D246" i="2"/>
  <c r="D247" i="2"/>
  <c r="D248" i="2"/>
  <c r="D229" i="2"/>
  <c r="D230" i="2"/>
  <c r="D231" i="2"/>
  <c r="D232" i="2"/>
  <c r="D233" i="2"/>
  <c r="D234" i="2"/>
  <c r="D235" i="2"/>
  <c r="D236" i="2"/>
  <c r="D237" i="2"/>
  <c r="D238" i="2"/>
  <c r="D239" i="2"/>
  <c r="D240" i="2"/>
  <c r="D241" i="2"/>
  <c r="D242" i="2"/>
  <c r="D243" i="2"/>
  <c r="D202" i="2"/>
  <c r="D203" i="2"/>
  <c r="D204" i="2"/>
  <c r="D205" i="2"/>
  <c r="D418" i="2"/>
  <c r="D419" i="2"/>
  <c r="D420" i="2"/>
  <c r="D421" i="2"/>
  <c r="D422" i="2"/>
  <c r="D423" i="2"/>
  <c r="D424" i="2"/>
  <c r="D425" i="2"/>
  <c r="D431" i="2"/>
  <c r="D432" i="2"/>
  <c r="D433" i="2"/>
  <c r="D434" i="2"/>
  <c r="D426" i="2"/>
  <c r="D427" i="2"/>
  <c r="D428" i="2"/>
  <c r="D429" i="2"/>
  <c r="D430" i="2"/>
  <c r="D435" i="2"/>
  <c r="D436" i="2"/>
  <c r="D437" i="2"/>
  <c r="D438" i="2"/>
  <c r="D439" i="2"/>
  <c r="D440"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154" i="2"/>
  <c r="D316" i="2"/>
  <c r="D317" i="2"/>
  <c r="D318" i="2"/>
  <c r="D319" i="2"/>
  <c r="D320" i="2"/>
  <c r="D321" i="2"/>
  <c r="D322" i="2"/>
  <c r="D323" i="2"/>
  <c r="D324" i="2"/>
  <c r="D325" i="2"/>
  <c r="D326" i="2"/>
  <c r="D297" i="2"/>
  <c r="D298" i="2"/>
  <c r="D299" i="2"/>
  <c r="D300" i="2"/>
  <c r="D301" i="2"/>
  <c r="D302" i="2"/>
  <c r="D303" i="2"/>
  <c r="D304" i="2"/>
  <c r="D305" i="2"/>
  <c r="D306" i="2"/>
  <c r="D307" i="2"/>
  <c r="D308" i="2"/>
  <c r="D309" i="2"/>
  <c r="D310" i="2"/>
  <c r="D311" i="2"/>
  <c r="D312" i="2"/>
  <c r="D313" i="2"/>
  <c r="D314" i="2"/>
  <c r="D315" i="2"/>
  <c r="D651" i="2"/>
  <c r="D652" i="2"/>
  <c r="D653" i="2"/>
  <c r="D654" i="2"/>
  <c r="D655" i="2"/>
  <c r="D656" i="2"/>
  <c r="D657" i="2"/>
  <c r="D658" i="2"/>
  <c r="D659" i="2"/>
  <c r="D660" i="2"/>
  <c r="D661" i="2"/>
  <c r="D609" i="2"/>
  <c r="D618" i="2"/>
  <c r="D610" i="2"/>
  <c r="D611" i="2"/>
  <c r="D612" i="2"/>
  <c r="D613" i="2"/>
  <c r="D614" i="2"/>
  <c r="D615" i="2"/>
  <c r="D616" i="2"/>
  <c r="D617" i="2"/>
  <c r="D563" i="2"/>
  <c r="D564" i="2"/>
  <c r="D565" i="2"/>
  <c r="D566" i="2"/>
  <c r="D567" i="2"/>
  <c r="D569" i="2"/>
  <c r="D570" i="2"/>
  <c r="D571" i="2"/>
  <c r="D572" i="2"/>
  <c r="D568" i="2"/>
  <c r="D255" i="2"/>
  <c r="D256" i="2"/>
  <c r="D257" i="2"/>
  <c r="D258" i="2"/>
  <c r="D259" i="2"/>
  <c r="D260" i="2"/>
  <c r="D261" i="2"/>
  <c r="D262" i="2"/>
  <c r="D662" i="2"/>
  <c r="D663" i="2"/>
  <c r="D664" i="2"/>
  <c r="D665" i="2"/>
  <c r="D666" i="2"/>
  <c r="D667" i="2"/>
  <c r="D668" i="2"/>
  <c r="D669" i="2"/>
  <c r="D670" i="2"/>
  <c r="D671" i="2"/>
  <c r="D672" i="2"/>
  <c r="D673" i="2"/>
  <c r="D674" i="2"/>
  <c r="D675" i="2"/>
  <c r="D676" i="2"/>
  <c r="D677" i="2"/>
  <c r="D678" i="2"/>
  <c r="D679" i="2"/>
  <c r="D680" i="2"/>
  <c r="D681" i="2"/>
  <c r="D75" i="2"/>
  <c r="D76" i="2"/>
  <c r="D77" i="2"/>
  <c r="D78" i="2"/>
  <c r="D79" i="2"/>
  <c r="D80" i="2"/>
  <c r="D81" i="2"/>
  <c r="D82" i="2"/>
  <c r="D83" i="2"/>
  <c r="D84" i="2"/>
  <c r="D85" i="2"/>
  <c r="D86" i="2"/>
  <c r="D87" i="2"/>
  <c r="D88" i="2"/>
  <c r="D89" i="2"/>
  <c r="D115" i="2"/>
  <c r="D116" i="2"/>
  <c r="D117" i="2"/>
  <c r="D133" i="2"/>
  <c r="D134" i="2"/>
  <c r="D135" i="2"/>
  <c r="D136" i="2"/>
  <c r="D137" i="2"/>
  <c r="D138" i="2"/>
  <c r="D139" i="2"/>
  <c r="D140" i="2"/>
  <c r="D141" i="2"/>
  <c r="D142" i="2"/>
  <c r="D143" i="2"/>
  <c r="D144" i="2"/>
  <c r="D145" i="2"/>
  <c r="D146" i="2"/>
  <c r="D147" i="2"/>
  <c r="D148" i="2"/>
  <c r="D149" i="2"/>
  <c r="D150" i="2"/>
  <c r="D151" i="2"/>
  <c r="D32" i="2"/>
  <c r="D33" i="2"/>
  <c r="D34" i="2"/>
  <c r="D35" i="2"/>
  <c r="D36" i="2"/>
  <c r="D37" i="2"/>
  <c r="D38" i="2"/>
  <c r="D39" i="2"/>
  <c r="D40" i="2"/>
  <c r="D54" i="2"/>
  <c r="D55" i="2"/>
  <c r="D56" i="2"/>
  <c r="D57" i="2"/>
  <c r="D58" i="2"/>
  <c r="D59" i="2"/>
  <c r="D60" i="2"/>
  <c r="D61" i="2"/>
  <c r="D62" i="2"/>
  <c r="D63" i="2"/>
  <c r="D64" i="2"/>
  <c r="D118" i="2"/>
  <c r="D119" i="2"/>
  <c r="D120" i="2"/>
  <c r="D121" i="2"/>
  <c r="D122" i="2"/>
  <c r="D123" i="2"/>
  <c r="D124" i="2"/>
  <c r="D125" i="2"/>
  <c r="D126" i="2"/>
  <c r="D127" i="2"/>
  <c r="D128" i="2"/>
  <c r="D129" i="2"/>
  <c r="D130" i="2"/>
  <c r="D131" i="2"/>
  <c r="D132" i="2"/>
  <c r="D635" i="2"/>
  <c r="D636" i="2"/>
  <c r="D637" i="2"/>
  <c r="D638" i="2"/>
  <c r="D639" i="2"/>
  <c r="D640" i="2"/>
  <c r="D409" i="2"/>
  <c r="D408" i="2"/>
  <c r="D410" i="2"/>
  <c r="D411" i="2"/>
  <c r="D412" i="2"/>
  <c r="D413" i="2"/>
  <c r="D414" i="2"/>
  <c r="D415" i="2"/>
  <c r="D416" i="2"/>
  <c r="D359" i="2"/>
  <c r="D360" i="2"/>
  <c r="D361" i="2"/>
  <c r="D362" i="2"/>
  <c r="D363" i="2"/>
  <c r="D364" i="2"/>
  <c r="D365" i="2"/>
  <c r="D366" i="2"/>
  <c r="D367" i="2"/>
  <c r="D368" i="2"/>
  <c r="D369" i="2"/>
  <c r="D370" i="2"/>
  <c r="D371" i="2"/>
  <c r="D372" i="2"/>
  <c r="D402" i="2"/>
  <c r="D403" i="2"/>
  <c r="D404" i="2"/>
  <c r="D405" i="2"/>
  <c r="D406" i="2"/>
  <c r="D407" i="2"/>
  <c r="D417" i="2"/>
  <c r="D383" i="2"/>
  <c r="D384" i="2"/>
  <c r="D385" i="2"/>
  <c r="D386" i="2"/>
  <c r="D387" i="2"/>
  <c r="D388" i="2"/>
  <c r="D389" i="2"/>
  <c r="D390" i="2"/>
  <c r="D391" i="2"/>
  <c r="D392" i="2"/>
  <c r="D373" i="2"/>
  <c r="D374" i="2"/>
  <c r="D375" i="2"/>
  <c r="D376" i="2"/>
  <c r="D377" i="2"/>
  <c r="D378" i="2"/>
  <c r="D379" i="2"/>
  <c r="D380" i="2"/>
  <c r="D381" i="2"/>
  <c r="D382" i="2"/>
  <c r="D282" i="2"/>
  <c r="D283" i="2"/>
  <c r="D284" i="2"/>
  <c r="D285" i="2"/>
  <c r="D286" i="2"/>
  <c r="D287" i="2"/>
  <c r="D288" i="2"/>
  <c r="D289" i="2"/>
  <c r="D290" i="2"/>
  <c r="D291" i="2"/>
  <c r="D292" i="2"/>
  <c r="D293" i="2"/>
  <c r="D294" i="2"/>
  <c r="D295" i="2"/>
  <c r="D296" i="2"/>
  <c r="D546" i="2"/>
  <c r="D547" i="2"/>
  <c r="D548" i="2"/>
  <c r="D549" i="2"/>
  <c r="D550" i="2"/>
  <c r="D551" i="2"/>
  <c r="D552" i="2"/>
  <c r="D682" i="2"/>
  <c r="D683" i="2"/>
  <c r="D684" i="2"/>
  <c r="D685" i="2"/>
  <c r="D686" i="2"/>
  <c r="D687" i="2"/>
  <c r="D688" i="2"/>
  <c r="D689" i="2"/>
  <c r="D690" i="2"/>
  <c r="D691" i="2"/>
  <c r="D692" i="2"/>
  <c r="D693" i="2"/>
  <c r="D694" i="2"/>
  <c r="D695" i="2"/>
  <c r="D696" i="2"/>
  <c r="D697" i="2"/>
  <c r="D698" i="2"/>
  <c r="D699" i="2"/>
  <c r="D700" i="2"/>
  <c r="D701" i="2"/>
  <c r="D152" i="2"/>
  <c r="D153"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625" i="2"/>
  <c r="D626" i="2"/>
  <c r="D627" i="2"/>
  <c r="D628" i="2"/>
  <c r="D629" i="2"/>
  <c r="D630" i="2"/>
  <c r="D631" i="2"/>
  <c r="D632" i="2"/>
  <c r="D633" i="2"/>
  <c r="D634" i="2"/>
  <c r="D619" i="2"/>
  <c r="D620" i="2"/>
  <c r="D621" i="2"/>
  <c r="D622" i="2"/>
  <c r="D623" i="2"/>
  <c r="D624" i="2"/>
  <c r="D182" i="2"/>
  <c r="D183" i="2"/>
  <c r="D184" i="2"/>
  <c r="D185" i="2"/>
  <c r="D186" i="2"/>
  <c r="D187" i="2"/>
  <c r="D188" i="2"/>
  <c r="D189" i="2"/>
  <c r="D190" i="2"/>
  <c r="D191" i="2"/>
  <c r="D192" i="2"/>
  <c r="D193" i="2"/>
  <c r="D194" i="2"/>
  <c r="D195" i="2"/>
  <c r="D196" i="2"/>
  <c r="D197" i="2"/>
  <c r="D198" i="2"/>
  <c r="D199" i="2"/>
  <c r="D200" i="2"/>
  <c r="D201" i="2"/>
  <c r="D462" i="2"/>
  <c r="D463" i="2"/>
  <c r="D464" i="2"/>
  <c r="D465" i="2"/>
  <c r="D466" i="2"/>
  <c r="D467" i="2"/>
  <c r="D468" i="2"/>
  <c r="D469" i="2"/>
  <c r="D481" i="2"/>
  <c r="D482" i="2"/>
  <c r="D483" i="2"/>
  <c r="D484" i="2"/>
  <c r="D485" i="2"/>
  <c r="D486" i="2"/>
  <c r="D487" i="2"/>
  <c r="D488" i="2"/>
  <c r="D489" i="2"/>
  <c r="D490" i="2"/>
  <c r="D491" i="2"/>
  <c r="D470" i="2"/>
  <c r="D471" i="2"/>
  <c r="D472" i="2"/>
  <c r="D473" i="2"/>
  <c r="D474" i="2"/>
  <c r="D475" i="2"/>
  <c r="D476" i="2"/>
  <c r="D477" i="2"/>
  <c r="D478" i="2"/>
  <c r="D479" i="2"/>
  <c r="D480" i="2"/>
  <c r="D393" i="2"/>
  <c r="D394" i="2"/>
  <c r="D395" i="2"/>
  <c r="D396" i="2"/>
  <c r="D397" i="2"/>
  <c r="D398" i="2"/>
  <c r="D399" i="2"/>
  <c r="D400" i="2"/>
  <c r="D401" i="2"/>
  <c r="D263" i="2"/>
  <c r="D264" i="2"/>
  <c r="D265" i="2"/>
  <c r="D266" i="2"/>
  <c r="D267" i="2"/>
  <c r="D268" i="2"/>
  <c r="D269" i="2"/>
  <c r="D270" i="2"/>
  <c r="D271" i="2"/>
  <c r="D249" i="2"/>
  <c r="D250" i="2"/>
  <c r="D251" i="2"/>
  <c r="D252" i="2"/>
  <c r="D253" i="2"/>
  <c r="D254" i="2"/>
  <c r="D272" i="2"/>
  <c r="D273" i="2"/>
  <c r="D274" i="2"/>
  <c r="D275" i="2"/>
  <c r="D276" i="2"/>
  <c r="D277" i="2"/>
  <c r="D278" i="2"/>
  <c r="D279" i="2"/>
  <c r="D280" i="2"/>
  <c r="D281" i="2"/>
  <c r="D603" i="2"/>
  <c r="D604" i="2"/>
  <c r="D605" i="2"/>
  <c r="D606" i="2"/>
  <c r="D607" i="2"/>
  <c r="D608" i="2"/>
  <c r="D441" i="2"/>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2" i="1"/>
  <c r="F14" i="14" l="1"/>
  <c r="H41" i="14"/>
  <c r="F41" i="14" s="1"/>
  <c r="H49" i="14"/>
  <c r="F49" i="14" s="1"/>
  <c r="H44" i="14"/>
  <c r="F44" i="14" s="1"/>
  <c r="H38" i="14"/>
  <c r="F38" i="14" s="1"/>
  <c r="H10" i="14"/>
  <c r="F10" i="14" s="1"/>
  <c r="H6" i="14"/>
  <c r="F6" i="14" s="1"/>
  <c r="H23" i="14"/>
  <c r="F23" i="14" s="1"/>
  <c r="F58" i="14"/>
  <c r="H53" i="14"/>
  <c r="F53" i="14" s="1"/>
  <c r="H22" i="14"/>
  <c r="F22" i="14" s="1"/>
  <c r="H3" i="14"/>
  <c r="F3" i="14" s="1"/>
  <c r="F37" i="14"/>
  <c r="F9" i="14"/>
  <c r="F16" i="14"/>
  <c r="G51" i="14"/>
  <c r="H51" i="14" s="1"/>
  <c r="F51" i="14" s="1"/>
  <c r="H57" i="14"/>
  <c r="F57" i="14" s="1"/>
  <c r="H48" i="14"/>
  <c r="F48" i="14" s="1"/>
  <c r="G45" i="14"/>
  <c r="H45" i="14" s="1"/>
  <c r="F45" i="14" s="1"/>
  <c r="H47" i="14"/>
  <c r="F47" i="14" s="1"/>
  <c r="H46" i="14"/>
  <c r="F46" i="14" s="1"/>
  <c r="F11" i="14"/>
  <c r="F15" i="14"/>
  <c r="G34" i="14"/>
  <c r="H34" i="14" s="1"/>
  <c r="F34" i="14" s="1"/>
  <c r="G27" i="14"/>
  <c r="H27" i="14" s="1"/>
  <c r="F27" i="14" s="1"/>
  <c r="G7" i="14"/>
  <c r="H7" i="14" s="1"/>
  <c r="F7" i="14" s="1"/>
  <c r="G60" i="14"/>
  <c r="H60" i="14" s="1"/>
  <c r="F60" i="14" s="1"/>
  <c r="G12" i="14"/>
  <c r="H12" i="14" s="1"/>
  <c r="F12" i="14" s="1"/>
  <c r="H35" i="14"/>
  <c r="F35" i="14" s="1"/>
  <c r="H30" i="14"/>
  <c r="F30" i="14" s="1"/>
  <c r="H61" i="14"/>
  <c r="F61" i="14" s="1"/>
  <c r="H59" i="14"/>
  <c r="F59" i="14" s="1"/>
  <c r="H52" i="14"/>
  <c r="F52" i="14" s="1"/>
  <c r="H33" i="14"/>
  <c r="F33" i="14" s="1"/>
  <c r="H29" i="14"/>
  <c r="F29" i="14" s="1"/>
  <c r="H17" i="14"/>
  <c r="F17" i="14" s="1"/>
  <c r="H42" i="14"/>
  <c r="F42" i="14" s="1"/>
  <c r="H56" i="14"/>
  <c r="F56" i="14" s="1"/>
  <c r="H32" i="14"/>
  <c r="F32" i="14" s="1"/>
  <c r="H25" i="14"/>
  <c r="F25" i="14" s="1"/>
  <c r="H2" i="14"/>
  <c r="F2" i="14" s="1"/>
  <c r="H21" i="14"/>
  <c r="F21" i="14" s="1"/>
  <c r="H55" i="14"/>
  <c r="F55" i="14" s="1"/>
  <c r="H39" i="14"/>
  <c r="F39" i="14" s="1"/>
  <c r="H36" i="14"/>
  <c r="F36" i="14" s="1"/>
  <c r="H28" i="14"/>
  <c r="F28" i="14" s="1"/>
  <c r="H31" i="14"/>
  <c r="F31" i="14" s="1"/>
  <c r="H43" i="14"/>
  <c r="F43" i="14" s="1"/>
  <c r="H4" i="14"/>
  <c r="F4" i="14" s="1"/>
  <c r="H19" i="14"/>
  <c r="F19" i="14" s="1"/>
  <c r="H54" i="14"/>
  <c r="F54" i="14" s="1"/>
  <c r="H40" i="14"/>
  <c r="F40" i="14" s="1"/>
  <c r="H50" i="14"/>
  <c r="F50" i="14" s="1"/>
  <c r="H26" i="14"/>
  <c r="F26" i="14" s="1"/>
  <c r="H24" i="14"/>
  <c r="F24" i="14" s="1"/>
  <c r="H8" i="14"/>
  <c r="F8" i="14" s="1"/>
  <c r="H5" i="14"/>
  <c r="F5" i="14" s="1"/>
  <c r="H20" i="14"/>
  <c r="F20" i="14" s="1"/>
  <c r="H18" i="14"/>
  <c r="F18" i="14" s="1"/>
  <c r="H13" i="14"/>
  <c r="F13" i="14" s="1"/>
</calcChain>
</file>

<file path=xl/sharedStrings.xml><?xml version="1.0" encoding="utf-8"?>
<sst xmlns="http://schemas.openxmlformats.org/spreadsheetml/2006/main" count="46317" uniqueCount="9200">
  <si>
    <t>INDEX</t>
  </si>
  <si>
    <t>Specimen CODE</t>
  </si>
  <si>
    <t>Seq</t>
  </si>
  <si>
    <t>collectionNumber</t>
  </si>
  <si>
    <t>Alt_Coll_No</t>
  </si>
  <si>
    <t>GenomicVoucherID_USE_THIS</t>
  </si>
  <si>
    <t>Species_reidentified</t>
  </si>
  <si>
    <t>FieldID_LABEL_Species_author</t>
  </si>
  <si>
    <t>id_modifier</t>
  </si>
  <si>
    <t>Genus</t>
  </si>
  <si>
    <t>Species_ept</t>
  </si>
  <si>
    <t>collectionDate</t>
  </si>
  <si>
    <t>collectors</t>
  </si>
  <si>
    <t>Material type</t>
  </si>
  <si>
    <t>Received by MOR</t>
  </si>
  <si>
    <t>country</t>
  </si>
  <si>
    <t>state/provIndIowanace</t>
  </si>
  <si>
    <t>substate</t>
  </si>
  <si>
    <t>substateRank</t>
  </si>
  <si>
    <t>site</t>
  </si>
  <si>
    <t>habitat</t>
  </si>
  <si>
    <t>DBH-cm</t>
  </si>
  <si>
    <t>determinationOriginal</t>
  </si>
  <si>
    <t>latitude.orig</t>
  </si>
  <si>
    <t>longitude.orig</t>
  </si>
  <si>
    <t>voucher1</t>
  </si>
  <si>
    <t>Wild_Arb_GH_Collected</t>
  </si>
  <si>
    <t>QUE003892</t>
  </si>
  <si>
    <t>SYST-MOR-0007129</t>
  </si>
  <si>
    <t>AR_BRP_409_MG</t>
  </si>
  <si>
    <t>Quercus lyrata Walt.</t>
  </si>
  <si>
    <t>Quercus</t>
  </si>
  <si>
    <t>lyrata</t>
  </si>
  <si>
    <t>Leah Samuels, Mira Garner</t>
  </si>
  <si>
    <t>fresh, frozen</t>
  </si>
  <si>
    <t>USA</t>
  </si>
  <si>
    <t>Arkansas</t>
  </si>
  <si>
    <t>Pulaski</t>
  </si>
  <si>
    <t xml:space="preserve">County </t>
  </si>
  <si>
    <t>Burns Park, Little Rock</t>
  </si>
  <si>
    <t>MOR-unmounted</t>
  </si>
  <si>
    <t>wild</t>
  </si>
  <si>
    <t>QUE003893</t>
  </si>
  <si>
    <t>SYST-MOR-0007130</t>
  </si>
  <si>
    <t>AR_BRP_410_MG</t>
  </si>
  <si>
    <t>Quercus macrocarpa Michx.</t>
  </si>
  <si>
    <t>macrocarpa</t>
  </si>
  <si>
    <t>QUE003894</t>
  </si>
  <si>
    <t>SYST-MOR-0007131</t>
  </si>
  <si>
    <t>AR_BRP_411_MG</t>
  </si>
  <si>
    <t>Quercus stellata Wangenh.</t>
  </si>
  <si>
    <t>stellata</t>
  </si>
  <si>
    <t>QUE003895</t>
  </si>
  <si>
    <t>SYST-MOR-0007132</t>
  </si>
  <si>
    <t>AR_BRP_412_MG</t>
  </si>
  <si>
    <t>QUE003896</t>
  </si>
  <si>
    <t>SYST-MOR-0007133</t>
  </si>
  <si>
    <t>AR_BRP_413_MG</t>
  </si>
  <si>
    <t>QUE003897</t>
  </si>
  <si>
    <t>SYST-MOR-0007134</t>
  </si>
  <si>
    <t>AR_BRP_414_MG</t>
  </si>
  <si>
    <t>QUE003898</t>
  </si>
  <si>
    <t>SYST-MOR-0007135</t>
  </si>
  <si>
    <t>AR_BRP_415_MG</t>
  </si>
  <si>
    <t>Quercus alba L.</t>
  </si>
  <si>
    <t>alba</t>
  </si>
  <si>
    <t>QUE003899</t>
  </si>
  <si>
    <t>SYST-MOR-0007136</t>
  </si>
  <si>
    <t>AR_BRP_416_MG</t>
  </si>
  <si>
    <t>QUE003900</t>
  </si>
  <si>
    <t>SYST-MOR-0007137</t>
  </si>
  <si>
    <t>AR_BRP_417_MG</t>
  </si>
  <si>
    <t>QUE003901</t>
  </si>
  <si>
    <t>SYST-MOR-0007138</t>
  </si>
  <si>
    <t>AR_BRP_418_MG</t>
  </si>
  <si>
    <t>QUE003902</t>
  </si>
  <si>
    <t>SYST-MOR-0007139</t>
  </si>
  <si>
    <t>AR_BRP_419_MG</t>
  </si>
  <si>
    <t>QUE003903</t>
  </si>
  <si>
    <t>SYST-MOR-0007140</t>
  </si>
  <si>
    <t>AR_BRP_420_MG</t>
  </si>
  <si>
    <t>QUE003904</t>
  </si>
  <si>
    <t>SYST-MOR-0007141</t>
  </si>
  <si>
    <t>AR_BRP_421_MG</t>
  </si>
  <si>
    <t>Quercus muehlenbergii Engelm.</t>
  </si>
  <si>
    <t>muehlenbergii</t>
  </si>
  <si>
    <t>QUE003905</t>
  </si>
  <si>
    <t>SYST-MOR-0007142</t>
  </si>
  <si>
    <t>AR_BRP_422_MG</t>
  </si>
  <si>
    <t>QUE003906</t>
  </si>
  <si>
    <t>SYST-MOR-0007143</t>
  </si>
  <si>
    <t>AR_BRP_423_MG</t>
  </si>
  <si>
    <t>QUE003907</t>
  </si>
  <si>
    <t>SYST-MOR-0007144</t>
  </si>
  <si>
    <t>AR_BRP_424_MG</t>
  </si>
  <si>
    <t>QUE003908</t>
  </si>
  <si>
    <t>SYST-MOR-0007145</t>
  </si>
  <si>
    <t>AR_BRP_425_MG</t>
  </si>
  <si>
    <t>QUE003909</t>
  </si>
  <si>
    <t>SYST-MOR-0007146</t>
  </si>
  <si>
    <t>AR_BRP_426_MG</t>
  </si>
  <si>
    <t>QUE003910</t>
  </si>
  <si>
    <t>SYST-MOR-0007147</t>
  </si>
  <si>
    <t>AR_BRP_427_MG</t>
  </si>
  <si>
    <t>QUE003911</t>
  </si>
  <si>
    <t>SYST-MOR-0007148</t>
  </si>
  <si>
    <t>AR_BRP_428_MG</t>
  </si>
  <si>
    <t>QUE003912</t>
  </si>
  <si>
    <t>SYST-MOR-0007149</t>
  </si>
  <si>
    <t>AR_BRP_429_MG</t>
  </si>
  <si>
    <t>QUE003541</t>
  </si>
  <si>
    <t>SYST-MOR-0006778</t>
  </si>
  <si>
    <t>IA_BSP_046_MG</t>
  </si>
  <si>
    <t xml:space="preserve">Quercus </t>
  </si>
  <si>
    <t xml:space="preserve">macrocarpa </t>
  </si>
  <si>
    <t xml:space="preserve">Mira Garner, Leah Samuels, Klara Peterson, Briana Beatty </t>
  </si>
  <si>
    <t>Iowa</t>
  </si>
  <si>
    <t>Story</t>
  </si>
  <si>
    <t xml:space="preserve">Brookside Park </t>
  </si>
  <si>
    <t>QUE003542</t>
  </si>
  <si>
    <t>SYST-MOR-0006779</t>
  </si>
  <si>
    <t>IA_BSP_047_MG</t>
  </si>
  <si>
    <t>QUE003543</t>
  </si>
  <si>
    <t>SYST-MOR-0006780</t>
  </si>
  <si>
    <t>IA_BSP_048_MG</t>
  </si>
  <si>
    <t>QUE003544</t>
  </si>
  <si>
    <t>SYST-MOR-0006781</t>
  </si>
  <si>
    <t>IA_BSP_049_MG</t>
  </si>
  <si>
    <t>QUE003545</t>
  </si>
  <si>
    <t>SYST-MOR-0006782</t>
  </si>
  <si>
    <t>IA_BSP_050_MG</t>
  </si>
  <si>
    <t>QUE003561</t>
  </si>
  <si>
    <t>SYST-MOR-0006798</t>
  </si>
  <si>
    <t>IA_CHP_066_MG</t>
  </si>
  <si>
    <t>Linn</t>
  </si>
  <si>
    <t xml:space="preserve">Cherokee Park </t>
  </si>
  <si>
    <t>QUE003562</t>
  </si>
  <si>
    <t>SYST-MOR-0006799</t>
  </si>
  <si>
    <t>IA_CHP_067_MG</t>
  </si>
  <si>
    <t xml:space="preserve">Quercus macrocarpa Michx. </t>
  </si>
  <si>
    <t>QUE003563</t>
  </si>
  <si>
    <t>SYST-MOR-0006800</t>
  </si>
  <si>
    <t>IA_CHP_068_MG</t>
  </si>
  <si>
    <t>Quercus bicolor Willd.</t>
  </si>
  <si>
    <t>bicolor</t>
  </si>
  <si>
    <t xml:space="preserve">Quercus bicolor Willd. </t>
  </si>
  <si>
    <t>QUE003564</t>
  </si>
  <si>
    <t>SYST-MOR-0006801</t>
  </si>
  <si>
    <t>IA_CHP_069_MG</t>
  </si>
  <si>
    <t>QUE003565</t>
  </si>
  <si>
    <t>SYST-MOR-0006802</t>
  </si>
  <si>
    <t>IA_CHP_070_MG</t>
  </si>
  <si>
    <t>QUE003546</t>
  </si>
  <si>
    <t>SYST-MOR-0006783</t>
  </si>
  <si>
    <t>IA_LNW_051_MG</t>
  </si>
  <si>
    <t xml:space="preserve">alba </t>
  </si>
  <si>
    <t>Van Buren</t>
  </si>
  <si>
    <t>Lindsay Wilderness</t>
  </si>
  <si>
    <t>QUE003547</t>
  </si>
  <si>
    <t>SYST-MOR-0006784</t>
  </si>
  <si>
    <t>IA_LNW_052_MG</t>
  </si>
  <si>
    <t>QUE003548</t>
  </si>
  <si>
    <t>SYST-MOR-0006785</t>
  </si>
  <si>
    <t>IA_LNW_053_MG</t>
  </si>
  <si>
    <t>QUE003549</t>
  </si>
  <si>
    <t>SYST-MOR-0006786</t>
  </si>
  <si>
    <t>IA_LNW_054_MG</t>
  </si>
  <si>
    <t>QUE003550</t>
  </si>
  <si>
    <t>SYST-MOR-0006787</t>
  </si>
  <si>
    <t>IA_LNW_055_MG</t>
  </si>
  <si>
    <t>QUE003551</t>
  </si>
  <si>
    <t>SYST-MOR-0006788</t>
  </si>
  <si>
    <t>IA_LNW_056_MG</t>
  </si>
  <si>
    <t>QUE003552</t>
  </si>
  <si>
    <t>SYST-MOR-0006789</t>
  </si>
  <si>
    <t>IA_LNW_057_MG</t>
  </si>
  <si>
    <t>QUE003553</t>
  </si>
  <si>
    <t>SYST-MOR-0006790</t>
  </si>
  <si>
    <t>IA_LNW_058_MG</t>
  </si>
  <si>
    <t>QUE003554</t>
  </si>
  <si>
    <t>SYST-MOR-0006791</t>
  </si>
  <si>
    <t>IA_LNW_059_MG</t>
  </si>
  <si>
    <t>QUE003555</t>
  </si>
  <si>
    <t>SYST-MOR-0006792</t>
  </si>
  <si>
    <t>IA_LNW_060_MG</t>
  </si>
  <si>
    <t>QUE003556</t>
  </si>
  <si>
    <t>SYST-MOR-0006793</t>
  </si>
  <si>
    <t>IA_LNW_061_MG</t>
  </si>
  <si>
    <t>QUE003557</t>
  </si>
  <si>
    <t>SYST-MOR-0006794</t>
  </si>
  <si>
    <t>IA_LNW_062_MG</t>
  </si>
  <si>
    <t>QUE003558</t>
  </si>
  <si>
    <t>SYST-MOR-0006795</t>
  </si>
  <si>
    <t>IA_LNW_063_MG</t>
  </si>
  <si>
    <t>QUE003559</t>
  </si>
  <si>
    <t>SYST-MOR-0006796</t>
  </si>
  <si>
    <t>IA_LNW_064_MG</t>
  </si>
  <si>
    <t>QUE003560</t>
  </si>
  <si>
    <t>SYST-MOR-0006797</t>
  </si>
  <si>
    <t>IA_LNW_065_MG</t>
  </si>
  <si>
    <t>QUE004004</t>
  </si>
  <si>
    <t>SYST-MOR-0007241</t>
  </si>
  <si>
    <t>IL_CHB_521_MG</t>
  </si>
  <si>
    <t>Leah Samuels</t>
  </si>
  <si>
    <t>Illinois</t>
  </si>
  <si>
    <t>Douglas</t>
  </si>
  <si>
    <t>County</t>
  </si>
  <si>
    <t>Chickenbristle</t>
  </si>
  <si>
    <t>QUE004005</t>
  </si>
  <si>
    <t>SYST-MOR-0007242</t>
  </si>
  <si>
    <t>IL_CHB_522_MG</t>
  </si>
  <si>
    <t>QUE004006</t>
  </si>
  <si>
    <t>SYST-MOR-0007243</t>
  </si>
  <si>
    <t>IL_CHB_523_MG</t>
  </si>
  <si>
    <t>QUE004007</t>
  </si>
  <si>
    <t>SYST-MOR-0007244</t>
  </si>
  <si>
    <t>IL_CHB_524_MG</t>
  </si>
  <si>
    <t>QUE004008</t>
  </si>
  <si>
    <t>SYST-MOR-0007245</t>
  </si>
  <si>
    <t>IL_CHB_525_MG</t>
  </si>
  <si>
    <t>QUE004009</t>
  </si>
  <si>
    <t>SYST-MOR-0007246</t>
  </si>
  <si>
    <t>IL_CHB_526_MG</t>
  </si>
  <si>
    <t>QUE004010</t>
  </si>
  <si>
    <t>SYST-MOR-0007247</t>
  </si>
  <si>
    <t>IL_CHB_527_MG</t>
  </si>
  <si>
    <t>QUE004011</t>
  </si>
  <si>
    <t>SYST-MOR-0007248</t>
  </si>
  <si>
    <t>IL_CHB_528_MG</t>
  </si>
  <si>
    <t>QUE004012</t>
  </si>
  <si>
    <t>SYST-MOR-0007249</t>
  </si>
  <si>
    <t>IL_CHB_529_MG</t>
  </si>
  <si>
    <t>QUE004013</t>
  </si>
  <si>
    <t>SYST-MOR-0007250</t>
  </si>
  <si>
    <t>IL_CHB_530_MG</t>
  </si>
  <si>
    <t>QUE003287</t>
  </si>
  <si>
    <t>SYST-MOR-0006717</t>
  </si>
  <si>
    <t>IL_HP_MG919_MG</t>
  </si>
  <si>
    <t>MG919</t>
  </si>
  <si>
    <t>Quercus michauxii Nutt.</t>
  </si>
  <si>
    <t>michauxii</t>
  </si>
  <si>
    <t>Alan Whittemore, Andrew Hipp, Brett Fredericksen, Heather McCarthy, Klara Peterson, Leah Samuels, Mira Garner, Paul Manos</t>
  </si>
  <si>
    <t>Johnson</t>
  </si>
  <si>
    <t xml:space="preserve">Heron Pond - Little Black Slough Nature Preserve </t>
  </si>
  <si>
    <t xml:space="preserve">Quercus michauxii Nutt. </t>
  </si>
  <si>
    <t>QUE003288</t>
  </si>
  <si>
    <t>SYST-MOR-0006718</t>
  </si>
  <si>
    <t>IL_HP_MG920_MG</t>
  </si>
  <si>
    <t>MG920</t>
  </si>
  <si>
    <t>QUE003289</t>
  </si>
  <si>
    <t>SYST-MOR-0006719</t>
  </si>
  <si>
    <t>IL_HP_MG921_MG</t>
  </si>
  <si>
    <t>MG921</t>
  </si>
  <si>
    <t>QUE003528</t>
  </si>
  <si>
    <t>SYST-MOR-0006729</t>
  </si>
  <si>
    <t>IL_MOR_135_MG</t>
  </si>
  <si>
    <t>MG906</t>
  </si>
  <si>
    <t>Mira Garner, Keion Mackay, Andrew Hipp</t>
  </si>
  <si>
    <t>DuPage</t>
  </si>
  <si>
    <t xml:space="preserve">The Morton Arboretum </t>
  </si>
  <si>
    <t>QUE003531</t>
  </si>
  <si>
    <t>SYST-MOR-0006732</t>
  </si>
  <si>
    <t>IL_MOR_136_MG</t>
  </si>
  <si>
    <t>MG909</t>
  </si>
  <si>
    <t>QUE003530</t>
  </si>
  <si>
    <t>SYST-MOR-0006731</t>
  </si>
  <si>
    <t>IL_MOR_137_MG</t>
  </si>
  <si>
    <t>MG908</t>
  </si>
  <si>
    <t>QUE003529</t>
  </si>
  <si>
    <t>SYST-MOR-0006730</t>
  </si>
  <si>
    <t>IL_MOR_138_MG</t>
  </si>
  <si>
    <t>MG907</t>
  </si>
  <si>
    <t>QUE003532</t>
  </si>
  <si>
    <t>SYST-MOR-0006733</t>
  </si>
  <si>
    <t>IL_MOR_139_MG</t>
  </si>
  <si>
    <t xml:space="preserve">MG910 </t>
  </si>
  <si>
    <t>Quercus macrocarpa Michx. (aff. Q. bicolor)</t>
  </si>
  <si>
    <t>Quercus macrocarpa Michx. (aff. Quercus bicolor Willd.)</t>
  </si>
  <si>
    <t>QUE003533</t>
  </si>
  <si>
    <t>SYST-MOR-0006734</t>
  </si>
  <si>
    <t>IL_MOR_140_MG</t>
  </si>
  <si>
    <t>MG911</t>
  </si>
  <si>
    <t>QUE003535</t>
  </si>
  <si>
    <t>SYST-MOR-0006736</t>
  </si>
  <si>
    <t>IL_MOR_141_MG</t>
  </si>
  <si>
    <t>MG913</t>
  </si>
  <si>
    <t>QUE003534</t>
  </si>
  <si>
    <t>SYST-MOR-0006735</t>
  </si>
  <si>
    <t>IL_MOR_142_MG</t>
  </si>
  <si>
    <t xml:space="preserve">MG912 </t>
  </si>
  <si>
    <t>QUE003536</t>
  </si>
  <si>
    <t>SYST-MOR-0006737</t>
  </si>
  <si>
    <t>IL_MOR_143_MG</t>
  </si>
  <si>
    <t>MG914</t>
  </si>
  <si>
    <t>QUE003538</t>
  </si>
  <si>
    <t>SYST-MOR-0006739</t>
  </si>
  <si>
    <t>IL_MOR_144_MG</t>
  </si>
  <si>
    <t>MG916</t>
  </si>
  <si>
    <t>QUE003537</t>
  </si>
  <si>
    <t>SYST-MOR-0006738</t>
  </si>
  <si>
    <t>IL_MOR_145_MG</t>
  </si>
  <si>
    <t>MG915</t>
  </si>
  <si>
    <t>QUE003539</t>
  </si>
  <si>
    <t>SYST-MOR-0006740</t>
  </si>
  <si>
    <t>IL_MOR_146_MG</t>
  </si>
  <si>
    <t xml:space="preserve">MG917 </t>
  </si>
  <si>
    <t>QUE003540</t>
  </si>
  <si>
    <t>SYST-MOR-0006741</t>
  </si>
  <si>
    <t>IL_MOR_147_MG</t>
  </si>
  <si>
    <t>MG918</t>
  </si>
  <si>
    <t>QUE003310</t>
  </si>
  <si>
    <t>SYST-MOR-0006753</t>
  </si>
  <si>
    <t>IL_OB_021_All</t>
  </si>
  <si>
    <t>Alan Whittemore, Andrew Hipp, Brett Fredericksen, Heather McCarthy, Jeannine Cavender-Bares, Klara Peterson, Leah Samuels, Mira Garner, Paul Manos</t>
  </si>
  <si>
    <t>Jackson</t>
  </si>
  <si>
    <t>Oakwood Bottoms, Shawnee National Forest</t>
  </si>
  <si>
    <t>QUE003311</t>
  </si>
  <si>
    <t>SYST-MOR-0006754</t>
  </si>
  <si>
    <t>IL_OB_022_All</t>
  </si>
  <si>
    <t>Quercus lyrata Walter</t>
  </si>
  <si>
    <t>QUE003523</t>
  </si>
  <si>
    <t>SYST-MOR-0006755</t>
  </si>
  <si>
    <t>IL_OB_023_All</t>
  </si>
  <si>
    <t>QUE003312</t>
  </si>
  <si>
    <t>SYST-MOR-0006756</t>
  </si>
  <si>
    <t>IL_OB_024_All</t>
  </si>
  <si>
    <t>QUE003313</t>
  </si>
  <si>
    <t>SYST-MOR-0006757</t>
  </si>
  <si>
    <t>IL_OB_025_All</t>
  </si>
  <si>
    <t>QUE003314</t>
  </si>
  <si>
    <t>SYST-MOR-0006758</t>
  </si>
  <si>
    <t>IL_OB_026_All</t>
  </si>
  <si>
    <t>QUE003315</t>
  </si>
  <si>
    <t>SYST-MOR-0006759</t>
  </si>
  <si>
    <t>IL_OB_027_All</t>
  </si>
  <si>
    <t>QUE003316</t>
  </si>
  <si>
    <t>SYST-MOR-0006760</t>
  </si>
  <si>
    <t>IL_OB_028_All</t>
  </si>
  <si>
    <t>QUE003317</t>
  </si>
  <si>
    <t>SYST-MOR-0006761</t>
  </si>
  <si>
    <t>IL_OB_029_All</t>
  </si>
  <si>
    <t>QUE003318</t>
  </si>
  <si>
    <t>SYST-MOR-0006762</t>
  </si>
  <si>
    <t>IL_OB_030_All</t>
  </si>
  <si>
    <t>Quercus lyrata Walt. (aff. Q. macrocarpa Mich.)</t>
  </si>
  <si>
    <t>lyrata (aff. Q. macrocarpa)</t>
  </si>
  <si>
    <t>Quercus lyrata Walter (aff. Quercus macrocarpa Michx.)</t>
  </si>
  <si>
    <t>QUE003943</t>
  </si>
  <si>
    <t>SYST-MOR-0007180</t>
  </si>
  <si>
    <t>IL_RCA_460_MG</t>
  </si>
  <si>
    <t>Lake</t>
  </si>
  <si>
    <t>Ryerson Conservation Area</t>
  </si>
  <si>
    <t>QUE003944</t>
  </si>
  <si>
    <t>SYST-MOR-0007181</t>
  </si>
  <si>
    <t>IL_RCA_461_MG</t>
  </si>
  <si>
    <t xml:space="preserve">Lake </t>
  </si>
  <si>
    <t>QUE003945</t>
  </si>
  <si>
    <t>SYST-MOR-0007182</t>
  </si>
  <si>
    <t>IL_RCA_462_MG</t>
  </si>
  <si>
    <t>QUE003946</t>
  </si>
  <si>
    <t>SYST-MOR-0007183</t>
  </si>
  <si>
    <t>IL_RCA_463_MG</t>
  </si>
  <si>
    <t>QUE003947</t>
  </si>
  <si>
    <t>SYST-MOR-0007184</t>
  </si>
  <si>
    <t>IL_RCA_464_MG</t>
  </si>
  <si>
    <t>QUE003948</t>
  </si>
  <si>
    <t>SYST-MOR-0007185</t>
  </si>
  <si>
    <t>IL_RCA_465_MG</t>
  </si>
  <si>
    <t>QUE003949</t>
  </si>
  <si>
    <t>SYST-MOR-0007186</t>
  </si>
  <si>
    <t>IL_RCA_466_MG</t>
  </si>
  <si>
    <t>QUE003950</t>
  </si>
  <si>
    <t>SYST-MOR-0007187</t>
  </si>
  <si>
    <t>IL_RCA_467_MG</t>
  </si>
  <si>
    <t>QUE003951</t>
  </si>
  <si>
    <t>SYST-MOR-0007188</t>
  </si>
  <si>
    <t>IL_RCA_468_MG</t>
  </si>
  <si>
    <t>QUE003952</t>
  </si>
  <si>
    <t>SYST-MOR-0007189</t>
  </si>
  <si>
    <t>IL_RCA_469_MG</t>
  </si>
  <si>
    <t>QUE003953</t>
  </si>
  <si>
    <t>SYST-MOR-0007190</t>
  </si>
  <si>
    <t>IL_RCA_470_MG</t>
  </si>
  <si>
    <t>QUE003954</t>
  </si>
  <si>
    <t>SYST-MOR-0007191</t>
  </si>
  <si>
    <t>IL_RCA_471_MG</t>
  </si>
  <si>
    <t>QUE003955</t>
  </si>
  <si>
    <t>SYST-MOR-0007192</t>
  </si>
  <si>
    <t>IL_RCA_472_MG</t>
  </si>
  <si>
    <t>QUE003956</t>
  </si>
  <si>
    <t>SYST-MOR-0007193</t>
  </si>
  <si>
    <t>IL_RCA_473_MG</t>
  </si>
  <si>
    <t>QUE003957</t>
  </si>
  <si>
    <t>SYST-MOR-0007194</t>
  </si>
  <si>
    <t>IL_RCA_474_MG</t>
  </si>
  <si>
    <t>QUE003982</t>
  </si>
  <si>
    <t>SYST-MOR-0007219</t>
  </si>
  <si>
    <t>IN_BLR_499_MG</t>
  </si>
  <si>
    <t xml:space="preserve">Leah Samuels, Mira Garner, Drew Larson </t>
  </si>
  <si>
    <t>Indiana</t>
  </si>
  <si>
    <t>Monroe</t>
  </si>
  <si>
    <t>Bayles Road Research and Teaching Preserve</t>
  </si>
  <si>
    <t>QUE003983</t>
  </si>
  <si>
    <t>SYST-MOR-0007220</t>
  </si>
  <si>
    <t>IN_BLR_500_MG</t>
  </si>
  <si>
    <t>QUE003991</t>
  </si>
  <si>
    <t>SYST-MOR-0007228</t>
  </si>
  <si>
    <t>IN_GRL_508_MG</t>
  </si>
  <si>
    <t>Griffy Lake Research and Teaching Preserve</t>
  </si>
  <si>
    <t>QUE003992</t>
  </si>
  <si>
    <t>SYST-MOR-0007229</t>
  </si>
  <si>
    <t>IN_GRL_509_MG</t>
  </si>
  <si>
    <t>QUE003993</t>
  </si>
  <si>
    <t>SYST-MOR-0007230</t>
  </si>
  <si>
    <t>IN_GRL_510_MG</t>
  </si>
  <si>
    <t>QUE003994</t>
  </si>
  <si>
    <t>SYST-MOR-0007231</t>
  </si>
  <si>
    <t>IN_GRL_511_MG</t>
  </si>
  <si>
    <t>QUE003995</t>
  </si>
  <si>
    <t>SYST-MOR-0007232</t>
  </si>
  <si>
    <t>IN_GRL_512_MG</t>
  </si>
  <si>
    <t>QUE003996</t>
  </si>
  <si>
    <t>SYST-MOR-0007233</t>
  </si>
  <si>
    <t>IN_IUC_513_MG</t>
  </si>
  <si>
    <t>Indiana University Campus</t>
  </si>
  <si>
    <t>QUE003984</t>
  </si>
  <si>
    <t>SYST-MOR-0007221</t>
  </si>
  <si>
    <t>IN_LCP_501_MG</t>
  </si>
  <si>
    <t xml:space="preserve">Lower Cascades Park </t>
  </si>
  <si>
    <t>QUE003985</t>
  </si>
  <si>
    <t>SYST-MOR-0007222</t>
  </si>
  <si>
    <t>IN_LCP_502_MG</t>
  </si>
  <si>
    <t>QUE003986</t>
  </si>
  <si>
    <t>SYST-MOR-0007223</t>
  </si>
  <si>
    <t>IN_LCP_503_MG</t>
  </si>
  <si>
    <t>QUE003987</t>
  </si>
  <si>
    <t>SYST-MOR-0007224</t>
  </si>
  <si>
    <t>IN_LCP_504_MG</t>
  </si>
  <si>
    <t>QUE003988</t>
  </si>
  <si>
    <t>SYST-MOR-0007225</t>
  </si>
  <si>
    <t>IN_LCP_505_MG</t>
  </si>
  <si>
    <t>QUE003989</t>
  </si>
  <si>
    <t>SYST-MOR-0007226</t>
  </si>
  <si>
    <t>IN_LCP_506_MG</t>
  </si>
  <si>
    <t>QUE003990</t>
  </si>
  <si>
    <t>SYST-MOR-0007227</t>
  </si>
  <si>
    <t>IN_LCP_507_MG</t>
  </si>
  <si>
    <t>QUE003958</t>
  </si>
  <si>
    <t>SYST-MOR-0007195</t>
  </si>
  <si>
    <t>IN_MWT_475_MG</t>
  </si>
  <si>
    <t>Tippecanoe</t>
  </si>
  <si>
    <t xml:space="preserve">McCormick Woods Trail </t>
  </si>
  <si>
    <t>QUE003959</t>
  </si>
  <si>
    <t>SYST-MOR-0007196</t>
  </si>
  <si>
    <t>IN_MWT_476_MG</t>
  </si>
  <si>
    <t>QUE003960</t>
  </si>
  <si>
    <t>SYST-MOR-0007197</t>
  </si>
  <si>
    <t>IN_MWT_477_MG</t>
  </si>
  <si>
    <t>QUE003961</t>
  </si>
  <si>
    <t>SYST-MOR-0007198</t>
  </si>
  <si>
    <t>IN_MWT_478_MG</t>
  </si>
  <si>
    <t>QUE003962</t>
  </si>
  <si>
    <t>SYST-MOR-0007199</t>
  </si>
  <si>
    <t>IN_MWT_479_MG</t>
  </si>
  <si>
    <t>QUE003963</t>
  </si>
  <si>
    <t>SYST-MOR-0007200</t>
  </si>
  <si>
    <t>IN_MWT_480_MG</t>
  </si>
  <si>
    <t>QUE003964</t>
  </si>
  <si>
    <t>SYST-MOR-0007201</t>
  </si>
  <si>
    <t>IN_MWT_481_MG</t>
  </si>
  <si>
    <t>QUE003965</t>
  </si>
  <si>
    <t>SYST-MOR-0007202</t>
  </si>
  <si>
    <t>IN_MWT_482_MG</t>
  </si>
  <si>
    <t>QUE003966</t>
  </si>
  <si>
    <t>SYST-MOR-0007203</t>
  </si>
  <si>
    <t>IN_MWT_483_MG</t>
  </si>
  <si>
    <t>QUE003967</t>
  </si>
  <si>
    <t>SYST-MOR-0007204</t>
  </si>
  <si>
    <t>IN_MWT_484_MG</t>
  </si>
  <si>
    <t>QUE003968</t>
  </si>
  <si>
    <t>SYST-MOR-0007205</t>
  </si>
  <si>
    <t>IN_TYL_485_MG</t>
  </si>
  <si>
    <t>Grant</t>
  </si>
  <si>
    <t>Taylor Wilderness</t>
  </si>
  <si>
    <t>QUE003969</t>
  </si>
  <si>
    <t>SYST-MOR-0007206</t>
  </si>
  <si>
    <t>IN_TYL_486_MG</t>
  </si>
  <si>
    <t>QUE003970</t>
  </si>
  <si>
    <t>SYST-MOR-0007207</t>
  </si>
  <si>
    <t>IN_TYL_487_MG</t>
  </si>
  <si>
    <t>QUE003971</t>
  </si>
  <si>
    <t>SYST-MOR-0007208</t>
  </si>
  <si>
    <t>IN_TYL_488_MG</t>
  </si>
  <si>
    <t>QUE003972</t>
  </si>
  <si>
    <t>SYST-MOR-0007209</t>
  </si>
  <si>
    <t>IN_TYL_489_MG</t>
  </si>
  <si>
    <t>QUE003973</t>
  </si>
  <si>
    <t>SYST-MOR-0007210</t>
  </si>
  <si>
    <t>IN_TYL_490_MG</t>
  </si>
  <si>
    <t>QUE003974</t>
  </si>
  <si>
    <t>SYST-MOR-0007211</t>
  </si>
  <si>
    <t>IN_TYL_491_MG</t>
  </si>
  <si>
    <t>QUE003975</t>
  </si>
  <si>
    <t>SYST-MOR-0007212</t>
  </si>
  <si>
    <t>IN_TYL_492_MG</t>
  </si>
  <si>
    <t>QUE003976</t>
  </si>
  <si>
    <t>SYST-MOR-0007213</t>
  </si>
  <si>
    <t>IN_TYL_493_MG</t>
  </si>
  <si>
    <t>QUE003977</t>
  </si>
  <si>
    <t>SYST-MOR-0007214</t>
  </si>
  <si>
    <t>IN_TYL_494_MG</t>
  </si>
  <si>
    <t>QUE003978</t>
  </si>
  <si>
    <t>SYST-MOR-0007215</t>
  </si>
  <si>
    <t>IN_TYL_495_MG</t>
  </si>
  <si>
    <t>QUE003979</t>
  </si>
  <si>
    <t>SYST-MOR-0007216</t>
  </si>
  <si>
    <t>IN_TYL_496_MG</t>
  </si>
  <si>
    <t>QUE003980</t>
  </si>
  <si>
    <t>SYST-MOR-0007217</t>
  </si>
  <si>
    <t>IN_TYL_497_MG</t>
  </si>
  <si>
    <t>QUE003981</t>
  </si>
  <si>
    <t>SYST-MOR-0007218</t>
  </si>
  <si>
    <t>IN_TYL_498_MG</t>
  </si>
  <si>
    <t>QUE002110</t>
  </si>
  <si>
    <t>SYST-MOR-0007425</t>
  </si>
  <si>
    <t>IN-MG631</t>
  </si>
  <si>
    <t>Mira Garner, Sara Desmond</t>
  </si>
  <si>
    <t>Burr Oak Woods, Hobart</t>
  </si>
  <si>
    <t>Bur oak savanna, edge of trail</t>
  </si>
  <si>
    <t>QUE002111</t>
  </si>
  <si>
    <t>SYST-MOR-0007426</t>
  </si>
  <si>
    <t>IN-MG632</t>
  </si>
  <si>
    <t>QUE002112</t>
  </si>
  <si>
    <t>SYST-MOR-0007427</t>
  </si>
  <si>
    <t>IN-MG633</t>
  </si>
  <si>
    <t>QUE002113</t>
  </si>
  <si>
    <t>SYST-MOR-0007428</t>
  </si>
  <si>
    <t>IN-MG634</t>
  </si>
  <si>
    <t>QUE002114</t>
  </si>
  <si>
    <t>SYST-MOR-0007429</t>
  </si>
  <si>
    <t>IN-MG635</t>
  </si>
  <si>
    <t>QUE002115</t>
  </si>
  <si>
    <t>SYST-MOR-0007430</t>
  </si>
  <si>
    <t>IN-MG636</t>
  </si>
  <si>
    <t>QUE002116</t>
  </si>
  <si>
    <t>SYST-MOR-0007431</t>
  </si>
  <si>
    <t>IN-MG637</t>
  </si>
  <si>
    <t>QUE002117</t>
  </si>
  <si>
    <t>SYST-MOR-0007432</t>
  </si>
  <si>
    <t>IN-MG638</t>
  </si>
  <si>
    <t>QUE002118</t>
  </si>
  <si>
    <t>SYST-MOR-0007433</t>
  </si>
  <si>
    <t>IN-MG639</t>
  </si>
  <si>
    <t>QUE002119</t>
  </si>
  <si>
    <t>SYST-MOR-0007434</t>
  </si>
  <si>
    <t>IN-MG640</t>
  </si>
  <si>
    <t>QUE002570</t>
  </si>
  <si>
    <t>SYST-MOR-0007486</t>
  </si>
  <si>
    <t>JCB-SD-CSP-1001</t>
  </si>
  <si>
    <t>Jeannine Cavender-Bares</t>
  </si>
  <si>
    <t>South Dakota</t>
  </si>
  <si>
    <t>Custer</t>
  </si>
  <si>
    <t>Custer State Park driving eastward towards Hermosa on US16 Alt-W</t>
  </si>
  <si>
    <t>University of Minnesota-JCB</t>
  </si>
  <si>
    <t>QUE002571</t>
  </si>
  <si>
    <t>SYST-MOR-0007487</t>
  </si>
  <si>
    <t>JCB-SD-CSP-1002</t>
  </si>
  <si>
    <t>QUE002572</t>
  </si>
  <si>
    <t>SYST-MOR-0007488</t>
  </si>
  <si>
    <t>JCB-SD-CSP-1003</t>
  </si>
  <si>
    <t>QUE002573</t>
  </si>
  <si>
    <t>SYST-MOR-0007489</t>
  </si>
  <si>
    <t>JCB-SD-CSP-1004</t>
  </si>
  <si>
    <t>QUE002574</t>
  </si>
  <si>
    <t>SYST-MOR-0007490</t>
  </si>
  <si>
    <t>JCB-SD-CSP-1005</t>
  </si>
  <si>
    <t>QUE002575</t>
  </si>
  <si>
    <t>SYST-MOR-0007491</t>
  </si>
  <si>
    <t>JCB-SD-CSP-1006</t>
  </si>
  <si>
    <t>QUE002576</t>
  </si>
  <si>
    <t>SYST-MOR-0007492</t>
  </si>
  <si>
    <t>JCB-SD-CSP-1007</t>
  </si>
  <si>
    <t>QUE002577</t>
  </si>
  <si>
    <t>SYST-MOR-0007493</t>
  </si>
  <si>
    <t>JCB-SD-CSP-1008</t>
  </si>
  <si>
    <t>QUE002578</t>
  </si>
  <si>
    <t>SYST-MOR-0007494</t>
  </si>
  <si>
    <t>JCB-SD-CSP-1009</t>
  </si>
  <si>
    <t>Just east of Custer State Park driving eastward towards Hermosa on US16 Alt-W</t>
  </si>
  <si>
    <t>QUE002580</t>
  </si>
  <si>
    <t>SYST-MOR-0007496</t>
  </si>
  <si>
    <t>JCB-SD-SPF-1011</t>
  </si>
  <si>
    <t>Lawrence</t>
  </si>
  <si>
    <t>5 miles south of Spearfish HWY 85 and Colorado Blvd</t>
  </si>
  <si>
    <t>QUE002581</t>
  </si>
  <si>
    <t>SYST-MOR-0007497</t>
  </si>
  <si>
    <t>JCB-SD-SPF-1012</t>
  </si>
  <si>
    <t>heading towards Spearfish</t>
  </si>
  <si>
    <t>QUE002582</t>
  </si>
  <si>
    <t>SYST-MOR-0007498</t>
  </si>
  <si>
    <t>JCB-SD-SPF-1013</t>
  </si>
  <si>
    <t>QUE002583</t>
  </si>
  <si>
    <t>SYST-MOR-0007499</t>
  </si>
  <si>
    <t>JCB-SD-SPF-1014</t>
  </si>
  <si>
    <t>60-70</t>
  </si>
  <si>
    <t>QUE002584</t>
  </si>
  <si>
    <t>SYST-MOR-0007500</t>
  </si>
  <si>
    <t>JCB-SD-SPF-1015</t>
  </si>
  <si>
    <t>50-60</t>
  </si>
  <si>
    <t>QUE002585</t>
  </si>
  <si>
    <t>SYST-MOR-0007501</t>
  </si>
  <si>
    <t>JCB-SD-SPF-1016</t>
  </si>
  <si>
    <t>QUE002586</t>
  </si>
  <si>
    <t>SYST-MOR-0007502</t>
  </si>
  <si>
    <t>JCB-SD-SPF-1017</t>
  </si>
  <si>
    <t>In the Black Hills State Park - Spearfish</t>
  </si>
  <si>
    <t>QUE002587</t>
  </si>
  <si>
    <t>SYST-MOR-0007503</t>
  </si>
  <si>
    <t>JCB-SD-SPF-1018</t>
  </si>
  <si>
    <t>QUE002588</t>
  </si>
  <si>
    <t>SYST-MOR-0007504</t>
  </si>
  <si>
    <t>JCB-SD-SPF-1019</t>
  </si>
  <si>
    <t>QUE002589</t>
  </si>
  <si>
    <t>SYST-MOR-0007505</t>
  </si>
  <si>
    <t>JCB-SD-SPF-1020</t>
  </si>
  <si>
    <t>QUE002579</t>
  </si>
  <si>
    <t>SYST-MOR-0007495</t>
  </si>
  <si>
    <t>JCB-SD-US16-1010</t>
  </si>
  <si>
    <t>East of Custer State Park driving eastward towards Hermosa on US16 Alt-W</t>
  </si>
  <si>
    <t>QUE003798</t>
  </si>
  <si>
    <t>SYST-MOR-0007035</t>
  </si>
  <si>
    <t>KS_KCP_315_MG</t>
  </si>
  <si>
    <t>Quercus prinoides Willd.</t>
  </si>
  <si>
    <t xml:space="preserve">prinoides </t>
  </si>
  <si>
    <t>Kansas</t>
  </si>
  <si>
    <t>Kill Creek Park</t>
  </si>
  <si>
    <t>QUE003799</t>
  </si>
  <si>
    <t>SYST-MOR-0007036</t>
  </si>
  <si>
    <t>KS_KCP_316_MG</t>
  </si>
  <si>
    <t>QUE003800</t>
  </si>
  <si>
    <t>SYST-MOR-0007037</t>
  </si>
  <si>
    <t>KS_KZP_317_MG</t>
  </si>
  <si>
    <t>Riley</t>
  </si>
  <si>
    <t>Konza Prairie Biological Station</t>
  </si>
  <si>
    <t>QUE003801</t>
  </si>
  <si>
    <t>SYST-MOR-0007038</t>
  </si>
  <si>
    <t>KS_KZP_318_MG</t>
  </si>
  <si>
    <t>QUE003802</t>
  </si>
  <si>
    <t>SYST-MOR-0007039</t>
  </si>
  <si>
    <t>KS_KZP_319_MG</t>
  </si>
  <si>
    <t>QUE003803</t>
  </si>
  <si>
    <t>SYST-MOR-0007040</t>
  </si>
  <si>
    <t>KS_KZP_320_MG</t>
  </si>
  <si>
    <t>QUE003804</t>
  </si>
  <si>
    <t>SYST-MOR-0007041</t>
  </si>
  <si>
    <t>KS_KZP_321_MG</t>
  </si>
  <si>
    <t>QUE003805</t>
  </si>
  <si>
    <t>SYST-MOR-0007042</t>
  </si>
  <si>
    <t>KS_KZP_322_MG</t>
  </si>
  <si>
    <t>QUE003806</t>
  </si>
  <si>
    <t>SYST-MOR-0007043</t>
  </si>
  <si>
    <t>KS_KZP_323_MG</t>
  </si>
  <si>
    <t>QUE003807</t>
  </si>
  <si>
    <t>SYST-MOR-0007044</t>
  </si>
  <si>
    <t>KS_KZP_324_MG</t>
  </si>
  <si>
    <t>QUE003808</t>
  </si>
  <si>
    <t>SYST-MOR-0007045</t>
  </si>
  <si>
    <t>KS_KZP_325_MG</t>
  </si>
  <si>
    <t>QUE003809</t>
  </si>
  <si>
    <t>SYST-MOR-0007046</t>
  </si>
  <si>
    <t>KS_KZP_326_MG</t>
  </si>
  <si>
    <t>QUE003778</t>
  </si>
  <si>
    <t>SYST-MOR-0007015</t>
  </si>
  <si>
    <t>KS_SMP_295_MG</t>
  </si>
  <si>
    <t>Shawnee Mission Park</t>
  </si>
  <si>
    <t>QUE003779</t>
  </si>
  <si>
    <t>SYST-MOR-0007016</t>
  </si>
  <si>
    <t>KS_SMP_296_MG</t>
  </si>
  <si>
    <t xml:space="preserve">Shawnee Mission Park </t>
  </si>
  <si>
    <t>QUE003780</t>
  </si>
  <si>
    <t>SYST-MOR-0007017</t>
  </si>
  <si>
    <t>KS_SMP_297_MG</t>
  </si>
  <si>
    <t>QUE003781</t>
  </si>
  <si>
    <t>SYST-MOR-0007018</t>
  </si>
  <si>
    <t>KS_SMP_298_MG</t>
  </si>
  <si>
    <t>QUE003782</t>
  </si>
  <si>
    <t>SYST-MOR-0007019</t>
  </si>
  <si>
    <t>KS_SMP_299_MG</t>
  </si>
  <si>
    <t>QUE003783</t>
  </si>
  <si>
    <t>SYST-MOR-0007020</t>
  </si>
  <si>
    <t>KS_SMP_300_MG</t>
  </si>
  <si>
    <t>QUE003784</t>
  </si>
  <si>
    <t>SYST-MOR-0007021</t>
  </si>
  <si>
    <t>KS_SMP_301_MG</t>
  </si>
  <si>
    <t>QUE003785</t>
  </si>
  <si>
    <t>SYST-MOR-0007022</t>
  </si>
  <si>
    <t>KS_SMP_302_MG</t>
  </si>
  <si>
    <t>QUE003786</t>
  </si>
  <si>
    <t>SYST-MOR-0007023</t>
  </si>
  <si>
    <t>KS_SMP_303_MG</t>
  </si>
  <si>
    <t>QUE003787</t>
  </si>
  <si>
    <t>SYST-MOR-0007024</t>
  </si>
  <si>
    <t>KS_SMP_304_MG</t>
  </si>
  <si>
    <t>QUE003788</t>
  </si>
  <si>
    <t>SYST-MOR-0007025</t>
  </si>
  <si>
    <t>KS_SMP_305_MG</t>
  </si>
  <si>
    <t>QUE003789</t>
  </si>
  <si>
    <t>SYST-MOR-0007026</t>
  </si>
  <si>
    <t>KS_SMP_306_MG</t>
  </si>
  <si>
    <t>QUE003790</t>
  </si>
  <si>
    <t>SYST-MOR-0007027</t>
  </si>
  <si>
    <t>KS_SMP_307_MG</t>
  </si>
  <si>
    <t>QUE003791</t>
  </si>
  <si>
    <t>SYST-MOR-0007028</t>
  </si>
  <si>
    <t>KS_SMP_308_MG</t>
  </si>
  <si>
    <t>QUE003792</t>
  </si>
  <si>
    <t>SYST-MOR-0007029</t>
  </si>
  <si>
    <t>KS_SMP_309_MG</t>
  </si>
  <si>
    <t>QUE003793</t>
  </si>
  <si>
    <t>SYST-MOR-0007030</t>
  </si>
  <si>
    <t>KS_SMP_310_MG</t>
  </si>
  <si>
    <t>QUE003794</t>
  </si>
  <si>
    <t>SYST-MOR-0007031</t>
  </si>
  <si>
    <t>KS_SMP_311_MG</t>
  </si>
  <si>
    <t>QUE003795</t>
  </si>
  <si>
    <t>SYST-MOR-0007032</t>
  </si>
  <si>
    <t>KS_SMP_312_MG</t>
  </si>
  <si>
    <t>QUE003796</t>
  </si>
  <si>
    <t>SYST-MOR-0007033</t>
  </si>
  <si>
    <t>KS_SMP_313_MG</t>
  </si>
  <si>
    <t>QUE003797</t>
  </si>
  <si>
    <t>SYST-MOR-0007034</t>
  </si>
  <si>
    <t>KS_SMP_314_MG</t>
  </si>
  <si>
    <t>QUE003670</t>
  </si>
  <si>
    <t>SYST-MOR-0006907</t>
  </si>
  <si>
    <t>KY_ASF_185_MG</t>
  </si>
  <si>
    <t>Leah Samuels, Mira Garner, Andrew Hipp, Drew Larson, Tom Kimmerer</t>
  </si>
  <si>
    <t>Kentucky</t>
  </si>
  <si>
    <t>Fayette</t>
  </si>
  <si>
    <t>Airdrie Stud Farm est. 1780</t>
  </si>
  <si>
    <t>QUE003671</t>
  </si>
  <si>
    <t>SYST-MOR-0006908</t>
  </si>
  <si>
    <t>KY_ASF_186_MG</t>
  </si>
  <si>
    <t>QUE003672</t>
  </si>
  <si>
    <t>SYST-MOR-0006909</t>
  </si>
  <si>
    <t>KY_ASF_187_MG</t>
  </si>
  <si>
    <t>QUE003673</t>
  </si>
  <si>
    <t>SYST-MOR-0006910</t>
  </si>
  <si>
    <t>KY_ASF_188_MG</t>
  </si>
  <si>
    <t>QUE003674</t>
  </si>
  <si>
    <t>SYST-MOR-0006911</t>
  </si>
  <si>
    <t>KY_ASF_189_MG</t>
  </si>
  <si>
    <t>QUE003675</t>
  </si>
  <si>
    <t>SYST-MOR-0006912</t>
  </si>
  <si>
    <t>KY_ASF_190_MG</t>
  </si>
  <si>
    <t>QUE003676</t>
  </si>
  <si>
    <t>SYST-MOR-0006913</t>
  </si>
  <si>
    <t>KY_ASF_191_MG</t>
  </si>
  <si>
    <t>QUE003677</t>
  </si>
  <si>
    <t>SYST-MOR-0006914</t>
  </si>
  <si>
    <t>KY_ASF_192_MG</t>
  </si>
  <si>
    <t>QUE003678</t>
  </si>
  <si>
    <t>SYST-MOR-0006915</t>
  </si>
  <si>
    <t>KY_ASF_193_MG</t>
  </si>
  <si>
    <t>QUE003679</t>
  </si>
  <si>
    <t>SYST-MOR-0006916</t>
  </si>
  <si>
    <t>KY_ASF_194_MG</t>
  </si>
  <si>
    <t>QUE003660</t>
  </si>
  <si>
    <t>SYST-MOR-0006897</t>
  </si>
  <si>
    <t>KY_BBF_175_MG</t>
  </si>
  <si>
    <t>Leah Samuels, Mira Garner, Andrew Hipp, Drew Larson, Paul Manos</t>
  </si>
  <si>
    <t xml:space="preserve">Briarbrook Farm </t>
  </si>
  <si>
    <t>QUE003661</t>
  </si>
  <si>
    <t>SYST-MOR-0006898</t>
  </si>
  <si>
    <t>KY_BBF_176_MG</t>
  </si>
  <si>
    <t>QUE003662</t>
  </si>
  <si>
    <t>SYST-MOR-0006899</t>
  </si>
  <si>
    <t>KY_BBF_177_MG</t>
  </si>
  <si>
    <t>QUE003663</t>
  </si>
  <si>
    <t>SYST-MOR-0006900</t>
  </si>
  <si>
    <t>KY_BBF_178_MG</t>
  </si>
  <si>
    <t>QUE003664</t>
  </si>
  <si>
    <t>SYST-MOR-0006901</t>
  </si>
  <si>
    <t>KY_BBF_179_MG</t>
  </si>
  <si>
    <t>QUE003665</t>
  </si>
  <si>
    <t>SYST-MOR-0006902</t>
  </si>
  <si>
    <t>KY_BBF_180_MG</t>
  </si>
  <si>
    <t>QUE003666</t>
  </si>
  <si>
    <t>SYST-MOR-0006903</t>
  </si>
  <si>
    <t>KY_BBF_181_MG</t>
  </si>
  <si>
    <t>QUE003667</t>
  </si>
  <si>
    <t>SYST-MOR-0006904</t>
  </si>
  <si>
    <t>KY_BBF_182_MG</t>
  </si>
  <si>
    <t>QUE003668</t>
  </si>
  <si>
    <t>SYST-MOR-0006905</t>
  </si>
  <si>
    <t>KY_BBF_183_MG</t>
  </si>
  <si>
    <t>QUE003669</t>
  </si>
  <si>
    <t>SYST-MOR-0006906</t>
  </si>
  <si>
    <t>KY_BBF_184_MG</t>
  </si>
  <si>
    <t>QUE003657</t>
  </si>
  <si>
    <t>SYST-MOR-0006894</t>
  </si>
  <si>
    <t>KY_CSW_172_MG</t>
  </si>
  <si>
    <t xml:space="preserve">Castlewood State Park </t>
  </si>
  <si>
    <t>QUE003658</t>
  </si>
  <si>
    <t>SYST-MOR-0006895</t>
  </si>
  <si>
    <t>KY_CSW_173_MG</t>
  </si>
  <si>
    <t>QUE003659</t>
  </si>
  <si>
    <t>SYST-MOR-0006896</t>
  </si>
  <si>
    <t>KY_CSW_174_MG</t>
  </si>
  <si>
    <t>QUE003695</t>
  </si>
  <si>
    <t>SYST-MOR-0006932</t>
  </si>
  <si>
    <t>KY_GRF_210_MG</t>
  </si>
  <si>
    <t>Leah Samuels, Mira Garner, Andrew Hipp, Drew Larson</t>
  </si>
  <si>
    <t>Hendersen</t>
  </si>
  <si>
    <t xml:space="preserve">Green River State Forest </t>
  </si>
  <si>
    <t xml:space="preserve">scraumbly forest edge of rd. </t>
  </si>
  <si>
    <t>QUE003696</t>
  </si>
  <si>
    <t>SYST-MOR-0006933</t>
  </si>
  <si>
    <t>KY_GRF_211_MG</t>
  </si>
  <si>
    <t>QUE003697</t>
  </si>
  <si>
    <t>SYST-MOR-0006934</t>
  </si>
  <si>
    <t>KY_GRF_212_MG</t>
  </si>
  <si>
    <t>QUE003698</t>
  </si>
  <si>
    <t>SYST-MOR-0006935</t>
  </si>
  <si>
    <t>KY_GRF_213_MG</t>
  </si>
  <si>
    <t>1.8m</t>
  </si>
  <si>
    <t>QUE003699</t>
  </si>
  <si>
    <t>SYST-MOR-0006936</t>
  </si>
  <si>
    <t>KY_GRF_214_MG</t>
  </si>
  <si>
    <t>QUE003680</t>
  </si>
  <si>
    <t>SYST-MOR-0006917</t>
  </si>
  <si>
    <t>KY_JJA_195_MG</t>
  </si>
  <si>
    <t xml:space="preserve">John James Audubon State Park </t>
  </si>
  <si>
    <t>QUE003681</t>
  </si>
  <si>
    <t>SYST-MOR-0006918</t>
  </si>
  <si>
    <t>KY_JJA_196_MG</t>
  </si>
  <si>
    <t>flatwoods with abundent craytph(?) chimneys to 8" tall</t>
  </si>
  <si>
    <t>QUE003682</t>
  </si>
  <si>
    <t>SYST-MOR-0006919</t>
  </si>
  <si>
    <t>KY_JJA_197_MG</t>
  </si>
  <si>
    <t>QUE003683</t>
  </si>
  <si>
    <t>SYST-MOR-0006920</t>
  </si>
  <si>
    <t>KY_JJA_198_MG</t>
  </si>
  <si>
    <t>QUE003684</t>
  </si>
  <si>
    <t>SYST-MOR-0006921</t>
  </si>
  <si>
    <t>KY_JJA_199_MG</t>
  </si>
  <si>
    <t>QUE003685</t>
  </si>
  <si>
    <t>SYST-MOR-0006922</t>
  </si>
  <si>
    <t>KY_JJA_200_MG</t>
  </si>
  <si>
    <t>QUE003686</t>
  </si>
  <si>
    <t>SYST-MOR-0006923</t>
  </si>
  <si>
    <t>KY_JJA_201_MG</t>
  </si>
  <si>
    <t>Quercus alba L. x michauxii Nutt.</t>
  </si>
  <si>
    <t>alba x michauxii</t>
  </si>
  <si>
    <t>QUE003687</t>
  </si>
  <si>
    <t>SYST-MOR-0006924</t>
  </si>
  <si>
    <t>KY_JJA_202_MG</t>
  </si>
  <si>
    <t>QUE003688</t>
  </si>
  <si>
    <t>SYST-MOR-0006925</t>
  </si>
  <si>
    <t>KY_JJA_203_MG</t>
  </si>
  <si>
    <t>QUE003689</t>
  </si>
  <si>
    <t>SYST-MOR-0006926</t>
  </si>
  <si>
    <t>KY_JJA_204_MG</t>
  </si>
  <si>
    <t>QUE003690</t>
  </si>
  <si>
    <t>SYST-MOR-0006927</t>
  </si>
  <si>
    <t>KY_JJA_205_MG</t>
  </si>
  <si>
    <t>QUE003691</t>
  </si>
  <si>
    <t>SYST-MOR-0006928</t>
  </si>
  <si>
    <t>KY_JJA_206_MG</t>
  </si>
  <si>
    <t>QUE003692</t>
  </si>
  <si>
    <t>SYST-MOR-0006929</t>
  </si>
  <si>
    <t>KY_JJA_207_MG</t>
  </si>
  <si>
    <t>upland forest</t>
  </si>
  <si>
    <t>QUE003693</t>
  </si>
  <si>
    <t>SYST-MOR-0006930</t>
  </si>
  <si>
    <t>KY_JJA_208_MG</t>
  </si>
  <si>
    <t>QUE003694</t>
  </si>
  <si>
    <t>SYST-MOR-0006931</t>
  </si>
  <si>
    <t>KY_JJA_209_MG</t>
  </si>
  <si>
    <t>rich forest at edge of parkin lot</t>
  </si>
  <si>
    <t>QUE003653</t>
  </si>
  <si>
    <t>SYST-MOR-0006890</t>
  </si>
  <si>
    <t>KY_LXC_168_MG</t>
  </si>
  <si>
    <t xml:space="preserve">Lexington Cemetery </t>
  </si>
  <si>
    <t>QUE003654</t>
  </si>
  <si>
    <t>SYST-MOR-0006891</t>
  </si>
  <si>
    <t>KY_LXC_169_MG</t>
  </si>
  <si>
    <t>QUE003655</t>
  </si>
  <si>
    <t>SYST-MOR-0006892</t>
  </si>
  <si>
    <t>KY_LXC_170_MG</t>
  </si>
  <si>
    <t>QUE003656</t>
  </si>
  <si>
    <t>SYST-MOR-0006893</t>
  </si>
  <si>
    <t>KY_LXC_171_MG</t>
  </si>
  <si>
    <t>QUE003869</t>
  </si>
  <si>
    <t>SYST-MOR-0007106</t>
  </si>
  <si>
    <t>MA_BTC_386_MG</t>
  </si>
  <si>
    <t>Massachusetts</t>
  </si>
  <si>
    <t>Berkshire</t>
  </si>
  <si>
    <t>Bartholomew's Cobble</t>
  </si>
  <si>
    <t>QUE003870</t>
  </si>
  <si>
    <t>SYST-MOR-0007107</t>
  </si>
  <si>
    <t>MA_BTC_387_MG</t>
  </si>
  <si>
    <t>QUE003871</t>
  </si>
  <si>
    <t>SYST-MOR-0007108</t>
  </si>
  <si>
    <t>MA_BTC_388_MG</t>
  </si>
  <si>
    <t>QUE003872</t>
  </si>
  <si>
    <t>SYST-MOR-0007109</t>
  </si>
  <si>
    <t>MA_BTC_389_MG</t>
  </si>
  <si>
    <t>QUE003873</t>
  </si>
  <si>
    <t>SYST-MOR-0007110</t>
  </si>
  <si>
    <t>MA_BTC_390_MG</t>
  </si>
  <si>
    <t>QUE003874</t>
  </si>
  <si>
    <t>SYST-MOR-0007111</t>
  </si>
  <si>
    <t>MA_BTC_391_MG</t>
  </si>
  <si>
    <t>QUE003875</t>
  </si>
  <si>
    <t>SYST-MOR-0007112</t>
  </si>
  <si>
    <t>MA_BTC_392_MG</t>
  </si>
  <si>
    <t>QUE003876</t>
  </si>
  <si>
    <t>SYST-MOR-0007113</t>
  </si>
  <si>
    <t>MA_BTC_393_MG</t>
  </si>
  <si>
    <t>QUE003882</t>
  </si>
  <si>
    <t>SYST-MOR-0007119</t>
  </si>
  <si>
    <t>MA_LKN_399_MG</t>
  </si>
  <si>
    <t xml:space="preserve">Mass Audubon Lime Kiln Farm </t>
  </si>
  <si>
    <t>QUE003883</t>
  </si>
  <si>
    <t>SYST-MOR-0007120</t>
  </si>
  <si>
    <t>MA_LKN_400_MG</t>
  </si>
  <si>
    <t>QUE003884</t>
  </si>
  <si>
    <t>SYST-MOR-0007121</t>
  </si>
  <si>
    <t>MA_LKN_401_MG</t>
  </si>
  <si>
    <t>QUE003885</t>
  </si>
  <si>
    <t>SYST-MOR-0007122</t>
  </si>
  <si>
    <t>MA_LKN_402_MG</t>
  </si>
  <si>
    <t>QUE003877</t>
  </si>
  <si>
    <t>SYST-MOR-0007114</t>
  </si>
  <si>
    <t>MA_NMK_394_MG</t>
  </si>
  <si>
    <t>Naumkaeg</t>
  </si>
  <si>
    <t>QUE003878</t>
  </si>
  <si>
    <t>SYST-MOR-0007115</t>
  </si>
  <si>
    <t>MA_NMK_395_MG</t>
  </si>
  <si>
    <t>QUE003879</t>
  </si>
  <si>
    <t>SYST-MOR-0007116</t>
  </si>
  <si>
    <t>MA_NMK_396_MG</t>
  </si>
  <si>
    <t>QUE003880</t>
  </si>
  <si>
    <t>SYST-MOR-0007117</t>
  </si>
  <si>
    <t>MA_NMK_397_MG</t>
  </si>
  <si>
    <t>QUE003881</t>
  </si>
  <si>
    <t>SYST-MOR-0007118</t>
  </si>
  <si>
    <t>MA_NMK_398_MG</t>
  </si>
  <si>
    <t>QUE003886</t>
  </si>
  <si>
    <t>SYST-MOR-0007123</t>
  </si>
  <si>
    <t>MA_SBF_403_MG</t>
  </si>
  <si>
    <t>Schenob Brook Fen</t>
  </si>
  <si>
    <t>QUE003887</t>
  </si>
  <si>
    <t>SYST-MOR-0007124</t>
  </si>
  <si>
    <t>MA_SBF_404_MG</t>
  </si>
  <si>
    <t>QUE003888</t>
  </si>
  <si>
    <t>SYST-MOR-0007125</t>
  </si>
  <si>
    <t>MA_SBF_405_MG</t>
  </si>
  <si>
    <t>QUE003889</t>
  </si>
  <si>
    <t>SYST-MOR-0007126</t>
  </si>
  <si>
    <t>MA_SBF_406_MG</t>
  </si>
  <si>
    <t>QUE003890</t>
  </si>
  <si>
    <t>SYST-MOR-0007127</t>
  </si>
  <si>
    <t>MA_SBF_407_MG</t>
  </si>
  <si>
    <t>QUE003891</t>
  </si>
  <si>
    <t>SYST-MOR-0007128</t>
  </si>
  <si>
    <t>MA_SBF_408_MG</t>
  </si>
  <si>
    <t>QUE001950</t>
  </si>
  <si>
    <t>SYST-MOR-0007357</t>
  </si>
  <si>
    <t>MB-MG506</t>
  </si>
  <si>
    <t>Mira Garner, Sara Desmond, Bruce Ford</t>
  </si>
  <si>
    <t>Canada</t>
  </si>
  <si>
    <t>Manitoba</t>
  </si>
  <si>
    <t>Whiteshell Provincial Park</t>
  </si>
  <si>
    <t>granite hill top, graminoid dominated, scattered oaks</t>
  </si>
  <si>
    <t>QUE001951</t>
  </si>
  <si>
    <t>SYST-MOR-0007358</t>
  </si>
  <si>
    <t>MB-MG507</t>
  </si>
  <si>
    <t>QUE001952</t>
  </si>
  <si>
    <t>SYST-MOR-0007359</t>
  </si>
  <si>
    <t>MB-MG508</t>
  </si>
  <si>
    <t>granite hill, edge of pipeline</t>
  </si>
  <si>
    <t>QUE001953</t>
  </si>
  <si>
    <t>SYST-MOR-0007360</t>
  </si>
  <si>
    <t>MB-MG509</t>
  </si>
  <si>
    <t>QUE001954</t>
  </si>
  <si>
    <t>SYST-MOR-0007361</t>
  </si>
  <si>
    <t>MB-MG510</t>
  </si>
  <si>
    <t>QUE001955</t>
  </si>
  <si>
    <t>SYST-MOR-0007362</t>
  </si>
  <si>
    <t>MB-MG511</t>
  </si>
  <si>
    <t>QUE001956</t>
  </si>
  <si>
    <t>SYST-MOR-0007363</t>
  </si>
  <si>
    <t>MB-MG512</t>
  </si>
  <si>
    <t>QUE001957</t>
  </si>
  <si>
    <t>SYST-MOR-0007364</t>
  </si>
  <si>
    <t>MB-MG513</t>
  </si>
  <si>
    <t>QUE001958</t>
  </si>
  <si>
    <t>SYST-MOR-0007365</t>
  </si>
  <si>
    <t>MB-MG514</t>
  </si>
  <si>
    <t>QUE001959</t>
  </si>
  <si>
    <t>SYST-MOR-0007366</t>
  </si>
  <si>
    <t>MB-MG515</t>
  </si>
  <si>
    <t>QUE001960</t>
  </si>
  <si>
    <t>SYST-MOR-0007367</t>
  </si>
  <si>
    <t>MB-MG516</t>
  </si>
  <si>
    <t>Spruce Woods Provincial Park</t>
  </si>
  <si>
    <t>Open grassland, scattered oaks</t>
  </si>
  <si>
    <t>QUE001961</t>
  </si>
  <si>
    <t>SYST-MOR-0007368</t>
  </si>
  <si>
    <t>MB-MG517</t>
  </si>
  <si>
    <t>QUE001962</t>
  </si>
  <si>
    <t>SYST-MOR-0007369</t>
  </si>
  <si>
    <t>MB-MG518</t>
  </si>
  <si>
    <t>QUE001963</t>
  </si>
  <si>
    <t>SYST-MOR-0007370</t>
  </si>
  <si>
    <t>MB-MG519</t>
  </si>
  <si>
    <t>Edge of open grassland and spruce grove.</t>
  </si>
  <si>
    <t>QUE001964</t>
  </si>
  <si>
    <t>SYST-MOR-0007371</t>
  </si>
  <si>
    <t>MB-MG520</t>
  </si>
  <si>
    <t>Quercus macrocarpa Michx. ?</t>
  </si>
  <si>
    <t>macrocarpa  ?</t>
  </si>
  <si>
    <t>QUE001965</t>
  </si>
  <si>
    <t>SYST-MOR-0007372</t>
  </si>
  <si>
    <t>MB-MG521</t>
  </si>
  <si>
    <t>QUE001966</t>
  </si>
  <si>
    <t>SYST-MOR-0007373</t>
  </si>
  <si>
    <t>MB-MG522</t>
  </si>
  <si>
    <t>QUE001967</t>
  </si>
  <si>
    <t>SYST-MOR-0007374</t>
  </si>
  <si>
    <t>MB-MG523</t>
  </si>
  <si>
    <t>Oak grove in open grassland</t>
  </si>
  <si>
    <t>QUE001968</t>
  </si>
  <si>
    <t>SYST-MOR-0007375</t>
  </si>
  <si>
    <t>MB-MG524</t>
  </si>
  <si>
    <t>QUE001969</t>
  </si>
  <si>
    <t>SYST-MOR-0007376</t>
  </si>
  <si>
    <t>MB-MG525</t>
  </si>
  <si>
    <t>QUE001970</t>
  </si>
  <si>
    <t>SYST-MOR-0007377</t>
  </si>
  <si>
    <t>MB-MG526</t>
  </si>
  <si>
    <t>Assiniboine Forest, near parking lot/entrance to trail</t>
  </si>
  <si>
    <t>Aspen and Oak woods</t>
  </si>
  <si>
    <t>QUE001971</t>
  </si>
  <si>
    <t>SYST-MOR-0007378</t>
  </si>
  <si>
    <t>MB-MG527</t>
  </si>
  <si>
    <t>Assiniboine Forest, near trail</t>
  </si>
  <si>
    <t>QUE001972</t>
  </si>
  <si>
    <t>SYST-MOR-0007379</t>
  </si>
  <si>
    <t>MB-MG528</t>
  </si>
  <si>
    <t>Assiniboine Forest, off trail in woody area</t>
  </si>
  <si>
    <t>woody area</t>
  </si>
  <si>
    <t>QUE001973</t>
  </si>
  <si>
    <t>SYST-MOR-0007380</t>
  </si>
  <si>
    <t>MB-MG529</t>
  </si>
  <si>
    <t>Assiniboine Forest</t>
  </si>
  <si>
    <t>QUE001974</t>
  </si>
  <si>
    <t>SYST-MOR-0007381</t>
  </si>
  <si>
    <t>MB-MG530</t>
  </si>
  <si>
    <t>QUE001975</t>
  </si>
  <si>
    <t>SYST-MOR-0007382</t>
  </si>
  <si>
    <t>MB-MG531</t>
  </si>
  <si>
    <t>QUE001976</t>
  </si>
  <si>
    <t>SYST-MOR-0007383</t>
  </si>
  <si>
    <t>MB-MG532</t>
  </si>
  <si>
    <t>QUE001977</t>
  </si>
  <si>
    <t>SYST-MOR-0007384</t>
  </si>
  <si>
    <t>MB-MG533</t>
  </si>
  <si>
    <t>QUE001978</t>
  </si>
  <si>
    <t>SYST-MOR-0007385</t>
  </si>
  <si>
    <t>MB-MG534</t>
  </si>
  <si>
    <t>QUE001979</t>
  </si>
  <si>
    <t>SYST-MOR-0007386</t>
  </si>
  <si>
    <t>MB-MG535</t>
  </si>
  <si>
    <t>QUE003605</t>
  </si>
  <si>
    <t>SYST-MOR-0006842</t>
  </si>
  <si>
    <t>MG_928</t>
  </si>
  <si>
    <t>Quercus margaretiae Ashe ex Small</t>
  </si>
  <si>
    <t>Quercus stellata Wangenh. (margaretta?)</t>
  </si>
  <si>
    <t>stellata?? (margaretta?)</t>
  </si>
  <si>
    <t>Oklahoma</t>
  </si>
  <si>
    <t>Caddo</t>
  </si>
  <si>
    <t xml:space="preserve">Red Rock Canyon Adventure Park </t>
  </si>
  <si>
    <t>Quercus stellata Wangenh. (aff. Quercus margaretta)</t>
  </si>
  <si>
    <t>QUE003767</t>
  </si>
  <si>
    <t>SYST-MOR-0007004</t>
  </si>
  <si>
    <t>MI_LLP_284_MG</t>
  </si>
  <si>
    <t>Michigan</t>
  </si>
  <si>
    <t>Ingham</t>
  </si>
  <si>
    <t>Lake Lansing Park</t>
  </si>
  <si>
    <t>QUE003768</t>
  </si>
  <si>
    <t>SYST-MOR-0007005</t>
  </si>
  <si>
    <t>MI_LLP_285_MG</t>
  </si>
  <si>
    <t>QUE003769</t>
  </si>
  <si>
    <t>SYST-MOR-0007006</t>
  </si>
  <si>
    <t>MI_LLP_286_MG</t>
  </si>
  <si>
    <t>QUE003770</t>
  </si>
  <si>
    <t>SYST-MOR-0007007</t>
  </si>
  <si>
    <t>MI_LLP_287_MG</t>
  </si>
  <si>
    <t>QUE003771</t>
  </si>
  <si>
    <t>SYST-MOR-0007008</t>
  </si>
  <si>
    <t>MI_LLP_288_MG</t>
  </si>
  <si>
    <t>QUE003772</t>
  </si>
  <si>
    <t>SYST-MOR-0007009</t>
  </si>
  <si>
    <t>MI_LLP_289_MG</t>
  </si>
  <si>
    <t>QUE003773</t>
  </si>
  <si>
    <t>SYST-MOR-0007010</t>
  </si>
  <si>
    <t>MI_LLP_290_MG</t>
  </si>
  <si>
    <t>QUE003774</t>
  </si>
  <si>
    <t>SYST-MOR-0007011</t>
  </si>
  <si>
    <t>MI_LLP_291_MG</t>
  </si>
  <si>
    <t>QUE003775</t>
  </si>
  <si>
    <t>SYST-MOR-0007012</t>
  </si>
  <si>
    <t>MI_LLP_292_MG</t>
  </si>
  <si>
    <t>QUE003776</t>
  </si>
  <si>
    <t>SYST-MOR-0007013</t>
  </si>
  <si>
    <t>MI_LLP_293_MG</t>
  </si>
  <si>
    <t>QUE003777</t>
  </si>
  <si>
    <t>SYST-MOR-0007014</t>
  </si>
  <si>
    <t>MI_LLP_294_MG</t>
  </si>
  <si>
    <t>QUE003748</t>
  </si>
  <si>
    <t>SYST-MOR-0006985</t>
  </si>
  <si>
    <t>MI_PRA_265_MG</t>
  </si>
  <si>
    <t>Washtenaw</t>
  </si>
  <si>
    <t>Pinckney Recreation Area</t>
  </si>
  <si>
    <t>QUE003749</t>
  </si>
  <si>
    <t>SYST-MOR-0006986</t>
  </si>
  <si>
    <t>MI_PRA_266_MG</t>
  </si>
  <si>
    <t>QUE003750</t>
  </si>
  <si>
    <t>SYST-MOR-0006987</t>
  </si>
  <si>
    <t>MI_PRA_267_MG</t>
  </si>
  <si>
    <t>QUE003751</t>
  </si>
  <si>
    <t>SYST-MOR-0006988</t>
  </si>
  <si>
    <t>MI_PRA_268_MG</t>
  </si>
  <si>
    <t>QUE003752</t>
  </si>
  <si>
    <t>SYST-MOR-0006989</t>
  </si>
  <si>
    <t>MI_PRA_269_MG</t>
  </si>
  <si>
    <t>QUE003753</t>
  </si>
  <si>
    <t>SYST-MOR-0006990</t>
  </si>
  <si>
    <t>MI_PRA_270_MG</t>
  </si>
  <si>
    <t>QUE003754</t>
  </si>
  <si>
    <t>SYST-MOR-0006991</t>
  </si>
  <si>
    <t>MI_PRA_271_MG</t>
  </si>
  <si>
    <t>QUE003755</t>
  </si>
  <si>
    <t>SYST-MOR-0006992</t>
  </si>
  <si>
    <t>MI_PRA_272_MG</t>
  </si>
  <si>
    <t>QUE003756</t>
  </si>
  <si>
    <t>SYST-MOR-0006993</t>
  </si>
  <si>
    <t>MI_PRA_273_MG</t>
  </si>
  <si>
    <t>QUE003757</t>
  </si>
  <si>
    <t>SYST-MOR-0006994</t>
  </si>
  <si>
    <t>MI_PRA_274_MG</t>
  </si>
  <si>
    <t>QUE003758</t>
  </si>
  <si>
    <t>SYST-MOR-0006995</t>
  </si>
  <si>
    <t>MI_PRA_275_MG</t>
  </si>
  <si>
    <t>QUE003759</t>
  </si>
  <si>
    <t>SYST-MOR-0006996</t>
  </si>
  <si>
    <t>MI_PRA_276_MG</t>
  </si>
  <si>
    <t>QUE003760</t>
  </si>
  <si>
    <t>SYST-MOR-0006997</t>
  </si>
  <si>
    <t>MI_PRA_277_MG</t>
  </si>
  <si>
    <t>QUE003761</t>
  </si>
  <si>
    <t>SYST-MOR-0006998</t>
  </si>
  <si>
    <t>MI_PRA_278_MG</t>
  </si>
  <si>
    <t>QUE003762</t>
  </si>
  <si>
    <t>SYST-MOR-0006999</t>
  </si>
  <si>
    <t>MI_PRA_279_MG</t>
  </si>
  <si>
    <t>Livingston</t>
  </si>
  <si>
    <t>QUE003763</t>
  </si>
  <si>
    <t>SYST-MOR-0007000</t>
  </si>
  <si>
    <t>MI_PRA_280_MG</t>
  </si>
  <si>
    <t>QUE003764</t>
  </si>
  <si>
    <t>SYST-MOR-0007001</t>
  </si>
  <si>
    <t>MI_PRA_281_MG</t>
  </si>
  <si>
    <t>QUE003765</t>
  </si>
  <si>
    <t>SYST-MOR-0007002</t>
  </si>
  <si>
    <t>MI_PRA_282_MG</t>
  </si>
  <si>
    <t>QUE003766</t>
  </si>
  <si>
    <t>SYST-MOR-0007003</t>
  </si>
  <si>
    <t>MI_PRA_283_MG</t>
  </si>
  <si>
    <t>QUE002325</t>
  </si>
  <si>
    <t>SYST-MOR-0007435</t>
  </si>
  <si>
    <t>MI-MG662</t>
  </si>
  <si>
    <t>Mira Garner, Kasey Pham</t>
  </si>
  <si>
    <t>Bay</t>
  </si>
  <si>
    <t>Pinconning Park, Campground</t>
  </si>
  <si>
    <t>Lakeshore oak  maple woods</t>
  </si>
  <si>
    <t>QUE002326</t>
  </si>
  <si>
    <t>SYST-MOR-0007436</t>
  </si>
  <si>
    <t>MI-MG663</t>
  </si>
  <si>
    <t>QUE002327</t>
  </si>
  <si>
    <t>SYST-MOR-0007437</t>
  </si>
  <si>
    <t>MI-MG664</t>
  </si>
  <si>
    <t>QUE002328</t>
  </si>
  <si>
    <t>SYST-MOR-0007438</t>
  </si>
  <si>
    <t>MI-MG665</t>
  </si>
  <si>
    <t>Pinconning Park, Ed Donnelly Trail entrance</t>
  </si>
  <si>
    <t>QUE002329</t>
  </si>
  <si>
    <t>SYST-MOR-0007439</t>
  </si>
  <si>
    <t>MI-MG666</t>
  </si>
  <si>
    <t>Pinconning Park, Ed Donnelly Trail</t>
  </si>
  <si>
    <t>QUE002330</t>
  </si>
  <si>
    <t>SYST-MOR-0007440</t>
  </si>
  <si>
    <t>MI-MG667</t>
  </si>
  <si>
    <t>QUE002331</t>
  </si>
  <si>
    <t>SYST-MOR-0007441</t>
  </si>
  <si>
    <t>MI-MG668</t>
  </si>
  <si>
    <t>QUE002332</t>
  </si>
  <si>
    <t>SYST-MOR-0007442</t>
  </si>
  <si>
    <t>MI-MG669</t>
  </si>
  <si>
    <t>QUE002333</t>
  </si>
  <si>
    <t>SYST-MOR-0007443</t>
  </si>
  <si>
    <t>MI-MG670</t>
  </si>
  <si>
    <t>Pinconning Park, By cabins</t>
  </si>
  <si>
    <t>QUE002334</t>
  </si>
  <si>
    <t>SYST-MOR-0007444</t>
  </si>
  <si>
    <t>MI-MG671</t>
  </si>
  <si>
    <t>QUE002335</t>
  </si>
  <si>
    <t>SYST-MOR-0007445</t>
  </si>
  <si>
    <t>MI-MG672</t>
  </si>
  <si>
    <t>QUE002056</t>
  </si>
  <si>
    <t>SYST-MOR-0007393</t>
  </si>
  <si>
    <t>Minooka 1</t>
  </si>
  <si>
    <t>Ian Pearse</t>
  </si>
  <si>
    <t>Russell</t>
  </si>
  <si>
    <t>Minooka Park Recreation Area</t>
  </si>
  <si>
    <t>Riparian area near large resevoir</t>
  </si>
  <si>
    <t>QUE002065</t>
  </si>
  <si>
    <t>SYST-MOR-0007402</t>
  </si>
  <si>
    <t>Minooka 10</t>
  </si>
  <si>
    <t>QUE002057</t>
  </si>
  <si>
    <t>SYST-MOR-0007394</t>
  </si>
  <si>
    <t>Minooka 2</t>
  </si>
  <si>
    <t>QUE002058</t>
  </si>
  <si>
    <t>SYST-MOR-0007395</t>
  </si>
  <si>
    <t>Minooka 3</t>
  </si>
  <si>
    <t>QUE002059</t>
  </si>
  <si>
    <t>SYST-MOR-0007396</t>
  </si>
  <si>
    <t>Minooka 4</t>
  </si>
  <si>
    <t>QUE002060</t>
  </si>
  <si>
    <t>SYST-MOR-0007397</t>
  </si>
  <si>
    <t>Minooka 5</t>
  </si>
  <si>
    <t>QUE002061</t>
  </si>
  <si>
    <t>SYST-MOR-0007398</t>
  </si>
  <si>
    <t>Minooka 6</t>
  </si>
  <si>
    <t>QUE002062</t>
  </si>
  <si>
    <t>SYST-MOR-0007399</t>
  </si>
  <si>
    <t>Minooka 7</t>
  </si>
  <si>
    <t>QUE002063</t>
  </si>
  <si>
    <t>SYST-MOR-0007400</t>
  </si>
  <si>
    <t>Minooka 8</t>
  </si>
  <si>
    <t>QUE002064</t>
  </si>
  <si>
    <t>SYST-MOR-0007401</t>
  </si>
  <si>
    <t>Minooka 9</t>
  </si>
  <si>
    <t>QUE004014</t>
  </si>
  <si>
    <t>SYST-MOR-0007251</t>
  </si>
  <si>
    <t>MN_CDR_215_BF</t>
  </si>
  <si>
    <t>Brett Fredricksen</t>
  </si>
  <si>
    <t>Minnesota</t>
  </si>
  <si>
    <t>Anoka</t>
  </si>
  <si>
    <t>Cedar Creek Research Station</t>
  </si>
  <si>
    <t>QUE004015</t>
  </si>
  <si>
    <t>SYST-MOR-0007252</t>
  </si>
  <si>
    <t>MN_CDR_216_BF</t>
  </si>
  <si>
    <t>QUE004016</t>
  </si>
  <si>
    <t>SYST-MOR-0007253</t>
  </si>
  <si>
    <t>MN_CDR_217_BF</t>
  </si>
  <si>
    <t>QUE004017</t>
  </si>
  <si>
    <t>SYST-MOR-0007254</t>
  </si>
  <si>
    <t>MN_CDR_218_BF</t>
  </si>
  <si>
    <t>QUE004018</t>
  </si>
  <si>
    <t>SYST-MOR-0007255</t>
  </si>
  <si>
    <t>MN_CDR_219_BF</t>
  </si>
  <si>
    <t>QUE004020</t>
  </si>
  <si>
    <t>SYST-MOR-0007257</t>
  </si>
  <si>
    <t>MN_CDR_220_BF</t>
  </si>
  <si>
    <t>QUE004021</t>
  </si>
  <si>
    <t>SYST-MOR-0007258</t>
  </si>
  <si>
    <t>MN_CDR_221_BF</t>
  </si>
  <si>
    <t>QUE004022</t>
  </si>
  <si>
    <t>SYST-MOR-0007259</t>
  </si>
  <si>
    <t>MN_CDR_222_BF</t>
  </si>
  <si>
    <t>QUE004023</t>
  </si>
  <si>
    <t>SYST-MOR-0007260</t>
  </si>
  <si>
    <t>MN_CDR_223_BF</t>
  </si>
  <si>
    <t>QUE004019</t>
  </si>
  <si>
    <t>SYST-MOR-0007256</t>
  </si>
  <si>
    <t>MN_CDR_531_BF</t>
  </si>
  <si>
    <t>QUE003706</t>
  </si>
  <si>
    <t>SYST-MOR-0006943</t>
  </si>
  <si>
    <t>MN_PMN_221_MG</t>
  </si>
  <si>
    <t xml:space="preserve">Winona </t>
  </si>
  <si>
    <t xml:space="preserve">Prairie Moon Nursery </t>
  </si>
  <si>
    <t>QUE003707</t>
  </si>
  <si>
    <t>SYST-MOR-0006944</t>
  </si>
  <si>
    <t>MN_PMN_222_MG</t>
  </si>
  <si>
    <t>QUE003708</t>
  </si>
  <si>
    <t>SYST-MOR-0006945</t>
  </si>
  <si>
    <t>MN_PMN_223_MG</t>
  </si>
  <si>
    <t>QUE003709</t>
  </si>
  <si>
    <t>SYST-MOR-0006946</t>
  </si>
  <si>
    <t>MN_PMN_224_MG</t>
  </si>
  <si>
    <t>QUE003710</t>
  </si>
  <si>
    <t>SYST-MOR-0006947</t>
  </si>
  <si>
    <t>MN_PMN_225_MG</t>
  </si>
  <si>
    <t>QUE003711</t>
  </si>
  <si>
    <t>SYST-MOR-0006948</t>
  </si>
  <si>
    <t>MN_PMN_226_MG</t>
  </si>
  <si>
    <t>QUE003712</t>
  </si>
  <si>
    <t>SYST-MOR-0006949</t>
  </si>
  <si>
    <t>MN_PMN_227_MG</t>
  </si>
  <si>
    <t>QUE003713</t>
  </si>
  <si>
    <t>SYST-MOR-0006950</t>
  </si>
  <si>
    <t>MN_PMN_228_MG</t>
  </si>
  <si>
    <t>QUE002424</t>
  </si>
  <si>
    <t>SYST-MOR-0007446</t>
  </si>
  <si>
    <t>MN-MG761</t>
  </si>
  <si>
    <t>Mira Garner</t>
  </si>
  <si>
    <t>Le Sueur</t>
  </si>
  <si>
    <t>Ottawa Bluffs</t>
  </si>
  <si>
    <t>Oak grove in hilltop prairie</t>
  </si>
  <si>
    <t>QUE002425</t>
  </si>
  <si>
    <t>SYST-MOR-0007447</t>
  </si>
  <si>
    <t>MN-MG762</t>
  </si>
  <si>
    <t>QUE002426</t>
  </si>
  <si>
    <t>SYST-MOR-0007448</t>
  </si>
  <si>
    <t>MN-MG763</t>
  </si>
  <si>
    <t>QUE002427</t>
  </si>
  <si>
    <t>SYST-MOR-0007449</t>
  </si>
  <si>
    <t>MN-MG764</t>
  </si>
  <si>
    <t>QUE002428</t>
  </si>
  <si>
    <t>SYST-MOR-0007450</t>
  </si>
  <si>
    <t>MN-MG765</t>
  </si>
  <si>
    <t>QUE002429</t>
  </si>
  <si>
    <t>SYST-MOR-0007451</t>
  </si>
  <si>
    <t>MN-MG766</t>
  </si>
  <si>
    <t>QUE002430</t>
  </si>
  <si>
    <t>SYST-MOR-0007452</t>
  </si>
  <si>
    <t>MN-MG767</t>
  </si>
  <si>
    <t>QUE002431</t>
  </si>
  <si>
    <t>SYST-MOR-0007453</t>
  </si>
  <si>
    <t>MN-MG768</t>
  </si>
  <si>
    <t>QUE002432</t>
  </si>
  <si>
    <t>SYST-MOR-0007454</t>
  </si>
  <si>
    <t>MN-MG769</t>
  </si>
  <si>
    <t>QUE002433</t>
  </si>
  <si>
    <t>SYST-MOR-0007455</t>
  </si>
  <si>
    <t>MN-MG770</t>
  </si>
  <si>
    <t>Stearns</t>
  </si>
  <si>
    <t>Quarry Park State Natural Area, Waite Park</t>
  </si>
  <si>
    <t>Oak woods</t>
  </si>
  <si>
    <t>QUE002434</t>
  </si>
  <si>
    <t>SYST-MOR-0007456</t>
  </si>
  <si>
    <t>MN-MG771</t>
  </si>
  <si>
    <t>QUE002435</t>
  </si>
  <si>
    <t>SYST-MOR-0007457</t>
  </si>
  <si>
    <t>MN-MG772</t>
  </si>
  <si>
    <t>QUE002436</t>
  </si>
  <si>
    <t>SYST-MOR-0007458</t>
  </si>
  <si>
    <t>MN-MG773</t>
  </si>
  <si>
    <t>QUE002437</t>
  </si>
  <si>
    <t>SYST-MOR-0007459</t>
  </si>
  <si>
    <t>MN-MG774</t>
  </si>
  <si>
    <t>QUE002438</t>
  </si>
  <si>
    <t>SYST-MOR-0007460</t>
  </si>
  <si>
    <t>MN-MG775</t>
  </si>
  <si>
    <t>QUE002439</t>
  </si>
  <si>
    <t>SYST-MOR-0007461</t>
  </si>
  <si>
    <t>MN-MG776</t>
  </si>
  <si>
    <t>QUE002440</t>
  </si>
  <si>
    <t>SYST-MOR-0007462</t>
  </si>
  <si>
    <t>MN-MG777</t>
  </si>
  <si>
    <t>QUE002441</t>
  </si>
  <si>
    <t>SYST-MOR-0007463</t>
  </si>
  <si>
    <t>MN-MG778</t>
  </si>
  <si>
    <t>Rocky outcrop</t>
  </si>
  <si>
    <t>QUE002442</t>
  </si>
  <si>
    <t>SYST-MOR-0007464</t>
  </si>
  <si>
    <t>MN-MG779</t>
  </si>
  <si>
    <t>QUE002443</t>
  </si>
  <si>
    <t>SYST-MOR-0007465</t>
  </si>
  <si>
    <t>MN-MG780</t>
  </si>
  <si>
    <t>QUE003319</t>
  </si>
  <si>
    <t>SYST-MOR-0006763</t>
  </si>
  <si>
    <t>MO_BOT_031_MG</t>
  </si>
  <si>
    <t>Missouri</t>
  </si>
  <si>
    <t>Mississipi</t>
  </si>
  <si>
    <t xml:space="preserve">Big Oak Tree State Park </t>
  </si>
  <si>
    <t>QUE003320</t>
  </si>
  <si>
    <t>SYST-MOR-0006764</t>
  </si>
  <si>
    <t>MO_BOT_032_MG</t>
  </si>
  <si>
    <t>QUE004024</t>
  </si>
  <si>
    <t>SYST-MOR-0006765</t>
  </si>
  <si>
    <t>MO_BOT_033_MG</t>
  </si>
  <si>
    <t>QUE003321</t>
  </si>
  <si>
    <t>SYST-MOR-0006766</t>
  </si>
  <si>
    <t>MO_BOT_034_All</t>
  </si>
  <si>
    <t>QUE003322</t>
  </si>
  <si>
    <t>SYST-MOR-0006767</t>
  </si>
  <si>
    <t>MO_BOT_035_All</t>
  </si>
  <si>
    <t>QUE003323</t>
  </si>
  <si>
    <t>SYST-MOR-0006768</t>
  </si>
  <si>
    <t>MO_BOT_036_All</t>
  </si>
  <si>
    <t>QUE003324</t>
  </si>
  <si>
    <t>SYST-MOR-0006769</t>
  </si>
  <si>
    <t>MO_BOT_037_All</t>
  </si>
  <si>
    <t>QUE003325</t>
  </si>
  <si>
    <t>SYST-MOR-0006770</t>
  </si>
  <si>
    <t>MO_BOT_038_All</t>
  </si>
  <si>
    <t>Quercus macrocarpa</t>
  </si>
  <si>
    <t>QUE003326</t>
  </si>
  <si>
    <t>SYST-MOR-0006771</t>
  </si>
  <si>
    <t>MO_BOT_039_All</t>
  </si>
  <si>
    <t>Quercus michauxii</t>
  </si>
  <si>
    <t>QUE003327</t>
  </si>
  <si>
    <t>SYST-MOR-0006772</t>
  </si>
  <si>
    <t>MO_BOT_040_All</t>
  </si>
  <si>
    <t>QUE003328</t>
  </si>
  <si>
    <t>SYST-MOR-0006773</t>
  </si>
  <si>
    <t>MO_BOT_041_All</t>
  </si>
  <si>
    <t>QUE003329</t>
  </si>
  <si>
    <t>SYST-MOR-0006774</t>
  </si>
  <si>
    <t>MO_BOT_042_All</t>
  </si>
  <si>
    <t>QUE003330</t>
  </si>
  <si>
    <t>SYST-MOR-0006775</t>
  </si>
  <si>
    <t>MO_BOT_043_All</t>
  </si>
  <si>
    <t>Quercus bicolor</t>
  </si>
  <si>
    <t>QUE003331</t>
  </si>
  <si>
    <t>SYST-MOR-0006776</t>
  </si>
  <si>
    <t>MO_BOT_044_All</t>
  </si>
  <si>
    <t>Quercus lyrata</t>
  </si>
  <si>
    <t>QUE003332</t>
  </si>
  <si>
    <t>SYST-MOR-0006777</t>
  </si>
  <si>
    <t>MO_BOT_045_All</t>
  </si>
  <si>
    <t>QUE003566</t>
  </si>
  <si>
    <t>SYST-MOR-0006803</t>
  </si>
  <si>
    <t>MO_CSW_071_MGLS</t>
  </si>
  <si>
    <t>St. Louis</t>
  </si>
  <si>
    <t>QUE003567</t>
  </si>
  <si>
    <t>SYST-MOR-0006804</t>
  </si>
  <si>
    <t>MO_CSW_072_MGLS</t>
  </si>
  <si>
    <t>QUE003568</t>
  </si>
  <si>
    <t>SYST-MOR-0006805</t>
  </si>
  <si>
    <t>MO_CSW_073_MGLS</t>
  </si>
  <si>
    <t>QUE003584</t>
  </si>
  <si>
    <t>SYST-MOR-0006821</t>
  </si>
  <si>
    <t>MO_HHT_089_MG</t>
  </si>
  <si>
    <t xml:space="preserve">Camden </t>
  </si>
  <si>
    <t xml:space="preserve">Ha Ha Tonka State Park </t>
  </si>
  <si>
    <t>QUE003585</t>
  </si>
  <si>
    <t>SYST-MOR-0006822</t>
  </si>
  <si>
    <t>MO_HHT_090_MG</t>
  </si>
  <si>
    <t>QUE003586</t>
  </si>
  <si>
    <t>SYST-MOR-0006823</t>
  </si>
  <si>
    <t>MO_HHT_091_MG</t>
  </si>
  <si>
    <t xml:space="preserve">stellata </t>
  </si>
  <si>
    <t xml:space="preserve">Leah Samuels, Mira Garner </t>
  </si>
  <si>
    <t>QUE003587</t>
  </si>
  <si>
    <t>SYST-MOR-0006824</t>
  </si>
  <si>
    <t>MO_HHT_092_MG</t>
  </si>
  <si>
    <t>QUE003588</t>
  </si>
  <si>
    <t>SYST-MOR-0006825</t>
  </si>
  <si>
    <t>MO_HHT_093_MG</t>
  </si>
  <si>
    <t>QUE003589</t>
  </si>
  <si>
    <t>SYST-MOR-0006826</t>
  </si>
  <si>
    <t>MO_HHT_094_MG</t>
  </si>
  <si>
    <t>QUE003590</t>
  </si>
  <si>
    <t>SYST-MOR-0006827</t>
  </si>
  <si>
    <t>MO_HHT_095_MG</t>
  </si>
  <si>
    <t>QUE003591</t>
  </si>
  <si>
    <t>SYST-MOR-0006828</t>
  </si>
  <si>
    <t>MO_HHT_096_MG</t>
  </si>
  <si>
    <t>QUE003592</t>
  </si>
  <si>
    <t>SYST-MOR-0006829</t>
  </si>
  <si>
    <t>MO_HHT_097_MG</t>
  </si>
  <si>
    <t>QUE003593</t>
  </si>
  <si>
    <t>SYST-MOR-0006830</t>
  </si>
  <si>
    <t>MO_HHT_098_MG</t>
  </si>
  <si>
    <t>QUE003594</t>
  </si>
  <si>
    <t>SYST-MOR-0006831</t>
  </si>
  <si>
    <t>MO_HHT_099_MG</t>
  </si>
  <si>
    <t>QUE003595</t>
  </si>
  <si>
    <t>SYST-MOR-0006832</t>
  </si>
  <si>
    <t>MO_HHT_100_MG</t>
  </si>
  <si>
    <t>QUE003596</t>
  </si>
  <si>
    <t>SYST-MOR-0006833</t>
  </si>
  <si>
    <t>MO_HHT_101_MG</t>
  </si>
  <si>
    <t>QUE003597</t>
  </si>
  <si>
    <t>SYST-MOR-0006834</t>
  </si>
  <si>
    <t>MO_PSP_MG922_MG</t>
  </si>
  <si>
    <t>MG922</t>
  </si>
  <si>
    <t>Leah Samuels, Mira Garner, Andrew Braun</t>
  </si>
  <si>
    <t xml:space="preserve">Barton </t>
  </si>
  <si>
    <t xml:space="preserve">Prairie State Park </t>
  </si>
  <si>
    <t xml:space="preserve">Quercus prinoides Willd. </t>
  </si>
  <si>
    <t>QUE003598</t>
  </si>
  <si>
    <t>SYST-MOR-0006835</t>
  </si>
  <si>
    <t>MO_PSP_MG923_MG</t>
  </si>
  <si>
    <t>MG923, tag102</t>
  </si>
  <si>
    <t>QUE003599</t>
  </si>
  <si>
    <t>SYST-MOR-0006836</t>
  </si>
  <si>
    <t>MO_PSP_MG924_MG</t>
  </si>
  <si>
    <t>MG924, tag103</t>
  </si>
  <si>
    <t>Querus</t>
  </si>
  <si>
    <t>QUE003600</t>
  </si>
  <si>
    <t>SYST-MOR-0006837</t>
  </si>
  <si>
    <t>MO_PSP_MG925_MG</t>
  </si>
  <si>
    <t>MG925, tag104</t>
  </si>
  <si>
    <t>QUE003601</t>
  </si>
  <si>
    <t>SYST-MOR-0006838</t>
  </si>
  <si>
    <t>MO_PSP_MG926_MG</t>
  </si>
  <si>
    <t>MG926</t>
  </si>
  <si>
    <t>QUE003602</t>
  </si>
  <si>
    <t>SYST-MOR-0006839</t>
  </si>
  <si>
    <t>MO_PSP_MG927_MG</t>
  </si>
  <si>
    <t>MG927, tag105</t>
  </si>
  <si>
    <t>QUE003290</t>
  </si>
  <si>
    <t>SYST-MOR-0006720</t>
  </si>
  <si>
    <t>MO_SH_001_MG</t>
  </si>
  <si>
    <t>Alan Whittemore, Andrew Hipp, Brett Fredericksen, Heather McCarthy, Ian Pearse, Jeannine Cavender-Bares, Klara Peterson, Leah Samuels, Mira Garner, Paul Manos</t>
  </si>
  <si>
    <t xml:space="preserve">Franklin </t>
  </si>
  <si>
    <t xml:space="preserve">Shaw Nature Preserve </t>
  </si>
  <si>
    <t>QUE003291</t>
  </si>
  <si>
    <t>SYST-MOR-0006721</t>
  </si>
  <si>
    <t>MO_SH_002_All</t>
  </si>
  <si>
    <t>QUE003292</t>
  </si>
  <si>
    <t>SYST-MOR-0006722</t>
  </si>
  <si>
    <t>MO_SH_003_All</t>
  </si>
  <si>
    <t>QUE003293</t>
  </si>
  <si>
    <t>SYST-MOR-0006723</t>
  </si>
  <si>
    <t>MO_SH_004_All</t>
  </si>
  <si>
    <t>QUE003294</t>
  </si>
  <si>
    <t>SYST-MOR-0006724</t>
  </si>
  <si>
    <t>MO_SH_005_All</t>
  </si>
  <si>
    <t>QUE003295</t>
  </si>
  <si>
    <t>SYST-MOR-0006725</t>
  </si>
  <si>
    <t>MO_SH_006_All</t>
  </si>
  <si>
    <t>QUE003296</t>
  </si>
  <si>
    <t>SYST-MOR-0006726</t>
  </si>
  <si>
    <t>MO_SH_007_All</t>
  </si>
  <si>
    <t>QUE003297</t>
  </si>
  <si>
    <t>SYST-MOR-0006727</t>
  </si>
  <si>
    <t>MO_SH_008_All</t>
  </si>
  <si>
    <t>QUE003298</t>
  </si>
  <si>
    <t>SYST-MOR-0006728</t>
  </si>
  <si>
    <t>MO_SH_009_All</t>
  </si>
  <si>
    <t>QUE003299</t>
  </si>
  <si>
    <t>SYST-MOR-0006742</t>
  </si>
  <si>
    <t>MO_SH_010_All</t>
  </si>
  <si>
    <t>QUE003300</t>
  </si>
  <si>
    <t>SYST-MOR-0006743</t>
  </si>
  <si>
    <t>MO_SH_011_All</t>
  </si>
  <si>
    <t>QUE003301</t>
  </si>
  <si>
    <t>SYST-MOR-0006744</t>
  </si>
  <si>
    <t>MO_SH_012_All</t>
  </si>
  <si>
    <t>QUE003302</t>
  </si>
  <si>
    <t>SYST-MOR-0006745</t>
  </si>
  <si>
    <t>MO_SH_013_All</t>
  </si>
  <si>
    <t>QUE003303</t>
  </si>
  <si>
    <t>SYST-MOR-0006746</t>
  </si>
  <si>
    <t>MO_SH_014_All</t>
  </si>
  <si>
    <t>QUE003304</t>
  </si>
  <si>
    <t>SYST-MOR-0006747</t>
  </si>
  <si>
    <t>MO_SH_015_All</t>
  </si>
  <si>
    <t>QUE003305</t>
  </si>
  <si>
    <t>SYST-MOR-0006748</t>
  </si>
  <si>
    <t>MO_SH_016_All</t>
  </si>
  <si>
    <t>QUE003306</t>
  </si>
  <si>
    <t>SYST-MOR-0006749</t>
  </si>
  <si>
    <t>MO_SH_017_All</t>
  </si>
  <si>
    <t>QUE003307</t>
  </si>
  <si>
    <t>SYST-MOR-0006750</t>
  </si>
  <si>
    <t>MO_SH_018_All</t>
  </si>
  <si>
    <t>QUE003308</t>
  </si>
  <si>
    <t>SYST-MOR-0006751</t>
  </si>
  <si>
    <t>MO_SH_019_All</t>
  </si>
  <si>
    <t>QUE003309</t>
  </si>
  <si>
    <t>SYST-MOR-0006752</t>
  </si>
  <si>
    <t>MO_SH_020_All</t>
  </si>
  <si>
    <t>QUE003569</t>
  </si>
  <si>
    <t>SYST-MOR-0006806</t>
  </si>
  <si>
    <t>MO_TRC_074_MG</t>
  </si>
  <si>
    <t>Leah Samuels, Mira Garner, Erin O'Connell</t>
  </si>
  <si>
    <t>Tyson Research Center</t>
  </si>
  <si>
    <t>QUE003570</t>
  </si>
  <si>
    <t>SYST-MOR-0006807</t>
  </si>
  <si>
    <t>MO_TRC_075_MG</t>
  </si>
  <si>
    <t>QUE003571</t>
  </si>
  <si>
    <t>SYST-MOR-0006808</t>
  </si>
  <si>
    <t>MO_TRC_076_MG</t>
  </si>
  <si>
    <t>QUE003572</t>
  </si>
  <si>
    <t>SYST-MOR-0006809</t>
  </si>
  <si>
    <t>MO_TRC_077_MG</t>
  </si>
  <si>
    <t>QUE003573</t>
  </si>
  <si>
    <t>SYST-MOR-0006810</t>
  </si>
  <si>
    <t>MO_TRC_078_MG</t>
  </si>
  <si>
    <t>QUE003574</t>
  </si>
  <si>
    <t>SYST-MOR-0006811</t>
  </si>
  <si>
    <t>MO_TRC_079_MG</t>
  </si>
  <si>
    <t>QUE003575</t>
  </si>
  <si>
    <t>SYST-MOR-0006812</t>
  </si>
  <si>
    <t>MO_TRC_080_MG</t>
  </si>
  <si>
    <t>QUE003576</t>
  </si>
  <si>
    <t>SYST-MOR-0006813</t>
  </si>
  <si>
    <t>MO_TRC_081_MG</t>
  </si>
  <si>
    <t>QUE003577</t>
  </si>
  <si>
    <t>SYST-MOR-0006814</t>
  </si>
  <si>
    <t>MO_TRC_082_MG</t>
  </si>
  <si>
    <t>QUE003578</t>
  </si>
  <si>
    <t>SYST-MOR-0006815</t>
  </si>
  <si>
    <t>MO_TRC_083_MG</t>
  </si>
  <si>
    <t>QUE003579</t>
  </si>
  <si>
    <t>SYST-MOR-0006816</t>
  </si>
  <si>
    <t>MO_TRC_084_MG</t>
  </si>
  <si>
    <t>QUE003580</t>
  </si>
  <si>
    <t>SYST-MOR-0006817</t>
  </si>
  <si>
    <t>MO_TRC_085_MG</t>
  </si>
  <si>
    <t>QUE003581</t>
  </si>
  <si>
    <t>SYST-MOR-0006818</t>
  </si>
  <si>
    <t>MO_TRC_086_MG</t>
  </si>
  <si>
    <t>QUE003582</t>
  </si>
  <si>
    <t>SYST-MOR-0006819</t>
  </si>
  <si>
    <t>MO_TRC_087_MG</t>
  </si>
  <si>
    <t>QUE003583</t>
  </si>
  <si>
    <t>SYST-MOR-0006820</t>
  </si>
  <si>
    <t>MO_TRC_088_MG</t>
  </si>
  <si>
    <t>QUE001929</t>
  </si>
  <si>
    <t>SYST-MOR-0007419</t>
  </si>
  <si>
    <t>MO-MG398</t>
  </si>
  <si>
    <t>Shannon</t>
  </si>
  <si>
    <t>Eminence, Buttin Rock Access, near river</t>
  </si>
  <si>
    <t>Flood plain (rocky)</t>
  </si>
  <si>
    <t>QUE001931</t>
  </si>
  <si>
    <t>SYST-MOR-0007420</t>
  </si>
  <si>
    <t>MO-MG400</t>
  </si>
  <si>
    <t>macrocarpa ?</t>
  </si>
  <si>
    <t>QUE001933</t>
  </si>
  <si>
    <t>SYST-MOR-0007421</t>
  </si>
  <si>
    <t>MO-MG402</t>
  </si>
  <si>
    <t>QUE001934</t>
  </si>
  <si>
    <t>SYST-MOR-0007422</t>
  </si>
  <si>
    <t>MO-MG403</t>
  </si>
  <si>
    <t>Eminence, Buttin Rock Access, near trailer park</t>
  </si>
  <si>
    <t>QUE001935</t>
  </si>
  <si>
    <t>SYST-MOR-0007423</t>
  </si>
  <si>
    <t>MO-MG404</t>
  </si>
  <si>
    <t>QUE001936</t>
  </si>
  <si>
    <t>SYST-MOR-0007424</t>
  </si>
  <si>
    <t>MO-MG405</t>
  </si>
  <si>
    <t>QUE003860</t>
  </si>
  <si>
    <t>SYST-MOR-0007097</t>
  </si>
  <si>
    <t>NY_APB_376_MG</t>
  </si>
  <si>
    <t>New York</t>
  </si>
  <si>
    <t xml:space="preserve">Albany </t>
  </si>
  <si>
    <t>Albany Pine Bush Preserve</t>
  </si>
  <si>
    <t>QUE003859</t>
  </si>
  <si>
    <t>SYST-MOR-0007096</t>
  </si>
  <si>
    <t>NY_APB_377_MG</t>
  </si>
  <si>
    <t>Albany</t>
  </si>
  <si>
    <t>QUE003861</t>
  </si>
  <si>
    <t>SYST-MOR-0007098</t>
  </si>
  <si>
    <t>NY_APB_378_MG</t>
  </si>
  <si>
    <t>QUE003862</t>
  </si>
  <si>
    <t>SYST-MOR-0007099</t>
  </si>
  <si>
    <t>NY_APB_379_MG</t>
  </si>
  <si>
    <t>QUE003863</t>
  </si>
  <si>
    <t>SYST-MOR-0007100</t>
  </si>
  <si>
    <t>NY_APB_380_MG</t>
  </si>
  <si>
    <t>QUE003864</t>
  </si>
  <si>
    <t>SYST-MOR-0007101</t>
  </si>
  <si>
    <t>NY_APB_381_MG</t>
  </si>
  <si>
    <t>QUE003865</t>
  </si>
  <si>
    <t>SYST-MOR-0007102</t>
  </si>
  <si>
    <t>NY_APB_382_MG</t>
  </si>
  <si>
    <t>QUE003866</t>
  </si>
  <si>
    <t>SYST-MOR-0007103</t>
  </si>
  <si>
    <t>NY_APB_383_MG</t>
  </si>
  <si>
    <t>QUE003867</t>
  </si>
  <si>
    <t>SYST-MOR-0007104</t>
  </si>
  <si>
    <t>NY_APB_384_MG</t>
  </si>
  <si>
    <t>QUE003810</t>
  </si>
  <si>
    <t>SYST-MOR-0007047</t>
  </si>
  <si>
    <t>NY_BIP_327_MG</t>
  </si>
  <si>
    <t>Erie</t>
  </si>
  <si>
    <t xml:space="preserve">Buckhorn Island State Park </t>
  </si>
  <si>
    <t>QUE003811</t>
  </si>
  <si>
    <t>SYST-MOR-0007048</t>
  </si>
  <si>
    <t>NY_BIP_328_MG</t>
  </si>
  <si>
    <t>QUE003812</t>
  </si>
  <si>
    <t>SYST-MOR-0007049</t>
  </si>
  <si>
    <t>NY_BIP_329_MG</t>
  </si>
  <si>
    <t>QUE003813</t>
  </si>
  <si>
    <t>SYST-MOR-0007050</t>
  </si>
  <si>
    <t>NY_BIP_330_MG</t>
  </si>
  <si>
    <t>QUE003814</t>
  </si>
  <si>
    <t>SYST-MOR-0007051</t>
  </si>
  <si>
    <t>NY_BIP_331_MG</t>
  </si>
  <si>
    <t>QUE003815</t>
  </si>
  <si>
    <t>SYST-MOR-0007052</t>
  </si>
  <si>
    <t>NY_BIP_332_MG</t>
  </si>
  <si>
    <t>QUE003816</t>
  </si>
  <si>
    <t>SYST-MOR-0007053</t>
  </si>
  <si>
    <t>NY_BIP_333_MG</t>
  </si>
  <si>
    <t>QUE003817</t>
  </si>
  <si>
    <t>SYST-MOR-0007054</t>
  </si>
  <si>
    <t>NY_BIP_334_MG</t>
  </si>
  <si>
    <t>QUE003818</t>
  </si>
  <si>
    <t>SYST-MOR-0007055</t>
  </si>
  <si>
    <t>NY_BIP_335_MG</t>
  </si>
  <si>
    <t>QUE003819</t>
  </si>
  <si>
    <t>SYST-MOR-0007056</t>
  </si>
  <si>
    <t>NY_BIP_336_MG</t>
  </si>
  <si>
    <t>QUE003820</t>
  </si>
  <si>
    <t>SYST-MOR-0007057</t>
  </si>
  <si>
    <t>NY_BIP_337_MG</t>
  </si>
  <si>
    <t>QUE003821</t>
  </si>
  <si>
    <t>SYST-MOR-0007058</t>
  </si>
  <si>
    <t>NY_BIP_338_MG</t>
  </si>
  <si>
    <t>QUE003822</t>
  </si>
  <si>
    <t>SYST-MOR-0007059</t>
  </si>
  <si>
    <t>NY_BIP_339_MG</t>
  </si>
  <si>
    <t>QUE003823</t>
  </si>
  <si>
    <t>SYST-MOR-0007060</t>
  </si>
  <si>
    <t>NY_BIP_340_MG</t>
  </si>
  <si>
    <t>QUE003853</t>
  </si>
  <si>
    <t>SYST-MOR-0007090</t>
  </si>
  <si>
    <t>NY_BKF_370_MG</t>
  </si>
  <si>
    <t>Quercus montana Willd.</t>
  </si>
  <si>
    <t>montana</t>
  </si>
  <si>
    <t>Washington</t>
  </si>
  <si>
    <t>Batten Kill State Forest</t>
  </si>
  <si>
    <t>QUE003854</t>
  </si>
  <si>
    <t>SYST-MOR-0007091</t>
  </si>
  <si>
    <t>NY_BKF_371_MG</t>
  </si>
  <si>
    <t xml:space="preserve">Batten Kill State Forest </t>
  </si>
  <si>
    <t>QUE003855</t>
  </si>
  <si>
    <t>SYST-MOR-0007092</t>
  </si>
  <si>
    <t>NY_BKF_372_MG</t>
  </si>
  <si>
    <t>QUE003856</t>
  </si>
  <si>
    <t>SYST-MOR-0007093</t>
  </si>
  <si>
    <t>NY_BKF_373_MG</t>
  </si>
  <si>
    <t>QUE003857</t>
  </si>
  <si>
    <t>SYST-MOR-0007094</t>
  </si>
  <si>
    <t>NY_BKF_374_MG</t>
  </si>
  <si>
    <t>QUE003858</t>
  </si>
  <si>
    <t>SYST-MOR-0007095</t>
  </si>
  <si>
    <t>NY_BKF_375_MG</t>
  </si>
  <si>
    <t>QUE003868</t>
  </si>
  <si>
    <t>SYST-MOR-0007105</t>
  </si>
  <si>
    <t>NY_BKF_385_MG</t>
  </si>
  <si>
    <t>QUE003834</t>
  </si>
  <si>
    <t>SYST-MOR-0007071</t>
  </si>
  <si>
    <t>NY_CMB_351_MG</t>
  </si>
  <si>
    <t>Jefferson</t>
  </si>
  <si>
    <t xml:space="preserve">Chaumont Barrens Nature Preserve </t>
  </si>
  <si>
    <t>QUE003835</t>
  </si>
  <si>
    <t>SYST-MOR-0007072</t>
  </si>
  <si>
    <t>NY_CMB_352_MG</t>
  </si>
  <si>
    <t xml:space="preserve">Jefferson </t>
  </si>
  <si>
    <t>QUE003836</t>
  </si>
  <si>
    <t>SYST-MOR-0007073</t>
  </si>
  <si>
    <t>NY_CMB_353_MG</t>
  </si>
  <si>
    <t>QUE003837</t>
  </si>
  <si>
    <t>SYST-MOR-0007074</t>
  </si>
  <si>
    <t>NY_CMB_354_MG</t>
  </si>
  <si>
    <t>QUE003838</t>
  </si>
  <si>
    <t>SYST-MOR-0007075</t>
  </si>
  <si>
    <t>NY_CMB_355_MG</t>
  </si>
  <si>
    <t>QUE003839</t>
  </si>
  <si>
    <t>SYST-MOR-0007076</t>
  </si>
  <si>
    <t>NY_CMB_356_MG</t>
  </si>
  <si>
    <t>QUE003840</t>
  </si>
  <si>
    <t>SYST-MOR-0007077</t>
  </si>
  <si>
    <t>NY_CMB_357_MG</t>
  </si>
  <si>
    <t>QUE003841</t>
  </si>
  <si>
    <t>SYST-MOR-0007078</t>
  </si>
  <si>
    <t>NY_CMB_358_MG</t>
  </si>
  <si>
    <t>QUE003842</t>
  </si>
  <si>
    <t>SYST-MOR-0007079</t>
  </si>
  <si>
    <t>NY_CMB_359_MG</t>
  </si>
  <si>
    <t>QUE003843</t>
  </si>
  <si>
    <t>SYST-MOR-0007080</t>
  </si>
  <si>
    <t>NY_CMB_360_MG</t>
  </si>
  <si>
    <t>QUE003824</t>
  </si>
  <si>
    <t>SYST-MOR-0007061</t>
  </si>
  <si>
    <t>NY_SSP_341_MG</t>
  </si>
  <si>
    <t>Seneca</t>
  </si>
  <si>
    <t xml:space="preserve">Sampson State Park </t>
  </si>
  <si>
    <t>QUE003825</t>
  </si>
  <si>
    <t>SYST-MOR-0007062</t>
  </si>
  <si>
    <t>NY_SSP_342_MG</t>
  </si>
  <si>
    <t>QUE003826</t>
  </si>
  <si>
    <t>SYST-MOR-0007063</t>
  </si>
  <si>
    <t>NY_SSP_343_MG</t>
  </si>
  <si>
    <t>QUE003827</t>
  </si>
  <si>
    <t>SYST-MOR-0007064</t>
  </si>
  <si>
    <t>NY_SSP_344_MG</t>
  </si>
  <si>
    <t>QUE003828</t>
  </si>
  <si>
    <t>SYST-MOR-0007065</t>
  </si>
  <si>
    <t>NY_SSP_345_MG</t>
  </si>
  <si>
    <t>QUE003829</t>
  </si>
  <si>
    <t>SYST-MOR-0007066</t>
  </si>
  <si>
    <t>NY_SSP_346_MG</t>
  </si>
  <si>
    <t>QUE003830</t>
  </si>
  <si>
    <t>SYST-MOR-0007067</t>
  </si>
  <si>
    <t>NY_SSP_347_MG</t>
  </si>
  <si>
    <t>QUE003831</t>
  </si>
  <si>
    <t>SYST-MOR-0007068</t>
  </si>
  <si>
    <t>NY_SSP_348_MG</t>
  </si>
  <si>
    <t>QUE003832</t>
  </si>
  <si>
    <t>SYST-MOR-0007069</t>
  </si>
  <si>
    <t>NY_SSP_349_MG</t>
  </si>
  <si>
    <t>QUE003833</t>
  </si>
  <si>
    <t>SYST-MOR-0007070</t>
  </si>
  <si>
    <t>NY_SSP_350_MG</t>
  </si>
  <si>
    <t>QUE003733</t>
  </si>
  <si>
    <t>SYST-MOR-0006970</t>
  </si>
  <si>
    <t>OH_GLW_250_MG</t>
  </si>
  <si>
    <t>Ohio</t>
  </si>
  <si>
    <t>Fulton</t>
  </si>
  <si>
    <t>Goll Woods</t>
  </si>
  <si>
    <t>QUE003734</t>
  </si>
  <si>
    <t>SYST-MOR-0006971</t>
  </si>
  <si>
    <t>OH_GLW_251_MG</t>
  </si>
  <si>
    <t xml:space="preserve">Fulton </t>
  </si>
  <si>
    <t>QUE003735</t>
  </si>
  <si>
    <t>SYST-MOR-0006972</t>
  </si>
  <si>
    <t>OH_GLW_252_MG</t>
  </si>
  <si>
    <t>QUE003736</t>
  </si>
  <si>
    <t>SYST-MOR-0006973</t>
  </si>
  <si>
    <t>OH_GLW_253_MG</t>
  </si>
  <si>
    <t>QUE003737</t>
  </si>
  <si>
    <t>SYST-MOR-0006974</t>
  </si>
  <si>
    <t>OH_GLW_254_MG</t>
  </si>
  <si>
    <t>QUE003738</t>
  </si>
  <si>
    <t>SYST-MOR-0006975</t>
  </si>
  <si>
    <t>OH_GLW_255_MG</t>
  </si>
  <si>
    <t>QUE003739</t>
  </si>
  <si>
    <t>SYST-MOR-0006976</t>
  </si>
  <si>
    <t>OH_GLW_256_MG</t>
  </si>
  <si>
    <t>QUE003740</t>
  </si>
  <si>
    <t>SYST-MOR-0006977</t>
  </si>
  <si>
    <t>OH_GLW_257_MG</t>
  </si>
  <si>
    <t>QUE003741</t>
  </si>
  <si>
    <t>SYST-MOR-0006978</t>
  </si>
  <si>
    <t>OH_GLW_258_MG</t>
  </si>
  <si>
    <t>QUE003742</t>
  </si>
  <si>
    <t>SYST-MOR-0006979</t>
  </si>
  <si>
    <t>OH_GLW_259_MG</t>
  </si>
  <si>
    <t>QUE003743</t>
  </si>
  <si>
    <t>SYST-MOR-0006980</t>
  </si>
  <si>
    <t>OH_GLW_260_MG</t>
  </si>
  <si>
    <t>QUE003744</t>
  </si>
  <si>
    <t>SYST-MOR-0006981</t>
  </si>
  <si>
    <t>OH_GLW_261_MG</t>
  </si>
  <si>
    <t>QUE003745</t>
  </si>
  <si>
    <t>SYST-MOR-0006982</t>
  </si>
  <si>
    <t>OH_GLW_262_MG</t>
  </si>
  <si>
    <t>QUE003746</t>
  </si>
  <si>
    <t>SYST-MOR-0006983</t>
  </si>
  <si>
    <t>OH_GLW_263_MG</t>
  </si>
  <si>
    <t>QUE003747</t>
  </si>
  <si>
    <t>SYST-MOR-0006984</t>
  </si>
  <si>
    <t>OH_GLW_264_MG</t>
  </si>
  <si>
    <t>QUE003997</t>
  </si>
  <si>
    <t>SYST-MOR-0007234</t>
  </si>
  <si>
    <t>OH_STR_514_MG</t>
  </si>
  <si>
    <t>Athens</t>
  </si>
  <si>
    <t>Strouds Run State Park</t>
  </si>
  <si>
    <t>QUE003998</t>
  </si>
  <si>
    <t>SYST-MOR-0007235</t>
  </si>
  <si>
    <t>OH_STR_515_MG</t>
  </si>
  <si>
    <t>QUE003999</t>
  </si>
  <si>
    <t>SYST-MOR-0007236</t>
  </si>
  <si>
    <t>OH_STR_516_MG</t>
  </si>
  <si>
    <t>QUE004000</t>
  </si>
  <si>
    <t>SYST-MOR-0007237</t>
  </si>
  <si>
    <t>OH_STR_517_MG</t>
  </si>
  <si>
    <t>QUE004001</t>
  </si>
  <si>
    <t>SYST-MOR-0007238</t>
  </si>
  <si>
    <t>OH_STR_518_MG</t>
  </si>
  <si>
    <t>QUE004002</t>
  </si>
  <si>
    <t>SYST-MOR-0007239</t>
  </si>
  <si>
    <t>OH_STR_519_MG</t>
  </si>
  <si>
    <t>QUE004003</t>
  </si>
  <si>
    <t>SYST-MOR-0007240</t>
  </si>
  <si>
    <t>OH_STR_520_MG</t>
  </si>
  <si>
    <t>QUE002460</t>
  </si>
  <si>
    <t>SYST-MOR-0007466</t>
  </si>
  <si>
    <t>OH-MG797</t>
  </si>
  <si>
    <t>Mira Garner, Lindsey Worcester</t>
  </si>
  <si>
    <t>Champaign</t>
  </si>
  <si>
    <t>Pearl King Savanna</t>
  </si>
  <si>
    <t>Bur oak savanna</t>
  </si>
  <si>
    <t>QUE002461</t>
  </si>
  <si>
    <t>SYST-MOR-0007467</t>
  </si>
  <si>
    <t>OH-MG798</t>
  </si>
  <si>
    <t>QUE002462</t>
  </si>
  <si>
    <t>SYST-MOR-0007468</t>
  </si>
  <si>
    <t>OH-MG799</t>
  </si>
  <si>
    <t>QUE002463</t>
  </si>
  <si>
    <t>SYST-MOR-0007469</t>
  </si>
  <si>
    <t>OH-MG800</t>
  </si>
  <si>
    <t>QUE002464</t>
  </si>
  <si>
    <t>SYST-MOR-0007470</t>
  </si>
  <si>
    <t>OH-MG801</t>
  </si>
  <si>
    <t>QUE002465</t>
  </si>
  <si>
    <t>SYST-MOR-0007471</t>
  </si>
  <si>
    <t>OH-MG802</t>
  </si>
  <si>
    <t>QUE002466</t>
  </si>
  <si>
    <t>SYST-MOR-0007472</t>
  </si>
  <si>
    <t>OH-MG803</t>
  </si>
  <si>
    <t>QUE002467</t>
  </si>
  <si>
    <t>SYST-MOR-0007473</t>
  </si>
  <si>
    <t>OH-MG804</t>
  </si>
  <si>
    <t>QUE002468</t>
  </si>
  <si>
    <t>SYST-MOR-0007474</t>
  </si>
  <si>
    <t>OH-MG805</t>
  </si>
  <si>
    <t>QUE002469</t>
  </si>
  <si>
    <t>SYST-MOR-0007475</t>
  </si>
  <si>
    <t>OH-MG806</t>
  </si>
  <si>
    <t>QUE002470</t>
  </si>
  <si>
    <t>SYST-MOR-0007476</t>
  </si>
  <si>
    <t>OH-MG807</t>
  </si>
  <si>
    <t>Crawford</t>
  </si>
  <si>
    <t>Daughmer Prairie Savannah State Nature Preserve</t>
  </si>
  <si>
    <t>QUE002471</t>
  </si>
  <si>
    <t>SYST-MOR-0007477</t>
  </si>
  <si>
    <t>OH-MG808</t>
  </si>
  <si>
    <t>QUE002472</t>
  </si>
  <si>
    <t>SYST-MOR-0007478</t>
  </si>
  <si>
    <t>OH-MG809</t>
  </si>
  <si>
    <t>QUE002473</t>
  </si>
  <si>
    <t>SYST-MOR-0007479</t>
  </si>
  <si>
    <t>OH-MG810</t>
  </si>
  <si>
    <t>QUE002474</t>
  </si>
  <si>
    <t>SYST-MOR-0007480</t>
  </si>
  <si>
    <t>OH-MG811</t>
  </si>
  <si>
    <t>QUE002475</t>
  </si>
  <si>
    <t>SYST-MOR-0007481</t>
  </si>
  <si>
    <t>OH-MG812</t>
  </si>
  <si>
    <t>QUE002476</t>
  </si>
  <si>
    <t>SYST-MOR-0007482</t>
  </si>
  <si>
    <t>OH-MG813</t>
  </si>
  <si>
    <t>QUE002477</t>
  </si>
  <si>
    <t>SYST-MOR-0007483</t>
  </si>
  <si>
    <t>OH-MG814</t>
  </si>
  <si>
    <t>QUE002478</t>
  </si>
  <si>
    <t>SYST-MOR-0007484</t>
  </si>
  <si>
    <t>OH-MG815</t>
  </si>
  <si>
    <t>QUE002479</t>
  </si>
  <si>
    <t>SYST-MOR-0007485</t>
  </si>
  <si>
    <t>OH-MG816</t>
  </si>
  <si>
    <t>QUE003603</t>
  </si>
  <si>
    <t>SYST-MOR-0006840</t>
  </si>
  <si>
    <t>OK_RRC_106_MG</t>
  </si>
  <si>
    <t>QUE003604</t>
  </si>
  <si>
    <t>SYST-MOR-0006841</t>
  </si>
  <si>
    <t>OK_RRC_107_MG</t>
  </si>
  <si>
    <t>QUE003606</t>
  </si>
  <si>
    <t>SYST-MOR-0006843</t>
  </si>
  <si>
    <t>OK_RRC_108_MG</t>
  </si>
  <si>
    <t>QUE003607</t>
  </si>
  <si>
    <t>SYST-MOR-0006844</t>
  </si>
  <si>
    <t>OK_RRC_109_MG</t>
  </si>
  <si>
    <t>QUE003608</t>
  </si>
  <si>
    <t>SYST-MOR-0006845</t>
  </si>
  <si>
    <t>OK_RRC_110_MG</t>
  </si>
  <si>
    <t>QUE003609</t>
  </si>
  <si>
    <t>SYST-MOR-0006846</t>
  </si>
  <si>
    <t>OK_RRC_111_MG</t>
  </si>
  <si>
    <t>QUE003610</t>
  </si>
  <si>
    <t>SYST-MOR-0006847</t>
  </si>
  <si>
    <t>OK_RRC_112_MG</t>
  </si>
  <si>
    <t>QUE003611</t>
  </si>
  <si>
    <t>SYST-MOR-0006848</t>
  </si>
  <si>
    <t>OK_RRC_113_MG</t>
  </si>
  <si>
    <t>QUE003612</t>
  </si>
  <si>
    <t>SYST-MOR-0006849</t>
  </si>
  <si>
    <t>OK_RRC_114_MG</t>
  </si>
  <si>
    <t>QUE003613</t>
  </si>
  <si>
    <t>SYST-MOR-0006850</t>
  </si>
  <si>
    <t>OK_RRC_115_MG</t>
  </si>
  <si>
    <t>QUE003614</t>
  </si>
  <si>
    <t>SYST-MOR-0006851</t>
  </si>
  <si>
    <t>OK_RRC_116_MG</t>
  </si>
  <si>
    <t>QUE003615</t>
  </si>
  <si>
    <t>SYST-MOR-0006852</t>
  </si>
  <si>
    <t>OK_RRC_117_MG</t>
  </si>
  <si>
    <t>QUE003616</t>
  </si>
  <si>
    <t>SYST-MOR-0006853</t>
  </si>
  <si>
    <t>OK_RRC_118_MG</t>
  </si>
  <si>
    <t>QUE003617</t>
  </si>
  <si>
    <t>SYST-MOR-0006854</t>
  </si>
  <si>
    <t>OK_RRC_119_MG</t>
  </si>
  <si>
    <t>QUE003618</t>
  </si>
  <si>
    <t>SYST-MOR-0006855</t>
  </si>
  <si>
    <t>OK_RRC_120_MG</t>
  </si>
  <si>
    <t>QUE003619</t>
  </si>
  <si>
    <t>SYST-MOR-0006856</t>
  </si>
  <si>
    <t>OK_RRC_121_MG</t>
  </si>
  <si>
    <t>QUE003620</t>
  </si>
  <si>
    <t>SYST-MOR-0006857</t>
  </si>
  <si>
    <t>OK_TGP_122_MG</t>
  </si>
  <si>
    <t>Pawhuska</t>
  </si>
  <si>
    <t xml:space="preserve">Tallgrass Prairie Preserve </t>
  </si>
  <si>
    <t>QUE003621</t>
  </si>
  <si>
    <t>SYST-MOR-0006858</t>
  </si>
  <si>
    <t>OK_TGP_123_MG</t>
  </si>
  <si>
    <t>QUE003622</t>
  </si>
  <si>
    <t>SYST-MOR-0006859</t>
  </si>
  <si>
    <t>OK_TGP_124_MG</t>
  </si>
  <si>
    <t>QUE003623</t>
  </si>
  <si>
    <t>SYST-MOR-0006860</t>
  </si>
  <si>
    <t>OK_TGP_125_MG</t>
  </si>
  <si>
    <t>QUE003624</t>
  </si>
  <si>
    <t>SYST-MOR-0006861</t>
  </si>
  <si>
    <t>OK_TGP_126_MG</t>
  </si>
  <si>
    <t>QUE003625</t>
  </si>
  <si>
    <t>SYST-MOR-0006862</t>
  </si>
  <si>
    <t>OK_TGP_127_MG</t>
  </si>
  <si>
    <t>QUE003626</t>
  </si>
  <si>
    <t>SYST-MOR-0006863</t>
  </si>
  <si>
    <t>OK_TGP_128_MG</t>
  </si>
  <si>
    <t>QUE003627</t>
  </si>
  <si>
    <t>SYST-MOR-0006864</t>
  </si>
  <si>
    <t>OK_TGP_129_MG</t>
  </si>
  <si>
    <t>QUE003628</t>
  </si>
  <si>
    <t>SYST-MOR-0006865</t>
  </si>
  <si>
    <t>OK_TGP_130_MG</t>
  </si>
  <si>
    <t>QUE003629</t>
  </si>
  <si>
    <t>SYST-MOR-0006866</t>
  </si>
  <si>
    <t>OK_TGP_131_MG</t>
  </si>
  <si>
    <t>QUE003630</t>
  </si>
  <si>
    <t>SYST-MOR-0006867</t>
  </si>
  <si>
    <t>OK_TGP_132_MG</t>
  </si>
  <si>
    <t>QUE003631</t>
  </si>
  <si>
    <t>SYST-MOR-0006868</t>
  </si>
  <si>
    <t>OK_TGP_133_MG</t>
  </si>
  <si>
    <t>QUE003632</t>
  </si>
  <si>
    <t>SYST-MOR-0006869</t>
  </si>
  <si>
    <t>OK_TGP_134_MG</t>
  </si>
  <si>
    <t>QUE001903</t>
  </si>
  <si>
    <t>SYST-MOR-0007409</t>
  </si>
  <si>
    <t>OK-MG372</t>
  </si>
  <si>
    <t>Mira Garner, Sara Desmond, Abigail Moore</t>
  </si>
  <si>
    <t>Cleveland</t>
  </si>
  <si>
    <t>Norman, Oliver's Woods, University of Oklahoma campus</t>
  </si>
  <si>
    <t>woody area on roadside</t>
  </si>
  <si>
    <t>QUE001904</t>
  </si>
  <si>
    <t>SYST-MOR-0007410</t>
  </si>
  <si>
    <t>OK-MG373</t>
  </si>
  <si>
    <t>woods</t>
  </si>
  <si>
    <t>QUE001905</t>
  </si>
  <si>
    <t>SYST-MOR-0007411</t>
  </si>
  <si>
    <t>OK-MG374</t>
  </si>
  <si>
    <t>QUE001906</t>
  </si>
  <si>
    <t>SYST-MOR-0007412</t>
  </si>
  <si>
    <t>OK-MG375</t>
  </si>
  <si>
    <t>QUE001907</t>
  </si>
  <si>
    <t>SYST-MOR-0007413</t>
  </si>
  <si>
    <t>OK-MG376</t>
  </si>
  <si>
    <t>QUE001908</t>
  </si>
  <si>
    <t>SYST-MOR-0007414</t>
  </si>
  <si>
    <t>OK-MG377</t>
  </si>
  <si>
    <t>QUE001909</t>
  </si>
  <si>
    <t>SYST-MOR-0007415</t>
  </si>
  <si>
    <t>OK-MG378</t>
  </si>
  <si>
    <t>QUE001910</t>
  </si>
  <si>
    <t>SYST-MOR-0007416</t>
  </si>
  <si>
    <t>OK-MG379</t>
  </si>
  <si>
    <t>QUE001911</t>
  </si>
  <si>
    <t>SYST-MOR-0007417</t>
  </si>
  <si>
    <t>OK-MG380</t>
  </si>
  <si>
    <t>QUE001912</t>
  </si>
  <si>
    <t>SYST-MOR-0007418</t>
  </si>
  <si>
    <t>OK-MG381</t>
  </si>
  <si>
    <t>QUE002066</t>
  </si>
  <si>
    <t>SYST-MOR-0007403</t>
  </si>
  <si>
    <t>Salina 1</t>
  </si>
  <si>
    <t>Saline</t>
  </si>
  <si>
    <t>Lakewood Park</t>
  </si>
  <si>
    <t>Riparian, small town, city maintained park along river</t>
  </si>
  <si>
    <t>QUE002067</t>
  </si>
  <si>
    <t>SYST-MOR-0007404</t>
  </si>
  <si>
    <t>Salina 2</t>
  </si>
  <si>
    <t>QUE002068</t>
  </si>
  <si>
    <t>SYST-MOR-0007405</t>
  </si>
  <si>
    <t>Salina 3</t>
  </si>
  <si>
    <t>QUE002069</t>
  </si>
  <si>
    <t>SYST-MOR-0007406</t>
  </si>
  <si>
    <t>Salina 4</t>
  </si>
  <si>
    <t>QUE002070</t>
  </si>
  <si>
    <t>SYST-MOR-0007407</t>
  </si>
  <si>
    <t>Salina 5</t>
  </si>
  <si>
    <t>QUE002071</t>
  </si>
  <si>
    <t>SYST-MOR-0007408</t>
  </si>
  <si>
    <t>Salina 6</t>
  </si>
  <si>
    <t>QUE003633</t>
  </si>
  <si>
    <t>SYST-MOR-0006870</t>
  </si>
  <si>
    <t>TN_BCP_148_MG</t>
  </si>
  <si>
    <t>Leah Samuels, Mira Garner, Andrew Hipp</t>
  </si>
  <si>
    <t>Tennessee</t>
  </si>
  <si>
    <t>Sumner</t>
  </si>
  <si>
    <t xml:space="preserve">Bledsoe Creek State Park </t>
  </si>
  <si>
    <t>QUE003634</t>
  </si>
  <si>
    <t>SYST-MOR-0006871</t>
  </si>
  <si>
    <t>TN_BCP_149_MG</t>
  </si>
  <si>
    <t>QUE003635</t>
  </si>
  <si>
    <t>SYST-MOR-0006872</t>
  </si>
  <si>
    <t>TN_BCP_150_MG</t>
  </si>
  <si>
    <t>QUE003636</t>
  </si>
  <si>
    <t>SYST-MOR-0006873</t>
  </si>
  <si>
    <t>TN_BCP_151_MG</t>
  </si>
  <si>
    <t>QUE003637</t>
  </si>
  <si>
    <t>SYST-MOR-0006874</t>
  </si>
  <si>
    <t>TN_BCP_152_MG</t>
  </si>
  <si>
    <t>QUE003638</t>
  </si>
  <si>
    <t>SYST-MOR-0006875</t>
  </si>
  <si>
    <t>TN_BCP_153_MG</t>
  </si>
  <si>
    <t>QUE003639</t>
  </si>
  <si>
    <t>SYST-MOR-0006876</t>
  </si>
  <si>
    <t>TN_BCP_154_MG</t>
  </si>
  <si>
    <t>QUE003640</t>
  </si>
  <si>
    <t>SYST-MOR-0006877</t>
  </si>
  <si>
    <t>TN_BCP_155_MG</t>
  </si>
  <si>
    <t>QUE003641</t>
  </si>
  <si>
    <t>SYST-MOR-0006878</t>
  </si>
  <si>
    <t>TN_BCP_156_MG</t>
  </si>
  <si>
    <t>QUE003642</t>
  </si>
  <si>
    <t>SYST-MOR-0006879</t>
  </si>
  <si>
    <t>TN_BCP_157_MG</t>
  </si>
  <si>
    <t>QUE003643</t>
  </si>
  <si>
    <t>SYST-MOR-0006880</t>
  </si>
  <si>
    <t>TN_BCP_158_MG</t>
  </si>
  <si>
    <t>QUE003644</t>
  </si>
  <si>
    <t>SYST-MOR-0006881</t>
  </si>
  <si>
    <t>TN_BCP_159_MG</t>
  </si>
  <si>
    <t>QUE003645</t>
  </si>
  <si>
    <t>SYST-MOR-0006882</t>
  </si>
  <si>
    <t>TN_BCP_160_MG</t>
  </si>
  <si>
    <t>QUE003646</t>
  </si>
  <si>
    <t>SYST-MOR-0006883</t>
  </si>
  <si>
    <t>TN_BCP_161_MG</t>
  </si>
  <si>
    <t>QUE003647</t>
  </si>
  <si>
    <t>SYST-MOR-0006884</t>
  </si>
  <si>
    <t>TN_BCP_162_MG</t>
  </si>
  <si>
    <t>QUE003648</t>
  </si>
  <si>
    <t>SYST-MOR-0006885</t>
  </si>
  <si>
    <t>TN_CLP_163_MG</t>
  </si>
  <si>
    <t xml:space="preserve">Lebanon </t>
  </si>
  <si>
    <t xml:space="preserve">Cedars of Lebanon State Park </t>
  </si>
  <si>
    <t>QUE003649</t>
  </si>
  <si>
    <t>SYST-MOR-0006886</t>
  </si>
  <si>
    <t>TN_CLP_164_MG</t>
  </si>
  <si>
    <t>QUE003650</t>
  </si>
  <si>
    <t>SYST-MOR-0006887</t>
  </si>
  <si>
    <t>TN_CLP_165_MG</t>
  </si>
  <si>
    <t>QUE003651</t>
  </si>
  <si>
    <t>SYST-MOR-0006888</t>
  </si>
  <si>
    <t>TN_CLP_166_MG</t>
  </si>
  <si>
    <t>QUE003652</t>
  </si>
  <si>
    <t>SYST-MOR-0006889</t>
  </si>
  <si>
    <t>TN_CLP_167_MG</t>
  </si>
  <si>
    <t>QUE003913</t>
  </si>
  <si>
    <t>SYST-MOR-0007150</t>
  </si>
  <si>
    <t>TX_BRZ_430_MG</t>
  </si>
  <si>
    <t>Texas</t>
  </si>
  <si>
    <t>Fort Bend</t>
  </si>
  <si>
    <t>Brazos Bend State Park</t>
  </si>
  <si>
    <t>QUE003914</t>
  </si>
  <si>
    <t>SYST-MOR-0007151</t>
  </si>
  <si>
    <t>TX_BRZ_431_MG</t>
  </si>
  <si>
    <t>QUE003915</t>
  </si>
  <si>
    <t>SYST-MOR-0007152</t>
  </si>
  <si>
    <t>TX_BRZ_432_MG</t>
  </si>
  <si>
    <t>QUE003916</t>
  </si>
  <si>
    <t>SYST-MOR-0007153</t>
  </si>
  <si>
    <t>TX_BRZ_433_MG</t>
  </si>
  <si>
    <t>QUE003917</t>
  </si>
  <si>
    <t>SYST-MOR-0007154</t>
  </si>
  <si>
    <t>TX_BRZ_434_MG</t>
  </si>
  <si>
    <t>QUE003918</t>
  </si>
  <si>
    <t>SYST-MOR-0007155</t>
  </si>
  <si>
    <t>TX_BRZ_435_MG</t>
  </si>
  <si>
    <t>QUE003919</t>
  </si>
  <si>
    <t>SYST-MOR-0007156</t>
  </si>
  <si>
    <t>TX_BRZ_436_MG</t>
  </si>
  <si>
    <t>QUE003920</t>
  </si>
  <si>
    <t>SYST-MOR-0007157</t>
  </si>
  <si>
    <t>TX_BRZ_437_MG</t>
  </si>
  <si>
    <t>QUE003932</t>
  </si>
  <si>
    <t>SYST-MOR-0007169</t>
  </si>
  <si>
    <t>TX_CHP_449_MG</t>
  </si>
  <si>
    <t xml:space="preserve">Leah Samuels, Mira Garner, Emma Spence, Seth Wenrich </t>
  </si>
  <si>
    <t>Gonzales</t>
  </si>
  <si>
    <t xml:space="preserve">Cedar Hill State Park </t>
  </si>
  <si>
    <t>QUE003933</t>
  </si>
  <si>
    <t>SYST-MOR-0007170</t>
  </si>
  <si>
    <t>TX_CHP_450_MG</t>
  </si>
  <si>
    <t>QUE003934</t>
  </si>
  <si>
    <t>SYST-MOR-0007171</t>
  </si>
  <si>
    <t>TX_CHP_451_MG</t>
  </si>
  <si>
    <t>QUE003935</t>
  </si>
  <si>
    <t>SYST-MOR-0007172</t>
  </si>
  <si>
    <t>TX_CHP_452_MG</t>
  </si>
  <si>
    <t>QUE003936</t>
  </si>
  <si>
    <t>SYST-MOR-0007173</t>
  </si>
  <si>
    <t>TX_CHP_453_MG</t>
  </si>
  <si>
    <t>QUE003937</t>
  </si>
  <si>
    <t>SYST-MOR-0007174</t>
  </si>
  <si>
    <t>TX_CHP_454_MG</t>
  </si>
  <si>
    <t>QUE003938</t>
  </si>
  <si>
    <t>SYST-MOR-0007175</t>
  </si>
  <si>
    <t>TX_CHP_455_MG</t>
  </si>
  <si>
    <t>QUE003939</t>
  </si>
  <si>
    <t>SYST-MOR-0007176</t>
  </si>
  <si>
    <t>TX_CHP_456_MG</t>
  </si>
  <si>
    <t>QUE003940</t>
  </si>
  <si>
    <t>SYST-MOR-0007177</t>
  </si>
  <si>
    <t>TX_CHP_457_MG</t>
  </si>
  <si>
    <t>QUE003941</t>
  </si>
  <si>
    <t>SYST-MOR-0007178</t>
  </si>
  <si>
    <t>TX_CHP_458_MG</t>
  </si>
  <si>
    <t>Quercus sinuata Walt.</t>
  </si>
  <si>
    <t>sinuata</t>
  </si>
  <si>
    <t>QUE003942</t>
  </si>
  <si>
    <t>SYST-MOR-0007179</t>
  </si>
  <si>
    <t>TX_CHP_459_MG</t>
  </si>
  <si>
    <t>QUE003921</t>
  </si>
  <si>
    <t>SYST-MOR-0007158</t>
  </si>
  <si>
    <t>TX_PLM_438_MG</t>
  </si>
  <si>
    <t>Palmetto State Park</t>
  </si>
  <si>
    <t>QUE003922</t>
  </si>
  <si>
    <t>SYST-MOR-0007159</t>
  </si>
  <si>
    <t>TX_PLM_439_MG</t>
  </si>
  <si>
    <t>QUE003923</t>
  </si>
  <si>
    <t>SYST-MOR-0007160</t>
  </si>
  <si>
    <t>TX_PLM_440_MG</t>
  </si>
  <si>
    <t>QUE003924</t>
  </si>
  <si>
    <t>SYST-MOR-0007161</t>
  </si>
  <si>
    <t>TX_PLM_441_MG</t>
  </si>
  <si>
    <t>QUE003925</t>
  </si>
  <si>
    <t>SYST-MOR-0007162</t>
  </si>
  <si>
    <t>TX_PLM_442_MG</t>
  </si>
  <si>
    <t>QUE003926</t>
  </si>
  <si>
    <t>SYST-MOR-0007163</t>
  </si>
  <si>
    <t>TX_PLM_443_MG</t>
  </si>
  <si>
    <t>QUE003927</t>
  </si>
  <si>
    <t>SYST-MOR-0007164</t>
  </si>
  <si>
    <t>TX_PLM_444_MG</t>
  </si>
  <si>
    <t>QUE003928</t>
  </si>
  <si>
    <t>SYST-MOR-0007165</t>
  </si>
  <si>
    <t>TX_PLM_445_MG</t>
  </si>
  <si>
    <t>QUE003929</t>
  </si>
  <si>
    <t>SYST-MOR-0007166</t>
  </si>
  <si>
    <t>TX_PLM_446_MG</t>
  </si>
  <si>
    <t>QUE003930</t>
  </si>
  <si>
    <t>SYST-MOR-0007167</t>
  </si>
  <si>
    <t>TX_PLM_447_MG</t>
  </si>
  <si>
    <t>QUE003931</t>
  </si>
  <si>
    <t>SYST-MOR-0007168</t>
  </si>
  <si>
    <t>TX_PLM_448_MG</t>
  </si>
  <si>
    <t>QUE003844</t>
  </si>
  <si>
    <t>SYST-MOR-0007081</t>
  </si>
  <si>
    <t>VT_DHT_361_MG</t>
  </si>
  <si>
    <t>Vermont</t>
  </si>
  <si>
    <t>Rutland</t>
  </si>
  <si>
    <t>Delaware Hudson Rail Trail</t>
  </si>
  <si>
    <t>QUE003845</t>
  </si>
  <si>
    <t>SYST-MOR-0007082</t>
  </si>
  <si>
    <t>VT_DHT_362_MG</t>
  </si>
  <si>
    <t>QUE003846</t>
  </si>
  <si>
    <t>SYST-MOR-0007083</t>
  </si>
  <si>
    <t>VT_DHT_363_MG</t>
  </si>
  <si>
    <t>QUE003847</t>
  </si>
  <si>
    <t>SYST-MOR-0007084</t>
  </si>
  <si>
    <t>VT_DHT_364_MG</t>
  </si>
  <si>
    <t>QUE003848</t>
  </si>
  <si>
    <t>SYST-MOR-0007085</t>
  </si>
  <si>
    <t>VT_DHT_365_MG</t>
  </si>
  <si>
    <t>QUE003849</t>
  </si>
  <si>
    <t>SYST-MOR-0007086</t>
  </si>
  <si>
    <t>VT_DHT_366_MG</t>
  </si>
  <si>
    <t>QUE003850</t>
  </si>
  <si>
    <t>SYST-MOR-0007087</t>
  </si>
  <si>
    <t>VT_DHT_367_MG</t>
  </si>
  <si>
    <t>QUE003851</t>
  </si>
  <si>
    <t>SYST-MOR-0007088</t>
  </si>
  <si>
    <t>VT_DHT_368_MG</t>
  </si>
  <si>
    <t>QUE003852</t>
  </si>
  <si>
    <t>SYST-MOR-0007089</t>
  </si>
  <si>
    <t>VT_DHT_369_MG</t>
  </si>
  <si>
    <t>QUE003714</t>
  </si>
  <si>
    <t>SYST-MOR-0006951</t>
  </si>
  <si>
    <t>WI_PKL_229_MG</t>
  </si>
  <si>
    <t>Wisconsin</t>
  </si>
  <si>
    <t>Bayfield</t>
  </si>
  <si>
    <t>Pickerel Lake</t>
  </si>
  <si>
    <t>QUE003715</t>
  </si>
  <si>
    <t>SYST-MOR-0006952</t>
  </si>
  <si>
    <t>WI_PKL_230_MG</t>
  </si>
  <si>
    <t>QUE003716</t>
  </si>
  <si>
    <t>SYST-MOR-0006953</t>
  </si>
  <si>
    <t>WI_PKL_231_MG</t>
  </si>
  <si>
    <t>QUE003717</t>
  </si>
  <si>
    <t>SYST-MOR-0006954</t>
  </si>
  <si>
    <t>WI_PKL_232_MG</t>
  </si>
  <si>
    <t>QUE003718</t>
  </si>
  <si>
    <t>SYST-MOR-0006955</t>
  </si>
  <si>
    <t>WI_PKL_233_MG</t>
  </si>
  <si>
    <t>QUE003719</t>
  </si>
  <si>
    <t>SYST-MOR-0006956</t>
  </si>
  <si>
    <t>WI_PKL_234_MG</t>
  </si>
  <si>
    <t>QUE003720</t>
  </si>
  <si>
    <t>SYST-MOR-0006957</t>
  </si>
  <si>
    <t>WI_PKL_235_MG</t>
  </si>
  <si>
    <t>QUE003721</t>
  </si>
  <si>
    <t>SYST-MOR-0006958</t>
  </si>
  <si>
    <t>WI_PKL_236_MG</t>
  </si>
  <si>
    <t>QUE003722</t>
  </si>
  <si>
    <t>SYST-MOR-0006959</t>
  </si>
  <si>
    <t>WI_PKL_237_MG</t>
  </si>
  <si>
    <t>QUE003700</t>
  </si>
  <si>
    <t>SYST-MOR-0006937</t>
  </si>
  <si>
    <t>WI_THB_215_MG</t>
  </si>
  <si>
    <t>Tower Hill Bottoms SNA</t>
  </si>
  <si>
    <t>QUE003701</t>
  </si>
  <si>
    <t>SYST-MOR-0006938</t>
  </si>
  <si>
    <t>WI_THB_216_MG</t>
  </si>
  <si>
    <t>QUE003702</t>
  </si>
  <si>
    <t>SYST-MOR-0006939</t>
  </si>
  <si>
    <t>WI_THB_217_MG</t>
  </si>
  <si>
    <t>QUE003703</t>
  </si>
  <si>
    <t>SYST-MOR-0006940</t>
  </si>
  <si>
    <t>WI_THB_218_MG</t>
  </si>
  <si>
    <t>QUE003704</t>
  </si>
  <si>
    <t>SYST-MOR-0006941</t>
  </si>
  <si>
    <t>WI_THB_219_MG</t>
  </si>
  <si>
    <t>QUE003705</t>
  </si>
  <si>
    <t>SYST-MOR-0006942</t>
  </si>
  <si>
    <t>WI_THB_220_MG</t>
  </si>
  <si>
    <t>QUE003723</t>
  </si>
  <si>
    <t>SYST-MOR-0006960</t>
  </si>
  <si>
    <t>WI_WFS_238_MG</t>
  </si>
  <si>
    <t>Waukesha</t>
  </si>
  <si>
    <t xml:space="preserve">UW Waukesha Field Station </t>
  </si>
  <si>
    <t>QUE003724</t>
  </si>
  <si>
    <t>SYST-MOR-0006961</t>
  </si>
  <si>
    <t>WI_WFS_239_MG</t>
  </si>
  <si>
    <t>QUE003725</t>
  </si>
  <si>
    <t>SYST-MOR-0006962</t>
  </si>
  <si>
    <t>WI_WFS_240_MG</t>
  </si>
  <si>
    <t>QUE003726</t>
  </si>
  <si>
    <t>SYST-MOR-0006963</t>
  </si>
  <si>
    <t>WI_WFS_241_MG</t>
  </si>
  <si>
    <t>QUE003727</t>
  </si>
  <si>
    <t>SYST-MOR-0006964</t>
  </si>
  <si>
    <t>WI_WFS_242_MG</t>
  </si>
  <si>
    <t>QUE003728</t>
  </si>
  <si>
    <t>SYST-MOR-0006965</t>
  </si>
  <si>
    <t>WI_WFS_243_MG</t>
  </si>
  <si>
    <t>QUE003729</t>
  </si>
  <si>
    <t>SYST-MOR-0006966</t>
  </si>
  <si>
    <t>WI_WFS_244_MG</t>
  </si>
  <si>
    <t>QUE003730</t>
  </si>
  <si>
    <t>SYST-MOR-0006967</t>
  </si>
  <si>
    <t>WI_WFS_247_MG</t>
  </si>
  <si>
    <t>QUE003731</t>
  </si>
  <si>
    <t>SYST-MOR-0006968</t>
  </si>
  <si>
    <t>WI_WFS_248_MG</t>
  </si>
  <si>
    <t>QUE003732</t>
  </si>
  <si>
    <t>SYST-MOR-0006969</t>
  </si>
  <si>
    <t>WI_WFS_249_MG</t>
  </si>
  <si>
    <t>QUE001980</t>
  </si>
  <si>
    <t>SYST-MOR-0007387</t>
  </si>
  <si>
    <t>WI-MG536</t>
  </si>
  <si>
    <t>Sawyer</t>
  </si>
  <si>
    <t>Round Lake, Chequamegon-Nicolet National Forest</t>
  </si>
  <si>
    <t>wooded, edge of lake</t>
  </si>
  <si>
    <t>QUE001981</t>
  </si>
  <si>
    <t>SYST-MOR-0007388</t>
  </si>
  <si>
    <t>WI-MG537</t>
  </si>
  <si>
    <t>Roadside, wooded edge of lake</t>
  </si>
  <si>
    <t>QUE001982</t>
  </si>
  <si>
    <t>SYST-MOR-0007389</t>
  </si>
  <si>
    <t>WI-MG538</t>
  </si>
  <si>
    <t>Roadside</t>
  </si>
  <si>
    <t>QUE001983</t>
  </si>
  <si>
    <t>SYST-MOR-0007390</t>
  </si>
  <si>
    <t>WI-MG539</t>
  </si>
  <si>
    <t>QUE001984</t>
  </si>
  <si>
    <t>SYST-MOR-0007391</t>
  </si>
  <si>
    <t>WI-MG540</t>
  </si>
  <si>
    <t>Edge of woods and road</t>
  </si>
  <si>
    <t>QUE001985</t>
  </si>
  <si>
    <t>SYST-MOR-0007392</t>
  </si>
  <si>
    <t>WI-MG541</t>
  </si>
  <si>
    <t>roadside</t>
  </si>
  <si>
    <t>BRP</t>
  </si>
  <si>
    <t>BSP</t>
  </si>
  <si>
    <t>CHP</t>
  </si>
  <si>
    <t>LNW</t>
  </si>
  <si>
    <t>AR</t>
  </si>
  <si>
    <t>IA</t>
  </si>
  <si>
    <t>IL</t>
  </si>
  <si>
    <t>CHB</t>
  </si>
  <si>
    <t>HP</t>
  </si>
  <si>
    <t>MOR</t>
  </si>
  <si>
    <t>OB</t>
  </si>
  <si>
    <t>RCA</t>
  </si>
  <si>
    <t>IN</t>
  </si>
  <si>
    <t>BLR</t>
  </si>
  <si>
    <t>GRL</t>
  </si>
  <si>
    <t>IUC</t>
  </si>
  <si>
    <t>LCP</t>
  </si>
  <si>
    <t>MWT</t>
  </si>
  <si>
    <t>TYL</t>
  </si>
  <si>
    <t>KS</t>
  </si>
  <si>
    <t>KCP</t>
  </si>
  <si>
    <t>KZP</t>
  </si>
  <si>
    <t>SMP</t>
  </si>
  <si>
    <t>KY</t>
  </si>
  <si>
    <t>ASF</t>
  </si>
  <si>
    <t>BBF</t>
  </si>
  <si>
    <t>CSW</t>
  </si>
  <si>
    <t>GRF</t>
  </si>
  <si>
    <t>JJA</t>
  </si>
  <si>
    <t>LXC</t>
  </si>
  <si>
    <t>MA</t>
  </si>
  <si>
    <t>BTC</t>
  </si>
  <si>
    <t>LKN</t>
  </si>
  <si>
    <t>NMK</t>
  </si>
  <si>
    <t>SBF</t>
  </si>
  <si>
    <t>MI</t>
  </si>
  <si>
    <t>LLP</t>
  </si>
  <si>
    <t>PRA</t>
  </si>
  <si>
    <t>MN</t>
  </si>
  <si>
    <t>CDR</t>
  </si>
  <si>
    <t>PMN</t>
  </si>
  <si>
    <t>MO</t>
  </si>
  <si>
    <t>BOT</t>
  </si>
  <si>
    <t>HHT</t>
  </si>
  <si>
    <t>PSP</t>
  </si>
  <si>
    <t>SH</t>
  </si>
  <si>
    <t>TRC</t>
  </si>
  <si>
    <t>NY</t>
  </si>
  <si>
    <t>APB</t>
  </si>
  <si>
    <t>BIP</t>
  </si>
  <si>
    <t>BKF</t>
  </si>
  <si>
    <t>CMB</t>
  </si>
  <si>
    <t>SSP</t>
  </si>
  <si>
    <t>OH</t>
  </si>
  <si>
    <t>GLW</t>
  </si>
  <si>
    <t>STR</t>
  </si>
  <si>
    <t>OK</t>
  </si>
  <si>
    <t>RRC</t>
  </si>
  <si>
    <t>TGP</t>
  </si>
  <si>
    <t>TN</t>
  </si>
  <si>
    <t>BCP</t>
  </si>
  <si>
    <t>CLP</t>
  </si>
  <si>
    <t>TX</t>
  </si>
  <si>
    <t>BRZ</t>
  </si>
  <si>
    <t>PLM</t>
  </si>
  <si>
    <t>VT</t>
  </si>
  <si>
    <t>DHT</t>
  </si>
  <si>
    <t>WI</t>
  </si>
  <si>
    <t>PKL</t>
  </si>
  <si>
    <t>THB</t>
  </si>
  <si>
    <t>WFS</t>
  </si>
  <si>
    <t>SD</t>
  </si>
  <si>
    <t>CSP</t>
  </si>
  <si>
    <t>SPF</t>
  </si>
  <si>
    <t>WPP</t>
  </si>
  <si>
    <t>MB</t>
  </si>
  <si>
    <t>SWP</t>
  </si>
  <si>
    <t>PCP</t>
  </si>
  <si>
    <t>MPR</t>
  </si>
  <si>
    <t>OTB</t>
  </si>
  <si>
    <t>BRA</t>
  </si>
  <si>
    <t>PKS</t>
  </si>
  <si>
    <t>DPS</t>
  </si>
  <si>
    <t>NOW</t>
  </si>
  <si>
    <t>LWP</t>
  </si>
  <si>
    <t>RLF</t>
  </si>
  <si>
    <t>BOW</t>
  </si>
  <si>
    <t>AR_BRP</t>
  </si>
  <si>
    <t>IA_BSP</t>
  </si>
  <si>
    <t>IA_CHP</t>
  </si>
  <si>
    <t>IA_LNW</t>
  </si>
  <si>
    <t>IL_CHB</t>
  </si>
  <si>
    <t>IL_HP</t>
  </si>
  <si>
    <t>IL_MOR</t>
  </si>
  <si>
    <t>IL_OB</t>
  </si>
  <si>
    <t>IL_RCA</t>
  </si>
  <si>
    <t>IN_BLR</t>
  </si>
  <si>
    <t>IN_GRL</t>
  </si>
  <si>
    <t>IN_IUC</t>
  </si>
  <si>
    <t>IN_LCP</t>
  </si>
  <si>
    <t>IN_MWT</t>
  </si>
  <si>
    <t>IN_TYL</t>
  </si>
  <si>
    <t>IN_BOW</t>
  </si>
  <si>
    <t>SD_CSP</t>
  </si>
  <si>
    <t>SD_SPF</t>
  </si>
  <si>
    <t>KS_KCP</t>
  </si>
  <si>
    <t>KS_KZP</t>
  </si>
  <si>
    <t>KS_SMP</t>
  </si>
  <si>
    <t>KY_ASF</t>
  </si>
  <si>
    <t>KY_BBF</t>
  </si>
  <si>
    <t>KY_CSW</t>
  </si>
  <si>
    <t>KY_GRF</t>
  </si>
  <si>
    <t>KY_JJA</t>
  </si>
  <si>
    <t>KY_LXC</t>
  </si>
  <si>
    <t>MA_BTC</t>
  </si>
  <si>
    <t>MA_LKN</t>
  </si>
  <si>
    <t>MA_NMK</t>
  </si>
  <si>
    <t>MA_SBF</t>
  </si>
  <si>
    <t>MB_WPP</t>
  </si>
  <si>
    <t>MB_SWP</t>
  </si>
  <si>
    <t>MB_ASF</t>
  </si>
  <si>
    <t>OK_RRC</t>
  </si>
  <si>
    <t>MI_LLP</t>
  </si>
  <si>
    <t>MI_PRA</t>
  </si>
  <si>
    <t>MI_PCP</t>
  </si>
  <si>
    <t>KS_MPR</t>
  </si>
  <si>
    <t>MN_CDR</t>
  </si>
  <si>
    <t>MN_PMN</t>
  </si>
  <si>
    <t>MN_OTB</t>
  </si>
  <si>
    <t>MO_BOT</t>
  </si>
  <si>
    <t>MO_CSW</t>
  </si>
  <si>
    <t>MO_HHT</t>
  </si>
  <si>
    <t>MO_PSP</t>
  </si>
  <si>
    <t>MO_SH</t>
  </si>
  <si>
    <t>MO_TRC</t>
  </si>
  <si>
    <t>MO_BRA</t>
  </si>
  <si>
    <t>NY_APB</t>
  </si>
  <si>
    <t>NY_BIP</t>
  </si>
  <si>
    <t>NY_BKF</t>
  </si>
  <si>
    <t>NY_CMB</t>
  </si>
  <si>
    <t>NY_SSP</t>
  </si>
  <si>
    <t>OH_GLW</t>
  </si>
  <si>
    <t>OH_STR</t>
  </si>
  <si>
    <t>OH_PKS</t>
  </si>
  <si>
    <t>OH_DPS</t>
  </si>
  <si>
    <t>OK_TGP</t>
  </si>
  <si>
    <t>OK_NOW</t>
  </si>
  <si>
    <t>KS_LWP</t>
  </si>
  <si>
    <t>TN_BCP</t>
  </si>
  <si>
    <t>TN_CLP</t>
  </si>
  <si>
    <t>TX_BRZ</t>
  </si>
  <si>
    <t>TX_CHP</t>
  </si>
  <si>
    <t>TX_PLM</t>
  </si>
  <si>
    <t>VT_DHT</t>
  </si>
  <si>
    <t>WI_PKL</t>
  </si>
  <si>
    <t>WI_THB</t>
  </si>
  <si>
    <t>WI_WFS</t>
  </si>
  <si>
    <t>WI_RLF</t>
  </si>
  <si>
    <t>Pop</t>
  </si>
  <si>
    <t>siteABB</t>
  </si>
  <si>
    <t>Bam</t>
  </si>
  <si>
    <t>SRR14632920</t>
  </si>
  <si>
    <t>Quercus lobata  Nee.</t>
  </si>
  <si>
    <t>lobata</t>
  </si>
  <si>
    <t>SRR14632922</t>
  </si>
  <si>
    <t>SRR14632924</t>
  </si>
  <si>
    <t>SRR14632927</t>
  </si>
  <si>
    <t>SRR14632928</t>
  </si>
  <si>
    <t>SRR14632929</t>
  </si>
  <si>
    <t>LOB</t>
  </si>
  <si>
    <t>SRR14632932</t>
  </si>
  <si>
    <t>SRR14632934</t>
  </si>
  <si>
    <t>SRR14632950</t>
  </si>
  <si>
    <t>SRR14632955</t>
  </si>
  <si>
    <t>SRR14632961</t>
  </si>
  <si>
    <t>SRR14632964</t>
  </si>
  <si>
    <t>SRR14632967</t>
  </si>
  <si>
    <t>SRR14632968</t>
  </si>
  <si>
    <t>SRR14632969</t>
  </si>
  <si>
    <t>SRR14632970</t>
  </si>
  <si>
    <t>SRR23696575</t>
  </si>
  <si>
    <t>Quercus rubra L.</t>
  </si>
  <si>
    <t>rubra</t>
  </si>
  <si>
    <t>RUB</t>
  </si>
  <si>
    <t>SRR24768713</t>
  </si>
  <si>
    <t>SRR24768716</t>
  </si>
  <si>
    <t>SRR24768719</t>
  </si>
  <si>
    <t>SRR24768723</t>
  </si>
  <si>
    <t>SRR24768728</t>
  </si>
  <si>
    <t>SRR24768736</t>
  </si>
  <si>
    <t>SRR24768744</t>
  </si>
  <si>
    <t>SRR24768754</t>
  </si>
  <si>
    <t>SRR24768763</t>
  </si>
  <si>
    <t>SRR3244044</t>
  </si>
  <si>
    <t>cultivated</t>
  </si>
  <si>
    <t>lyr</t>
  </si>
  <si>
    <t>mac</t>
  </si>
  <si>
    <t>ste</t>
  </si>
  <si>
    <t>alb</t>
  </si>
  <si>
    <t>mue</t>
  </si>
  <si>
    <t>bic</t>
  </si>
  <si>
    <t>mic</t>
  </si>
  <si>
    <t>pri</t>
  </si>
  <si>
    <t>mon</t>
  </si>
  <si>
    <t>sin</t>
  </si>
  <si>
    <t>lob</t>
  </si>
  <si>
    <t>rub</t>
  </si>
  <si>
    <t>spEpt</t>
  </si>
  <si>
    <t>QPA</t>
  </si>
  <si>
    <t>MN_QPA</t>
  </si>
  <si>
    <t>Notes</t>
  </si>
  <si>
    <t>Realized that MN Ottawa bluffs and MN Quarry Park Area were both under OTB. Changed Quarry Park Area to QPA</t>
  </si>
  <si>
    <t>State</t>
  </si>
  <si>
    <t>Row Labels</t>
  </si>
  <si>
    <t>(blank)</t>
  </si>
  <si>
    <t>Grand Total</t>
  </si>
  <si>
    <t>Column Labels</t>
  </si>
  <si>
    <t>count</t>
  </si>
  <si>
    <t>Sum of count</t>
  </si>
  <si>
    <t>alb x mic</t>
  </si>
  <si>
    <t>mar</t>
  </si>
  <si>
    <t>Quercus lyrata x Quercus macrocarpa</t>
  </si>
  <si>
    <t>Quercus bicolor x Quercus macrocarpa</t>
  </si>
  <si>
    <t>Quercus alba x Quercus muehlenbergii</t>
  </si>
  <si>
    <t>Quercus lyrata x Quercus michauxii</t>
  </si>
  <si>
    <t>Quercus alba x Quercus macrocarpa</t>
  </si>
  <si>
    <t>Quercus macrocarpa x Quercus muehlenbergii</t>
  </si>
  <si>
    <t>Sp</t>
  </si>
  <si>
    <t>lyr x mac</t>
  </si>
  <si>
    <t>bic x mac</t>
  </si>
  <si>
    <t>alb x mue</t>
  </si>
  <si>
    <t>lyr x mic</t>
  </si>
  <si>
    <t>alb x mac</t>
  </si>
  <si>
    <t>mac x mue</t>
  </si>
  <si>
    <t>_record_id</t>
  </si>
  <si>
    <t>_title</t>
  </si>
  <si>
    <t>_server_updated_at</t>
  </si>
  <si>
    <t>_updated_by</t>
  </si>
  <si>
    <t>_geometry</t>
  </si>
  <si>
    <t>_latitude</t>
  </si>
  <si>
    <t>_longitude</t>
  </si>
  <si>
    <t>putative_species</t>
  </si>
  <si>
    <t>state</t>
  </si>
  <si>
    <t>site_name</t>
  </si>
  <si>
    <t>site_code</t>
  </si>
  <si>
    <t>tag_id</t>
  </si>
  <si>
    <t>collector_initials</t>
  </si>
  <si>
    <t>specimen_id</t>
  </si>
  <si>
    <t>date</t>
  </si>
  <si>
    <t>dbh</t>
  </si>
  <si>
    <t>height</t>
  </si>
  <si>
    <t>reproductive_status</t>
  </si>
  <si>
    <t>presence_of_galls</t>
  </si>
  <si>
    <t>tally_of_woody_stems_</t>
  </si>
  <si>
    <t>other_associated_plant_species</t>
  </si>
  <si>
    <t>habitat_description</t>
  </si>
  <si>
    <t>herbarium_specimens_collected</t>
  </si>
  <si>
    <t>leaf_samples_collected</t>
  </si>
  <si>
    <t>soil_samples_collected</t>
  </si>
  <si>
    <t>root_samples_collected</t>
  </si>
  <si>
    <t>leaf_and_reproductive_structure_photos</t>
  </si>
  <si>
    <t>gall_photos</t>
  </si>
  <si>
    <t>whole_tree_photos</t>
  </si>
  <si>
    <t>stem_or_bark_photos</t>
  </si>
  <si>
    <t>soil_sample_vegetation_photos</t>
  </si>
  <si>
    <t>surrounding_tree_photos</t>
  </si>
  <si>
    <t>collectorss</t>
  </si>
  <si>
    <t>collector_number</t>
  </si>
  <si>
    <t>notes</t>
  </si>
  <si>
    <t>verified_species_id</t>
  </si>
  <si>
    <t>verified_by</t>
  </si>
  <si>
    <t>date_verified</t>
  </si>
  <si>
    <t>det_notes</t>
  </si>
  <si>
    <t>seconddate</t>
  </si>
  <si>
    <t>tree_tag_number</t>
  </si>
  <si>
    <t>93fbcc5a-26f0-463c-a82c-6208321f93b4</t>
  </si>
  <si>
    <t>Quercus gambelii</t>
  </si>
  <si>
    <t>2024-11-20 22:32:12 UTC</t>
  </si>
  <si>
    <t>FAB ACE</t>
  </si>
  <si>
    <t>SRID=4326;POINT(-111.8224849 40.7700262)</t>
  </si>
  <si>
    <t>UT</t>
  </si>
  <si>
    <t>Red Butte Canyon</t>
  </si>
  <si>
    <t>RBC</t>
  </si>
  <si>
    <t>IP</t>
  </si>
  <si>
    <t>UT_RBC_1_IP</t>
  </si>
  <si>
    <t>mostly Q. gambelii</t>
  </si>
  <si>
    <t>Q. gambelii patch in oak scrubland/savannah near arboretum</t>
  </si>
  <si>
    <t>yes</t>
  </si>
  <si>
    <t>no</t>
  </si>
  <si>
    <t>"Ian Pearse, Marion Pearse, Soren Pearse, Asa Pearse, Jill Baty"</t>
  </si>
  <si>
    <t>GPS approximate; Soren's tree</t>
  </si>
  <si>
    <t>f9c19e6c-943a-4510-ba68-347ab0b9780b</t>
  </si>
  <si>
    <t>2024-11-20 22:32:02 UTC</t>
  </si>
  <si>
    <t>SRID=4326;POINT(-111.824162 40.76877907)</t>
  </si>
  <si>
    <t>UT_RBC_4_IP</t>
  </si>
  <si>
    <t>"Ian Pearse, Marion Pearse, Soren Pearse, Ava Pearse, Jill Baty"</t>
  </si>
  <si>
    <t>GPS approximate; Ian's tree</t>
  </si>
  <si>
    <t>0bc594a8-299f-4ad3-860c-ea8ae739be69</t>
  </si>
  <si>
    <t>2024-11-20 22:31:53 UTC</t>
  </si>
  <si>
    <t>SRID=4326;POINT(-111.822713 40.769849)</t>
  </si>
  <si>
    <t>UT_RBC_2_IP</t>
  </si>
  <si>
    <t>GPS approximate; Jill's tree</t>
  </si>
  <si>
    <t>cf7bc6ab-89e1-49a5-b2f0-0ed70006654e</t>
  </si>
  <si>
    <t>2024-11-20 22:31:41 UTC</t>
  </si>
  <si>
    <t>SRID=4326;POINT(-111.8233167 40.76940281)</t>
  </si>
  <si>
    <t>UT_RBC_3_IP</t>
  </si>
  <si>
    <t>GPS approximate; Asa's tree</t>
  </si>
  <si>
    <t>2261ace5-8ee5-4de4-b652-e32b28df236d</t>
  </si>
  <si>
    <t>2024-11-20 22:31:22 UTC</t>
  </si>
  <si>
    <t>SRID=4326;POINT(-111.82476 40.7682612)</t>
  </si>
  <si>
    <t>UT_RBC_5_IP</t>
  </si>
  <si>
    <t>GPS approximate; Marion's tree</t>
  </si>
  <si>
    <t>113b3681-69e0-40d0-a5e5-7e72a794c780</t>
  </si>
  <si>
    <t>Quercus garryana var. semota</t>
  </si>
  <si>
    <t>2024-11-20 22:31:08 UTC</t>
  </si>
  <si>
    <t>SRID=4326;POINT(-121.60261 40.15967)</t>
  </si>
  <si>
    <t>CA</t>
  </si>
  <si>
    <t>Deer Creek</t>
  </si>
  <si>
    <t>DC</t>
  </si>
  <si>
    <t>LJ</t>
  </si>
  <si>
    <t>CA_DC_1_LJ</t>
  </si>
  <si>
    <t>Quercus garryana var. breweri</t>
  </si>
  <si>
    <t>Pinus ponderosa, Pseudotsuga menziensii, Quercus kelloggii, Calocedrus decurrens. Shrubs within 10 m: Cercocarpus betuloides, Cercis occidentalis, Toxicodendron diversilobum, Quercus garryana var. breweri, Philadelphus lewisii, ┬┐Prunus cf. subcordata?</t>
  </si>
  <si>
    <t xml:space="preserve">Oak woodland denoted by Brewer Oak surrounded by mixed conifer forest. Substrate: volcanic (andesitic ash flow?) elevation: 1028 m </t>
  </si>
  <si>
    <t>e54bb977-0482-464d-9379-79c246e9c0ae,e811182a-eaf6-406b-a8fb-862e6907d621,cee31da0-52fe-4097-b204-99841f291580</t>
  </si>
  <si>
    <t>Lawrence Janeway</t>
  </si>
  <si>
    <t>15103-1</t>
  </si>
  <si>
    <t>Locality: High Cascade Range. Slope above Road 27N08 (road from Hwy 32 across Deer Creek toward Onion Butte), 2.3 road-km east of the major hairpin turn where road starts dropping into the canyon.  WGS84</t>
  </si>
  <si>
    <t>9d4c01ac-87f1-4595-b740-fb8133797ad4</t>
  </si>
  <si>
    <t>2024-11-20 22:30:56 UTC</t>
  </si>
  <si>
    <t>SRID=4326;POINT(-121.60216 40.15929)</t>
  </si>
  <si>
    <t>CA_DC_4_LJ</t>
  </si>
  <si>
    <t>Quercus garryana var. breweri, sapling of Calocedrus decurrens</t>
  </si>
  <si>
    <t>Pinus ponderosa, Pseudotsuga menziensii, Quercus kelloggii, Calocedrus decurrens; shrubs: Cercocarpus betuloides, Prunus cf. subcordata?, Cercis occidentalis</t>
  </si>
  <si>
    <t>Steep east-northeast facing slope of shrubby (mountain mahogany, Brewer oak, redbud), grassy openings, and rock outcrops, surrounded by mixed conifer forest (Ponderosa pine, Douglas-fir, black oak, incense cedar). Substrate: volcanic (andesitic ash flow?) Elevation: 1018 m</t>
  </si>
  <si>
    <t>e8080bdd-1ce0-45bd-9a0a-5341e4a20f09,2d55f0aa-6978-4ac0-afb0-dbbc46d86599,ac8fd2c8-efc8-4814-898d-2aa1d7b0f131</t>
  </si>
  <si>
    <t>Lawrence P. Janeway</t>
  </si>
  <si>
    <t>15103-4</t>
  </si>
  <si>
    <t>Locality: High Cascade Range. Slope above Road 27N08 (road from Hwy 32 across Deer Creek toward Onion Butte), 2.3 road-km east of the major hairpin turn where road starts dropping into the canyon. WGS84</t>
  </si>
  <si>
    <t>b6ec0991-ce5b-4ca3-abea-16b5f43eae79</t>
  </si>
  <si>
    <t>2024-11-20 22:30:47 UTC</t>
  </si>
  <si>
    <t>SRID=4326;POINT(-121.60221 40.15947)</t>
  </si>
  <si>
    <t>CA_DC_3_LJ</t>
  </si>
  <si>
    <t>Quercus garryana var. breweri, Quercus chrysolepis, small Pseudotsuga menziesii</t>
  </si>
  <si>
    <t>Pinus ponderosa, Pseudotsuga menziensii, Quercus kelloggii, Calocedrus decurrens; shrubs: Cercocarpus betuloides, Cercis occidentalis</t>
  </si>
  <si>
    <t>Steep east-northeast facing slope of shrubby (mountain mahogany, Brewer oak, redbud), grassy openings, and rock outcrops, surrounded by mixed conifer forest (Ponderosa pine, Douglas-fir, black oak, incense cedar). Substrate: volcanic (andesitic ash flow?) Elevation: 1007 m</t>
  </si>
  <si>
    <t>n/a</t>
  </si>
  <si>
    <t>bfd73288-699b-481b-83cd-8f4e87329e45</t>
  </si>
  <si>
    <t>de4ac3ab-0a7f-4a8a-9c4a-428bba154b5b,306f73c9-647f-471c-848c-2f78eed19a58,04f2e21d-6f97-4e68-97d5-98b4f5da436e</t>
  </si>
  <si>
    <t>15103-3</t>
  </si>
  <si>
    <t>b8039ee4-57c6-45a5-bc32-71e667411c06</t>
  </si>
  <si>
    <t>2024-11-20 22:30:37 UTC</t>
  </si>
  <si>
    <t>SRID=4326;POINT(-121.6022 40.15957)</t>
  </si>
  <si>
    <t>CA_DC_5_LJ</t>
  </si>
  <si>
    <t>Pinus ponderosa, Pseudotsuga menziensii, Quercus kelloggii, Calocedrus decurrens; shrubs: Cercocarpus betuloides, Quercus garryana var. breweri, Prunus cf. subcordata?, Cercis occidentalis, Philadelphus lewisii</t>
  </si>
  <si>
    <t>Steep east-northeast facing slope of shrubby (mountain mahogany, Brewer oak, redbud), grassy openings, and rock outcrops, surrounded by mixed conifer forest (Ponderosa pine, Douglas-fir, black oak, incense cedar). Substrate: volcanic (andesitic ash flow?) Elevation: 1012 m</t>
  </si>
  <si>
    <t>60ef7461-955d-4826-821e-686092cfcfc4</t>
  </si>
  <si>
    <t>66c2f4c8-dd8e-4e7b-a930-a7d959651f1b,14307c5c-105a-47f3-bea6-17657e699565,b2de26de-8955-4dde-b93a-467a9da83f79</t>
  </si>
  <si>
    <t>15103-5</t>
  </si>
  <si>
    <t>Closest samples to the dusty road - leaves dusty; Locality: High Cascade Range. Slope above Road 27N08 (road from Hwy 32 across Deer Creek toward Onion Butte), 2.3 road-km east of the major hairpin turn where road starts dropping into the canyon. WGS84</t>
  </si>
  <si>
    <t>7aca9f1d-7790-43a0-9e57-189c31377359</t>
  </si>
  <si>
    <t>2024-11-20 22:30:27 UTC</t>
  </si>
  <si>
    <t>SRID=4326;POINT(-121.15902 40.04045)</t>
  </si>
  <si>
    <t>Red Hill</t>
  </si>
  <si>
    <t>RH</t>
  </si>
  <si>
    <t>CA_RH_2_LJ</t>
  </si>
  <si>
    <t>Only burned remains</t>
  </si>
  <si>
    <t>Pseudotsuga menziensii, Pinus lambertiana, Pinus jeffreyi, Calocedrus decurrens; shrubs:Garrya fremontii, Ceanothus integerrimus, Quercus garryana var. breweri, Ceanothus arcuatus</t>
  </si>
  <si>
    <t>Southeast-facing slope of rocky red soil serpentine; very open forest of Douglas-fir, sugar pine, Jeffrey pine, incense cedar. Elevation: 1606</t>
  </si>
  <si>
    <t>cdc67724-762d-4eb3-aca9-dfcdc455db68</t>
  </si>
  <si>
    <t>25a8895f-0adc-4926-a09d-acd1e8291b43,f6fff36a-5c9b-4efa-b326-56644a2b4b39,9745bec7-6e24-4bf3-9546-a73d893f6619,ca744652-df17-435a-aa4c-1409ab9494f3</t>
  </si>
  <si>
    <t>15104-2</t>
  </si>
  <si>
    <t>Multi-stemmed shrub, leaves and voucher all from one stem; Locality: Northern High Sierra Nevada. Along Road 26N22F (to top of Red Hill) 2.4 road-km from Deadwood Saddle; 2.6 air-km east of the summit of Red Hill. WGS84</t>
  </si>
  <si>
    <t>c4c8fd72-c625-4b48-a20f-e3f90e7ab2cb</t>
  </si>
  <si>
    <t>2024-11-20 22:30:16 UTC</t>
  </si>
  <si>
    <t>SRID=4326;POINT(-121.15899 40.04064)</t>
  </si>
  <si>
    <t>CA_RH_1_LJ</t>
  </si>
  <si>
    <t>Pinus jeffreyi and fire-kills, plus seedlings of Pinus jeffreyi anjd Calocedrus decurrens</t>
  </si>
  <si>
    <t xml:space="preserve">Pseudotsuga menziensii, Pinus lambertiana, Pinus jeffreyi, Calocedrus decurrens; shrubs:Ceanothus arcuatus, Quercus garryana var. breweri, Garrya fremontii, Ceanothus integerrimus, Ribes roezlii  </t>
  </si>
  <si>
    <t>Southeast-facing slope of rocky red soil serpentine; very open forest of Douglas-fir, sugar pine, Jeffrey pine, incense cedar.  Elevation 1611 m</t>
  </si>
  <si>
    <t>e430e0cf-945d-4514-a84e-03d481d290a3,09b334ca-e4f4-404c-a565-21c58e568110</t>
  </si>
  <si>
    <t>c87030dd-aed8-4239-b736-eac51620414b,fb9fd2eb-e2da-4a73-8669-9061d6357212,108eb5e0-9d97-4a34-9c14-a184f0c13f55,832b1c23-6d17-44c7-8f3a-b9ac30eef672</t>
  </si>
  <si>
    <t>15104-1</t>
  </si>
  <si>
    <t>Mostly one main stem and some longer branching from base. Probably same size before fire but stump sprouted now. Locality: Northern High Sierra Nevada. Along Road 26N22F (to top of Red Hill) 2.4 road-km from Deadwood Saddle; 2.6 air-km east of the summit of Red Hill. WGS84</t>
  </si>
  <si>
    <t>4e28465b-ca0c-4098-86ff-2e7c29972647</t>
  </si>
  <si>
    <t>2024-11-20 22:29:53 UTC</t>
  </si>
  <si>
    <t>SRID=4326;POINT(-121.15919 40.04031)</t>
  </si>
  <si>
    <t>CA_RH_3_LJ</t>
  </si>
  <si>
    <t>Calocedrus decurrens, Pinus jeffreyi, Pseudotsuga menziensii including saplings</t>
  </si>
  <si>
    <t>Pseudotsuga menziensii, Pinus lambertiana, Pinus jeffreyi, Calocedrus decurrens; shrubs: Ceanothus integerrimus, Ceanothus arcuatus, Quercus garryana var. breweri, Arctostaphylos viscida, Garrya fremontii</t>
  </si>
  <si>
    <t>Southeast-facing slope of rocky red soil serpentine; very open forest of Douglas-fir, sugar pine, Jeffrey pine, incense cedar. Elevation: 1616 m</t>
  </si>
  <si>
    <t>a08b5636-eab6-4d7a-b58a-359a852d87ff,898a7136-1ce6-421d-aff9-ee6af74244d0,8496f69f-3728-4869-9a86-131e73c8f86f,84e59a8c-d31d-45e8-b11f-adc1de5b313c</t>
  </si>
  <si>
    <t>15104-3</t>
  </si>
  <si>
    <t>Shrub with multiple branches, especially from base. All samples and voucher from one stem. Locality: Northern High Sierra Nevada. Along Road 26N22F (to top of Red Hill) 2.4 road-km from Deadwood Saddle; 2.6 air-km east of the summit of Red Hill. WGS84</t>
  </si>
  <si>
    <t>667a581d-90fb-441f-9f9f-bb6e00a8797d</t>
  </si>
  <si>
    <t>2024-11-20 22:29:44 UTC</t>
  </si>
  <si>
    <t>SRID=4326;POINT(-121.15841 40.0403)</t>
  </si>
  <si>
    <t>CA_RH_4_LJ</t>
  </si>
  <si>
    <t>Pseudotsuga menziensii, Pinus lambertiana, Pinus jeffreyi, Calocedrus decurrens; shrubs: Quercus garryana var. breweri, Ceanothus integerrimus, Garrya fremontii, Ceanothus arcuatus</t>
  </si>
  <si>
    <t>Southeast-facing slope of rocky red soil serpentine; very open forest of Douglas-fir, sugar pine, Jeffrey pine, incense cedar. Elevation: 1599 m</t>
  </si>
  <si>
    <t>35e65f81-30ea-4d52-a266-3cdc881e8f7b,b59b6864-8509-4a3c-8728-452ac077affa,39767878-1419-4c83-b19f-cff9d7098676,7978d2ca-b0e9-4d3b-9531-4565c019a7d9</t>
  </si>
  <si>
    <t>15104-4</t>
  </si>
  <si>
    <t>Locality: Northern High Sierra Nevada. Along Road 26N22F (to top of Red Hill) 2.4 road-km from Deadwood Saddle; 2.6 air-km east of the summit of Red Hill. WGS84</t>
  </si>
  <si>
    <t>0cad1ff6-02a4-4b36-9f41-9d2dc115dc7e</t>
  </si>
  <si>
    <t>2024-11-20 22:29:35 UTC</t>
  </si>
  <si>
    <t>SRID=4326;POINT(-121.15865 40.04015)</t>
  </si>
  <si>
    <t>CA_RH_5_LJ</t>
  </si>
  <si>
    <t>remnant conifer boles</t>
  </si>
  <si>
    <t>Southeast-facing slope of rocky red soil serpentine; very open forest of Douglas-fir, sugar pine, Jeffrey pine, incense cedar. Elevation: 1596 m</t>
  </si>
  <si>
    <t>f9850a3a-6a41-4b65-ae41-0fb27a8dd4e5,3f2d377d-b8a7-4fe2-82bc-a89e48552c7e,9719ed05-2916-4832-8820-050959a18aa0,200d5d0e-3207-4f1f-88df-12d544aebefb</t>
  </si>
  <si>
    <t>15104-5</t>
  </si>
  <si>
    <t>3 main stems, leaves and voucher from one stem. Locality: Northern High Sierra Nevada. Along Road 26N22F (to top of Red Hill) 2.4 road-km from Deadwood Saddle; 2.6 air-km east of the summit of Red Hill. WGS84</t>
  </si>
  <si>
    <t>05db1107-c132-4a01-bbda-bbfee6529faf</t>
  </si>
  <si>
    <t>2024-11-20 22:29:25 UTC</t>
  </si>
  <si>
    <t>SRID=4326;POINT(-123.00089 40.40159)</t>
  </si>
  <si>
    <t>Wildwood</t>
  </si>
  <si>
    <t>WW</t>
  </si>
  <si>
    <t>CA_WW_2_LJ</t>
  </si>
  <si>
    <t>Quercus garryana var. breweri, Quercus wislizeni var. frutescens</t>
  </si>
  <si>
    <t>shrubs: Cercocarpus betuloides, few low Quercus garryana var. breweri, Ceanothus arcuatus</t>
  </si>
  <si>
    <t>Small open southwest-sloping serpentine outcrop, but the shrubby areas are on the adjacent non-serpentine metamorphic substrate; shallow gravelly soil; surrounded by mixed conifer forest. Elevation: 1356 m</t>
  </si>
  <si>
    <t>4a80cd46-8a76-4f14-95f9-00305c3a9be7,63fb593a-c60a-4f97-8c58-b5099096a49d,f3c7e9d4-f317-4679-89e6-6d8b4faef81e</t>
  </si>
  <si>
    <t>15105-2</t>
  </si>
  <si>
    <t xml:space="preserve">A few Quercus garryana var. breweri appear stressed; Either end of summer drought stress or early fall cool nights stress. Locality: Klamath Ranges. Along Road 30N15 0.1 km northwest of Road 30N01; 4.9 air-km east of Wildwood. WGS84 </t>
  </si>
  <si>
    <t>de70a4e3-c3bf-48f8-865c-76def134ebef</t>
  </si>
  <si>
    <t>2024-11-20 22:29:14 UTC</t>
  </si>
  <si>
    <t>SRID=4326;POINT(-123.00067 40.40157)</t>
  </si>
  <si>
    <t>CA_WW_1_LJ</t>
  </si>
  <si>
    <t>small Quercus garryana var. breweri</t>
  </si>
  <si>
    <t xml:space="preserve">shrubs: Cercocarpus betuloides, Quercus garryana var. breweri </t>
  </si>
  <si>
    <t>Small open southwest-sloping serpentine outcrop, but the shrubby areas are on the adjacent non-serpentine metamorphic substrate; shallow gravelly soil; surrounded by mixed conifer forest. Elevation: 1364 m</t>
  </si>
  <si>
    <t>c37ab8eb-ddc2-474a-8886-353637807f63,3e4cc372-9ff9-46f9-8c3e-4788415ff00f</t>
  </si>
  <si>
    <t>a8fc8f96-f1af-4f96-ac76-137511496280,07858777-203a-4f5a-a0d3-b5a9d0213e6a,b80fcd0a-b979-4658-83c1-8d856165a263</t>
  </si>
  <si>
    <t>15105-1</t>
  </si>
  <si>
    <t>Common multi-branched low shrubs. Leaves and voucher from one stem. Locality: Klamath Ranges. Along Road 30N15 0.1 km northwest of Road 30N01; 4.9 air-km east of Wildwood. WGS84</t>
  </si>
  <si>
    <t>1ca352b8-b8f4-4509-9dbf-5d5e0ec8b0ff</t>
  </si>
  <si>
    <t>2024-11-20 22:29:05 UTC</t>
  </si>
  <si>
    <t>SRID=4326;POINT(-123.00063 40.40097)</t>
  </si>
  <si>
    <t>CA_WW_3_LJ</t>
  </si>
  <si>
    <t>Quercus wislizeni var. frutescens</t>
  </si>
  <si>
    <t>shrubs: Ceanothus arcuatus, Cercocarpus betuloides, Quercus garryana var. breweri</t>
  </si>
  <si>
    <t>Small open southwest-sloping serpentine outcrop, but the shrubby areas are on the adjacent non-serpentine metamorphic substrate; shallow gravelly soil; surrounded by mixed conifer forest. Elevation: 1353 m</t>
  </si>
  <si>
    <t>edc9537f-c304-4289-895a-96ef388a0366,86cae053-96d5-4621-a1c3-2b7c0c6e5e2f,3e65a541-ff38-47f6-afeb-9c5d32a59578</t>
  </si>
  <si>
    <t>15105-3</t>
  </si>
  <si>
    <t>Locality: Klamath Ranges. Along Road 30N15 0.1 km northwest of Road 30N01; 4.9 air-km east of Wildwood. WGS84</t>
  </si>
  <si>
    <t>af332df9-5640-4792-bf50-2c220c4fe327</t>
  </si>
  <si>
    <t>2024-11-20 22:28:53 UTC</t>
  </si>
  <si>
    <t>SRID=4326;POINT(-123.00058 40.40084)</t>
  </si>
  <si>
    <t>CA_WW_4_LJ</t>
  </si>
  <si>
    <t>shrubs: Quercus garryana var. breweri, Cercocarpus betuloides, Ceanothus arcuatus, Quercus wislizeni var. frutescens</t>
  </si>
  <si>
    <t>Small open southwest-sloping serpentine outcrop, but the shrubby areas are on the adjacent non-serpentine metamorphic substrate; shallow gravelly soil; surrounded by mixed conifer forest. Elevation: 1343 m</t>
  </si>
  <si>
    <t>41861dde-aa4f-420b-a838-821afc4e6665,285d977f-bf4a-44b9-b892-4e0fed764ad2,f2ceb207-e5fa-46cb-9c7b-a3c5ce424fb4</t>
  </si>
  <si>
    <t>15105-4</t>
  </si>
  <si>
    <t>Common multi-branched low shrub. Leaves and voucher from one stem. Locality: Klamath Ranges. Along Road 30N15 0.1 km northwest of Road 30N01; 4.9 air-km east of Wildwood. WGS84</t>
  </si>
  <si>
    <t>40d655aa-c7cc-45a8-b7fe-3810ca7ff848</t>
  </si>
  <si>
    <t>2024-11-20 22:28:43 UTC</t>
  </si>
  <si>
    <t>SRID=4326;POINT(-123.00037 40.40076)</t>
  </si>
  <si>
    <t>CA_WW_5_LJ</t>
  </si>
  <si>
    <t>shrubs: Quercus garryana var. breweri, Cercocarpus betuloides, Ceanothus arcuatus</t>
  </si>
  <si>
    <t>Small open southwest-sloping serpentine outcrop, but the shrubby areas are on the adjacent non-serpentine metamorphic substrate; shallow gravelly soil; surrounded by mixed conifer forest. Elevation: 1354 m</t>
  </si>
  <si>
    <t>20f0f1f3-8d01-4902-8acb-10abc3637c74,1dbfc3d5-e510-4e02-a682-754f5319d593,3f95a6f5-0823-4264-b39a-4f3e90f8bc97</t>
  </si>
  <si>
    <t>15105-5</t>
  </si>
  <si>
    <t>108cb359-3b6d-435d-86eb-fc877ecbbb18</t>
  </si>
  <si>
    <t>2024-11-20 22:28:17 UTC</t>
  </si>
  <si>
    <t>SRID=4326;POINT(-122.94738 39.90052)</t>
  </si>
  <si>
    <t>Buck Rock</t>
  </si>
  <si>
    <t>BR</t>
  </si>
  <si>
    <t>CA_BR_1_LJ</t>
  </si>
  <si>
    <t>Abies concolor, small Calocedrus decurrens</t>
  </si>
  <si>
    <t>Abies concolor, Ponderosa pine, Calocedrus decurrens, occasional Pinus lambertiana; shrubs: Quercus garryana var. breweri, Amelanchier utahensis, Ceanothus cordulatus, Prunus emarginata</t>
  </si>
  <si>
    <t>Open gravelly ridgeline in white fir dominated mixed conifer forest (white fir, Ponderosa pine, incense cedar, occasional sugar pine). Elevation: 1898 m</t>
  </si>
  <si>
    <t>b9530cfe-6894-43da-8982-c7ffceedd1fd</t>
  </si>
  <si>
    <t>587e05a6-5b86-41d8-8439-84ca8f4f4ff3,44d31edf-7c06-4177-887c-a8cc406204f8,813811a2-882f-488f-a8f9-95b249e98ca0,73581397-daa7-4c7b-a92a-0af01ee850d7,51cff253-3447-483b-bde0-da9904de2e08,9721e408-f2bd-4928-a6c6-155e62514cef</t>
  </si>
  <si>
    <t>15108-1</t>
  </si>
  <si>
    <t>Locality: High North Coast Ranges. Along ┬▒ open ridgeline 0.6 mi south of Buck Rock. WGS84</t>
  </si>
  <si>
    <t>0692a142-172d-4f61-83de-99cbff73644a</t>
  </si>
  <si>
    <t>2024-11-20 22:28:07 UTC</t>
  </si>
  <si>
    <t>SRID=4326;POINT(-122.94776 39.90083)</t>
  </si>
  <si>
    <t>CA_BR_2_LJ</t>
  </si>
  <si>
    <t>Abies concolor, Ponderosa pine, Calocedrus decurrens, occasional Pinus lambertiana. shrubs: Quercus garryana var. breweri, Sambucus mexicana var. cerulea, Ceanothus cordulatus, Prunus emarginata, Ribes roezlii, Rubus leucodermis, Arctostaphylos canescens</t>
  </si>
  <si>
    <t>Open gravelly ridgeline in white fir dominated mixed conifer forest (white fir, Ponderosa pine, incense cedar, occasional sugar pine). Elevation: 1913 m</t>
  </si>
  <si>
    <t>e935f345-8c2b-469c-b607-240b41e43eee,506b7ae6-12f2-434c-8c14-cb0b88f64afe,c074a3ad-eed9-469f-a3e5-b038605f609f,a3a1231f-4308-478e-831b-258dffe1a595,248533fa-82a6-4f56-9934-562f043d9614,60f5cf65-a2d9-4901-a0a9-5513d6e3b68a</t>
  </si>
  <si>
    <t>15108-2</t>
  </si>
  <si>
    <t>Multi-stemmed shrub ranges in height 5-8 dm tall. Leaves and voucher from one stem. Locality: High North Coast Ranges. Along ┬▒ open ridgeline 0.6 mi south of Buck Rock. WGS84</t>
  </si>
  <si>
    <t>b3383061-fdf9-447d-88f7-833e8c357c2c</t>
  </si>
  <si>
    <t>2024-11-20 22:27:55 UTC</t>
  </si>
  <si>
    <t>SRID=4326;POINT(-122.94785 39.9005)</t>
  </si>
  <si>
    <t>CA_BR_3_LJ</t>
  </si>
  <si>
    <t>Abies concolor, sapling Calocedrus decurrens</t>
  </si>
  <si>
    <t>Abies concolor, Ponderosa pine, Calocedrus decurrens, occasional Pinus lambertiana. shrubs: Symphoricarpos mollis, Quercus garryana var. breweri</t>
  </si>
  <si>
    <t>Open gravelly ridgeline in white fir dominated mixed conifer forest (white fir, Ponderosa pine, incense cedar, occasional sugar pine). Elevation: 1902 m</t>
  </si>
  <si>
    <t>35597068-d931-44e5-92a2-1b1f7287a49c,6a2dcbea-cf86-4d56-8320-872b3044e70a,1b0939d1-100a-4846-b03e-9489edd83406,49110acf-b0a9-4870-9df8-5669b5b5cec2,1c6d265b-b074-4273-8e22-7a74bbd5c37d,93e25765-2ecc-46e9-89b6-e23232814e93</t>
  </si>
  <si>
    <t>15108-3</t>
  </si>
  <si>
    <t>Spreading shrub(s) 5-12 dm tall, some branches erect and some decumbent. Locality: High North Coast Ranges. Along ┬▒ open ridgeline 0.6 mi south of Buck Rock. WGS84</t>
  </si>
  <si>
    <t>6ac17752-5685-4ac6-abcd-fff71640c49d</t>
  </si>
  <si>
    <t>2024-11-20 22:27:45 UTC</t>
  </si>
  <si>
    <t>SRID=4326;POINT(-122.94768 39.90017)</t>
  </si>
  <si>
    <t>CA_BR_4_LJ</t>
  </si>
  <si>
    <t>Abies concolor, Ponderosa pine, Calocedrus decurrens, occasional Pinus lambertiana. Quercus garryana var. breweri, Prunus emarginata, Ceanothus cordulatus, Amelanchier utahensis</t>
  </si>
  <si>
    <t>Open gravelly ridgeline in white fir dominated mixed conifer forest (white fir, Ponderosa pine, incense cedar, occasional sugar pine). Elevation: 1896 m</t>
  </si>
  <si>
    <t>81efe386-3a60-4789-a472-c508a2358573,3adfc2d5-2606-4bd7-88cc-bbfdacd97e43,d889673e-072a-4fe8-8912-4404019a085c,204d7600-e2d8-499d-838b-8a8246b65ec1,23b12f87-315c-45c5-a9aa-376528772ac2,b98b2c48-1460-45b9-a551-f7f7bb6b76fb</t>
  </si>
  <si>
    <t>15108-4</t>
  </si>
  <si>
    <t>Sprawling shrub(s) 0.6-1.8 m tall. Locality: High North Coast Ranges. Along ┬▒ open ridgeline 0.6 mi south of Buck Rock. WGS84</t>
  </si>
  <si>
    <t>a11c646c-aaed-4dda-8f71-316b88aa337e</t>
  </si>
  <si>
    <t>2024-11-20 22:27:35 UTC</t>
  </si>
  <si>
    <t>SRID=4326;POINT(-122.948 39.89991)</t>
  </si>
  <si>
    <t>CA_BR_5_LJ</t>
  </si>
  <si>
    <t>Calocedrus decurrens, Abies concolor</t>
  </si>
  <si>
    <t>Abies concolor, Ponderosa pine, Calocedrus decurrens, occasional Pinus lambertiana. shrubs: Quercus garryana var. breweri, Ceanothus cordulatus</t>
  </si>
  <si>
    <t>Open gravelly ridgeline in white fir dominated mixed conifer forest (white fir, Ponderosa pine, incense cedar, occasional sugar pine). Elevation: 1902</t>
  </si>
  <si>
    <t>3f821919-bdb0-4fcc-8274-2338aa6622c6,2695322d-d52a-4de0-aec5-2e84723e61de</t>
  </si>
  <si>
    <t>0ab9965f-b0e6-4784-9a24-7b5e50c979ef,c7980a90-1051-4bab-8893-4057b3f27af6,fd27a1cd-4eb2-49a3-89db-62d38292bffc,8c2d700b-b282-4202-a898-69cc73d7c825,6a6b4cb7-eced-48da-ac91-68467dd12a77,acbf3a14-34b6-47b7-af31-58cf768855e9</t>
  </si>
  <si>
    <t>15108-5</t>
  </si>
  <si>
    <t>Large sprawling shrub(s) 0.5-1.5 m tall. Locality: High North Coast Ranges. Along ┬▒ open ridgeline 0.6 mi south of Buck Rock. WGS84</t>
  </si>
  <si>
    <t>76feca8e-f87d-4922-8d5f-70871fd6ea42</t>
  </si>
  <si>
    <t>2024-11-20 22:27:22 UTC</t>
  </si>
  <si>
    <t>SRID=4326;POINT(-121.292 39.466)</t>
  </si>
  <si>
    <t>Brownsville</t>
  </si>
  <si>
    <t>BV</t>
  </si>
  <si>
    <t>CA_BV_1_LJ</t>
  </si>
  <si>
    <t>Quercus wislizeni var. wislizeni</t>
  </si>
  <si>
    <t xml:space="preserve">Arctostaphylos viscida, Quercus garryana var. breweri, Quercus wislizenii, Heteromeles arbutifolia, Cercis occidentalis, Rhamnus ilicifolia. Arctostaphylos viscida, Heteromeles arbutifolia, Ceanothus lemmonii </t>
  </si>
  <si>
    <t>Southwest-facing dense chaparral of white-leaf manzanita, Brewer oak, interior live oak, toyon, redbud, hollyleaf redberry; rocky gabbro substrate. Elevation: 689 m</t>
  </si>
  <si>
    <t>53b83138-908e-4a0c-ad96-a46aa19fc0f2</t>
  </si>
  <si>
    <t>266fe875-57de-4f69-8f36-205fd7df3384,3b57addc-9471-46fc-9997-58c2b990a171</t>
  </si>
  <si>
    <t>15110-1</t>
  </si>
  <si>
    <t>Small cluster of erect stems 1.5-1.8m tall; roadside (dust). Locality: Northern Sierra Nevada Foothills. ALong Ponderosa Way 1.3 road km north of La Porte Road (and Brownsville). WGS84</t>
  </si>
  <si>
    <t>a2c57563-5a21-478a-9866-2429e8c5ff54</t>
  </si>
  <si>
    <t>2024-11-20 22:27:11 UTC</t>
  </si>
  <si>
    <t>SRID=4326;POINT(-121.29168 39.45636)</t>
  </si>
  <si>
    <t>CA_BV_2_LJ</t>
  </si>
  <si>
    <t>Pinus ponderosa, Calocedrus decurrens (nearby Quercus wislizeni var. wislizeni, Quercus kelloggii)</t>
  </si>
  <si>
    <t>Arctostaphylos viscida, Quercus garryana var. breweri, Quercus wislizenii, Heteromeles arbutifolia, Cercis occidentalis, Rhamnus ilicifolia. Arctostaphylos viscida, Cercis occidentalis, Ceanothus lemmonii, Berberis aquifolium, Rhamnus ilicifolia, Toxicodendron diversilobum, Heteromeles arbutifolia</t>
  </si>
  <si>
    <t>Southwest-facing dense chaparral of white-leaf manzanita, Brewer oak, interior live oak, toyon, redbud, hollyleaf redberry; rocky gabbro substrate. Elevation: 700 m</t>
  </si>
  <si>
    <t>296d85e1-42b4-4ebe-848b-a264dc2241fd,20ddd3e4-21f6-40bc-b200-53903714c731</t>
  </si>
  <si>
    <t>15110-2</t>
  </si>
  <si>
    <t>Single trunk. Locality: Northern Sierra Nevada Foothills. ALong Ponderosa Way 1.3 road km north of La Porte Road (and Brownsville). WGS84</t>
  </si>
  <si>
    <t>cebf979c-a257-41b6-a9c8-fc05a1abafa2</t>
  </si>
  <si>
    <t>2024-11-20 22:26:59 UTC</t>
  </si>
  <si>
    <t>SRID=4326;POINT(-121.29162 39.46626)</t>
  </si>
  <si>
    <t>CA_BV_3_LJ</t>
  </si>
  <si>
    <t>Pinus ponderosa sapling, small Quercus wislizeni var. wislizeni, Quercus kelloggii seedling (nearby Quercus kelloggii, Heteromeles arbutifolia)</t>
  </si>
  <si>
    <t>Arctostaphylos viscida, Quercus garryana var. breweri, Quercus wislizenii, Heteromeles arbutifolia, Cercis occidentalis, Rhamnus ilicifolia. shrubs: Arctostaphylos viscida, Ceanothus lemmonii, Cercis occidentalis, Berberis aquifolium, Salvia sonomensis, Rhamnus ilicifolia, Heteromeles arbutifolia, Toxicodendron diversilobum, Pickeringia montana</t>
  </si>
  <si>
    <t>Southwest-facing dense chaparral of white-leaf manzanita, Brewer oak, interior live oak, toyon, redbud, hollyleaf redberry; rocky gabbro substrate. Elevation: 707 m</t>
  </si>
  <si>
    <t>d9ea71cd-b558-42aa-b21c-eaa15cf1a769,308eaf9d-95ac-474a-9b7a-2304f6295426</t>
  </si>
  <si>
    <t>15110-3</t>
  </si>
  <si>
    <t>Single trunk but leaning into the sun from under a tall Arctostaphylos viscida. Locality: Northern Sierra Nevada Foothills. ALong Ponderosa Way 1.3 road km north of La Porte Road (and Brownsville). WGS84</t>
  </si>
  <si>
    <t>f2808fea-d6ae-4703-9425-18721367fa67</t>
  </si>
  <si>
    <t>2024-11-20 22:26:50 UTC</t>
  </si>
  <si>
    <t>SRID=4326;POINT(-121.29205 39.4666)</t>
  </si>
  <si>
    <t>CA_BV_4_LJ</t>
  </si>
  <si>
    <t>Quercus wislizeni var. wislizeni (nearby LIDE [Notholithocarpus densiflorus?], Pinus ponderosa)</t>
  </si>
  <si>
    <t>Arctostaphylos viscida, Quercus garryana var. breweri, Quercus wislizenii, Heteromeles arbutifolia, Cercis occidentalis, Rhamnus ilicifolia. shrubs: Heteromeles arbutifolia, Arctostaphylos viscida</t>
  </si>
  <si>
    <t>Southwest-facing dense chaparral of white-leaf manzanita, Brewer oak, interior live oak, toyon, redbud, hollyleaf redberry; rocky gabbro substrate. Elevation: 686 m</t>
  </si>
  <si>
    <t>c07d5aa2-1706-42ef-951c-be5f9a161f59,b648448f-e352-45d8-a78c-e7300344f359</t>
  </si>
  <si>
    <t>15110-4</t>
  </si>
  <si>
    <t>Dusty along road. Locality: Northern Sierra Nevada Foothills. ALong Ponderosa Way 1.3 road km north of La Porte Road (and Brownsville). WGS84</t>
  </si>
  <si>
    <t>5f32d7cb-4fda-4157-bef7-56b896116340</t>
  </si>
  <si>
    <t>2024-11-20 22:26:40 UTC</t>
  </si>
  <si>
    <t>SRID=4326;POINT(-121.29197 39.46677)</t>
  </si>
  <si>
    <t>CA_BV_5_LJ</t>
  </si>
  <si>
    <t>Quercus wislizeni var. wislizeni, Pinus ponderosa (nearby Pinus sabiniana)</t>
  </si>
  <si>
    <t>Arctostaphylos viscida, Quercus garryana var. breweri, Quercus wislizenii, Heteromeles arbutifolia, Cercis occidentalis, Rhamnus ilicifolia. shrubs: Ceanothus lemmonii, Berberis aquifolium, Arctostaphylos viscida, Rhamnus ilicifolia</t>
  </si>
  <si>
    <t>Southwest-facing dense chaparral of white-leaf manzanita, Brewer oak, interior live oak, toyon, redbud, hollyleaf redberry; rocky gabbro substrate. Elevation: 690 m</t>
  </si>
  <si>
    <t>e9ee3b09-1439-4365-9997-39c5f9f1c74f,79ebbafa-75b7-407e-8765-d63ea50acec7</t>
  </si>
  <si>
    <t>15110-5</t>
  </si>
  <si>
    <t>2-3 long stems arching out from under a large Quercus wislizeni var. wislizeni</t>
  </si>
  <si>
    <t>8d22b9ae-bbdf-43d3-9291-815544deb5db</t>
  </si>
  <si>
    <t>Quercus garryana var. garryana</t>
  </si>
  <si>
    <t>2024-11-20 22:26:28 UTC</t>
  </si>
  <si>
    <t>SRID=4326;POINT(-123.04203 48.50379)</t>
  </si>
  <si>
    <t>WA</t>
  </si>
  <si>
    <t>San Juan Island</t>
  </si>
  <si>
    <t>SJI</t>
  </si>
  <si>
    <t>PD</t>
  </si>
  <si>
    <t>WA_SJI_1_PD</t>
  </si>
  <si>
    <t>A widely spreading, open-grown tree in a hedgerow of Rubus bifrons and Symphoricarpos album. A large Pseudotsuga menziesii is growing immediately adjacent to it.</t>
  </si>
  <si>
    <t>"Peter Dunwiddie, Peter Zika, R. Adam Martin"</t>
  </si>
  <si>
    <t>Peter Dunwiddie, Peter Zika, R. Adam Martin 1</t>
  </si>
  <si>
    <t>Willey/Little Rd junction, San Juan Island</t>
  </si>
  <si>
    <t>2b8d0b81-cab2-46b2-b9f6-509514f1cd77</t>
  </si>
  <si>
    <t>2024-11-20 22:26:19 UTC</t>
  </si>
  <si>
    <t>SRID=4326;POINT(-123.04151 48.50654)</t>
  </si>
  <si>
    <t>WA_SJI_2_PD</t>
  </si>
  <si>
    <t>One of many oaks in an open woodland of large oaks, most trees are open grown and 12-17m (est.) tall.</t>
  </si>
  <si>
    <t>Peter Dunwiddie, Peter Zika, R. Adam Martin 2</t>
  </si>
  <si>
    <t>Locality: North end of Willey Rd, San Juan Island</t>
  </si>
  <si>
    <t>328a9f41-1a95-489f-a637-5169930ae2f1</t>
  </si>
  <si>
    <t>2024-11-20 22:26:08 UTC</t>
  </si>
  <si>
    <t>SRID=4326;POINT(-123.0136111 48.54508333)</t>
  </si>
  <si>
    <t>WA_SJI_3_PD</t>
  </si>
  <si>
    <t>At edge of coastal bald above Friday Harbor shoreline. No other trees or shrubs anywhere nearby.</t>
  </si>
  <si>
    <t>Peter Dunwiddie, Peter Zika, R. Adam Martin 3</t>
  </si>
  <si>
    <t>Locality: Friday Harbor Laboratory grounds, San Juan Island</t>
  </si>
  <si>
    <t>c71615e4-f92d-4e55-8e97-c19259fbc954</t>
  </si>
  <si>
    <t>2024-11-20 22:25:58 UTC</t>
  </si>
  <si>
    <t>SRID=4326;POINT(-123.143823 48.580145)</t>
  </si>
  <si>
    <t>WA_SJI_4_PD</t>
  </si>
  <si>
    <t>Acer macrophyllum, Symphoricarpos album, Rosa nutkana</t>
  </si>
  <si>
    <t>No nearby oaks but smaller (10-20cm dbh) Acer macrophyllum close by. Understory of Symphoricarpos album and Rosa nutkana</t>
  </si>
  <si>
    <t>Peter Dunwiddie, Peter Zika, R. Adam Martin 4</t>
  </si>
  <si>
    <t>A large, multi-stemmed (4) tree, trunks ca. 60-80 cm dbh. Locality: Edge of British Camp, West Valley Rd., San Juan Island</t>
  </si>
  <si>
    <t>0329249c-cc82-4702-8105-ae2a633cb40e</t>
  </si>
  <si>
    <t>2024-11-20 22:25:49 UTC</t>
  </si>
  <si>
    <t>SRID=4326;POINT(-123.140643 48.575688)</t>
  </si>
  <si>
    <t>WA_SJI_5_PD</t>
  </si>
  <si>
    <t xml:space="preserve">Pseudotsuga menziesii </t>
  </si>
  <si>
    <t>Roadside tree at edge of grassy pasture. Several Pseudotsuga menziesii trees within 100 feet</t>
  </si>
  <si>
    <t>Peter Dunwiddie, Peter Zika, R. Adam Martin 5</t>
  </si>
  <si>
    <t>Locality: Alpaca farm, West Valley Rd, San Juan Island</t>
  </si>
  <si>
    <t>8737f35c-2d5b-4444-873a-c1f9e2b4c744</t>
  </si>
  <si>
    <t>2024-11-20 22:25:39 UTC</t>
  </si>
  <si>
    <t>SRID=4326;POINT(-123.6657217 42.23339833)</t>
  </si>
  <si>
    <t>OR</t>
  </si>
  <si>
    <t>Eight Dollar Mnt Rd</t>
  </si>
  <si>
    <t>EDM</t>
  </si>
  <si>
    <t>DG</t>
  </si>
  <si>
    <t>OR_EDM_1_DG</t>
  </si>
  <si>
    <t>Dry, S-facing slope above Illinois R., with broadly spaced pines, Arctostaphylos, dry forbs in October; intermittent serpentine; Q. chrysolepis or Q. chrysolepis ├ù vacciniifolia is present a bit down road to W (a more densely treed area); noted Darlingtonia fens. Elevation 424 m</t>
  </si>
  <si>
    <t>Dirk Giesburt</t>
  </si>
  <si>
    <t>Dirk Giesburt 1</t>
  </si>
  <si>
    <t>Very productive acorn season 2023; none in Oct. 2024. Locality: OR Josephine County, Illinois R. basin, Rogue River-Siskiyou National Forest, Eight Dollar Mountain Rd., west of Jeffrey Pine Loop Trailhead, S side of road just below road maintenance deposit area.</t>
  </si>
  <si>
    <t>716d4895-1ecf-4c01-8891-acada9bebc4a</t>
  </si>
  <si>
    <t>Quercus garryana aff. var. semota</t>
  </si>
  <si>
    <t>2024-11-20 22:25:28 UTC</t>
  </si>
  <si>
    <t>SRID=4326;POINT(-123.6691383 42.23716667)</t>
  </si>
  <si>
    <t>OR_EDM_2_DG</t>
  </si>
  <si>
    <t>Dry, S-facing slope above Illinois R., with broadly spaced pines, Arctostaphylos, dry forbs in October; intermittent serpentine; Q. chrysolepis or Q. chrysolepis ├ù vacciniifolia is present a bit down road to W (a more densely treed area); noted Darlingtonia fens. Elevation 422 m</t>
  </si>
  <si>
    <t>Dirk Giesburt 2</t>
  </si>
  <si>
    <t>Locality: OR Josephine County, Illinois R. basin, Rogue River-Siskiyou National Forest, Eight Dollar Mountain Rd., west of Jeffrey Pine Loop Trailhead, W of Q. garryana 1, N side of road, top of road cut</t>
  </si>
  <si>
    <t>aedf313a-7e5a-46e6-a101-124c379e4698</t>
  </si>
  <si>
    <t>Quercus garryana</t>
  </si>
  <si>
    <t>2024-11-20 22:25:18 UTC</t>
  </si>
  <si>
    <t>SRID=4326;POINT(-123.643215 42.23188833)</t>
  </si>
  <si>
    <t>OR_EDM_3_DG</t>
  </si>
  <si>
    <t>Broken woodland with small-sized, dry-site Q. garryana var. garryana with pines. Elevation 395 m</t>
  </si>
  <si>
    <t>Dirk Giesburt 3</t>
  </si>
  <si>
    <t>Locality: OR Josephine County, Illinois R. basin, Rogue River-Siskiyou National Forest, Eight Dollar Mountain Rd., at E end, ~100 m from Hwy 199, S side of road nr. Roadcut</t>
  </si>
  <si>
    <t>8732474c-daa4-43d5-8ada-af475e91eed5</t>
  </si>
  <si>
    <t>2024-11-20 22:25:07 UTC</t>
  </si>
  <si>
    <t>SRID=4326;POINT(-123.5589383 42.37610833)</t>
  </si>
  <si>
    <t>Waters Creek Rd</t>
  </si>
  <si>
    <t>WCR</t>
  </si>
  <si>
    <t>OR_WCR_4_DG</t>
  </si>
  <si>
    <t>Wooded, rural residential valley of easterly-flowing Waters Cr.; specimen has riparian location at top of short, steep creek bank. Elevation 368 m</t>
  </si>
  <si>
    <t>Dirk Giesburt 4</t>
  </si>
  <si>
    <t>Productive acorn season 2024. Locality: OR Josephine County, Slate Cr. Valley, S side of Rogue R. basin, Waters Cr. Rd., 1.4 mi from Hwy 199, N side of large turnout</t>
  </si>
  <si>
    <t>93eb0322-f1de-4e5d-b611-d66216bece43</t>
  </si>
  <si>
    <t>2024-11-20 22:24:57 UTC</t>
  </si>
  <si>
    <t>SRID=4326;POINT(-123.1290833 42.4104)</t>
  </si>
  <si>
    <t>Rogue St. Park</t>
  </si>
  <si>
    <t>RSP</t>
  </si>
  <si>
    <t>OR_RSP_5_DG</t>
  </si>
  <si>
    <t>mostly Q. kelloggii with conifers and introduced tree species</t>
  </si>
  <si>
    <t>Large tree in flat, exposed, open turf area of park spreading away from Rogue R. bank; mostly Q. kelloggii with conifers and introduced tree species. Elevation 315 m</t>
  </si>
  <si>
    <t>Dirk Giesburt 5</t>
  </si>
  <si>
    <t>Locality: OR Jackson County, Rogue R. basin, Valley of the Rogue St. Park, middle of broad turf area toward W end of park's developed area</t>
  </si>
  <si>
    <t>4dfa4ff2-cdcd-4754-b708-7782785da78c</t>
  </si>
  <si>
    <t>2024-11-20 22:24:44 UTC</t>
  </si>
  <si>
    <t>SRID=4326;POINT(-122.6168667 41.99577167)</t>
  </si>
  <si>
    <t>Klamath River Basin</t>
  </si>
  <si>
    <t>KRB</t>
  </si>
  <si>
    <t>CA_KRB_6_DG</t>
  </si>
  <si>
    <t>Juniperus uphill and dry grass spreading downhill</t>
  </si>
  <si>
    <t>Solitary, compact habit on dry, SW-facing slope at road margin, backed by Juniperus uphill and dry grass spreading downhill. Elevation 902 m</t>
  </si>
  <si>
    <t>Dirk Giesburt 6</t>
  </si>
  <si>
    <t>Locality: CA Siskiyou County, Klamath R. basin, I-5 exit Hilt, descending Hilt Rd. on W side of hwy, N side of road as it descends to Hilt Church</t>
  </si>
  <si>
    <t>6790df9c-7ad1-4ace-bca9-7b1efef2ae20</t>
  </si>
  <si>
    <t>2024-11-20 22:24:27 UTC</t>
  </si>
  <si>
    <t>SRID=4326;POINT(-122.5667583 41.899885)</t>
  </si>
  <si>
    <t>CA_KRB_7_DG</t>
  </si>
  <si>
    <t>Solitary, compact shrub form with dry grass in gently sloped basin; fire had burned all trees to W. Elevation 703 m</t>
  </si>
  <si>
    <t>Dirk Giesburt 7</t>
  </si>
  <si>
    <t>Locality: CA Siskiyou County, Klamath R. basin, I-5 Southbound onramp from Henley-Hornbrook exit, at margin of roadcut</t>
  </si>
  <si>
    <t>fd304d0d-d3c7-4384-aec7-7a8969a081d2</t>
  </si>
  <si>
    <t>2024-11-20 22:24:14 UTC</t>
  </si>
  <si>
    <t>SRID=4326;POINT(-122.3150833 41.14817667)</t>
  </si>
  <si>
    <t>Castle Crags St. Park</t>
  </si>
  <si>
    <t>CCP</t>
  </si>
  <si>
    <t>CA_CCP_8_DG</t>
  </si>
  <si>
    <t>conifers and Q. kelloggii</t>
  </si>
  <si>
    <t>Wooded roadside at top of steep and deep bank of Sacramento R. to E; conifers and Q. kelloggii. Elevation 635 m</t>
  </si>
  <si>
    <t>Dirk Giesburt 8</t>
  </si>
  <si>
    <t>Locality: CA Shasta County, Sacramento R. basin, I-5 exit for Castle Crags St. Park, E side of Frontage Road on E of I-5, opposite the freeway overpass</t>
  </si>
  <si>
    <t>8425ab06-18fb-4c33-9995-b7c3f85865d0</t>
  </si>
  <si>
    <t>2024-11-20 22:24:00 UTC</t>
  </si>
  <si>
    <t>SRID=4326;POINT(-121.60242 40.15979)</t>
  </si>
  <si>
    <t>CA_DC_2_LJ</t>
  </si>
  <si>
    <t>Pseudotsuga menziensii, Quercus garryana var. breweri</t>
  </si>
  <si>
    <t>Pinus ponderosa, Pseudotsuga menziensii, Quercus kelloggii, Calocedrus decurrens; Shrubs: Cercocarpus betuloides, Quercus garryana var. breweri, Prunus cf. subcordata?, Cercis occidentalis</t>
  </si>
  <si>
    <t>Steep east-northeast facing slope of shrubby (mountain mahogany, Brewer oak, redbud), grassy openings, and rock outcrops, surrounded by mixed conifer forest (Ponderosa pine, Douglas-fir, black oak, incense cedar). Substrate: volcanic (andesitic ash flow?) Elevation: 1022 m</t>
  </si>
  <si>
    <t>e76cbf90-5636-44cb-a96b-5a3a318131b2,8aca8f95-8d83-43a6-b550-c999394d9592,4b50d068-7cae-4180-9903-e27ab71bc8ad</t>
  </si>
  <si>
    <t>15103-2</t>
  </si>
  <si>
    <t>024bd903-dc2c-46d7-8464-5391ccae9d3c</t>
  </si>
  <si>
    <t>2024-10-28 19:48:20 UTC</t>
  </si>
  <si>
    <t>SRID=4326;POINT(-104.328293 44.65910671)</t>
  </si>
  <si>
    <t>WY</t>
  </si>
  <si>
    <t>Wyoming Black Hills</t>
  </si>
  <si>
    <t>WBH</t>
  </si>
  <si>
    <t>WY_WBH_5_IP</t>
  </si>
  <si>
    <t>1 x P. ponderosa
4 x Q. macrocarpa</t>
  </si>
  <si>
    <t>Oak, ponderosa pine savannah</t>
  </si>
  <si>
    <t>Along forest service two-track road in National Forest.  Oak and ponderosa pine savannah.  A lovely site.</t>
  </si>
  <si>
    <t>ed121963-58fc-4464-a62c-020dfada77ff</t>
  </si>
  <si>
    <t xml:space="preserve">west of Aladdin, WY, 24 cm, , Further along road, maybe 150 meters.  Bending ahead.  Single trunk near ponderosa pine. 
09/15/2024: updated tree tag number. </t>
  </si>
  <si>
    <t>59c102ad-4c9f-471e-978c-82b5f0a83926</t>
  </si>
  <si>
    <t>2024-10-28 19:46:49 UTC</t>
  </si>
  <si>
    <t>SRID=4326;POINT(-104.3296992 44.658644)</t>
  </si>
  <si>
    <t>WY_WBH_4_IP</t>
  </si>
  <si>
    <t>4 x P. ponderosa</t>
  </si>
  <si>
    <t>ea0375ca-545c-4842-a04e-33a7e8124c54</t>
  </si>
  <si>
    <t>west of Aladdin, WY, multistem, max 6 cm, , Further along 2-track.  On left small multistem.  about 40-ft past tree 3. 
09/15/2024: updated DBH and tree tag number. Multistemmed individual with 4 stems &gt; 4 cm DBH.</t>
  </si>
  <si>
    <t>b4533ce5-fde6-4038-8583-5de469c1575f</t>
  </si>
  <si>
    <t>2024-10-28 19:45:02 UTC</t>
  </si>
  <si>
    <t>SRID=4326;POINT(-104.3302075 44.6579967)</t>
  </si>
  <si>
    <t>WY_WBH_3_IP</t>
  </si>
  <si>
    <t>1 x P. ponderosa</t>
  </si>
  <si>
    <t>c8dc903a-aca1-48eb-94f4-22b2fae31436</t>
  </si>
  <si>
    <t>west of Aladdin, WY, 34 cm, , Further along 2-track.  On right.  Leaning to the right. 
09/15/2024: updated tree tag number.</t>
  </si>
  <si>
    <t>b207c507-275e-448b-bcac-043076c0393b</t>
  </si>
  <si>
    <t>2024-10-28 19:43:42 UTC</t>
  </si>
  <si>
    <t>SRID=4326;POINT(-104.3304324 44.6575894)</t>
  </si>
  <si>
    <t>WY_WBH_2_IP</t>
  </si>
  <si>
    <t>7 x P. ponderosa</t>
  </si>
  <si>
    <t>35087f4f-3d65-425d-ba55-ed27a55e076f</t>
  </si>
  <si>
    <t>west of Aladdin, WY, 21 cm, , Continue on 2-track road past gate.  Just past gate. Single trunk
09/15/2024: updated tree tag number.</t>
  </si>
  <si>
    <t>0bba68f4-80a1-4588-9a5a-323733a49424</t>
  </si>
  <si>
    <t>2024-10-28 19:41:16 UTC</t>
  </si>
  <si>
    <t>SRID=4326;POINT(-104.3302218 44.65742405)</t>
  </si>
  <si>
    <t>WY_WBH_1_IP</t>
  </si>
  <si>
    <t>3 x P. ponderosa</t>
  </si>
  <si>
    <t>32818db4-f340-4be0-9a49-4bc36a14ca69</t>
  </si>
  <si>
    <t>west of Aladdin, WY, 18 cm, , Take road west from Aladdin, WY to Forest Road across from Bearlodge Campground.  Continue short distance to where a gated 2-track goes off to the right.  Tree 1 is right next to the usfs gate and sign reading '83040'. 
09/15/2024: updated tree tag number.</t>
  </si>
  <si>
    <t>7d60b43c-36c4-4200-8f11-79f8f6016d75</t>
  </si>
  <si>
    <t>2024-10-28 19:39:08 UTC</t>
  </si>
  <si>
    <t>SRID=4326;POINT(-103.9442713 44.3501097)</t>
  </si>
  <si>
    <t>Roughlock Falls</t>
  </si>
  <si>
    <t>SD_RLF_5_IP</t>
  </si>
  <si>
    <t>1 x Q. macrocarpa</t>
  </si>
  <si>
    <t>willow, birch, black hills spruce, boxelder. Occational ponderosa pine</t>
  </si>
  <si>
    <t xml:space="preserve">Near waterfall coming into Spearfish Canyon.  Along roadside and waterfall trail on steap, rocky hill.  </t>
  </si>
  <si>
    <t>8502e06e-19f2-4fdc-84e8-5a2810e46083</t>
  </si>
  <si>
    <t xml:space="preserve">Spearfish Canyon, multistem, max DBH 10-cm, , Across road from main parking for falls.  Small multistem grove with dominant stem.
09/14/2024: DBH and tree tag number updated. Multistemmed individual with 7 total stems. </t>
  </si>
  <si>
    <t>82aaea0b-2eb3-48ee-8555-58af036d9361</t>
  </si>
  <si>
    <t>2024-10-28 19:36:50 UTC</t>
  </si>
  <si>
    <t>SRID=4326;POINT(-103.9438555 44.35011981)</t>
  </si>
  <si>
    <t>SD_RLF_4_IP</t>
  </si>
  <si>
    <t>5 x Q. macrocarpa</t>
  </si>
  <si>
    <t>b35f856d-b5ac-4522-b8ee-7708a0f5646b</t>
  </si>
  <si>
    <t>Spearfish Canyon, multistem, max DBH 10-cm, , Looking across road from "Roughlock Falls" sign on big rock.  Look across street and to right.  Biggest multistem grove.  
09/14/2024: DBH and tree tag number updated. Multistemmed individual with 10 total stems.</t>
  </si>
  <si>
    <t>51ad8e0c-d00b-40e6-862d-34008bb18c57</t>
  </si>
  <si>
    <t>2024-10-28 19:34:56 UTC</t>
  </si>
  <si>
    <t>SRID=4326;POINT(-103.9430899 44.350031)</t>
  </si>
  <si>
    <t>RFL</t>
  </si>
  <si>
    <t>SD_RFL_3_IP</t>
  </si>
  <si>
    <t>1 x willow
1 x boxelder</t>
  </si>
  <si>
    <t>c9668a5d-5751-497b-ae04-225acd2baf3a</t>
  </si>
  <si>
    <t>Spearfish Canyon, multistem, max DBH 10-cm, , Walk to falls on paved paths.  Tree is along paved trail to right walking downstream from lower overlook of roughliock falls.  
09/14/2024: DBH and tree tag number updated. Herbarium specimen collected. Tree tag (#267) on back of tree due to visibility.</t>
  </si>
  <si>
    <t>c2670d27-e1ca-48f9-9d03-89d47700491a</t>
  </si>
  <si>
    <t>2024-10-28 19:32:50 UTC</t>
  </si>
  <si>
    <t>SRID=4326;POINT(-103.9452397 44.35093374)</t>
  </si>
  <si>
    <t>SD_RLF_2_IP</t>
  </si>
  <si>
    <t>some Corylus sp.
2 x Q. macrocarpa</t>
  </si>
  <si>
    <t>4506d55f-d690-4b55-938c-4a054cc3a5ed</t>
  </si>
  <si>
    <t>Spearfish Canyon, multistem, max DBH 10-cm, , Walk toward falls (downstream) along road.  Tree on left uphill from parking area with No Camping sign (tent with cross through it).  Go up scree slope to foot of cliff.
09/14/2024: DBH and tree tag number updated. Multistemmed individuals with 7 stems. Acorn with essentially no fringe but ~ QUMA leaves</t>
  </si>
  <si>
    <t>40d55640-5d3c-4163-b752-6cb86dcd7a1c</t>
  </si>
  <si>
    <t>2024-10-28 19:30:24 UTC</t>
  </si>
  <si>
    <t>SRID=4326;POINT(-103.946243 44.35095137)</t>
  </si>
  <si>
    <t>SD_RLF_1_IP</t>
  </si>
  <si>
    <t>2 x aspen
1 x birch</t>
  </si>
  <si>
    <t>335a7089-9e6b-480a-a250-7fccdad4e87e</t>
  </si>
  <si>
    <t xml:space="preserve">
</t>
  </si>
  <si>
    <t xml:space="preserve">Spearfish Canyon, multistem, max DBH 10-cm, , Park at roughlock falls -- one of the parking areas just a bit past the falls.  Tree is along road on right just past the 'County Road Maintanence Ends' sign.  multistem
09/14/2024: DBH and tree tag number updated. Multistemmed individuals with 8 stems.  </t>
  </si>
  <si>
    <t>26bbae3f-97f1-45a0-b676-19341fe19a63</t>
  </si>
  <si>
    <t>2024-10-28 19:25:34 UTC</t>
  </si>
  <si>
    <t>SRID=4326;POINT(-103.4147397 43.7787752)</t>
  </si>
  <si>
    <t>Junction 89 16A to Shady Rest</t>
  </si>
  <si>
    <t>JSR</t>
  </si>
  <si>
    <t>SD_JSR_5_IP</t>
  </si>
  <si>
    <t>5 total stems; species not indicated</t>
  </si>
  <si>
    <t xml:space="preserve">P. ponderosa and Q. macrocarpa dominant. </t>
  </si>
  <si>
    <t>two areas.  Trees 1-3 near junction of rt 87N (needles hwy) and 16A in ponderosa - oak meadow.  Trees 4-5 in oak meadow to the east across from Shady Rest group camps site.  This site has many multi trunk oaks, perhaps stump spouts</t>
  </si>
  <si>
    <t>2e0ca77e-729d-426a-9da3-cb4e3bff61e2</t>
  </si>
  <si>
    <t xml:space="preserve">Custer State Park, multistem, max DBH 10-cm, , 20-m in front and to the right of Tree 4.  As dirt road splits right.  Multistem.
09/14/2024: DBH and tree tag number updated. </t>
  </si>
  <si>
    <t>da63620e-44ff-4502-bde7-e63731a81c48</t>
  </si>
  <si>
    <t>2024-10-28 19:24:25 UTC</t>
  </si>
  <si>
    <t>SRID=4326;POINT(-103.4149409 43.77858737)</t>
  </si>
  <si>
    <t>SD_JSR_4_IP</t>
  </si>
  <si>
    <t>6 total stems; species not indicated</t>
  </si>
  <si>
    <t>5e57e15e-0b6e-48a1-9a37-b0742d78e9cc</t>
  </si>
  <si>
    <t xml:space="preserve">Custer State Park, multistem, max DBH 10-cm, , Drive to Shady Rest Group Site.  Oak site is across rt 16A on dirt pulloff.  Multistem.  First tree to left of gravel road pull off. 
09/14/2024: DBH and tree tag number updated. </t>
  </si>
  <si>
    <t>f7bd77d7-681c-4c19-9829-a1fb31a63cb1</t>
  </si>
  <si>
    <t>2024-10-28 19:22:45 UTC</t>
  </si>
  <si>
    <t>SRID=4326;POINT(-103.4568565 43.76751889)</t>
  </si>
  <si>
    <t>SD_JSR_3_IP</t>
  </si>
  <si>
    <t>1 x P. ponderosa
3 x Q. macrocarpa</t>
  </si>
  <si>
    <t>19bb39f1-f051-4e47-9b32-84b3f3b73a20</t>
  </si>
  <si>
    <t xml:space="preserve">Custer State Park, single trunk, DBH not recorded, , Top missing.  Near powerline.  Near tree 2
09/14/2024: DBH and tree tag number updated. </t>
  </si>
  <si>
    <t>fa8aa94a-00a8-4554-9fce-7915fbd3b2ed</t>
  </si>
  <si>
    <t>2024-10-28 19:22:36 UTC</t>
  </si>
  <si>
    <t>SRID=4326;POINT(-103.4571564 43.76747398)</t>
  </si>
  <si>
    <t>SD_JSR_2_IP</t>
  </si>
  <si>
    <t>2 x P. ponderosa
1 x Q. macrocarpa</t>
  </si>
  <si>
    <t>57ae03c8-95e4-42c4-8170-cbc277d2eb44</t>
  </si>
  <si>
    <t xml:space="preserve">Custer State Park, single trunk, DBH not recorded, , Further back from outhouses.
09/14/2024: DBH and tree tag number updated. </t>
  </si>
  <si>
    <t>076e41e9-e223-4198-830f-f4fc0ee2913d</t>
  </si>
  <si>
    <t>2024-10-28 19:22:27 UTC</t>
  </si>
  <si>
    <t>SRID=4326;POINT(-103.4571866 43.7676179)</t>
  </si>
  <si>
    <t>SD_JSR_1_IP</t>
  </si>
  <si>
    <t>2 x P. ponderosa
4 x Q. macrocarpa</t>
  </si>
  <si>
    <t>d79f841a-84a6-48bc-acc7-c79b5329ab31</t>
  </si>
  <si>
    <t xml:space="preserve">Custer State Park, single trunk, DBH not recorded, , At junction.  Behind outhouses.
09/14/2024: DBH and tree tag number updated. </t>
  </si>
  <si>
    <t>f88f989d-4f90-49f7-a671-ababc1ce4d54</t>
  </si>
  <si>
    <t>2024-10-28 19:15:33 UTC</t>
  </si>
  <si>
    <t>SRID=4326;POINT(-103.4147059 43.65797039)</t>
  </si>
  <si>
    <t>Prairie Trail Head</t>
  </si>
  <si>
    <t>PTH</t>
  </si>
  <si>
    <t>SD_PTH_4_IP</t>
  </si>
  <si>
    <t>2 x Fraxinus
2 x Q. macrocarpa</t>
  </si>
  <si>
    <t xml:space="preserve">common:  Salix sp., cottonwood.  </t>
  </si>
  <si>
    <t>prairie stream corridor.  Oak savannah.  bur oak dominant.  Some willows and riparian vegetation.</t>
  </si>
  <si>
    <t>97bdc3e4-091a-4505-b8f7-fa4bc9ede1e8</t>
  </si>
  <si>
    <t xml:space="preserve">Custer State Park, single trunk, DBH not recorded, some bags or presses might say 'French Creek' as the site., Tree bent over Dirst of cluster. 
09/14/2024: DBH and tree tag updated. </t>
  </si>
  <si>
    <t>a981c723-5724-4887-a5f9-a9b9fea28779</t>
  </si>
  <si>
    <t>2024-10-28 19:15:05 UTC</t>
  </si>
  <si>
    <t>SRID=4326;POINT(-103.414549 43.657961)</t>
  </si>
  <si>
    <t>SD_PTH_3_IP</t>
  </si>
  <si>
    <t>2 x Q. macrocarpa</t>
  </si>
  <si>
    <t>42b8b063-6550-47a3-aac7-1929bf48104e</t>
  </si>
  <si>
    <t xml:space="preserve">Custer State Park, single trunk, DBH not recorded, some bags or presses might say 'French Creek' as the site., Nearby.  Tree with small branches. vertical.
09/14/2024: DBH and tree tag updated. </t>
  </si>
  <si>
    <t>e7134fa2-8858-4eaf-950f-692a62fe14ae</t>
  </si>
  <si>
    <t>2024-10-28 19:14:53 UTC</t>
  </si>
  <si>
    <t>SRID=4326;POINT(-103.4143757 43.658017)</t>
  </si>
  <si>
    <t>SD_PTH_2_IP</t>
  </si>
  <si>
    <t>3 x Fraxinus
3 x Q. macrocarpa</t>
  </si>
  <si>
    <t xml:space="preserve">common:  Salix sp., cottonwood.  
</t>
  </si>
  <si>
    <t>cfb989f3-30e3-40d4-89c4-774ca3307373</t>
  </si>
  <si>
    <t xml:space="preserve">Custer State Park, single trunk, DBH not recorded, some bags or presses might say 'French Creek' as the site., Follow creek to the right.  Has low branch away from creek.
09/14/2024: DBH and tree tag updated. </t>
  </si>
  <si>
    <t>95975525-a983-4106-acad-fddddf48aee0</t>
  </si>
  <si>
    <t>2024-10-28 19:14:42 UTC</t>
  </si>
  <si>
    <t>SRID=4326;POINT(-103.4142003 43.658164)</t>
  </si>
  <si>
    <t>SD_PTH_1_IP</t>
  </si>
  <si>
    <t>1 x Fraxinus
1 x Ulmus</t>
  </si>
  <si>
    <t xml:space="preserve">Custer State Park, single trunk, DBH not recorded, some bags or presses might say 'French Creek' as the site., From Prairie Trail trailhead in Custer State Park.  Tree on left before crossing creek immediately next to trail.  
09/14/2024: DBH updated; no new tree tag, as tree is too visible from trail. </t>
  </si>
  <si>
    <t>3efe3f43-a85f-4a43-8540-ae54babe66ac</t>
  </si>
  <si>
    <t>2024-10-28 19:14:02 UTC</t>
  </si>
  <si>
    <t>SRID=4326;POINT(-103.4149021 43.65799731)</t>
  </si>
  <si>
    <t>SD_PTH_5_IP</t>
  </si>
  <si>
    <t>2 x Fraxinus</t>
  </si>
  <si>
    <t>78b2f109-967c-468d-a404-6371d6eb0139</t>
  </si>
  <si>
    <t xml:space="preserve">Custer State Park, single trunk, DBH not recorded, some bags or presses might say 'French Creek' as the site., Tree by itself by creek bend or wallow.
09/14/2024: DBH and tree tag updated. Two main stems present. </t>
  </si>
  <si>
    <t>11b30100-4bcc-4ac5-bab5-84bbdfdaef03</t>
  </si>
  <si>
    <t>2024-10-24 20:50:56 UTC</t>
  </si>
  <si>
    <t>SRID=4326;POINT(-108.1963389 29.328825)</t>
  </si>
  <si>
    <t>CH</t>
  </si>
  <si>
    <t>Near Madera Reserve Chihuahua</t>
  </si>
  <si>
    <t>MRC</t>
  </si>
  <si>
    <t>KA</t>
  </si>
  <si>
    <t>CH_MRC_3_KA</t>
  </si>
  <si>
    <t>ddfcab03-724e-4d6b-9afa-7ae090f98779,2f07369f-3cf5-491c-8f92-72f3f29a010d,735048c8-6fc3-4449-b4e1-d24c0bc680b5</t>
  </si>
  <si>
    <t>f7918926-4dad-44a1-96a2-0d997dc3f871</t>
  </si>
  <si>
    <t>dc315513-f44c-4bbb-be7a-f5bee56a4f2a</t>
  </si>
  <si>
    <t>"Kieran Althaus, M. Socorro Gonzalez-Elizondo, Andrew Hipp, Cesar Rodriguez, Jorge Noriega"</t>
  </si>
  <si>
    <t>KA_2024_028</t>
  </si>
  <si>
    <t>Locality: Madera, Chihuahua, Mexico; Near Madera Reserve</t>
  </si>
  <si>
    <t>895fb7fc-63b2-43b9-af25-7a55b909e8ae</t>
  </si>
  <si>
    <t>2024-10-24 20:46:55 UTC</t>
  </si>
  <si>
    <t>SRID=4326;POINT(-108.1974 29.32863333)</t>
  </si>
  <si>
    <t>CH_MRC_2_KA</t>
  </si>
  <si>
    <t>Pinus arizonica, P. strobiformis, Pseudotsuga</t>
  </si>
  <si>
    <t>Roadside with Pinus arizonica, P. strobiformis, Pseudotsuga</t>
  </si>
  <si>
    <t>645f1b31-923a-4cc5-ad4c-1ad4a2fdd38c,f85ae5e5-27ab-4b0e-a144-9a016da62bfc</t>
  </si>
  <si>
    <t>KA_2024_027</t>
  </si>
  <si>
    <t>be106046-45cf-445d-8f53-ce820a7a4270</t>
  </si>
  <si>
    <t>2024-10-24 18:57:19 UTC</t>
  </si>
  <si>
    <t>SRID=4326;POINT(-108.1979806 29.32845833)</t>
  </si>
  <si>
    <t>CH_MRC_1_KA</t>
  </si>
  <si>
    <t>4cf50121-c432-4128-81c9-90ce32f1c7b3,f0a9c836-3945-41e4-84f3-2a8208395deb</t>
  </si>
  <si>
    <t>b90abb42-b889-49e2-a3c2-1b8243c2c90f</t>
  </si>
  <si>
    <t>KA_2024_026</t>
  </si>
  <si>
    <t>b4565479-001e-42a2-b354-83cd2e13da6f</t>
  </si>
  <si>
    <t>Q. gambelii</t>
  </si>
  <si>
    <t>2024-10-23 16:49:28 UTC</t>
  </si>
  <si>
    <t>SRID=4326;POINT(-105.0007974 39.4844548)</t>
  </si>
  <si>
    <t>CO</t>
  </si>
  <si>
    <t>Plum Creek Dupont</t>
  </si>
  <si>
    <t>PCD</t>
  </si>
  <si>
    <t>CO_PCD_573_IP</t>
  </si>
  <si>
    <t>Populus deltoides, Rhus triloba</t>
  </si>
  <si>
    <t xml:space="preserve">Cottonwood, gambel oak, skunkbush sumac along Plum Creek.  Flood Pain Forest in disturbed semi-urban area.  </t>
  </si>
  <si>
    <t>"Ian Pearse, Marion Pearse, Soren Pearse, Asa Pearse"</t>
  </si>
  <si>
    <t>Plum Creek Dupont Q. gambelii 4</t>
  </si>
  <si>
    <t>Near Louvier, CO in DuPont Park. Trees 1-3 in park.  Trees 4-5 along road near bridge.. Along road on other side of bridge furtherst east of trees.</t>
  </si>
  <si>
    <t>99483b29-bf99-4785-a1d0-dd893b2ca160</t>
  </si>
  <si>
    <t>Q. gambelii/undulata complex</t>
  </si>
  <si>
    <t>2024-09-10 19:50:43 UTC</t>
  </si>
  <si>
    <t>SRID=4326;POINT(-105.1062797 38.50227038)</t>
  </si>
  <si>
    <t>Phantom Canyon</t>
  </si>
  <si>
    <t>PHC</t>
  </si>
  <si>
    <t>CO_PHC_567_IP</t>
  </si>
  <si>
    <t xml:space="preserve">Cylindropuntia imbricata, Juniperus sp., gambel oak hybridy things, Populus angustifolia, Rhus triloba.  </t>
  </si>
  <si>
    <t xml:space="preserve">Trees along 8-mile creek going up phantom canyon road.  Narrow canyon with juniper oak, narrowleaf cottonwood, skunkbush sumac, chola cactus.  I only went up to mile 10 or so.  </t>
  </si>
  <si>
    <t>Phantom Canyon Q. gambelii/undulata complex 3</t>
  </si>
  <si>
    <t xml:space="preserve">N of Canon City along Phantom Cyn Road. trees here look like hybrids of the undulata complex with hints of turbinella or grisea or something like that with Q. gambelii.  Good camping along road.. a couple miles downhill from tree 2 where pavement turns into dirt road and there is a little pulloff.  Multistem undulata-like tree overhanding parking spot.  </t>
  </si>
  <si>
    <t>a1593583-c6da-4e81-9e00-13d1b4c46c1e</t>
  </si>
  <si>
    <t>Q. gambelii/undulata</t>
  </si>
  <si>
    <t>2024-09-10 19:49:16 UTC</t>
  </si>
  <si>
    <t>SRID=4326;POINT(-103.0829496 37.1418735)</t>
  </si>
  <si>
    <t>Cottonwood Canyon</t>
  </si>
  <si>
    <t>CWC</t>
  </si>
  <si>
    <t>CO_CWC_563_IP</t>
  </si>
  <si>
    <t>Tree chola (Cylindropuntia imbricata), Rhus triloba, Juniperus sp., Opuntia sp., Salix sp. along creek.</t>
  </si>
  <si>
    <t xml:space="preserve">Grove of oak trees along Cottonwood Creek in small canyon.  Along creek near old homestead, there are trees that look a lot like hybrid bur / gambel oak and others that look like gambels or undulata complex.  All putative bur oak hybrids were in a single grove stretching ~ 100-m in one direction along the creek.  Some were really impressively large trees.  </t>
  </si>
  <si>
    <t>Cottonwood Canyon Q. gambelii/undulata 3</t>
  </si>
  <si>
    <t>on Comanche Grasslands SE of Kim, CO. very interesting site. on other side of big rock from undulata 2</t>
  </si>
  <si>
    <t>494b56c4-96e9-4dee-a740-91e419e99762</t>
  </si>
  <si>
    <t>2024-09-10 19:47:04 UTC</t>
  </si>
  <si>
    <t>SRID=4326;POINT(-105.1187866 38.51745791)</t>
  </si>
  <si>
    <t>CO_PHC_566_IP</t>
  </si>
  <si>
    <t>Phantom Canyon Q. gambelii/undulata complex 2</t>
  </si>
  <si>
    <t>N of Canon City along Phantom Cyn Road. trees here look like hybrids of the undulata complex with hints of turbinella or grisea or something like that with Q. gambelii.  Good camping along road.. across road from tree 1</t>
  </si>
  <si>
    <t>c57bb2df-f8c1-430b-8bdc-7773492883e5</t>
  </si>
  <si>
    <t>2024-09-10 19:44:57 UTC</t>
  </si>
  <si>
    <t>SRID=4326;POINT(-105.003779 39.4778679)</t>
  </si>
  <si>
    <t>CO_PCD_570_IP</t>
  </si>
  <si>
    <t>Plum Creek Dupont Q. gambelii 1</t>
  </si>
  <si>
    <t>Near Louvier, CO in DuPont Park. Trees 1-3 in park.  Trees 4-5 along road near bridge.. next to children's playground swing set adjacent to mowed area</t>
  </si>
  <si>
    <t>2ce3f4d1-3500-4c43-b41f-24d9984aafec</t>
  </si>
  <si>
    <t>2024-09-10 19:44:07 UTC</t>
  </si>
  <si>
    <t>SRID=4326;POINT(-105.0012964 39.48463601)</t>
  </si>
  <si>
    <t>CO_PCD_574_IP</t>
  </si>
  <si>
    <t>Plum Creek Dupont Q. gambelii 5</t>
  </si>
  <si>
    <t>Near Louvier, CO in DuPont Park. Trees 1-3 in park.  Trees 4-5 along road near bridge.. along road on other side of raod.  Small tree under big clit-trunk cottonwood.</t>
  </si>
  <si>
    <t>5323f7a0-91d6-47af-9674-4ad382ba96f7</t>
  </si>
  <si>
    <t>2024-09-10 19:41:16 UTC</t>
  </si>
  <si>
    <t>SRID=4326;POINT(-105.106166 38.50240472)</t>
  </si>
  <si>
    <t>CO_PHC_569_IP</t>
  </si>
  <si>
    <t>Phantom Canyon Q. gambelii/undulata complex 5</t>
  </si>
  <si>
    <t xml:space="preserve">N of Canon City along Phantom Cyn Road. trees here look like hybrids of the undulata complex with hints of turbinella or grisea or something like that with Q. gambelii.  Good camping along road.. slightly uphill from tree 4 looks like turbinella or undulata.  </t>
  </si>
  <si>
    <t>15d977f5-1746-47d7-a7c2-1e466f470cae</t>
  </si>
  <si>
    <t>2024-09-10 19:37:55 UTC</t>
  </si>
  <si>
    <t>SRID=4326;POINT(-105.0036218 39.47762445)</t>
  </si>
  <si>
    <t>CO_PCD_572_IP</t>
  </si>
  <si>
    <t>Plum Creek Dupont Q. gambelii 3</t>
  </si>
  <si>
    <t>Near Louvier, CO in DuPont Park. Trees 1-3 in park.  Trees 4-5 along road near bridge.. Sprawwling and multistem.  At corner of baseball field.</t>
  </si>
  <si>
    <t>55a3202c-4e06-451a-8854-73a214fb64e8</t>
  </si>
  <si>
    <t>2024-09-10 19:29:39 UTC</t>
  </si>
  <si>
    <t>SRID=4326;POINT(-105.0039387 39.47800344)</t>
  </si>
  <si>
    <t>CO_PCD_571_IP</t>
  </si>
  <si>
    <t>Plum Creek Dupont Q. gambelii 2</t>
  </si>
  <si>
    <t>Near Louvier, CO in DuPont Park. Trees 1-3 in park.  Trees 4-5 along road near bridge.. top fell off.  Along trail from p;layground to river on right still newar playground.</t>
  </si>
  <si>
    <t>2794f1d4-c933-4fe1-9d80-d1f1d445d07f</t>
  </si>
  <si>
    <t>2024-09-10 19:16:47 UTC</t>
  </si>
  <si>
    <t>SRID=4326;POINT(-105.1060233 38.50238368)</t>
  </si>
  <si>
    <t>CO_PHC_568_IP</t>
  </si>
  <si>
    <t>Phantom Canyon Q. gambelii/undulata complex 4</t>
  </si>
  <si>
    <t>N of Canon City along Phantom Cyn Road. trees here look like hybrids of the undulata complex with hints of turbinella or grisea or something like that with Q. gambelii.  Good camping along road.. nearby on same side of road by rock along parking area.  unlulata like</t>
  </si>
  <si>
    <t>b0b2fde1-7fa7-4a32-bc06-0a89b4673678</t>
  </si>
  <si>
    <t>2024-09-10 19:01:24 UTC</t>
  </si>
  <si>
    <t>SRID=4326;POINT(-105.1189569 38.51734354)</t>
  </si>
  <si>
    <t>CO_PHC_565_IP</t>
  </si>
  <si>
    <t>Phantom Canyon Q. gambelii/undulata complex 1</t>
  </si>
  <si>
    <t>N of Canon City along Phantom Cyn Road. trees here look like hybrids of the undulata complex with hints of turbinella or grisea or something like that with Q. gambelii.  Good camping along road.. on left of road while going uphill.  Just before bridge and mile 7 sign</t>
  </si>
  <si>
    <t>2d54836f-71dd-4c54-88ca-2618a4c9640c</t>
  </si>
  <si>
    <t>2024-09-10 18:51:23 UTC</t>
  </si>
  <si>
    <t>SRID=4326;POINT(-103.0832683 37.14207912)</t>
  </si>
  <si>
    <t>CO_CWC_564_IP</t>
  </si>
  <si>
    <t>Cottonwood Canyon Q. gambelii/undulata 4</t>
  </si>
  <si>
    <t xml:space="preserve">on Comanche Grasslands SE of Kim, CO. very interesting site. on side of creek with putative bur oak grove.  </t>
  </si>
  <si>
    <t>28ec0d20-384d-4d97-8d65-a8dbd105efdb</t>
  </si>
  <si>
    <t>2024-09-10 18:46:13 UTC</t>
  </si>
  <si>
    <t>SRID=4326;POINT(-103.0825514 37.14213959)</t>
  </si>
  <si>
    <t>CO_CWC_562_IP</t>
  </si>
  <si>
    <t>Cottonwood Canyon Q. gambelii/undulata 2</t>
  </si>
  <si>
    <t>on Comanche Grasslands SE of Kim, CO. very interesting site. along strem on other side from putative bur oak grove by big rock.</t>
  </si>
  <si>
    <t>a6f1e9f4-d12e-4f86-be70-018f5b17550f</t>
  </si>
  <si>
    <t>2024-09-10 18:41:14 UTC</t>
  </si>
  <si>
    <t>SRID=4326;POINT(-103.0825571 37.1422681)</t>
  </si>
  <si>
    <t>CO_CWC_561_IP</t>
  </si>
  <si>
    <t>Cottonwood Canyon Q. gambelii/undulata 1</t>
  </si>
  <si>
    <t>on Comanche Grasslands SE of Kim, CO. very interesting site. on other side of creek.  Sevveral stems.  to left along creek from putative bur oak grove.</t>
  </si>
  <si>
    <t>f01b2b70-baa5-41d6-92e9-d87106c9f4f8</t>
  </si>
  <si>
    <t>2024-09-10 18:36:58 UTC</t>
  </si>
  <si>
    <t>SRID=4326;POINT(-103.0831021 37.14203041)</t>
  </si>
  <si>
    <t>CO_CWC_560_IP</t>
  </si>
  <si>
    <t>Cottonwood Canyon Q. gambelii 5</t>
  </si>
  <si>
    <t>on Comanche Grasslands SE of Kim, CO. very interesting site. at steep dropoff to creek, leaning over dropoff.</t>
  </si>
  <si>
    <t>6fcddacd-9de8-403b-bec2-e94164cd85c9</t>
  </si>
  <si>
    <t>2024-09-10 18:31:13 UTC</t>
  </si>
  <si>
    <t>SRID=4326;POINT(-103.0828688 37.14216511)</t>
  </si>
  <si>
    <t>CO_CWC_559_IP</t>
  </si>
  <si>
    <t>Cottonwood Canyon Q. gambelii 4</t>
  </si>
  <si>
    <t>on Comanche Grasslands SE of Kim, CO. very interesting site. at edge of grove leaning on its side.</t>
  </si>
  <si>
    <t>32573a4a-2ece-433c-a960-3b09ccd6e38f</t>
  </si>
  <si>
    <t>2024-09-10 18:20:49 UTC</t>
  </si>
  <si>
    <t>SRID=4326;POINT(-103.0832024 37.14247963)</t>
  </si>
  <si>
    <t>CO_CWC_556_IP</t>
  </si>
  <si>
    <t>Cottonwood Canyon Q. gambelii 2</t>
  </si>
  <si>
    <t>on Comanche Grasslands SE of Kim, CO. very interesting site. immediately behind ruined stone homestead. Large tree.  Next to large juniper.</t>
  </si>
  <si>
    <t>1f9d74bf-178e-4da9-a75a-76e4414bad43</t>
  </si>
  <si>
    <t>2024-09-10 18:15:30 UTC</t>
  </si>
  <si>
    <t>SRID=4326;POINT(-103.0831799 37.1423105)</t>
  </si>
  <si>
    <t>CO_CWC_557_IP</t>
  </si>
  <si>
    <t>on Comanche Grasslands SE of Kim, CO. very interesting site. Nearby.  Very large tree toward creek from tree 1</t>
  </si>
  <si>
    <t>fb085ff1-02fa-4291-988d-e1a3486db8a6</t>
  </si>
  <si>
    <t>2024-06-28 16:13:59 UTC</t>
  </si>
  <si>
    <t>SRID=4326;POINT(-106.01401 38.498594)</t>
  </si>
  <si>
    <t>Methodist Mountain</t>
  </si>
  <si>
    <t>MM</t>
  </si>
  <si>
    <t>CO_MM_2_IP</t>
  </si>
  <si>
    <t>Not Collected</t>
  </si>
  <si>
    <t>common: Pinus edulis, Juniperus sp, occasional: Ribes sp., Cercocarpus ledifolius</t>
  </si>
  <si>
    <t>pinon juniper forest on mountain side. Rocky soils.  Oaks tend to be along dry washes.</t>
  </si>
  <si>
    <t>7fd6e53d-f958-43b7-8901-0bf360b52117</t>
  </si>
  <si>
    <t>Asa Pearse,Ian Pearse</t>
  </si>
  <si>
    <t>near Salida, shubby multistem, max 5 cm DBH, near dry wash, Near Tree 1 on other side of road.</t>
  </si>
  <si>
    <t>2f54a1be-c1d9-4b24-b347-1e5d10b1eae5</t>
  </si>
  <si>
    <t>2024-06-28 16:12:57 UTC</t>
  </si>
  <si>
    <t>SRID=4326;POINT(-106.0043033 38.49783866)</t>
  </si>
  <si>
    <t>CO_MM_4_IP</t>
  </si>
  <si>
    <t>331185c0-544f-42e9-9a09-0ca30e727c68</t>
  </si>
  <si>
    <t>near Salida, shubby multistem, max 5 cm DBH, near dry wash, Along same wash as tree 3, head downhill for a ways.  Tree is in wash.</t>
  </si>
  <si>
    <t>83908b30-e2b2-4335-98fa-a9b55fd45d46</t>
  </si>
  <si>
    <t>2024-06-28 16:12:45 UTC</t>
  </si>
  <si>
    <t>SRID=4326;POINT(-106.004199 38.4970266)</t>
  </si>
  <si>
    <t>CO_MM_3_IP</t>
  </si>
  <si>
    <t>No evidence</t>
  </si>
  <si>
    <t>near Salida, shubby multistem, max 5 cm DBH, near dry wash, Go back to junction with road 108.  follow powerline the other direction for only ~ 30 meters.  Tree on right.</t>
  </si>
  <si>
    <t>4e1e5df1-3a21-4482-9aa0-31c84b142805</t>
  </si>
  <si>
    <t>2024-06-28 15:49:40 UTC</t>
  </si>
  <si>
    <t>SRID=4326;POINT(-106.014191 38.498408045)</t>
  </si>
  <si>
    <t>CO_MM_1_IP</t>
  </si>
  <si>
    <t>8752d5a5-b754-4fec-be1d-591a5fad5cdc</t>
  </si>
  <si>
    <t>near Salida, near dry wash, Directions: From Salida, head up toward methodist mountain on rd 107 / 108.  Take a right to follow powerline until you almost reach the Rainbow Trail and road gets rough.  Tree on left in wash</t>
  </si>
  <si>
    <t>013c8fa2-3f74-4c58-ba5e-49349d26e86d</t>
  </si>
  <si>
    <t>2023-10-11 00:36:25 UTC</t>
  </si>
  <si>
    <t>SRID=4326;POINT(-73.38521434001008 42.08476204894699)</t>
  </si>
  <si>
    <t>MG</t>
  </si>
  <si>
    <t xml:space="preserve">1 hemlock 
3 Fraxinus 
1 Juglans 
2 Pinus 
1 Q. macrocarpa </t>
  </si>
  <si>
    <t xml:space="preserve">Dryopterus, sensitive fern, Christmas fern, hylodesmum glutinosum, northern spice bush </t>
  </si>
  <si>
    <t xml:space="preserve">Fern understory, watershed forest </t>
  </si>
  <si>
    <t>13964a9c-fe6d-4b64-be94-3a7548870997,fb68f17f-4ba9-4a40-9cfe-6c3d536a9182</t>
  </si>
  <si>
    <t>6628e69d-7005-4bbe-a3a5-a2cc99698b73,cdff667a-a39a-40ac-a8f4-2f472cbdf00d</t>
  </si>
  <si>
    <t>0bdf2477-3a52-4cdc-9fbe-0ae77ff40912</t>
  </si>
  <si>
    <t>Leah Samuels,Mira Garner</t>
  </si>
  <si>
    <t xml:space="preserve">Need pole pruners 
Subcanopy leaves </t>
  </si>
  <si>
    <t>26b7e1db-8f50-43f9-aa1a-b23b49d92b19</t>
  </si>
  <si>
    <t>Quercus alba</t>
  </si>
  <si>
    <t>2023-09-15 17:03:15 UTC</t>
  </si>
  <si>
    <t>SRID=4326;POINT(-93.2002115 45.4243206)</t>
  </si>
  <si>
    <t>Cedar Creek</t>
  </si>
  <si>
    <t>BF</t>
  </si>
  <si>
    <t>4 pin oaks
2 red maple</t>
  </si>
  <si>
    <t xml:space="preserve">Unknown ferns 
Red pine seedlings 
</t>
  </si>
  <si>
    <t xml:space="preserve">Closed canopy forest 
In a depression next to the road </t>
  </si>
  <si>
    <t>f9cea524-aad6-41e2-8bc0-c1954c14810c</t>
  </si>
  <si>
    <t>e20e5196-3fdb-4f8c-988c-3947fa4b91c4</t>
  </si>
  <si>
    <t>df7270e8-d2a2-4670-9378-3a6aff43a991</t>
  </si>
  <si>
    <t>41c1473e-16cc-4eac-b2b2-936d996a8336</t>
  </si>
  <si>
    <t>Brett Fredericksen</t>
  </si>
  <si>
    <t>5c08f3dd-f10b-406f-85df-9e6af609898e</t>
  </si>
  <si>
    <t>2023-09-15 15:35:09 UTC</t>
  </si>
  <si>
    <t>SRID=4326;POINT(-93.1825429 45.3977715)</t>
  </si>
  <si>
    <t>Seeds ripening</t>
  </si>
  <si>
    <t>4 bur oaks, 1 quaking aspen</t>
  </si>
  <si>
    <t>Big blue stem, bergamot, pig weed, Virginia creeper, hazel</t>
  </si>
  <si>
    <t>Savanna. Open with mild north facing slope</t>
  </si>
  <si>
    <t>a9f6c896-e153-49dc-a165-1328c1f32391,65b71f07-5891-4141-b1bb-04662ebef088</t>
  </si>
  <si>
    <t>21a94d10-b3e6-49bf-a522-5e95261635c0</t>
  </si>
  <si>
    <t>defb7e7f-ed80-450b-bd51-e4c6b6a27523</t>
  </si>
  <si>
    <t xml:space="preserve">Plant 86 from acorn collection 2021. Tagged 2817 from another study. </t>
  </si>
  <si>
    <t>e0bef873-d607-4c96-b992-d09313776fe5</t>
  </si>
  <si>
    <t>2023-09-15 15:04:19 UTC</t>
  </si>
  <si>
    <t>SRID=4326;POINT(-93.1828171 45.3980073)</t>
  </si>
  <si>
    <t>1 pin oak, 3 chokeberry, 2 bur oaks. 1 cherry</t>
  </si>
  <si>
    <t>Solidarity canadensis, milkweed, hazel</t>
  </si>
  <si>
    <t>Forest edge near Savanah area.  Relatively flat and sandy</t>
  </si>
  <si>
    <t>5cd16b89-1fb8-49b1-ae14-0390daafa80f,22870816-ccc7-475d-9da1-57b42ec2869e</t>
  </si>
  <si>
    <t>83039afb-ddb8-4517-b7d6-5035d23b0ff7</t>
  </si>
  <si>
    <t>82cd3727-4652-46a0-9214-1cd0fa7ab964</t>
  </si>
  <si>
    <t>e345ea2b-8320-470b-b302-2fdb3fbff109</t>
  </si>
  <si>
    <t xml:space="preserve">Tree 85 from acorn collections. Tagged 101 from another study. </t>
  </si>
  <si>
    <t>55ec94ac-3b45-4bfa-97a4-12ba8122840d</t>
  </si>
  <si>
    <t>2023-09-15 14:58:27 UTC</t>
  </si>
  <si>
    <t>SRID=4326;POINT(-93.1830983 45.3990201)</t>
  </si>
  <si>
    <t>4 bur oak, 1 pin oak, 1 black cherry</t>
  </si>
  <si>
    <t>Hazel, buckthorn, sedges, milkweed, big bluestem</t>
  </si>
  <si>
    <t>Open savanna on a small rise. Very sandy</t>
  </si>
  <si>
    <t>e738881a-d066-4a44-aebc-9291bc5acbac,802ddeed-0034-4f67-b80a-5351d8f5c599</t>
  </si>
  <si>
    <t>ccd711b2-c83f-42e8-9c92-915b1f1db6bd</t>
  </si>
  <si>
    <t>8ed3d9ea-68bb-4652-b027-df35770e67c1</t>
  </si>
  <si>
    <t>Multi-stemed. Plant 82 in acorn collection</t>
  </si>
  <si>
    <t>ba6fff16-f927-4a30-b744-8398b89c0532</t>
  </si>
  <si>
    <t>2023-09-15 14:35:53 UTC</t>
  </si>
  <si>
    <t>SRID=4326;POINT(-93.1832759 45.4001406)</t>
  </si>
  <si>
    <t xml:space="preserve">3 bur oaks </t>
  </si>
  <si>
    <t>Hazel, bromus, small pin oaks, little blue stem</t>
  </si>
  <si>
    <t xml:space="preserve">Semiopen area with lots of downed woody debris </t>
  </si>
  <si>
    <t>d509c6e1-0f54-4a42-914e-817b808a4a00,c01bc1d6-6967-4df4-823b-82d7a3bd5e27</t>
  </si>
  <si>
    <t>df5dc1bc-03b8-41f7-a4a3-95994121aa1a,29354727-07d9-4e1a-b0d2-ec113e8771d9</t>
  </si>
  <si>
    <t>c2723610-857f-4940-8a9c-83c9f410ab19</t>
  </si>
  <si>
    <t>d1df390e-6750-42ec-9192-721d0ff09add</t>
  </si>
  <si>
    <t xml:space="preserve">Plant 89 acorn collections </t>
  </si>
  <si>
    <t>14317e10-079d-4c3b-b0b6-037bd35dac1d</t>
  </si>
  <si>
    <t>2023-09-14 19:01:47 UTC</t>
  </si>
  <si>
    <t>SRID=4326;POINT(-91.50763906582696 46.33254466263731)</t>
  </si>
  <si>
    <t xml:space="preserve">1 Aspen </t>
  </si>
  <si>
    <t xml:space="preserve">Quercus red oak group, fern, red maple, Ulmus sp., Sessile bellwort </t>
  </si>
  <si>
    <t xml:space="preserve">Lake forest, fairly dry, low underbrush, lots of small stems. Upland sand barrens </t>
  </si>
  <si>
    <t>f000e59f-6876-499e-aa0b-c4bb94490b5e,14a36231-9415-4485-b946-482d31c4883f</t>
  </si>
  <si>
    <t>0ef8e9dd-9c77-47da-aae2-d421d17db0f2</t>
  </si>
  <si>
    <t>3441442f-cc95-45a6-ab3f-55ddbba8b0f6</t>
  </si>
  <si>
    <t>a8105c1e-9d0b-43d0-93e8-d93a8108313a</t>
  </si>
  <si>
    <t>All trees at this site are tagged at the base</t>
  </si>
  <si>
    <t>3f88e73e-c584-4aae-9205-91fcb125b0a0</t>
  </si>
  <si>
    <t>2023-09-14 18:29:14 UTC</t>
  </si>
  <si>
    <t>SRID=4326;POINT(-91.50660711417501 46.331629874773725)</t>
  </si>
  <si>
    <t>Male flowers showing,Seeds ripening</t>
  </si>
  <si>
    <t xml:space="preserve">1 Spruce
4 red maple </t>
  </si>
  <si>
    <t>Red maple, Quercus macrocarpa, ferns, starflower, poaceae, ulmus sp.,</t>
  </si>
  <si>
    <t>d6987c25-aa89-4149-a70d-80aa522e28c0,56b84958-1809-4175-8063-a1ba0374536d,296dcb1f-9613-480b-998f-3748bcf20249,f5afeff0-5a25-44cb-8356-dfa1a2ed5078</t>
  </si>
  <si>
    <t>6ab56104-a2cf-45fd-836b-029d93491a6e</t>
  </si>
  <si>
    <t>bc188da8-b60b-43fa-8eec-f1a0f7cf725c</t>
  </si>
  <si>
    <t>7d8ff0e1-02fb-48f8-9ade-b06d13b07caa</t>
  </si>
  <si>
    <t>2023-09-14 18:25:37 UTC</t>
  </si>
  <si>
    <t>SRID=4326;POINT(-91.50712662429156 46.33213000138265)</t>
  </si>
  <si>
    <t xml:space="preserve">None over 10cm </t>
  </si>
  <si>
    <t xml:space="preserve">Red Maple 
White oak 
Fern, burr oak, starflower, milkweed, </t>
  </si>
  <si>
    <t>f77199fe-ec7a-40f6-8101-0d0946818c14,fe63d516-c74f-4177-b06e-9cae45cfc71d,5f852666-49d0-4a5b-bb02-31da33b21af3</t>
  </si>
  <si>
    <t>fb9746a9-c5cf-4307-b9ae-a0243e6a3d01</t>
  </si>
  <si>
    <t>de0bd81e-9aa0-4b3a-8393-f93945f8058f</t>
  </si>
  <si>
    <t>5e01ebe1-cee0-42d9-b7bd-bf51e0debb0a</t>
  </si>
  <si>
    <t>2023-09-14 17:29:39 UTC</t>
  </si>
  <si>
    <t>SRID=4326;POINT(-91.50784836547305 46.330648421679456)</t>
  </si>
  <si>
    <t xml:space="preserve">1 aspen </t>
  </si>
  <si>
    <t xml:space="preserve">Ulmus sp., fern, poaceae, wild sarsaparilla, early meadow rue, </t>
  </si>
  <si>
    <t xml:space="preserve">Lake forest, fairly dry, practically no foliage , lots of small stems. Upland sand barrens </t>
  </si>
  <si>
    <t>5f01903d-6aff-45bb-bf18-de8578d8af7b,f4fb128a-9123-49ad-96f1-72a02a3d77bd,4b9c52c2-da05-45f0-b1a8-b4976faab641</t>
  </si>
  <si>
    <t>f2a8ee23-e137-4e6a-8259-2acd5b1ae0a9</t>
  </si>
  <si>
    <t>5ce4567c-0360-412d-b905-ccd6aead4d9e</t>
  </si>
  <si>
    <t>2023-09-14 16:03:29 UTC</t>
  </si>
  <si>
    <t>SRID=4326;POINT(-91.50691587348588 46.33084630329239)</t>
  </si>
  <si>
    <t xml:space="preserve">3 spruce 
2 red maple </t>
  </si>
  <si>
    <t xml:space="preserve">Ulmus sp., ferns, poaceae, wood anemone, </t>
  </si>
  <si>
    <t>a1709c07-b1dd-4fcb-8080-a1d1c63d4633,22ea9bdc-12b4-4996-9445-6c7b865b2d6c,33813116-193a-4d9d-9608-0dc6b985588d,dbaa777d-096a-4ff5-8473-f988e1c83479</t>
  </si>
  <si>
    <t>8a82ae0a-4c81-405b-bb7c-038730f9e4c0</t>
  </si>
  <si>
    <t>4224c6c0-a1cb-4815-9c26-60aa3b2e7ed1</t>
  </si>
  <si>
    <t>4c67c379-808c-47ed-b8e1-2e851ba5a13a</t>
  </si>
  <si>
    <t>2023-09-14 14:55:39 UTC</t>
  </si>
  <si>
    <t>SRID=4326;POINT(-91.50697116764337 46.330664789169695)</t>
  </si>
  <si>
    <t xml:space="preserve">1 pinus sp. (Resinosa??
2 Quercus red oak group
2 Quercus macrocarpa </t>
  </si>
  <si>
    <t xml:space="preserve">Wood anemone, Rubus? </t>
  </si>
  <si>
    <t>ecb94907-1939-43c6-9163-cee203265729,680ee671-d44a-40ea-8fd3-5c9f8f60d128,bbeb3f06-92c8-480a-8887-443ed04a32f7,b8ccdb6e-7e75-4abf-b5ed-b2222f168aa2</t>
  </si>
  <si>
    <t>f7326873-078f-40a9-9fa3-a8168af1755f</t>
  </si>
  <si>
    <t>4a00edca-e778-4155-8b4b-07b993955747</t>
  </si>
  <si>
    <t xml:space="preserve">Untagged </t>
  </si>
  <si>
    <t>d7fc4465-24e1-46da-90b5-e0fa5fcac21c</t>
  </si>
  <si>
    <t>2023-09-13 14:24:49 UTC</t>
  </si>
  <si>
    <t>SRID=4326;POINT(-91.72294098074616 41.973951936463166)</t>
  </si>
  <si>
    <t>Cherokee Park</t>
  </si>
  <si>
    <t xml:space="preserve">No woody stems </t>
  </si>
  <si>
    <t xml:space="preserve">Grass, common plantain, dandelion </t>
  </si>
  <si>
    <t>Open park</t>
  </si>
  <si>
    <t>2dd0d39c-d4b8-4b82-ad91-d094a334408d,6d12d44f-af86-4ba2-b08f-b839f439e393</t>
  </si>
  <si>
    <t>fde4c971-f8f6-46df-b2e1-72c24af59dc4</t>
  </si>
  <si>
    <t>315b5598-f895-405e-b140-567062ab2313</t>
  </si>
  <si>
    <t>7c8f4608-f968-45ef-89c2-b142dbdc41b0,04a4569e-2c09-4d65-aad8-b1d3601570a2</t>
  </si>
  <si>
    <t>Briana Beatty,Klara Peterson,Leah Samuels,Mira Garner</t>
  </si>
  <si>
    <t>Subcanopy leaves, untagged left of trail</t>
  </si>
  <si>
    <t>48519282-dc52-4aec-9226-7d7af2ea55af</t>
  </si>
  <si>
    <t>2023-09-13 13:28:36 UTC</t>
  </si>
  <si>
    <t>SRID=4326;POINT(-91.72538346508685 41.97365906262195)</t>
  </si>
  <si>
    <t xml:space="preserve">Grass, clover and dandelions </t>
  </si>
  <si>
    <t xml:space="preserve">Open park area </t>
  </si>
  <si>
    <t>985dcad2-637f-408a-b827-55ce0fc53d58,8a10c826-f8da-4889-97f8-5cf08a358ebd</t>
  </si>
  <si>
    <t>ab98e09c-6546-4ff3-b44b-e4cbb0e17100</t>
  </si>
  <si>
    <t>e062d37a-a6e2-4c03-ba32-6f4c0e56cffa</t>
  </si>
  <si>
    <t>bafd32a1-84cf-4467-97f3-f4d4ec1ff47e,a441a7f2-c233-4770-b528-e4b75d342ab7</t>
  </si>
  <si>
    <t>Subcanopy, right of trail in park 
Unable to retrieve any usually oak roots from the four cores taken</t>
  </si>
  <si>
    <t>a53dab01-b61a-4ff1-a2e8-f9eb4e490c6f</t>
  </si>
  <si>
    <t>2023-09-11 14:49:49 UTC</t>
  </si>
  <si>
    <t>SRID=4326;POINT(-84.2090486978 38.2726536718)</t>
  </si>
  <si>
    <t>Briarbrooke Farm</t>
  </si>
  <si>
    <t>Caps on the ground,Seeds ripening</t>
  </si>
  <si>
    <t xml:space="preserve">2 Kingnut hickory </t>
  </si>
  <si>
    <t>Honeysuckle 
Poison ivy 
Ragweed
Common plantain
Sassafras 
Grass (pennisetum sp) 
Smooth ruellia</t>
  </si>
  <si>
    <t xml:space="preserve">Woodland pasture </t>
  </si>
  <si>
    <t>b8cf795e-524e-49a4-b418-d4b8b60c6fa5,968bfac1-2cbe-4683-a8f5-aac9104c4898,98dd5424-89c9-4adb-a0a0-77f3a4a1bee2,48f128dc-7b26-4c5c-bf63-e9d9291651a8</t>
  </si>
  <si>
    <t>6045b674-4010-4188-8be1-9d53b19a2cdd</t>
  </si>
  <si>
    <t>cc2056cc-93b0-4d8f-80a9-baac1e5bd405</t>
  </si>
  <si>
    <t>c81dbcce-5ec9-4019-9d30-8554e9cd3e64</t>
  </si>
  <si>
    <t>Andrew Hipp,"Drew Larson, Tom Kimmerer ",Leah Samuels,Mira Garner,Paul Manos</t>
  </si>
  <si>
    <t>d25e137b-4600-417a-b3eb-265d4cc43c24</t>
  </si>
  <si>
    <t>Quercus muehlenbergii</t>
  </si>
  <si>
    <t>2023-09-11 14:49:48 UTC</t>
  </si>
  <si>
    <t>SRID=4326;POINT(-84.2074907744 38.2716149441)</t>
  </si>
  <si>
    <t>N/a</t>
  </si>
  <si>
    <t>Poison ivy 
Virginia creeper 
Honeysuckle 
Euonymus sp.
Glechoma sp.
Burdock
Ambrosia sp.</t>
  </si>
  <si>
    <t>a65fdb22-8b65-49fc-9fa4-11f01056c319,b83bcf4b-78c7-4583-9f04-5a94b53d6449,a35724ca-1721-4d93-bab7-41c781caa05b</t>
  </si>
  <si>
    <t>0f85846d-562a-43da-8c78-9e8a9842c300,7ea8e0fa-7657-42e3-9a2f-7f93526a5329,edd31469-c3e6-48f1-a162-ff498d027132</t>
  </si>
  <si>
    <t>25fd96fd-17a0-4b0c-8b8d-f3e366692836</t>
  </si>
  <si>
    <t>1ad00443-859f-4f3f-97be-5e9b53a5a7a6,9a76baab-72a2-4f25-87b6-0ad4896ec30b</t>
  </si>
  <si>
    <t>9c46e737-d06d-40e8-9d7e-e553fed80beb</t>
  </si>
  <si>
    <t>2023-09-10 16:08:09 UTC</t>
  </si>
  <si>
    <t>SRID=4326;POINT(-86.35210896444062 36.376564287947176)</t>
  </si>
  <si>
    <t>Bledsoe Creek State Park</t>
  </si>
  <si>
    <t>Caps on the ground</t>
  </si>
  <si>
    <t xml:space="preserve">1 Quercus macrocarpa 
6 Juniper sp.
5 Fraxinus americana
1 Quercus muehlenbergii 
1 Celtis levigata
1 ulmus rubra </t>
  </si>
  <si>
    <t>Grasses</t>
  </si>
  <si>
    <t>Hillside forest, near river, low/thin foliage t</t>
  </si>
  <si>
    <t>643f7402-5109-487a-818c-992ff8cc47fc,795e39bc-e198-43b0-9754-dc0e8d26dad2,78fad273-b28f-455f-a7f9-8bfb91cf71ae,034a8675-f513-4fa1-ae8f-669472a3fb32,5f2deb8c-a95e-4e3b-b1f2-8dda6d39645b,954bccb5-1b24-4e6d-871c-290001ccde0f</t>
  </si>
  <si>
    <t>b358ca0c-49dc-453f-b7ff-9da3584dbddf</t>
  </si>
  <si>
    <t>84972245-a45a-4d28-8900-d75f17fcd1e2</t>
  </si>
  <si>
    <t>Andrew Hipp,Leah Samuels,Mira Garner</t>
  </si>
  <si>
    <t>8e117c28-6654-4cac-81d2-6fbe600bf0fe</t>
  </si>
  <si>
    <t>2023-09-10 15:51:12 UTC</t>
  </si>
  <si>
    <t>SRID=4326;POINT(-86.35129172425889 36.37746944293684)</t>
  </si>
  <si>
    <t>1 Acer saccharum 
1 Quercus red oak group (shumarii?) 
1 Fraxinus sp.</t>
  </si>
  <si>
    <t xml:space="preserve">Fern
Moss
Carex </t>
  </si>
  <si>
    <t xml:space="preserve">Hillside forest, sparse foliage, clear reservoir </t>
  </si>
  <si>
    <t>6e53dcc5-fe76-4881-932a-8e3ed93594b0,dd7fa155-8c6f-45ff-9084-314bbf3a0847</t>
  </si>
  <si>
    <t>1fcd8cd0-e341-4286-a928-c2ba3de97c73</t>
  </si>
  <si>
    <t>77a8fb44-0fef-4bd2-aa76-8f496752752a</t>
  </si>
  <si>
    <t xml:space="preserve">A little weird looking, AH thinks bicolor </t>
  </si>
  <si>
    <t>05fe2af6-263f-486f-8097-41cd7a1899e4</t>
  </si>
  <si>
    <t>2023-09-08 04:04:04 UTC</t>
  </si>
  <si>
    <t>SRID=4326;POINT(-73.38547694503644 42.084106793666336)</t>
  </si>
  <si>
    <t>5 Juniperus sp.
1 red oak 
1 Q. alba 
1 Fraxinus ?</t>
  </si>
  <si>
    <t xml:space="preserve">Christmas fern, Fraxinus, Acer, starflower, hylodesmum glutonosum </t>
  </si>
  <si>
    <t xml:space="preserve">Sparse forest in watershed basin </t>
  </si>
  <si>
    <t>097ac14c-84b1-4373-bcb3-4d2f97aaceba,8225d98c-9707-4a90-a880-1fb1a9e255f9</t>
  </si>
  <si>
    <t>ed8feeed-facd-403e-802c-954eda30a4a1</t>
  </si>
  <si>
    <t>d2d41e1a-8a8b-4803-ba93-684c11ccd508</t>
  </si>
  <si>
    <t>78cbe1f8-bbcd-40c0-97f8-bf23a5c5d47e</t>
  </si>
  <si>
    <t>Klara Peterson,Mira Garner</t>
  </si>
  <si>
    <t xml:space="preserve">Need pole pruners 
Subcanopy </t>
  </si>
  <si>
    <t>f5e64cb5-6ef5-41bc-b67a-5aca2a14d870</t>
  </si>
  <si>
    <t>2023-09-08 04:04:03 UTC</t>
  </si>
  <si>
    <t>SRID=4326;POINT(-94.78914219886065 38.980708293468346)</t>
  </si>
  <si>
    <t>2 Ulmus sp.
2 Carya sp.
1 Juglans sp.</t>
  </si>
  <si>
    <t>Honeysuckle, Virginia creeper, Ribes sp. Greenbriers</t>
  </si>
  <si>
    <t xml:space="preserve">Near stream, dense forested area </t>
  </si>
  <si>
    <t>ff18e245-7384-422f-8e28-cf25320caa2f,eb4a7e30-fc83-413a-8795-1d7e8be948d7,b8a9e096-07ed-4434-9631-e1404c021798</t>
  </si>
  <si>
    <t>2971401b-4cb5-4f97-b704-82a8d54ce8ac</t>
  </si>
  <si>
    <t>eb8b792f-b15f-49f7-8ffd-812af841f1b8</t>
  </si>
  <si>
    <t>c205c886-7a74-4188-88d8-07a487035407</t>
  </si>
  <si>
    <t>11352a1f-411a-411d-ab68-c54f96535ec9</t>
  </si>
  <si>
    <t>2023-09-08 04:04:02 UTC</t>
  </si>
  <si>
    <t>SRID=4326;POINT(-96.42940848 36.84668876)</t>
  </si>
  <si>
    <t xml:space="preserve">1 Q. Macrocarpa 
3 elm 
2 Q. muehlenbergii 
1 pin oak </t>
  </si>
  <si>
    <t xml:space="preserve">Aster, Virginia creeper, moonseed, legumes, grasses, hickories, </t>
  </si>
  <si>
    <t xml:space="preserve">Forested area, hillside, low dense foliage, near small creek </t>
  </si>
  <si>
    <t>2f5452ca-8fa2-4c4f-ba5c-cca6776d5ed1,01f94434-8552-46f8-a166-c9df804ec5e9,70483400-8fe6-421d-941e-8037a8772bb9</t>
  </si>
  <si>
    <t>0b12cd95-0c6e-40a3-a5f3-f299b3065137,148355b5-8855-419a-9935-82c6f623bae9</t>
  </si>
  <si>
    <t>bf3d4261-97c8-4678-988c-7bef3b8d1235</t>
  </si>
  <si>
    <t>1dd5bb0a-a7db-4f6e-a0b5-81ff11285d0c</t>
  </si>
  <si>
    <t xml:space="preserve">Low but sun exposed leaves </t>
  </si>
  <si>
    <t>3991375e-bc96-424c-af5a-4484a5188257</t>
  </si>
  <si>
    <t>SRID=4326;POINT(-76.0758041684293 44.099988201674165)</t>
  </si>
  <si>
    <t>Chaumont Barrens Nature Preserve</t>
  </si>
  <si>
    <t>1 Pinus 
1 Carya ovata 
1 Tilia sp.</t>
  </si>
  <si>
    <t xml:space="preserve">Honeysuckle, juniper, Carex, buckthorn </t>
  </si>
  <si>
    <t xml:space="preserve">Limestone deciduous forest </t>
  </si>
  <si>
    <t>71249444-77e2-4c8c-b289-26769b5ecaff,83b52bb5-cb86-44c9-827e-ca1404f94660</t>
  </si>
  <si>
    <t>c51fb5ad-1577-4c11-8994-3e2e1539cf89</t>
  </si>
  <si>
    <t>a732c71b-a0c0-4ffb-810b-22bcc457c719</t>
  </si>
  <si>
    <t>f18e693d-0de0-49c5-95b6-95231b1090d7</t>
  </si>
  <si>
    <t>branches accessible without pole pruners!</t>
  </si>
  <si>
    <t>928d7c92-516c-4ebe-b2bf-b0d47a85b33e</t>
  </si>
  <si>
    <t>2023-09-08 04:04:01 UTC</t>
  </si>
  <si>
    <t>SRID=4326;POINT(-76.07477981604269 44.10144686237359)</t>
  </si>
  <si>
    <t xml:space="preserve">4 Carya ovata 
1 Carya sp. </t>
  </si>
  <si>
    <t>Honeysuckle, 
Common buckthorn 
SolomonΓÇÖs seals 
Rosa sp.</t>
  </si>
  <si>
    <t xml:space="preserve">Dense shrubby forest, dry, near barrens </t>
  </si>
  <si>
    <t>271d4587-f3cd-4c38-ae90-0d2d58b03ee3,761abe83-5e3f-4d24-bedb-e4cf61f6b7c0,a738d585-2f82-4e59-b6b0-623426ec591d,95484cf6-e358-456e-9a6f-82defbc39402</t>
  </si>
  <si>
    <t>2e36ec7f-e056-4d9a-a585-53d95230c1eb</t>
  </si>
  <si>
    <t>64c19fa8-66c1-4758-af54-67a1a482e2e4</t>
  </si>
  <si>
    <t>fa8afb29-840d-4fe4-a5a8-6c7552fea517</t>
  </si>
  <si>
    <t xml:space="preserve">
Some small branches accessible without pole pruners </t>
  </si>
  <si>
    <t>60bc6650-47eb-4964-af4a-1876bcbc8c27</t>
  </si>
  <si>
    <t>2023-09-08 04:04:00 UTC</t>
  </si>
  <si>
    <t>SRID=4326;POINT(-73.35025861866153 42.055870760271375)</t>
  </si>
  <si>
    <t>Bartholomews Cobble</t>
  </si>
  <si>
    <t xml:space="preserve">1 Fraxinus 
1 Q. muehlenbergii 
5 Juniper 
</t>
  </si>
  <si>
    <t xml:space="preserve">Common buckthorn, poison ivy, SolomonΓÇÖs seal, aster? Herb Robert, columbine, privet, </t>
  </si>
  <si>
    <t xml:space="preserve">Hillside forest, south cobble </t>
  </si>
  <si>
    <t>716903bb-7e9d-44a2-af05-8b94f1f5f42d,9671b82e-5f24-4ffa-b0bb-88f35d387ff7</t>
  </si>
  <si>
    <t>bbdc9fe1-07ca-4a91-b69a-3533bdf66395</t>
  </si>
  <si>
    <t>9f43ac92-d7ff-4b07-ab4b-d4850d0e24a5</t>
  </si>
  <si>
    <t>70265632-3595-4ee9-912d-01eb321562af</t>
  </si>
  <si>
    <t xml:space="preserve">No accessible leaves, not sun leaves </t>
  </si>
  <si>
    <t>54792751-4693-486e-8d06-f5c6b715c72c</t>
  </si>
  <si>
    <t>2023-09-06 20:47:34 UTC</t>
  </si>
  <si>
    <t>SRID=4326;POINT(-94.7923466005314 38.981646169013324)</t>
  </si>
  <si>
    <t xml:space="preserve">4 Juniperus sp.
1 Carya ovata?
</t>
  </si>
  <si>
    <t xml:space="preserve">Honeysuckle, hyglodesmum glutinosum, Virginia creeper </t>
  </si>
  <si>
    <t xml:space="preserve">Near stream side of small hill, forested area </t>
  </si>
  <si>
    <t>d72e6738-8665-49c1-825e-8f9ed0f60baa,cb099bb9-8fb1-45aa-b738-b0394ed23976,0726c28f-e54f-4ba3-bc55-13126276f134</t>
  </si>
  <si>
    <t>e20e4276-0dc1-4be5-bc73-53990e33e293</t>
  </si>
  <si>
    <t>9eaa987b-696f-4e7e-91ed-63203667f908</t>
  </si>
  <si>
    <t>0c2c3091-be64-416c-a49e-6ad4b91a2278</t>
  </si>
  <si>
    <t>2023-09-06 15:43:29 UTC</t>
  </si>
  <si>
    <t>SRID=4326;POINT(-96.60305150793549 39.10783492498017)</t>
  </si>
  <si>
    <t xml:space="preserve">Konza Prairie Biological Station </t>
  </si>
  <si>
    <t xml:space="preserve">4 Juglans sp.
2 Q. macrocarpa 
1 Q. muehlenbergii </t>
  </si>
  <si>
    <t xml:space="preserve">Smilax, Virginia creeper, redbud, raspberry, coralberry, </t>
  </si>
  <si>
    <t xml:space="preserve">Edge of prairie and woodlands, limestone/gravel </t>
  </si>
  <si>
    <t>c10cd924-048a-43a5-b42d-088ae79352cc,cea77016-8797-4b3d-ae4f-0d73efd1694c,7eecf668-62e5-4cd9-a9da-25b9d0ad9ae3</t>
  </si>
  <si>
    <t>8b21ab04-21ab-494a-9c05-889e70ba1b9d</t>
  </si>
  <si>
    <t>52247763-c56b-4e4d-ac1f-8e42ee90f3e3</t>
  </si>
  <si>
    <t>Some accessible leaves and branches (w/o pole) 
3 stems - 14.1, 11.4, 15.6</t>
  </si>
  <si>
    <t>2e170a05-268f-4088-8c13-3f36feb6607e</t>
  </si>
  <si>
    <t>Quercus stellata</t>
  </si>
  <si>
    <t>2023-01-16 18:32:59 UTC</t>
  </si>
  <si>
    <t>SRID=4326;POINT(-90.8181057027 38.4628193828)</t>
  </si>
  <si>
    <t>Shaw Nature Reserve</t>
  </si>
  <si>
    <t>All</t>
  </si>
  <si>
    <t>None,Seeds ripening</t>
  </si>
  <si>
    <t>2 Q stellata
1 Fraxinus</t>
  </si>
  <si>
    <t>Cercis canadense</t>
  </si>
  <si>
    <t xml:space="preserve">Top of hill ΓÇö open woodland ; thin gravely soil on limestone </t>
  </si>
  <si>
    <t>8df654b2-461c-4c41-9be7-1c16cac951eb</t>
  </si>
  <si>
    <t>d47b5074-420c-4c83-9007-76fd5559da53</t>
  </si>
  <si>
    <t>fdb2c62b-1680-4028-a710-a3390bc2f936</t>
  </si>
  <si>
    <t>Alan Whittemore,Andrew Hipp,Brett Fredericksen,Heather McCarthy,Ian Pearse,Jeannine Cavender-Bares,Klara Peterson,Leah Samuels,Mira Garner,Paul Manos</t>
  </si>
  <si>
    <t>Open exposed leaves</t>
  </si>
  <si>
    <t>5e7e227a-a048-48bb-835f-0e297977f5a7</t>
  </si>
  <si>
    <t>2023-01-16 18:32:41 UTC</t>
  </si>
  <si>
    <t>SRID=4326;POINT(-90.8188608252 38.4638187082)</t>
  </si>
  <si>
    <t>None</t>
  </si>
  <si>
    <t xml:space="preserve">1 Q. rubra 
3 Fraxinus sp.
1 Scarlet oak? </t>
  </si>
  <si>
    <t xml:space="preserve">Hilltop, low vegetation, open woodland </t>
  </si>
  <si>
    <t>c24d7899-a18b-4f23-ab4d-dea380f9bcbb</t>
  </si>
  <si>
    <t>5c2ad0f7-72c4-4686-b099-df6c7b6fe11a</t>
  </si>
  <si>
    <t>2611295a-346e-47d8-b102-139a950fb369</t>
  </si>
  <si>
    <t>faad744f-2f53-422d-b271-f4fb446db919</t>
  </si>
  <si>
    <t>5029412c-f8c0-43df-93d2-82fd372837b2,8ced7e59-886b-4a69-af5b-1e8826b1888d</t>
  </si>
  <si>
    <t>Sun exposed leaves; 2 stems: 39+24</t>
  </si>
  <si>
    <t>64e1ab71-8022-4a79-a964-27a39c424580</t>
  </si>
  <si>
    <t>2023-01-16 18:32:25 UTC</t>
  </si>
  <si>
    <t>SRID=4326;POINT(-90.8140277166 38.46198499)</t>
  </si>
  <si>
    <t>2 Asimona triloba 
1 Ulmus rubra 
1 Celtis occidentalis 
1 Fraxinus biltmoriana?</t>
  </si>
  <si>
    <t>Wood nettle</t>
  </si>
  <si>
    <t xml:space="preserve">BottomlandΓÇöMeremac River floodplain </t>
  </si>
  <si>
    <t>894eb7e4-3487-419e-b1da-1b146d2d4544,5e3d68fa-c91e-4875-a181-86151a351e26</t>
  </si>
  <si>
    <t>f5f25d62-a89a-49c3-a625-2fe15d290e67</t>
  </si>
  <si>
    <t>10d2df9f-0ac3-4540-8187-759764467adf</t>
  </si>
  <si>
    <t>f9193afd-9a53-4894-886e-5fe99392cd0b</t>
  </si>
  <si>
    <t>5caa2a6c-d8cd-4f71-af8b-206a6f1dbaa6</t>
  </si>
  <si>
    <t>Mostly Subcanopy leaves</t>
  </si>
  <si>
    <t>6b4503cf-1342-4cda-b351-f752361e3e9d</t>
  </si>
  <si>
    <t>2023-01-16 18:31:57 UTC</t>
  </si>
  <si>
    <t>SRID=4326;POINT(-90.8203214408 38.4671766032)</t>
  </si>
  <si>
    <t>2 q stellata 
1 q coccinea 
1 q imbricaria</t>
  </si>
  <si>
    <t>Above Meramac River bluffs</t>
  </si>
  <si>
    <t>26c90fcc-a646-4187-84ad-1324345092a2,36347f11-92a9-43f6-825c-1024c5e4984c</t>
  </si>
  <si>
    <t>1aa4f813-c58e-4b51-8049-74b8b245954c</t>
  </si>
  <si>
    <t>6cbce405-4b1f-47f6-8a0b-81c0785ecc38</t>
  </si>
  <si>
    <t>676f79af-c091-4452-89af-514398096ccd</t>
  </si>
  <si>
    <t>2023-01-16 18:31:30 UTC</t>
  </si>
  <si>
    <t>SRID=4326;POINT(-90.8143587317 38.4619934393)</t>
  </si>
  <si>
    <t xml:space="preserve">1 Asimina triloba 
3 celtis occidentalis </t>
  </si>
  <si>
    <t xml:space="preserve">Bottomland - Mermac River Floodplain </t>
  </si>
  <si>
    <t>5f939829-c0f1-4396-a0ab-f861a77cf6af</t>
  </si>
  <si>
    <t>45156ae2-8002-44f3-b1fa-6a77b1c859f7</t>
  </si>
  <si>
    <t>642d4f71-4dc1-4545-9193-51d6dd9a1179</t>
  </si>
  <si>
    <t>97bb5deb-143e-4e03-a4c7-f76fc7300bcd</t>
  </si>
  <si>
    <t>07d4ef5c-393c-4cda-a2b7-ba6ef4bd8ac5</t>
  </si>
  <si>
    <t>d26acce2-6f41-4918-9b53-510bee336878</t>
  </si>
  <si>
    <t>Alan Whittemore,Andrew Hipp,Brett Fredericksen,Heather McCarthy,Ian Pearse,Jeannine Cavender-Bares,Klara Peterson,Leah Samuels,Mira Garner,Paul Manos,Peter Kennedy</t>
  </si>
  <si>
    <t xml:space="preserve">Subcanopy leaves </t>
  </si>
  <si>
    <t>7319bad4-c5df-4904-a77e-357e2e4a16c3</t>
  </si>
  <si>
    <t>2023-01-16 18:30:56 UTC</t>
  </si>
  <si>
    <t>SRID=4326;POINT(-90.8184761873 38.461933199)</t>
  </si>
  <si>
    <t>2 Q stellata
1 Q muehlenbergii
1 Fraxinus alba
1 Carya ovata</t>
  </si>
  <si>
    <t xml:space="preserve">Verbesina
Cercis
Rhus artomatica
Monarda </t>
  </si>
  <si>
    <t xml:space="preserve">Woodland savanna this soil on limestone </t>
  </si>
  <si>
    <t>791d186b-73c9-4c2d-8de7-5c7d2e26f041,279e7cf2-02a8-4507-b46d-55a44c7b557c</t>
  </si>
  <si>
    <t>b6c56242-5531-41a8-a00c-84d9fd691436</t>
  </si>
  <si>
    <t>2ab33959-1493-4518-bf5b-e104de7ce897</t>
  </si>
  <si>
    <t>Subcanopy some exposure</t>
  </si>
  <si>
    <t>99fdee26-a50e-4d85-ad76-7300d82c34dc</t>
  </si>
  <si>
    <t>2023-01-16 18:30:36 UTC</t>
  </si>
  <si>
    <t>SRID=4326;POINT(-90.8181440131 38.4626469683)</t>
  </si>
  <si>
    <t>2 Red oak 
1 Sugar maple
2 Fraxinus sp.</t>
  </si>
  <si>
    <t xml:space="preserve">Woodlands above Mermac River Floodlplains </t>
  </si>
  <si>
    <t>87c4568b-6f09-46c4-8203-6c6f93a188c4</t>
  </si>
  <si>
    <t>6284ff5b-59f9-49cf-83d8-0944b13e46af</t>
  </si>
  <si>
    <t>cc7b23da-f2d5-4469-a3d5-61ed4db13e82</t>
  </si>
  <si>
    <t>dcb7f203-360b-48e9-9063-24adc285fbbc,c7cabb4d-a617-4d83-93dc-41c220aa2568,ca0fd015-24a9-4067-a2ed-ddde35231860,405b1de5-f222-46d4-a8ca-060766e31bdb</t>
  </si>
  <si>
    <t>9bfa97fc-a0aa-4ce9-bc25-152ffeb34567</t>
  </si>
  <si>
    <t>2023-01-16 18:30:03 UTC</t>
  </si>
  <si>
    <t>SRID=4326;POINT(-90.8147495391 38.4617510625)</t>
  </si>
  <si>
    <t xml:space="preserve">1 Populus grandidentata 
1 Asimona triloba 
1 Ulnus rubra 
1 Platanus occidentalis 
1 Fraxinus americana 
3 Celtis occidentalis 
1 Q macrocarpa </t>
  </si>
  <si>
    <t xml:space="preserve">Bottomland ΓÇöMeramac river floodplain </t>
  </si>
  <si>
    <t>89a0d554-07b5-415b-b9c8-ac69a2d2c875</t>
  </si>
  <si>
    <t>582cb16c-10ad-4c3f-90f5-3a608d7b4253</t>
  </si>
  <si>
    <t>1fa5e2a4-5bcb-4aab-ae41-8d090841154a</t>
  </si>
  <si>
    <t>d6116d6e-b516-4cf3-b17b-35a52a86c6a5</t>
  </si>
  <si>
    <t>d1da4d83-eac8-43e8-b2de-a8b6c7eb9b99</t>
  </si>
  <si>
    <t>a017e24d-0c82-49e6-8c77-b56171110ac3</t>
  </si>
  <si>
    <t>Subcanopy leaves</t>
  </si>
  <si>
    <t>a7982436-dc6b-4e6e-a72e-e5c35077b0e1</t>
  </si>
  <si>
    <t>2023-01-16 18:28:48 UTC</t>
  </si>
  <si>
    <t>SRID=4326;POINT(-90.8182331138 38.461654275)</t>
  </si>
  <si>
    <t>2 sugar maples 
1 Q muehlenbergii</t>
  </si>
  <si>
    <t>Bluffs of Meramac River</t>
  </si>
  <si>
    <t>22de4622-bc98-4e82-82d6-97ffac69a2b5</t>
  </si>
  <si>
    <t>c1e02e94-ac2b-4ad1-a36c-a6d58c869a6b</t>
  </si>
  <si>
    <t>e763ea07-7f74-4c68-a65b-cd8effed2fd2</t>
  </si>
  <si>
    <t>0306e971-692e-4f2d-8195-924dcf095ebc,f2e54480-6572-4c59-b6d2-765f2c7ce39f,1cfbd5da-bc77-4917-9d12-77f1ee3d01e3</t>
  </si>
  <si>
    <t>acd33524-b0d6-45f6-890e-a338af827ba6</t>
  </si>
  <si>
    <t>2023-01-16 18:28:33 UTC</t>
  </si>
  <si>
    <t>SRID=4326;POINT(-90.8187684418 38.4627341526)</t>
  </si>
  <si>
    <t xml:space="preserve">7 Q. stellata </t>
  </si>
  <si>
    <t xml:space="preserve">Top of hill, open grasslands, near gravel </t>
  </si>
  <si>
    <t>8572ed10-ca40-4082-98d9-e90ab08a2ac0</t>
  </si>
  <si>
    <t>9d8d9685-45b3-4eef-b711-674e84c91382</t>
  </si>
  <si>
    <t>a3c5a2e5-5b12-48bf-afdb-d628ad722493</t>
  </si>
  <si>
    <t>2a9ebbc0-baf2-43ae-aa3d-f864b8fbf78a,63ada2f4-a557-4a10-ab64-16b091169550,7002cf18-3f97-4316-b232-71dd51402544</t>
  </si>
  <si>
    <t>b3ce5dd2-4d8c-44e8-93d0-d165f674518d</t>
  </si>
  <si>
    <t>2023-01-16 18:28:18 UTC</t>
  </si>
  <si>
    <t>SRID=4326;POINT(-90.8187676015 38.4641648534)</t>
  </si>
  <si>
    <t xml:space="preserve">7 Q. Stellata 
1 sugar maple 
1 red oak 
1 carya quartaformus </t>
  </si>
  <si>
    <t xml:space="preserve"> black oak, hog peanut </t>
  </si>
  <si>
    <t xml:space="preserve">Hilltop low vegetation, open woodland </t>
  </si>
  <si>
    <t>07135171-80ab-4240-a62b-db01f7834154,f1a5ead8-f7c9-40c8-977e-9aff270170cc</t>
  </si>
  <si>
    <t>f63c829b-e91e-41d1-b5d9-367f4c1a6941</t>
  </si>
  <si>
    <t>98b79fb2-23fe-4ea0-8110-bde06fbb8240</t>
  </si>
  <si>
    <t>e33a5217-477e-4717-b951-ad9c5aa0bba9</t>
  </si>
  <si>
    <t>d34fb903-a469-4c0d-8068-1e69b6726705,ff856feb-a591-4d47-a537-9cac322c870b</t>
  </si>
  <si>
    <t>Alan Whittemore,Andrew Hipp,Brett Fredericksen,Heather McCarthy,Jeannine Cavender-Bares,Klara Peterson,Leah Samuels,Mira Garner,Paul Manos</t>
  </si>
  <si>
    <t xml:space="preserve">Two stems - 37 and 38, subcanopy leaves partial Sun exposure </t>
  </si>
  <si>
    <t>b4495efa-9509-4516-89e1-6d381a126bcf</t>
  </si>
  <si>
    <t>2023-01-16 18:27:58 UTC</t>
  </si>
  <si>
    <t>SRID=4326;POINT(-90.8179360718 38.4629577965)</t>
  </si>
  <si>
    <t xml:space="preserve">2 Carya ovata
2 Acer saccharum 
1 Q rubra
1 Q muehlenbergii </t>
  </si>
  <si>
    <t xml:space="preserve"> Asarum canadense
Podophyllum mayapple
Parthenocissus</t>
  </si>
  <si>
    <t>Sloped woodlands</t>
  </si>
  <si>
    <t>0990b07a-be4c-4f02-8ae6-1df436d466d2</t>
  </si>
  <si>
    <t>8b9f5f6a-51a1-4835-9207-5832097c112d,83226981-2319-47d9-9dd5-a38d7d3eeae1</t>
  </si>
  <si>
    <t>613c70fd-3494-45b8-9134-c05b0741e050</t>
  </si>
  <si>
    <t>2 stems : 31+32</t>
  </si>
  <si>
    <t>ca32d480-7438-4143-8f4b-e6d5a114b5a9</t>
  </si>
  <si>
    <t>2023-01-16 18:27:33 UTC</t>
  </si>
  <si>
    <t>SRID=4326;POINT(-90.8145942779 38.462060584)</t>
  </si>
  <si>
    <t>2 Celtis occidentalis 
1 Carya ovata 
1 Acer negundo</t>
  </si>
  <si>
    <t xml:space="preserve">Lindera benzoin
Laportea canadensis
Elymus sp
Verbesina 
</t>
  </si>
  <si>
    <t xml:space="preserve">BottomlandΓÇöMeramac River Floodplain </t>
  </si>
  <si>
    <t>516b7350-8552-4e40-9085-fac16bf21985,d1cafdb3-9f34-41be-9f28-69d5d2e3c026</t>
  </si>
  <si>
    <t>3e6ae8fc-3fc1-4516-8c7c-27d6d8bd4831</t>
  </si>
  <si>
    <t>7f7ab3b2-d4a9-402f-b3b0-c29f86c59c4b</t>
  </si>
  <si>
    <t>cdc822c7-8d0d-4136-ae32-2cf1afb02709</t>
  </si>
  <si>
    <t>61dc14c6-c96a-460e-b227-d8e045732983</t>
  </si>
  <si>
    <t>cc4ff35f-a7e5-41e5-b21e-c89b22e0c4a9</t>
  </si>
  <si>
    <t>2023-01-16 18:26:58 UTC</t>
  </si>
  <si>
    <t>SRID=4326;POINT(-90.8175956384 38.4629311002)</t>
  </si>
  <si>
    <t>Asarum canadense
Podophyllum mayapple
Parthenocissus</t>
  </si>
  <si>
    <t>2183cd29-d788-44ed-8dab-01506415a9ae</t>
  </si>
  <si>
    <t>8c3166ca-857c-4263-9597-2354fa91d099</t>
  </si>
  <si>
    <t>e0b981dd-e78c-43b2-a92e-df89a47ff37e</t>
  </si>
  <si>
    <t>45cd14b1-61fe-4efd-90c2-06a7d555dc18,76d78658-23f7-48df-9139-aa7b407aa3ea,96cd0aa5-2a32-4922-8655-0267bb7dddae,83c47486-83b8-4227-81ef-3f767ebaf735</t>
  </si>
  <si>
    <t>Subcanopy leaves ; these associates are duplicates of 13 (by accident) but very similar</t>
  </si>
  <si>
    <t>cc9e0c40-fd4a-4867-aa2d-5fc7408b52b5</t>
  </si>
  <si>
    <t>2023-01-16 18:26:34 UTC</t>
  </si>
  <si>
    <t>SRID=4326;POINT(-90.8177969758 38.4624004585)</t>
  </si>
  <si>
    <t xml:space="preserve">9 Acer saccharum 
1 shagbark hickory 
2 carya ovata 
1 Elm (Ulmas rubra) </t>
  </si>
  <si>
    <t xml:space="preserve">Bluffs above Mermac River </t>
  </si>
  <si>
    <t>8ee98f73-88c7-449c-8fd7-430722ee37b2,343cd439-4426-424e-af9d-81bd011ccffd</t>
  </si>
  <si>
    <t>2da8b504-bc5a-42ec-af41-39cd6a0d66de</t>
  </si>
  <si>
    <t>e3d5ade8-f25c-49cb-a084-7e507bec54fc,0abb63e5-11ee-47c3-8387-07839f326ee1</t>
  </si>
  <si>
    <t>b6474748-977b-4a93-a270-ada20032fad6,aed500e8-87b8-49c1-baa0-a3b0279d89d2,3db6b40b-4f7f-4f64-a7cb-d0463c5df74a,eaa47ba7-ce78-4458-93db-d29f6b1a7bcb</t>
  </si>
  <si>
    <t>d3fc0b3a-eae7-4c96-9e7a-859fc2c84b2b</t>
  </si>
  <si>
    <t>2023-01-16 18:26:10 UTC</t>
  </si>
  <si>
    <t>SRID=4326;POINT(-90.8179823915 38.4627629706)</t>
  </si>
  <si>
    <t xml:space="preserve">1 Shagbark hickory 
1 Sugar maple 
1 Elm (ulma rubra?) </t>
  </si>
  <si>
    <t xml:space="preserve">Woodlands, above Mermac River </t>
  </si>
  <si>
    <t>8929b385-7812-46bc-ad00-0b5d14010974</t>
  </si>
  <si>
    <t>df184f16-3717-4057-b9fa-e3da75036a8a</t>
  </si>
  <si>
    <t>4ece8334-0e03-49f0-b947-b9ad513028c2</t>
  </si>
  <si>
    <t>fd432673-5895-4bab-9e9b-b33675861cd3</t>
  </si>
  <si>
    <t>a22fb63b-7d3b-4810-9308-ac5772b419d0,c0ef8e0a-0551-41c6-8ad7-90f75cbcc0e3,79dc0526-29ee-4e7b-9712-452437fe9325</t>
  </si>
  <si>
    <t>e6da452a-ae8b-4716-871e-8ce6a97d0d65</t>
  </si>
  <si>
    <t>2023-01-16 18:25:57 UTC</t>
  </si>
  <si>
    <t>SRID=4326;POINT(-90.813959955 38.4620826683)</t>
  </si>
  <si>
    <t xml:space="preserve">4 Asimona triloba 2 Acer negundo 4 Celtis occidentalis </t>
  </si>
  <si>
    <t xml:space="preserve">BottomlandΓÇöMeramac River floodplain </t>
  </si>
  <si>
    <t>29a7604d-bcbd-42f5-a842-e808fc855554</t>
  </si>
  <si>
    <t>48e7edc3-4410-4750-b0c5-f35ae171f35e</t>
  </si>
  <si>
    <t>e9e3e62a-e26a-4c77-9ab0-4ea12f7a9b44</t>
  </si>
  <si>
    <t>e754f424-81ea-44df-9880-3e8c39bfeb83</t>
  </si>
  <si>
    <t>2023-01-16 18:25:44 UTC</t>
  </si>
  <si>
    <t>SRID=4326;POINT(-90.8185350896 38.4630276868)</t>
  </si>
  <si>
    <t xml:space="preserve">1 Quercia imbricara 
1 q. Muehlenbergii
1 caryus sp. </t>
  </si>
  <si>
    <t xml:space="preserve">Brushy savanna </t>
  </si>
  <si>
    <t>93a73a31-2bdf-460c-af0c-d4b3a9507ab1,14149e5b-de31-4536-9f19-039999fd6123</t>
  </si>
  <si>
    <t>7b697626-b23b-4c64-b00e-759ab1d8fd0e</t>
  </si>
  <si>
    <t>e0cf3c2b-fe08-46ca-9a80-9dfb2b336e14</t>
  </si>
  <si>
    <t>be5ad92d-c5f8-4c8a-a837-a63697bfde0a,7c2b98cf-47c0-4e33-8c66-a0f2da0aa24d</t>
  </si>
  <si>
    <t>f2f9ca4f-7147-464f-8515-9a534cf675c2</t>
  </si>
  <si>
    <t>2023-01-16 18:25:26 UTC</t>
  </si>
  <si>
    <t>SRID=4326;POINT(-90.8183704732 38.4620951272)</t>
  </si>
  <si>
    <t>1 Q stellata 
2 Q muehlenbergii 
2 Cary ovata</t>
  </si>
  <si>
    <t xml:space="preserve">Q rubra
Lonicera
Desmodium
Monstra
Cercis
Rhus radicans
Rhus arromatica 
</t>
  </si>
  <si>
    <t xml:space="preserve">Open woodland / savanna / thin soil atop limestone </t>
  </si>
  <si>
    <t>9ddd986d-7480-4930-8e29-af030e1034b2</t>
  </si>
  <si>
    <t>2e6ff8b9-db77-428b-b1c1-bb9a8b52da62</t>
  </si>
  <si>
    <t>2f8a1038-2553-496f-b444-5c5e8b1c9309</t>
  </si>
  <si>
    <t>f63d27c1-4f84-4110-b161-d47813b88768</t>
  </si>
  <si>
    <t>2023-01-16 18:24:57 UTC</t>
  </si>
  <si>
    <t>SRID=4326;POINT(-90.8190405361 38.4611045182)</t>
  </si>
  <si>
    <t xml:space="preserve">carya ovata 1
Acer saccharum 1 
Celtis occidentalis 2 
fraxinus quadrangulata 1 </t>
  </si>
  <si>
    <t>Mermac river bluffs</t>
  </si>
  <si>
    <t>9158954c-c030-4de5-a0d0-048a0096fd8e</t>
  </si>
  <si>
    <t>10404a5b-deff-42d3-a651-4b75ccdd7891</t>
  </si>
  <si>
    <t>c6315712-f6c3-4fcf-a838-24fdee828f36</t>
  </si>
  <si>
    <t>580f2f1b-755a-4698-a257-e7ff8b3b1799,d7ea7005-31ed-48ba-abfa-fe2592c9de7d,4d1cafdd-2219-4b38-a70c-0df152559f85,95dac0ef-00a8-4d4a-9995-57b731f78ee9</t>
  </si>
  <si>
    <t>027c19f1-33d3-4ab4-af12-da9463db926b</t>
  </si>
  <si>
    <t>2023-01-16 18:24:13 UTC</t>
  </si>
  <si>
    <t>SRID=4326;POINT(-89.4129653209 37.6760035014)</t>
  </si>
  <si>
    <t>Oakwood Bottoms</t>
  </si>
  <si>
    <t xml:space="preserve">5 black oak 
2 American elm
1 carya or juglan 
1 hackberry 
1 unknown </t>
  </si>
  <si>
    <t xml:space="preserve">Bottomlands forest, floodplains </t>
  </si>
  <si>
    <t>52d725e8-c52a-4733-9a44-19b1394bac96,b22f1998-eb0e-40de-ae2f-314c3cc6334d</t>
  </si>
  <si>
    <t>afd32b8f-54c0-400d-92d2-2127a0098c7a</t>
  </si>
  <si>
    <t>498dacab-6398-4f48-8c13-dce272c4d678</t>
  </si>
  <si>
    <t>9eebfad7-54dd-488a-bb15-d3275820847d</t>
  </si>
  <si>
    <t>78403235-b41a-44d0-8ee7-5eb9fa9d3fe0,60bd899c-6380-48ce-8bc7-298aea887edd</t>
  </si>
  <si>
    <t>d73c56a9-a9c6-4a75-a66d-db8520fdd1e2</t>
  </si>
  <si>
    <t>Alan Whittemore,Andrew Hipp,Brett Fredericksen,Heather McCarthy,Jeannine Cavender-Bares,Klara Peterson,Leah Samuels,Mira Garner,Paul Manos,Peter Kennedy</t>
  </si>
  <si>
    <t xml:space="preserve">Subcanopy leaves 
Associated tree photo of unknown </t>
  </si>
  <si>
    <t>0c93c3ed-6470-4053-9d26-7cbbf581fda0</t>
  </si>
  <si>
    <t>2023-01-16 18:24:00 UTC</t>
  </si>
  <si>
    <t>SRID=4326;POINT(-89.4133677558 37.6807815346)</t>
  </si>
  <si>
    <t xml:space="preserve">2 Q. lyrata 
6 Pin oaks
1 American elm 
1 Ash (picture below) </t>
  </si>
  <si>
    <t xml:space="preserve">Forest bottomlands, floodplain </t>
  </si>
  <si>
    <t>29ca8d5c-681b-48a5-9a62-166202595b60,eac232a5-6eb5-459d-8f60-578fe610bd10</t>
  </si>
  <si>
    <t>2dc18461-2da9-4f36-869a-e135d0aa6abb</t>
  </si>
  <si>
    <t>57ffb35e-fec4-472f-add9-1143300628a1</t>
  </si>
  <si>
    <t>f728a239-cf22-43db-99d0-05a5d67a109e,c670a0e1-f89c-487f-b423-7efcb7139bac</t>
  </si>
  <si>
    <t>4903aee6-d3eb-4802-9dd4-2a949d94f14c</t>
  </si>
  <si>
    <t>2023-01-16 18:23:47 UTC</t>
  </si>
  <si>
    <t>SRID=4326;POINT(-89.4135024985 37.676094235)</t>
  </si>
  <si>
    <t>1 Silver maple (Acer saccharinum) 
1 sweetgum 
1 pin oak
1 Ulmus SP. (Maple elm) 
1 hackberry</t>
  </si>
  <si>
    <t xml:space="preserve">Bottomland forest, floodplain </t>
  </si>
  <si>
    <t>40d33234-2fc6-4d7a-b714-067be70d5d35,a54cdb0c-063e-49a9-9209-28fe611d6f40</t>
  </si>
  <si>
    <t>3b725776-32e9-449f-b9cc-b70fd7f5d7fa</t>
  </si>
  <si>
    <t>1dc75978-3c31-4422-836d-bf4b4b346e3b</t>
  </si>
  <si>
    <t>f8ca13e5-31e6-4cc4-9161-48f0697b6271</t>
  </si>
  <si>
    <t>1241f7fa-5c95-4be5-a678-a8bb06509230</t>
  </si>
  <si>
    <t>94d2b6a7-aa30-4066-af60-f772ee107f06</t>
  </si>
  <si>
    <t>2023-01-16 18:23:25 UTC</t>
  </si>
  <si>
    <t>SRID=4326;POINT(-89.4127592538 37.6817841037)</t>
  </si>
  <si>
    <t>3 Celtis laevigata
3 liquidambar
1 Ulnas rubra</t>
  </si>
  <si>
    <t>18a1f5fa-fa38-4ff6-b5f0-f5a9b1b96682,ade42454-53fe-4242-a9a7-157040ad651b</t>
  </si>
  <si>
    <t>9eaa2b94-654a-4e3f-b8e0-4de4b74d7de0</t>
  </si>
  <si>
    <t>f33d0e15-fdf4-4073-97d9-299986098acc</t>
  </si>
  <si>
    <t>eaa0706e-79c0-4192-bb3a-7c55777aa6ac</t>
  </si>
  <si>
    <t>07644db4-41dc-4709-8953-f9b83c263f1d,ee63d76b-d13e-473e-8485-d8b4cd440006</t>
  </si>
  <si>
    <t>Alan Whittemore,Andrew Hipp,Brett Fredericksen,Heather McCarthy,Klara Peterson,Leah Samuels,Mira Garner,Paul Manos,Peter Kennedy</t>
  </si>
  <si>
    <t xml:space="preserve">Bottom of canopy leaves </t>
  </si>
  <si>
    <t>978844ee-c38b-4f28-85ac-8982fa943cc1</t>
  </si>
  <si>
    <t>2023-01-16 18:23:14 UTC</t>
  </si>
  <si>
    <t>SRID=4326;POINT(-89.4134857888 37.6767197732)</t>
  </si>
  <si>
    <t xml:space="preserve">4 Q Lyrata
2 Q palustris 
1 Fraxinus
4 Liquidambar
1 Q macrocarpa </t>
  </si>
  <si>
    <t xml:space="preserve"> Bottomland </t>
  </si>
  <si>
    <t>3611b2ff-c63a-4639-8460-56a1198a28ed,e4034891-7f2e-4311-a8ff-66b660554894</t>
  </si>
  <si>
    <t>2705ac2b-ca74-4981-8436-890b37bdf317</t>
  </si>
  <si>
    <t>5534494f-a45f-48b9-b27a-d09e090ca64f</t>
  </si>
  <si>
    <t>Alan Whittemore,Andrew Hipp,Brett Fredericksen,Heather McCarthy,Klara Peterson,Leah Samuels,Mira Garner,Paul Manos</t>
  </si>
  <si>
    <t>aa6ceb98-dd63-46c8-a72f-edd2163747b5</t>
  </si>
  <si>
    <t>2023-01-16 18:22:56 UTC</t>
  </si>
  <si>
    <t>SRID=4326;POINT(-89.4128222279 37.676818275)</t>
  </si>
  <si>
    <t>1 Q macrocarpa 
2 Q palustris
2 Liquidambar</t>
  </si>
  <si>
    <t>Bottomland-flats</t>
  </si>
  <si>
    <t>87bcc65f-5644-41dd-a2a2-17aba0062838,ccef5a32-2b07-47ab-b827-3a2dd2feb618</t>
  </si>
  <si>
    <t>1c6fc72a-545f-43b0-a81e-ff30f7b3ee94</t>
  </si>
  <si>
    <t>47e6677b-c3df-4d6f-97f8-c9c9c1a3ca53</t>
  </si>
  <si>
    <t>ae4e3061-2b99-4b95-bb36-02923aaad57c</t>
  </si>
  <si>
    <t>2023-01-16 18:22:45 UTC</t>
  </si>
  <si>
    <t>SRID=4326;POINT(-89.4120720262 37.685248733)</t>
  </si>
  <si>
    <t>1 Q lyrata
1 Celtis occidentalis
1 Ulmus rubra
1 Fraxinus Pennsylvania</t>
  </si>
  <si>
    <t>Floodplain</t>
  </si>
  <si>
    <t>9d45c7cc-9999-4deb-adcf-24fb539056d0</t>
  </si>
  <si>
    <t>1036edb7-3f8c-400a-a866-1f0d6f990a16</t>
  </si>
  <si>
    <t>b87d5ebf-e5eb-4431-9bc3-f0f07db642a7</t>
  </si>
  <si>
    <t>Subcanopy partially Sun exposed leaves</t>
  </si>
  <si>
    <t>cc43ef9c-73fd-4f6d-9102-a3ddae8f9ae3</t>
  </si>
  <si>
    <t>2023-01-16 18:22:31 UTC</t>
  </si>
  <si>
    <t>SRID=4326;POINT(-89.4131286917 37.6805839037)</t>
  </si>
  <si>
    <t>Caps on ground</t>
  </si>
  <si>
    <t xml:space="preserve">3 Q lyrata
1 Liquidambar styraciflua
1 Diospyros virginiana (persimmon)
1 Q macrocarpa </t>
  </si>
  <si>
    <t xml:space="preserve">Rhus radicans </t>
  </si>
  <si>
    <t xml:space="preserve">Bottomland floodplain </t>
  </si>
  <si>
    <t>aac948d1-43db-4572-91b1-9eace19c786f,c0392980-c203-4a81-bb2f-0dfc39d23da3,e2e2ca8e-a3cd-4047-8bb7-6e6700280121,248e37e5-0f61-43d5-ae81-96992f9c5a2b</t>
  </si>
  <si>
    <t>5741cf8d-aeec-40df-91ca-9ae39614e507</t>
  </si>
  <si>
    <t>6da45ac2-49f8-4b30-a8e0-69d59d740c8f</t>
  </si>
  <si>
    <t>62a15d7c-2b9c-41d7-adf7-ebcf49f5352b</t>
  </si>
  <si>
    <t>c1684fd5-ee2d-4044-8964-64efd54180ce</t>
  </si>
  <si>
    <t>d86d8a79-b108-4cc1-bccc-1f361c7f4c93</t>
  </si>
  <si>
    <t>2023-01-16 18:22:09 UTC</t>
  </si>
  <si>
    <t>SRID=4326;POINT(-89.4130186737 37.6811698778)</t>
  </si>
  <si>
    <t>3 pin oaks
3 Elm (Americana) 
1 hackberry (Celtis laevigata)</t>
  </si>
  <si>
    <t xml:space="preserve">Forest bottomlands, floodplains </t>
  </si>
  <si>
    <t>27c50732-1c01-4b91-ab64-4a6b976dcd79,038123e8-8447-4e4d-b87a-cd7a814dbb10</t>
  </si>
  <si>
    <t>881374c0-611f-4318-adb2-840a51adb2dc</t>
  </si>
  <si>
    <t>2d706261-0b61-4996-ad95-744f08a60382</t>
  </si>
  <si>
    <t>7dd00f2f-5765-45f0-9ff3-059747bd4a4b</t>
  </si>
  <si>
    <t xml:space="preserve">Leaves strongly macrocarpa 
Subcanopy </t>
  </si>
  <si>
    <t>f119d3bc-a52f-443d-bd80-f44aff40e527</t>
  </si>
  <si>
    <t>2023-01-16 18:21:53 UTC</t>
  </si>
  <si>
    <t>SRID=4326;POINT(-89.4111440402 37.6854805103)</t>
  </si>
  <si>
    <t>2 Ulmus americana 
Q falcata</t>
  </si>
  <si>
    <t xml:space="preserve">Camp site ΓÇö floodplain </t>
  </si>
  <si>
    <t>e0b890ea-efda-49a0-b055-496ceee84700,a32468cd-175a-424e-a1e1-0339f65ef149</t>
  </si>
  <si>
    <t>e390eb7d-c60f-4cec-ae2a-5cdcda4bd92e</t>
  </si>
  <si>
    <t>d1b66387-3d92-428a-acb8-e25709a6bef0</t>
  </si>
  <si>
    <t>Sun exposed leaves</t>
  </si>
  <si>
    <t>18a71576-c880-4730-9f09-9ac4ce66d627</t>
  </si>
  <si>
    <t>2023-01-16 18:21:32 UTC</t>
  </si>
  <si>
    <t>SRID=4326;POINT(-89.2902923088 36.6414566245)</t>
  </si>
  <si>
    <t>Big Oak Tree State Park</t>
  </si>
  <si>
    <t>1 Ulmus rubra 
1 Celtis laevigata 
1 taxodium distichum</t>
  </si>
  <si>
    <t xml:space="preserve">Near water, shrubby area </t>
  </si>
  <si>
    <t>b825e20b-b053-446e-ae5e-d0dac6957075,89daf2df-2428-48df-8b46-62f0db6461fc</t>
  </si>
  <si>
    <t>0caafac5-643c-4b8f-9035-8ddad364ea9b</t>
  </si>
  <si>
    <t>824af56d-5ba3-4634-97ff-688c41dfc731</t>
  </si>
  <si>
    <t xml:space="preserve">Leaves from very top
Might not be bicolor
DBH 1meter above </t>
  </si>
  <si>
    <t>1a3a080b-36b2-4966-a811-18efc9f2cc8c</t>
  </si>
  <si>
    <t>2023-01-16 18:21:15 UTC</t>
  </si>
  <si>
    <t>SRID=4326;POINT(-89.2874498394 36.6428729142)</t>
  </si>
  <si>
    <t xml:space="preserve">6 Acer nagundo </t>
  </si>
  <si>
    <t xml:space="preserve">Dry forest area </t>
  </si>
  <si>
    <t>358b6bc8-e807-4c2c-813a-bcdf94ae6969,6fa7792a-e98f-4823-b98b-6fa36eef0293</t>
  </si>
  <si>
    <t>e659bbaa-0bda-4263-8971-9ccc406b7180</t>
  </si>
  <si>
    <t>709359d8-2366-4bf6-b384-8a59dada0edd</t>
  </si>
  <si>
    <t>2911e283-d974-4f2d-9267-eb773ab74180</t>
  </si>
  <si>
    <t>2023-01-16 18:20:55 UTC</t>
  </si>
  <si>
    <t>SRID=4326;POINT(-89.2945674 36.6451961)</t>
  </si>
  <si>
    <t>Acer negundo 1, Celtis sp 5, ulmus americana 2, QUEMAC 2, morus rubra 1</t>
  </si>
  <si>
    <t>3a4d606b-11db-48d5-888f-1e7ee5954107</t>
  </si>
  <si>
    <t>2023-01-16 18:20:40 UTC</t>
  </si>
  <si>
    <t>SRID=4326;POINT(-89.286806458 36.6442307267)</t>
  </si>
  <si>
    <t xml:space="preserve">Open area, flat, near parking lot, former bottomlands </t>
  </si>
  <si>
    <t>f3b966a2-e222-49d8-b22d-01edd9dff84d,fd3bcadb-d6eb-4422-9f7f-93eecbe90201,e339c3a9-1221-467d-9e6f-6846fdcbbe7c</t>
  </si>
  <si>
    <t>24e61f65-40fb-4d0a-bc91-bda06b8e94b0,c6e10150-c863-4f8c-89cb-8db350cd9a9a</t>
  </si>
  <si>
    <t>4e8c9a3a-e178-4b56-b54e-081bc272f73b</t>
  </si>
  <si>
    <t>653b990a-32ae-47f2-9a3a-7300b7c7719d</t>
  </si>
  <si>
    <t>2023-01-16 18:20:23 UTC</t>
  </si>
  <si>
    <t>SRID=4326;POINT(-89.2927350105 36.6450267518)</t>
  </si>
  <si>
    <t>Paw paw 1, Quercus macrocarpa 1, Quercus lyrata 1, Celtis laevigata 1, Ilex decidua (1)</t>
  </si>
  <si>
    <t>Brushy low forest</t>
  </si>
  <si>
    <t>c7d79e3c-bb29-4153-acfa-83149ad5c9fa</t>
  </si>
  <si>
    <t>da746f68-333a-466b-8b81-10478ca087fc</t>
  </si>
  <si>
    <t>6219dc7a-8a91-4ca3-8096-f4e0a32aa95a</t>
  </si>
  <si>
    <t>68ccaf9c-07e6-428e-857d-6298164d8419</t>
  </si>
  <si>
    <t>2023-01-16 18:17:36 UTC</t>
  </si>
  <si>
    <t>SRID=4326;POINT(-89.2949813 36.6448009)</t>
  </si>
  <si>
    <t>Populus deltoides 2, Celtis occidentalis 1 Celtis sp 2, Celtis laevigata 1</t>
  </si>
  <si>
    <t>75caadf4-29e0-45ec-b012-54fcccb67c78</t>
  </si>
  <si>
    <t>2023-01-16 18:16:38 UTC</t>
  </si>
  <si>
    <t>SRID=4326;POINT(-89.2870073768 36.6434907098)</t>
  </si>
  <si>
    <t>1 gymnocladus 
1 ash (sp) fraxinus profunda
1 liquidambar stiracifua</t>
  </si>
  <si>
    <t xml:space="preserve">Forested area, fairly dry, </t>
  </si>
  <si>
    <t>31bfbe50-f3dd-4a79-bfcb-e1e6b967351b,7ba727fe-2cf4-40b1-987a-5d29754e8b45</t>
  </si>
  <si>
    <t>56605562-7c2a-48e5-a97e-fc5be84684df</t>
  </si>
  <si>
    <t>92a9ca50-7c72-421c-aa7b-925f254d044f</t>
  </si>
  <si>
    <t>7f94749e-44d3-4c63-aafb-02b9ced192cd</t>
  </si>
  <si>
    <t>2023-01-16 18:16:23 UTC</t>
  </si>
  <si>
    <t>SRID=4326;POINT(-89.2929525209 36.6448734049)</t>
  </si>
  <si>
    <t>Quercus lyrata 2, Carya sp. 1, Celtis laevigata 1, Ilex decidua (1)</t>
  </si>
  <si>
    <t>368812e0-a23e-4ecc-b9b4-1cd4e9be26ad</t>
  </si>
  <si>
    <t>1a53bf16-965a-4db2-bfbc-ad2ac43be140</t>
  </si>
  <si>
    <t>5bb56b98-e616-461d-b49c-fe1b83785fec</t>
  </si>
  <si>
    <t>8bfc7757-c4a4-4e89-8d0d-6763efc7132e</t>
  </si>
  <si>
    <t>2023-01-16 18:15:57 UTC</t>
  </si>
  <si>
    <t>SRID=4326;POINT(-88.9170551767 37.3571436899)</t>
  </si>
  <si>
    <t>Heron Pond Nature Preserve</t>
  </si>
  <si>
    <t xml:space="preserve">3 Deciduous holly </t>
  </si>
  <si>
    <t xml:space="preserve">Bottomlands, dense forest, near river </t>
  </si>
  <si>
    <t>6a963ef8-eb0f-4b3e-89bc-b5feea0ac25e,409e6304-7092-44bc-bc84-5acf472b5186</t>
  </si>
  <si>
    <t>65c8c1ee-58ce-44f7-81f1-30ed3c161049</t>
  </si>
  <si>
    <t>569ca669-3a3b-4283-b728-db04e6ebf681</t>
  </si>
  <si>
    <t xml:space="preserve">Super low leaves </t>
  </si>
  <si>
    <t>8d965792-266d-45c0-adce-c046b4c3e036</t>
  </si>
  <si>
    <t>2023-01-16 18:15:42 UTC</t>
  </si>
  <si>
    <t>SRID=4326;POINT(-89.2904011024 36.6410167541)</t>
  </si>
  <si>
    <t xml:space="preserve">3 celtis laevigata
1 Ulmus rubra 
4 Carya sp.
1 Acer saccharinum </t>
  </si>
  <si>
    <t xml:space="preserve">Forest, dry, former bottomlands </t>
  </si>
  <si>
    <t>ede18fe6-a6b5-4265-9c5c-21b95d15f406,db6af9c5-dfea-460b-812e-5d5252554782</t>
  </si>
  <si>
    <t>24ddf7b0-a829-41a2-aef9-9cd190b8216c</t>
  </si>
  <si>
    <t>c3e5f180-faba-4908-8671-335b165a4eda</t>
  </si>
  <si>
    <t xml:space="preserve">Might not be bicolor </t>
  </si>
  <si>
    <t>a19f1ed3-e44a-4ed4-ad54-5f39865ddd8a</t>
  </si>
  <si>
    <t>2023-01-16 18:15:30 UTC</t>
  </si>
  <si>
    <t>SRID=4326;POINT(-89.2875891565 36.6430858856)</t>
  </si>
  <si>
    <t>5 Celtis laevigata
1 Asimina triloba 
1 Elm sp.</t>
  </si>
  <si>
    <t>Drier site, forest area</t>
  </si>
  <si>
    <t>2bea3b0a-363a-4056-8407-73232e4b23b0,5ca5faab-6418-41e2-904d-f40f883e45a3</t>
  </si>
  <si>
    <t>1be73568-b795-412b-a7f7-91e973897a42</t>
  </si>
  <si>
    <t>459c8a8d-09d0-488c-a436-9ea5ab955cbb</t>
  </si>
  <si>
    <t>a6505416-c45b-4956-9b87-5e777c7ac231</t>
  </si>
  <si>
    <t>2023-01-16 18:15:15 UTC</t>
  </si>
  <si>
    <t>SRID=4326;POINT(-89.2908359227 36.6441424191)</t>
  </si>
  <si>
    <t>1 Q macrocarpa, 6 Celtis laevigata, 2 pawpaw</t>
  </si>
  <si>
    <t xml:space="preserve">Dense bottomland floodplain mixed deciduous forest </t>
  </si>
  <si>
    <t>1627d2e8-13a5-41f9-b42c-22670db13533</t>
  </si>
  <si>
    <t>b665d4d2-b6ac-4df7-a160-c55b09405895</t>
  </si>
  <si>
    <t>f1f4c8f8-e05e-48d1-b0fc-3e2a8b978de6</t>
  </si>
  <si>
    <t>d7661577-2017-44f0-b203-b40101e73d7c</t>
  </si>
  <si>
    <t>2023-01-16 18:14:56 UTC</t>
  </si>
  <si>
    <t>SRID=4326;POINT(-89.2909712066 36.6446370771)</t>
  </si>
  <si>
    <t>10 Celtis laevigata, 2 Carya, 1 Q velutina</t>
  </si>
  <si>
    <t xml:space="preserve">Dense bottomland floodplain </t>
  </si>
  <si>
    <t>8f36c0ee-e13f-4330-b113-b654706af981</t>
  </si>
  <si>
    <t>65a5e01e-44c3-4a98-b19b-b69897837b6f</t>
  </si>
  <si>
    <t>abdf0fd0-0611-4ef7-bd59-582d18b8186c</t>
  </si>
  <si>
    <t>a14e166b-c0e0-4182-a837-04d90b5ecad1,1d24a176-3430-4d01-8cfc-16e166315f23</t>
  </si>
  <si>
    <t>a2a69778-0ae9-4ca8-b5d1-188ae37c6ea4,3a5d30bf-ae6e-4353-b7a0-497ee469ce29,e828280e-96de-4051-89b6-918bf3bb3f7c</t>
  </si>
  <si>
    <t>Sad leaves</t>
  </si>
  <si>
    <t>d7d120d5-cc29-42d6-b0be-8baa4810f095</t>
  </si>
  <si>
    <t>2023-01-16 18:14:42 UTC</t>
  </si>
  <si>
    <t>SRID=4326;POINT(-89.2865634392 36.644272849)</t>
  </si>
  <si>
    <t xml:space="preserve">1 liquidambar stiraciflua </t>
  </si>
  <si>
    <t>Open area, former bottomlands, near picnic area</t>
  </si>
  <si>
    <t>e2faef30-b9a5-4620-a5d1-68f8dccf00d0,8fa78a43-7ad3-45eb-ae75-8fb5d313a76f</t>
  </si>
  <si>
    <t>15f14db3-6a2d-470c-9030-7ff43608abdd,ef58168f-abd9-43b1-840a-aa9f12e49cd0,8d442a33-c6cc-4bfa-89f1-fe7afa0b371a</t>
  </si>
  <si>
    <t>aa61a285-b71b-441d-8f1b-9e692a455b61</t>
  </si>
  <si>
    <t>e236f529-20ab-4ad5-9dab-949e4a813cd6</t>
  </si>
  <si>
    <t>2023-01-16 18:14:23 UTC</t>
  </si>
  <si>
    <t>SRID=4326;POINT(-89.2908082624 36.6439188319)</t>
  </si>
  <si>
    <t>3 Pawpaw, 10 Celtis laevigata, Q macrocarpa</t>
  </si>
  <si>
    <t xml:space="preserve">Dense bottomland mixed deciduous forest </t>
  </si>
  <si>
    <t>f3fa227d-16e2-4984-ae13-e83715e87b3f</t>
  </si>
  <si>
    <t>f66ccef3-c7a6-4211-8820-d134f141614f,40a13f45-1c50-40f4-95ef-4804e1941d4b</t>
  </si>
  <si>
    <t>05418a36-492e-411c-b6b6-0881d0b1ff52</t>
  </si>
  <si>
    <t>3b84236a-0c26-40e0-8f0b-0446c6dc6245,07f6b78a-092b-44c0-b88a-452147de3ccc</t>
  </si>
  <si>
    <t>f5f93417-5d60-4de4-bd58-c1ddb382dd37</t>
  </si>
  <si>
    <t>2023-01-16 18:14:03 UTC</t>
  </si>
  <si>
    <t>SRID=4326;POINT(-89.2904101008 36.6408978714)</t>
  </si>
  <si>
    <t xml:space="preserve">2 Celtis laevigata 
4 elm sp? </t>
  </si>
  <si>
    <t xml:space="preserve">Forest, dry, a bit open </t>
  </si>
  <si>
    <t>a7735878-ab51-4590-b066-53e42c306cf9,d3914901-793b-451d-a381-021a2d879b13</t>
  </si>
  <si>
    <t>18731de6-e408-4195-baed-6f6264efe259</t>
  </si>
  <si>
    <t>2023-01-16 18:13:45 UTC</t>
  </si>
  <si>
    <t>SRID=4326;POINT(-93.6304099766 42.0337137904)</t>
  </si>
  <si>
    <t>Brookside Park</t>
  </si>
  <si>
    <t>2 Morus Alba</t>
  </si>
  <si>
    <t>Forested park</t>
  </si>
  <si>
    <t>895bd962-c237-4abd-9831-3f2637259eaf,1a242595-d19a-4ed9-920c-7488bc8279f4</t>
  </si>
  <si>
    <t>a93e75e3-19c9-4b24-9c54-b1eb7cc34e13</t>
  </si>
  <si>
    <t>1b99fe09-16e2-4ce8-ace6-9e870e28fc38</t>
  </si>
  <si>
    <t>6a66c109-041a-42b5-8aa5-e1555a5ba6e3,44b27369-d815-48e1-835d-468279940b65</t>
  </si>
  <si>
    <t>0d5603b0-044f-40ce-8f2f-6bc3356098ed,4f2ccce8-7d0f-4649-99ba-4980d32d9382</t>
  </si>
  <si>
    <t>Brianna Beatty,Klara Peterson,Leah Samuels,Mira Garner</t>
  </si>
  <si>
    <t>67dc747b-d151-4f9f-b0e6-5f9c0c3f370a</t>
  </si>
  <si>
    <t>2023-01-16 18:13:31 UTC</t>
  </si>
  <si>
    <t>SRID=4326;POINT(-93.6282022578 42.0293973573)</t>
  </si>
  <si>
    <t xml:space="preserve">1 Celtis occidentalis 
1 Tilia Americana </t>
  </si>
  <si>
    <t xml:space="preserve">Wooded area, hillside, near park </t>
  </si>
  <si>
    <t>2ec4e57a-3da9-4781-814a-7668ab0789d5,e33fcb34-1256-4f5e-9034-755129af2eba</t>
  </si>
  <si>
    <t>616d0440-e1fd-408d-813d-443810c60433</t>
  </si>
  <si>
    <t>5f067a57-20c8-4bb2-ab15-fd10f19f8348</t>
  </si>
  <si>
    <t>c5981b8a-c1ce-4aef-9f18-f7a3ba68dd26,153bd739-68a1-4514-a5e5-7e158a78b5fc,44a1e234-0ec2-4a30-bd87-3e72c51f244b</t>
  </si>
  <si>
    <t>Subcanopy sample</t>
  </si>
  <si>
    <t>86e2db6d-1554-4182-9e63-4d7e9ab643ce</t>
  </si>
  <si>
    <t>2023-01-16 18:13:16 UTC</t>
  </si>
  <si>
    <t>SRID=4326;POINT(-93.6301730063 42.0310723807)</t>
  </si>
  <si>
    <t xml:space="preserve">1 Acer negundo 
1 Tilia Americana </t>
  </si>
  <si>
    <t xml:space="preserve">Wooded park </t>
  </si>
  <si>
    <t>737e8981-003a-451d-bf9f-d055e853e8d8,11d52030-e7ab-47f8-aa52-5b0ddaa62107</t>
  </si>
  <si>
    <t>65c1730b-3a47-4d5f-8d2f-7cee7f9428a4</t>
  </si>
  <si>
    <t>2213150e-4fb9-4b2c-8fde-2d2fddd8f89d</t>
  </si>
  <si>
    <t>ed3b9b21-b5b7-475b-bb6d-e8fa60f81143,8a2c1e9a-392f-4b2f-ba53-7138232a5ff7</t>
  </si>
  <si>
    <t>88f2bd58-d112-4d5b-8e0d-70c6c0ae395b,ad895e22-9471-4bf5-8a3c-615062bbadfc,cb14e903-6b4a-440c-a0eb-6bd1843098ed</t>
  </si>
  <si>
    <t>Brianna Beatty ,Klara Peterson,Leah Samuels,Mira Garner</t>
  </si>
  <si>
    <t>b000a2f5-30e6-4bc2-ab45-c5c0b7355e31</t>
  </si>
  <si>
    <t>2023-01-16 18:13:00 UTC</t>
  </si>
  <si>
    <t>SRID=4326;POINT(-93.6282447691 42.0287307793)</t>
  </si>
  <si>
    <t>1 honey locus</t>
  </si>
  <si>
    <t>Wooded park</t>
  </si>
  <si>
    <t>986bad9f-51ba-460d-bfc2-1a6fe54954aa,fe50f57b-1280-4e59-a8c6-36bd048a823f</t>
  </si>
  <si>
    <t>fa2b239b-6f21-46e7-90bc-41c30e94b449</t>
  </si>
  <si>
    <t>fb28a32d-82e3-4fd4-aeab-29da4008c87a</t>
  </si>
  <si>
    <t xml:space="preserve">Tree out in lawn area, not back in wooded area
Subcanopy leaves </t>
  </si>
  <si>
    <t>cd7860a6-3c98-4ae9-b1d9-1d509411a4fa</t>
  </si>
  <si>
    <t>2023-01-16 18:12:45 UTC</t>
  </si>
  <si>
    <t>SRID=4326;POINT(-93.6302450114 42.0343192527)</t>
  </si>
  <si>
    <t xml:space="preserve">3 celtis occidentalis </t>
  </si>
  <si>
    <t xml:space="preserve">Forested area, bushy foliage </t>
  </si>
  <si>
    <t>1dd9ec49-4638-46f7-9805-9913142cdf7b,48d7b80a-93e0-4667-8235-6e3b85ba2914</t>
  </si>
  <si>
    <t>912d0d2a-5161-48a3-a838-6c1dc0ead279</t>
  </si>
  <si>
    <t>926a96e2-750b-45a4-8ed6-04fcb2b8fab9</t>
  </si>
  <si>
    <t>992de91d-be64-4941-83b2-c83ea0d60232,833a6c8c-df88-415c-af00-f00b38b5a1a8</t>
  </si>
  <si>
    <t>b597c687-50b0-4ba0-b1e5-9a3dbe3db0c5</t>
  </si>
  <si>
    <t xml:space="preserve">Understory leaves. Two trunks 70.6 and 76 DBH </t>
  </si>
  <si>
    <t>07200c61-dc77-45a3-8cca-04498658a293</t>
  </si>
  <si>
    <t>2023-01-16 18:12:17 UTC</t>
  </si>
  <si>
    <t>SRID=4326;POINT(-91.7967089732 40.7033970394)</t>
  </si>
  <si>
    <t>Lindsay Wilderness Area</t>
  </si>
  <si>
    <t xml:space="preserve">1 Q. muehlenbergii 
1 walnut </t>
  </si>
  <si>
    <t>Virginia creeper 
Rose sp. 
Autumn olive</t>
  </si>
  <si>
    <t xml:space="preserve">Woodlands, bluff hills </t>
  </si>
  <si>
    <t>85c463b1-978a-4034-a1e6-02811ca85104,75ecda91-9327-42bb-841d-b5943a98c2a2,e48f70aa-d3ab-4f29-b98e-8672f0aef311</t>
  </si>
  <si>
    <t>dc8ee2da-7a02-4b33-a724-a256c41b1502,76818654-dfe7-4283-bfa3-184ab7306d2f</t>
  </si>
  <si>
    <t>a3e43ccf-02fd-41dd-ab6a-fb8a9c906d40</t>
  </si>
  <si>
    <t>Briana Beatty ,Klara Peterson,Leah Samuels,Mira Garner</t>
  </si>
  <si>
    <t>1275dc4d-5d1f-4667-a44d-dd8a9be0bf51</t>
  </si>
  <si>
    <t>2023-01-16 18:12:02 UTC</t>
  </si>
  <si>
    <t>SRID=4326;POINT(-91.793729961 40.7067660196)</t>
  </si>
  <si>
    <t>3 Q. alba
2 shagbark hickory
1 red oak</t>
  </si>
  <si>
    <t>Rose sp.
Virginia creeper
Ironwood</t>
  </si>
  <si>
    <t>Woodland, bluff hills</t>
  </si>
  <si>
    <t>a7072640-e7fd-407d-be26-9b32b44b1fcd,9255bd1b-36b3-44a0-8712-1787014462f4</t>
  </si>
  <si>
    <t>609b6070-290d-46e8-9013-0f6fd1ce7d7d</t>
  </si>
  <si>
    <t>6dbde46a-4779-40ef-888b-f158acdb0d5b</t>
  </si>
  <si>
    <t>25168899-5c55-49e1-84a5-6e4d453d33b7</t>
  </si>
  <si>
    <t>2023-01-16 18:11:43 UTC</t>
  </si>
  <si>
    <t>SRID=4326;POINT(-91.7871039392 40.7088537166)</t>
  </si>
  <si>
    <t xml:space="preserve">1 American elm
1 black maple 
1 ironwood </t>
  </si>
  <si>
    <t xml:space="preserve">Rubus 
Jack in the pulpit 
Mustard 
Gooseberry </t>
  </si>
  <si>
    <t>Forested area, lots of underbrush</t>
  </si>
  <si>
    <t>1b4cbace-8636-47a3-b05f-335f2632ba12,c6c27ec4-38a5-43ac-8b6c-f5eca07a0149</t>
  </si>
  <si>
    <t>1e72af11-fc08-4245-bd14-b5b64e96623a</t>
  </si>
  <si>
    <t>1744a700-a415-4290-989b-eeca5fe77ca6</t>
  </si>
  <si>
    <t>Subcanopy 
Due to the tree being small root cores were taken 1.5m from base</t>
  </si>
  <si>
    <t>29709803-5709-4dd3-accc-590dbdee73e2</t>
  </si>
  <si>
    <t>2023-01-16 18:10:27 UTC</t>
  </si>
  <si>
    <t>SRID=4326;POINT(-91.7871075031 40.7088689972)</t>
  </si>
  <si>
    <t>1 Red oak
1 Acer sp. (photo)
1 unknown (photo) 
1 hickory (photo)</t>
  </si>
  <si>
    <t xml:space="preserve">Hog-peanut 
Yellow violet 
Virginia creeper </t>
  </si>
  <si>
    <t xml:space="preserve">Lower land, dry forest. Dense brush </t>
  </si>
  <si>
    <t>ee7a9f48-fdc7-4b0e-baab-5c527920d821,123fc45b-0768-4324-ac88-cd76c4c6b31d</t>
  </si>
  <si>
    <t>84d7ac34-ef4e-4361-9a42-f8d09e034011</t>
  </si>
  <si>
    <t>4d70d7fb-da9f-443d-b2f9-daa8968896e1</t>
  </si>
  <si>
    <t>ce593033-b5d8-4a28-826d-f456f89f9a48,98321447-c8a6-45c3-959e-e65cd47701d7,359d1ad8-e643-4cd7-b237-8f5ae0a2cced,867bbc74-353c-4660-8b74-b228f1845c74,b35cdca5-f2a6-49d5-829e-37c56f95c842</t>
  </si>
  <si>
    <t>2c839cda-220f-46eb-b6fd-8c7e81b667cd</t>
  </si>
  <si>
    <t>2023-01-16 18:10:00 UTC</t>
  </si>
  <si>
    <t>SRID=4326;POINT(-91.7973894437 40.7103770024)</t>
  </si>
  <si>
    <t>Thicker forested area, lots of shrubby bushes and other trees</t>
  </si>
  <si>
    <t>bb5ca5f0-6678-4ad3-ba57-1054f3d26d39,5ca44479-9c34-4292-ab08-db44de62ac62</t>
  </si>
  <si>
    <t>6b4c70ea-c7ef-4695-9a84-6e086ffc9a9c</t>
  </si>
  <si>
    <t>7662e0dc-1c08-4f8d-8c7e-e17dc0aba894</t>
  </si>
  <si>
    <t xml:space="preserve">Subcanopy </t>
  </si>
  <si>
    <t>3a903d2c-b607-4907-a5a7-082de3f93b43</t>
  </si>
  <si>
    <t>2023-01-16 18:09:40 UTC</t>
  </si>
  <si>
    <t>SRID=4326;POINT(-91.7974225044 40.710434251)</t>
  </si>
  <si>
    <t>1 ironwood</t>
  </si>
  <si>
    <t>Arrow wood (?)
Blackberry 
Ironwood (?)</t>
  </si>
  <si>
    <t xml:space="preserve">Worded area, dense foliage </t>
  </si>
  <si>
    <t>581acc48-4aaf-44d1-9b79-2a96ba0f7c40,feac3787-d801-4b07-a3e7-20b6e8fa6699</t>
  </si>
  <si>
    <t>25b6bef8-9063-45c4-9ddb-5ceefe4e2ed4</t>
  </si>
  <si>
    <t>d7c5f341-0c85-4953-b3c5-180ec408002d</t>
  </si>
  <si>
    <t>5a6bb895-a247-42c2-9f0b-0be0ec18a3fe</t>
  </si>
  <si>
    <t>2023-01-16 18:09:16 UTC</t>
  </si>
  <si>
    <t>SRID=4326;POINT(-91.7967464403 40.7042070665)</t>
  </si>
  <si>
    <t>2 red maple
1 ironwood
1 Q. bicolor
1 hickory</t>
  </si>
  <si>
    <t xml:space="preserve">Barberry
Virginia creeper
Choke berry
</t>
  </si>
  <si>
    <t>220f5d50-1ddc-43ae-8070-ba31eb7a90fa,1257df51-8ed2-46fd-b4a5-e9fa532cebdf</t>
  </si>
  <si>
    <t>51ffc79c-975a-4f3c-b1a4-0fbce6d36ae5,5e70afc2-973b-4a1f-839a-fbbc70ee5877</t>
  </si>
  <si>
    <t>fb7a6552-a681-4a15-abe3-44fad5f87ab8</t>
  </si>
  <si>
    <t>6ee25391-f783-45c4-b4a7-e415f0c30b7d</t>
  </si>
  <si>
    <t>2023-01-16 18:08:55 UTC</t>
  </si>
  <si>
    <t>SRID=4326;POINT(-91.7894137595 40.7070718988)</t>
  </si>
  <si>
    <t>2 red maple
1 red oak
1 hickory</t>
  </si>
  <si>
    <t xml:space="preserve">Red bud
</t>
  </si>
  <si>
    <t xml:space="preserve">Woody, forest, dry </t>
  </si>
  <si>
    <t>1c510cac-ae42-4e7a-830d-3c0d41d7a0b6,358a058e-b94b-4508-8fc0-d487cca02e0a</t>
  </si>
  <si>
    <t>79f60ec1-ef50-46d4-8860-acef90f34c70</t>
  </si>
  <si>
    <t>760e8663-3d5b-4ffe-87e4-a04cbde61e7a</t>
  </si>
  <si>
    <t>705e8fd0-e2c5-4116-93bc-798144e0a680</t>
  </si>
  <si>
    <t>2023-01-16 18:08:36 UTC</t>
  </si>
  <si>
    <t>SRID=4326;POINT(-91.7924589292 40.7076811139)</t>
  </si>
  <si>
    <t xml:space="preserve">1 q. Alba 
1 q. Macrocarpa 
2 red maple 
1 shagbark hickory </t>
  </si>
  <si>
    <t xml:space="preserve">May Apple 
Poison ivy
Ash 
Virginia creeper </t>
  </si>
  <si>
    <t xml:space="preserve">Forest, low underbrush, more open, dry </t>
  </si>
  <si>
    <t>82df6086-6e14-4961-a294-8ce4c06fa2d7,b6d41d6c-b1c5-4a0a-a424-215275790483</t>
  </si>
  <si>
    <t>50a2c38c-c700-47a1-8458-f623d3b9e033</t>
  </si>
  <si>
    <t>d7bb53a6-f2f6-4a3d-9aac-080af7cceabc</t>
  </si>
  <si>
    <t>3e2ef780-fb73-41a2-902c-5fe93cbe5c19,4278e604-27c9-41fc-a874-a1af901450ff</t>
  </si>
  <si>
    <t xml:space="preserve">Understory from collected
Sun fell from tree </t>
  </si>
  <si>
    <t>a41c67dc-8a55-4e42-86be-cde7596dee16</t>
  </si>
  <si>
    <t>2023-01-16 18:08:15 UTC</t>
  </si>
  <si>
    <t>SRID=4326;POINT(-91.7920275965 40.7106552227)</t>
  </si>
  <si>
    <t xml:space="preserve">1 Q. Alba 
1 shagbark hickory 
1 hackberry </t>
  </si>
  <si>
    <t xml:space="preserve">Blackberry 
Ironwood 
Virginia creeper
Water horhound
Creeping Charlie
</t>
  </si>
  <si>
    <t xml:space="preserve">Dry forested area, foliage </t>
  </si>
  <si>
    <t>8f9b3898-7b2f-4f74-a2b5-213275efad3f,727ee250-9551-4bf3-a5e6-694fe4bbb2c3</t>
  </si>
  <si>
    <t>ec32e2a9-3d3f-4643-ab70-a4d40195e24d</t>
  </si>
  <si>
    <t>73872d8e-15ba-449c-88e9-5ebc7ccb25f0</t>
  </si>
  <si>
    <t>a8aa45ec-bce9-4c04-ae6d-65e9837a877e</t>
  </si>
  <si>
    <t>2023-01-16 16:30:10 UTC</t>
  </si>
  <si>
    <t>SRID=4326;POINT(-91.7933562595 40.7068383075)</t>
  </si>
  <si>
    <t>1 Q. alba
2 Shagbark hickory
1 fraxinus Americana (ash)</t>
  </si>
  <si>
    <t xml:space="preserve">Ironwood
Virginia creeper
</t>
  </si>
  <si>
    <t>Woodland, bluff lands</t>
  </si>
  <si>
    <t>a036a445-4cd4-442f-b520-2698218e1690,e4d9f402-6e31-4c2f-8bb8-b14c4d3e2084</t>
  </si>
  <si>
    <t>5c933a67-8ebd-48a3-8a28-2b65a4cff040,e01b7176-0695-4917-b82f-7fe61f662e30</t>
  </si>
  <si>
    <t>227cb384-aef2-4a00-90f1-a3d421f5725f,8c90f1b0-2445-4f66-a3ec-8b0fc75fcfd6</t>
  </si>
  <si>
    <t>223dfd7a-dfdc-422c-aee3-6948e1415902,85d39a24-23aa-42ce-86eb-798cb341b69d</t>
  </si>
  <si>
    <t>Second trunk DBH 38</t>
  </si>
  <si>
    <t>afc63786-8bc5-44d4-b4e3-2b0b19146e09</t>
  </si>
  <si>
    <t>2023-01-16 16:29:48 UTC</t>
  </si>
  <si>
    <t>SRID=4326;POINT(-91.7907958362 40.7068740709)</t>
  </si>
  <si>
    <t xml:space="preserve">1 red maple
2 ironwood
2 hackberry
1 Q. muehlenbergii </t>
  </si>
  <si>
    <t>Hickory
Red maple
Barberry
Redbud
Ironwood
Rubus sp.
Poison ivy</t>
  </si>
  <si>
    <t>Woody forest, bluff hillside</t>
  </si>
  <si>
    <t>67891571-2e27-4101-a093-6d840329db2c,b244b28d-8b24-4bcd-bd87-953b879c50bd</t>
  </si>
  <si>
    <t>651e4293-da27-4d0f-9110-640c3dd515dd</t>
  </si>
  <si>
    <t>06bd76b0-123a-43f2-b4de-a2b891d461e1</t>
  </si>
  <si>
    <t>ba48a883-974c-47b0-a22f-ea0002c7300c</t>
  </si>
  <si>
    <t>2023-01-16 16:29:07 UTC</t>
  </si>
  <si>
    <t>SRID=4326;POINT(-91.7943741941 40.7108104555)</t>
  </si>
  <si>
    <t>No woody stems</t>
  </si>
  <si>
    <t xml:space="preserve">ironwood </t>
  </si>
  <si>
    <t xml:space="preserve">Wooded area, bushy foliage </t>
  </si>
  <si>
    <t>4200f614-7134-4c90-95f3-63b673fd4e3f,d8f3d416-3203-48ba-8480-714cbf593717</t>
  </si>
  <si>
    <t>21de7361-36b6-4227-8ef8-c7cb0fcd0721</t>
  </si>
  <si>
    <t>df769f51-b2a9-482f-a942-8ce73e1de154</t>
  </si>
  <si>
    <t>d4100f47-509f-42ea-82fe-e177f0c14dde</t>
  </si>
  <si>
    <t>2023-01-16 16:28:38 UTC</t>
  </si>
  <si>
    <t>SRID=4326;POINT(-91.7968220242 40.7038539099)</t>
  </si>
  <si>
    <t>3 ash</t>
  </si>
  <si>
    <t>Rose sp.
Choke berry
Virginia creeper</t>
  </si>
  <si>
    <t>ba29e1ef-c318-4744-8d74-d93cdbc2debe,5afe963d-d92a-4590-b78f-247b9ecb8fe0</t>
  </si>
  <si>
    <t>3c134972-bd0e-45a3-889e-4697147e061b,5182868d-f6de-433d-b70f-992f63e5ca13</t>
  </si>
  <si>
    <t>a119af3c-e20a-4445-951d-168a7c8fba68</t>
  </si>
  <si>
    <t>e3ed0bcc-7978-41fd-8232-24489519aad4</t>
  </si>
  <si>
    <t>2023-01-16 16:28:08 UTC</t>
  </si>
  <si>
    <t>SRID=4326;POINT(-91.7927459256 40.7071753918)</t>
  </si>
  <si>
    <t xml:space="preserve">1 fraxinus Americana 
1 hackberry 
2 linden </t>
  </si>
  <si>
    <t xml:space="preserve">Virginia creeper , Rose , Redbud 
</t>
  </si>
  <si>
    <t xml:space="preserve">Forest, lower brush but still a thick, a little open </t>
  </si>
  <si>
    <t>6140ca1d-30bb-487f-ab55-dbfc788bbd8f,a2230b17-4e89-45ad-bada-b526f53aa1bc</t>
  </si>
  <si>
    <t>b76b1897-8d22-44f7-8511-de84a9a78142</t>
  </si>
  <si>
    <t>dffca6c1-989d-44f7-a9e7-105424ae55ec</t>
  </si>
  <si>
    <t>c1f49b1b-4fa1-4641-bd23-6796a820200b,655c28d2-35ba-41cb-83c2-1e0af9f0373e</t>
  </si>
  <si>
    <t>Due to the tree being small root samples were taking 1.5m from from base in the four cardinal directions</t>
  </si>
  <si>
    <t>3ef02088-1746-4ca0-ba28-2d39bd07e92d</t>
  </si>
  <si>
    <t>2023-01-16 16:27:25 UTC</t>
  </si>
  <si>
    <t>SRID=4326;POINT(-91.7245444263 41.9745278211)</t>
  </si>
  <si>
    <t>3 pine</t>
  </si>
  <si>
    <t xml:space="preserve">Grass, dandelion </t>
  </si>
  <si>
    <t xml:space="preserve">Open park </t>
  </si>
  <si>
    <t>de0e6239-a8f9-463e-86b5-8dc4ee4c040b,c6ff6196-d38a-42f1-9114-40f96d45f6f9</t>
  </si>
  <si>
    <t>20d2ba11-c841-464a-a94e-4f3890d92fe7</t>
  </si>
  <si>
    <t>9e3ac2d0-246f-47b7-a7ee-9c4ebd65b3e6</t>
  </si>
  <si>
    <t>1da76384-b8e5-490d-bed3-4703d6ad00c3,1ae75b9d-6732-4055-beba-fb0a0727f019</t>
  </si>
  <si>
    <t>Subcanopy leaves, untagged</t>
  </si>
  <si>
    <t>51ef1a47-f989-4472-887c-3d1a8175fe36</t>
  </si>
  <si>
    <t>2023-01-16 16:26:23 UTC</t>
  </si>
  <si>
    <t>SRID=4326;POINT(-91.7216927 41.9747171319)</t>
  </si>
  <si>
    <t xml:space="preserve">n/a </t>
  </si>
  <si>
    <t xml:space="preserve">grass, dandelion </t>
  </si>
  <si>
    <t xml:space="preserve">Park area </t>
  </si>
  <si>
    <t>7d157771-c198-4a03-9678-7981b702230f,5b65ba48-7ad8-435b-911b-9f3aad3d7794</t>
  </si>
  <si>
    <t>48036ac8-aeff-41e0-917d-60d4c2703191</t>
  </si>
  <si>
    <t>92ac47d4-ab2e-4c02-ae3c-6bd1bb0aa3b2,8eda54fa-13ae-4ac7-91cd-e2ab20aa5226</t>
  </si>
  <si>
    <t>53524101-8a78-4559-b605-59166728da63,5cefc938-5efc-41a0-b640-ae689f09fba9</t>
  </si>
  <si>
    <t xml:space="preserve">Subcanopy, un tagged to left of parking lot </t>
  </si>
  <si>
    <t>99052e1d-9312-4f99-9e7a-b11e176b893c</t>
  </si>
  <si>
    <t>2023-01-16 16:25:50 UTC</t>
  </si>
  <si>
    <t>SRID=4326;POINT(-91.724763997 41.9733344531)</t>
  </si>
  <si>
    <t xml:space="preserve">grass, clover </t>
  </si>
  <si>
    <t>4af9fa97-90d7-42e5-8ebc-a4c2207d138f,f8041ae5-f9e2-4597-a24b-6bd3b0d0d7e5,fb618b0a-672e-4c75-a644-4a91f8af35b8</t>
  </si>
  <si>
    <t>3bf26142-f23f-43cd-b682-559f3c0bbe51</t>
  </si>
  <si>
    <t>450c7185-2bae-420f-bda6-d0a8b1c9c6a0</t>
  </si>
  <si>
    <t>96500da0-d692-4b8f-a1c6-f4d0a5842f65</t>
  </si>
  <si>
    <t>83dfb7ed-f793-4b3e-b13e-fbb122211f3d,1a422665-a4ac-42c4-89c7-7715b4cf8604</t>
  </si>
  <si>
    <t>4eeaaf3c-85ac-424d-a937-af989558fe61</t>
  </si>
  <si>
    <t>2023-01-10 21:52:55 UTC</t>
  </si>
  <si>
    <t>SRID=4326;POINT(-84.5058135037 38.0621759012)</t>
  </si>
  <si>
    <t>Lexington Cemetery</t>
  </si>
  <si>
    <t>Caps on the ground,Male flowers showing</t>
  </si>
  <si>
    <t xml:space="preserve">1 Quercus macrocarpa 
1 Pinus strobis </t>
  </si>
  <si>
    <t xml:space="preserve">Moris rubra
Honeysuckle 
Bittersweet (solastrus scandenza) 
</t>
  </si>
  <si>
    <t xml:space="preserve">Cemetery lawn, edge of forested area, former woodland pasture </t>
  </si>
  <si>
    <t>8cb0201e-015f-4217-b1e4-c21c446ea506,508b89e1-7c69-4dd8-8dd6-9b7c79796bb8,3b2845a2-6ea4-47d2-a7f5-d8a1168b8fd1</t>
  </si>
  <si>
    <t>38805ea2-d73c-498e-a056-13ae90a2de53</t>
  </si>
  <si>
    <t>142d8577-4b05-46bd-af2e-bcce5f5af025</t>
  </si>
  <si>
    <t>Andrew Hipp,Drew Larson,Leah Samuels,Mira Garner,Paul Manos</t>
  </si>
  <si>
    <t xml:space="preserve">Section 30, Whitney avenue </t>
  </si>
  <si>
    <t>15bb663d-7fe9-421d-a02d-c689a768cdb4</t>
  </si>
  <si>
    <t>2023-01-10 21:52:40 UTC</t>
  </si>
  <si>
    <t>SRID=4326;POINT(-84.7602496204 38.1389114773)</t>
  </si>
  <si>
    <t>Airdrie Stud Farm</t>
  </si>
  <si>
    <t xml:space="preserve">Solanum carolinense, clover, Burdock, honeysuckle, grass family, ragweed, poison ivy, Trifolium ripens, Virginia creeper </t>
  </si>
  <si>
    <t xml:space="preserve">Woodlands pasture </t>
  </si>
  <si>
    <t>7932ae45-6feb-45bb-a81f-a18e9c6025e7,0c4679dc-531e-497a-b083-faca0c659177,4713451a-8c51-4936-9ffb-948fffd9b947</t>
  </si>
  <si>
    <t>eefa94f2-1653-42bf-af36-1daa95afd1ee</t>
  </si>
  <si>
    <t>92148ead-c169-45cc-9e79-b90d669978bc</t>
  </si>
  <si>
    <t>9bca0300-31c5-4269-ba89-28c942fc0785</t>
  </si>
  <si>
    <t>2023-01-10 21:52:24 UTC</t>
  </si>
  <si>
    <t>SRID=4326;POINT(-84.7348622289 38.1380876234)</t>
  </si>
  <si>
    <t xml:space="preserve">1 Celtis occidentalis 
1 Fraxinus quadrangulata 
1 Acer saccharum </t>
  </si>
  <si>
    <t>Honeysuckle, Vitus sp., trifolium ripens, ground ivy, Euonymus, Asteracae, poaceae</t>
  </si>
  <si>
    <t>f69d36a6-fecf-4b48-a1e4-a6a683048024,52034330-ccae-4b9c-99a8-4c620e3d732b</t>
  </si>
  <si>
    <t>8a44df2f-d33f-4da6-8cb5-b6c5dd821408</t>
  </si>
  <si>
    <t>a71dc6e7-b533-4f19-91d7-3c4f9dc3e3d2</t>
  </si>
  <si>
    <t>5078c2b5-a5b0-4f04-b68c-d867391e2515</t>
  </si>
  <si>
    <t>2023-01-10 21:51:19 UTC</t>
  </si>
  <si>
    <t>SRID=4326;POINT(-84.73317381 38.137161294)</t>
  </si>
  <si>
    <t xml:space="preserve">3 Aesculus (yellow or Ohio) probably Yellow 
2 celtis occidentalis </t>
  </si>
  <si>
    <t xml:space="preserve">Stingin nettles, honeysuckle, poaceae, American pokeweed, ground ivy, Euonymus, </t>
  </si>
  <si>
    <t xml:space="preserve">Forested area near woodland pasture </t>
  </si>
  <si>
    <t>9930421c-c9f4-44e7-b5b8-2f41895accfd,ffafdd44-ffcb-4383-80b4-c5edc2bdc2ad</t>
  </si>
  <si>
    <t>d960d3be-9d35-41a3-9823-c2e0e1bc3b3e</t>
  </si>
  <si>
    <t>5518c01d-bf4a-4611-9781-d8044798ce0b</t>
  </si>
  <si>
    <t>69148b7c-3590-4e14-a483-d570d34f7b63</t>
  </si>
  <si>
    <t>47200acb-0de2-4d5f-8ca4-375ebd48c20a</t>
  </si>
  <si>
    <t>2023-01-10 21:50:55 UTC</t>
  </si>
  <si>
    <t>SRID=4326;POINT(-84.4756053016 38.0546751526)</t>
  </si>
  <si>
    <t>Castlewood Park</t>
  </si>
  <si>
    <t xml:space="preserve">3 celtis 
</t>
  </si>
  <si>
    <t xml:space="preserve">Ground ivy
Grass 
Common plantain </t>
  </si>
  <si>
    <t xml:space="preserve">Open park, former woodlands pasture </t>
  </si>
  <si>
    <t>373960a9-7982-4200-a2dc-83041e31cb18,935495c3-cc64-4576-9689-bafac72637e0,92059a8a-c06f-4675-a3f3-bbb079046e3f</t>
  </si>
  <si>
    <t>cea9a6c0-7423-4d23-bd9c-56214d4b92f7</t>
  </si>
  <si>
    <t>4654fa11-da6b-4ab5-8c56-bf759cbe6685</t>
  </si>
  <si>
    <t>39b02bd5-7dc9-4caa-854f-4dd4ce2e61b3</t>
  </si>
  <si>
    <t>2023-01-10 21:50:35 UTC</t>
  </si>
  <si>
    <t>SRID=4326;POINT(-84.7329920904 38.1355964765)</t>
  </si>
  <si>
    <t xml:space="preserve">5 Acer saccharum 
1 Celtis occidentalis </t>
  </si>
  <si>
    <t xml:space="preserve">Honeysuckle, ground ivy, Euonymus </t>
  </si>
  <si>
    <t xml:space="preserve">In forested area at edge of woodland pasture </t>
  </si>
  <si>
    <t>219e683c-4a0e-4c33-aab8-f4ceae00ca3e,ff67b921-d7ad-4d4c-9bd4-327570ab0889</t>
  </si>
  <si>
    <t>e3297a54-5f9c-4d92-8aba-a14d3665b561</t>
  </si>
  <si>
    <t>8dcf1ee9-aa5f-49b4-acfc-88bf74a8ba83</t>
  </si>
  <si>
    <t>0837fe3d-a94d-4724-bee4-1eed746679fe</t>
  </si>
  <si>
    <t>2023-01-10 21:50:13 UTC</t>
  </si>
  <si>
    <t>SRID=4326;POINT(-87.5021931064 37.898869738)</t>
  </si>
  <si>
    <t>Green River State Forest</t>
  </si>
  <si>
    <t>2 Celtis 
1 Acer nagundo</t>
  </si>
  <si>
    <t xml:space="preserve">Virginia creeper, redbud, smilex, Asteraceae, Carex, Ruellia, Redbud, American hog peanut, </t>
  </si>
  <si>
    <t>Sloping downward, edge of road and forest, dense foliage, near water</t>
  </si>
  <si>
    <t>9eb550b2-f092-4641-93e2-3a7517ed441d,3508b11b-ca83-4b16-8076-7ccd5b822a67</t>
  </si>
  <si>
    <t>5a6a328d-2417-4cdb-8989-2092700aa939</t>
  </si>
  <si>
    <t>d3148564-ea48-4244-a41a-ff6dcf97030b,d2180b2f-16de-4785-a396-8239eb37a660</t>
  </si>
  <si>
    <t>a3634c13-a5ba-4bdb-a58a-40291608b5cd</t>
  </si>
  <si>
    <t>2023-01-10 21:49:58 UTC</t>
  </si>
  <si>
    <t>SRID=4326;POINT(-84.7590166424 38.1395365997)</t>
  </si>
  <si>
    <t xml:space="preserve">1 Kingnut hickory </t>
  </si>
  <si>
    <t xml:space="preserve"> Virginia creeper
Poison ivy 
Burdocks 
Urtica 
Ground ivy 
Grass family </t>
  </si>
  <si>
    <t>430d18dd-a1dc-4b49-b891-f9cedd0c66d3,b0fba989-dcba-4de2-93af-e46e13e8fd19,8bff3abc-05cd-414a-be81-405ea8a48c2a,3d4ab993-4a32-45eb-baeb-240b5f406365</t>
  </si>
  <si>
    <t>94946aac-b236-4818-b989-f734043b423e</t>
  </si>
  <si>
    <t>e5084225-cc6e-4293-840d-9066a29f89b8</t>
  </si>
  <si>
    <t>3bcf9350-c66c-4aba-b7df-61681eabbbf9</t>
  </si>
  <si>
    <t>2023-01-10 21:49:41 UTC</t>
  </si>
  <si>
    <t>SRID=4326;POINT(-84.7356742156 38.1364325295)</t>
  </si>
  <si>
    <t xml:space="preserve">1 Fraxinus quadrangulata 
4 Celtis occidentalis 
2 Acer saccharum 
</t>
  </si>
  <si>
    <t xml:space="preserve">Stinging nettle, ground ivy, honeysuckle, poaceae, Euonymus, </t>
  </si>
  <si>
    <t xml:space="preserve">Edge of woodland pasture, more wooded area with denser foliage </t>
  </si>
  <si>
    <t>2cc685cb-da63-4790-bce7-08241f3a3040,e031470c-26e7-4f04-acc4-c73545cd728d</t>
  </si>
  <si>
    <t>ca212807-968e-4b8d-9ae9-bbf2f41f555c</t>
  </si>
  <si>
    <t>5990adc8-1135-4327-88ad-f3c7bcc65386</t>
  </si>
  <si>
    <t>76033f6f-c50e-4d95-8216-1b73f32936d0</t>
  </si>
  <si>
    <t>2023-01-10 21:49:20 UTC</t>
  </si>
  <si>
    <t>SRID=4326;POINT(-84.4769567997 38.0558070448)</t>
  </si>
  <si>
    <t xml:space="preserve">1 spruce </t>
  </si>
  <si>
    <t>Ground ivy
Euonymus 
Grasses</t>
  </si>
  <si>
    <t>2d0ef300-178f-4e52-afeb-5dfe5c52cd07,2266f5f7-c4aa-4fd5-91a1-c3da1e932607,6fffb168-2f16-4122-b697-3ee25c34f657</t>
  </si>
  <si>
    <t>69004d0c-df44-4c75-a8c1-06a643805256</t>
  </si>
  <si>
    <t>9a9622a0-e0be-4083-8771-556027b26ef2</t>
  </si>
  <si>
    <t>9a8eb49b-64c2-4559-8af3-25dfc5859301</t>
  </si>
  <si>
    <t>2023-01-10 21:49:04 UTC</t>
  </si>
  <si>
    <t>SRID=4326;POINT(-84.4762481098 38.0558891455)</t>
  </si>
  <si>
    <t>Caps on the ground,Male flowers showing,Seeds ripening</t>
  </si>
  <si>
    <t xml:space="preserve">1 blue ash </t>
  </si>
  <si>
    <t>Euonymus 
Lawn grass</t>
  </si>
  <si>
    <t>Open park lawn, former woodlands pasture</t>
  </si>
  <si>
    <t>87357677-ff55-4a67-a00a-02591c189a93,dae0126a-5b0a-49a3-ada7-891910e72da5,dd614684-1cfd-4860-b291-23a7cefb63ee</t>
  </si>
  <si>
    <t>e10839e2-1d8b-49d5-8e8a-65f4eedc39c9</t>
  </si>
  <si>
    <t>44141295-8ae4-4adc-bdb2-fdad5ec0eb9d</t>
  </si>
  <si>
    <t>Andrew Hipp,"Drew Larson, Tom Kimmerer",Leah Samuels,Mira Garner,Paul Manos</t>
  </si>
  <si>
    <t>f462aef3-fda7-4fed-9b4e-9a64f4665524</t>
  </si>
  <si>
    <t>2023-01-10 21:47:40 UTC</t>
  </si>
  <si>
    <t>SRID=4326;POINT(-84.5135451482 38.0594361155)</t>
  </si>
  <si>
    <t xml:space="preserve">6 pinups strobis 
2 wild black cherries </t>
  </si>
  <si>
    <t xml:space="preserve">Poison ivy 
Lawn grass </t>
  </si>
  <si>
    <t xml:space="preserve">Cemetery lawn,  woodland pasture </t>
  </si>
  <si>
    <t>97c534ca-c36c-4ce8-b06a-86d23150666c,803c4543-5c4c-482d-8231-1de3c0d8d13f,8cb4f2a4-1756-4905-868d-1ef4d8f85fe0</t>
  </si>
  <si>
    <t>dce74dc0-3157-4f71-86c7-7b0acdf77447</t>
  </si>
  <si>
    <t>7d3b8ce7-95e5-4337-a322-86330db9cca0</t>
  </si>
  <si>
    <t xml:space="preserve">B1, adjacent to west Main Street </t>
  </si>
  <si>
    <t>7f97b808-016c-470c-b3f7-6bcffc20fefa</t>
  </si>
  <si>
    <t>2023-01-10 21:47:23 UTC</t>
  </si>
  <si>
    <t>SRID=4326;POINT(-84.5086230432 38.0581726693)</t>
  </si>
  <si>
    <t>1 Malus sp.</t>
  </si>
  <si>
    <t xml:space="preserve">Grasses
Ground ivy 
Virginia creeper </t>
  </si>
  <si>
    <t xml:space="preserve">Cemetery lawn, former woodlands pasture </t>
  </si>
  <si>
    <t>44e8af09-80da-4b4b-8817-f559d71c9e8b,fd619532-5f47-4bc9-99b7-43c5dbe31c66,fa137e78-ad1b-4dbd-980c-f502cdea8396</t>
  </si>
  <si>
    <t>f9059df5-72b1-4463-8041-10c06039e78e</t>
  </si>
  <si>
    <t>b73a1f6d-4d19-4bae-97ba-69792059d364</t>
  </si>
  <si>
    <t>29e83530-bb15-4ed2-b4d4-3c8ca272b5a6</t>
  </si>
  <si>
    <t>2023-01-10 21:46:55 UTC</t>
  </si>
  <si>
    <t>SRID=4326;POINT(-87.501094658 37.8986207955)</t>
  </si>
  <si>
    <t xml:space="preserve">1 Celtis laevigata 
2 Box elder </t>
  </si>
  <si>
    <t xml:space="preserve">Virginia creeper, Asteraceae, Carex, wild garlic, trumpet vine, </t>
  </si>
  <si>
    <t>f7229183-1c66-4005-8efa-4f8c99ecc213,8735c284-2f16-4cea-a9e6-86bb9deec6bc</t>
  </si>
  <si>
    <t>4fd90ca3-e890-469b-9a20-bc9b535b9260</t>
  </si>
  <si>
    <t>043e89cf-5471-4ecd-81f4-b645025537bf</t>
  </si>
  <si>
    <t>ffb50a7a-ca8c-484d-815a-67d6425febee</t>
  </si>
  <si>
    <t>49547249-94a8-4966-a90e-dc7c43366771</t>
  </si>
  <si>
    <t>2023-01-10 21:46:38 UTC</t>
  </si>
  <si>
    <t>SRID=4326;POINT(-87.5041877606 37.8989380501)</t>
  </si>
  <si>
    <t>Male flowers showing</t>
  </si>
  <si>
    <t xml:space="preserve">2 Quercus pagoda, 
1 Liquidambar 
1 Acer saccharum </t>
  </si>
  <si>
    <t xml:space="preserve">Poison ivy, honeysuckle, Carex, redbud, American hog peanut, tweedys tick clover, clover, Vitus sp., inland oak, Virginia wildrye, asteraceae </t>
  </si>
  <si>
    <t>f608e396-a381-484c-9503-b459373b0a9f,e171a0c1-ae3a-4014-8c66-d268f37d3593,0af17d61-409b-4eae-93dc-445a55758150</t>
  </si>
  <si>
    <t>6d5d56d1-d38f-47c4-95a9-eb8a68749380</t>
  </si>
  <si>
    <t>ea5f2b1e-1321-4d4f-834c-d0838a108002</t>
  </si>
  <si>
    <t>650fe71b-e079-4ba0-805c-b36337106765</t>
  </si>
  <si>
    <t>2023-01-10 21:46:17 UTC</t>
  </si>
  <si>
    <t>SRID=4326;POINT(-87.5535216183 37.8832388716)</t>
  </si>
  <si>
    <t>John James Audubon State Park</t>
  </si>
  <si>
    <t>2 Acer saccharum 
1 Fraxinus so.</t>
  </si>
  <si>
    <t>Virginia creeper, poison ivy, gentian, pawpaw, hackberry, Pilea sp., mystery plant picture in associated trees</t>
  </si>
  <si>
    <t>Hillside, drier conditions, forest with sparse foliage</t>
  </si>
  <si>
    <t>7b847488-8da9-4402-bc01-464ad66859b4,0eb5f27f-a5a3-4e99-a768-91f075ec68c6</t>
  </si>
  <si>
    <t>7a44e5e2-532f-4eeb-a4b8-9b3a1a90a21b</t>
  </si>
  <si>
    <t>4e7e2aa6-9bd5-4446-b08e-62c049807deb</t>
  </si>
  <si>
    <t>c341b3fe-2a52-419c-9b69-b60d2077bc33</t>
  </si>
  <si>
    <t>081ebb97-6d73-454c-86f1-64a5156ecbb7</t>
  </si>
  <si>
    <t>2023-01-10 21:45:56 UTC</t>
  </si>
  <si>
    <t>SRID=4326;POINT(-87.5378050956 37.8943766249)</t>
  </si>
  <si>
    <t xml:space="preserve">2 Carya lacinosa
1 Q. michauxii
2 Fraxinus </t>
  </si>
  <si>
    <t xml:space="preserve">Liquidambar, poison ivy, Carex, Campsis radicans, 
Saururus cernuus, </t>
  </si>
  <si>
    <t xml:space="preserve">Bottomlands forest, wetlands </t>
  </si>
  <si>
    <t>06307c36-f0e0-4d19-9c11-a7c5f8e81749,c8cd06be-5a87-48d9-8681-c85728276190</t>
  </si>
  <si>
    <t>c6968951-3e6c-46ce-a66c-07efcfe6faaf</t>
  </si>
  <si>
    <t>29efb801-b888-4215-a4c8-df167585928a</t>
  </si>
  <si>
    <t>2f136851-318f-49d1-801b-9433e1eccde1</t>
  </si>
  <si>
    <t>2023-01-10 21:45:41 UTC</t>
  </si>
  <si>
    <t>SRID=4326;POINT(-87.5376391498 37.8944064611)</t>
  </si>
  <si>
    <t xml:space="preserve">3 Fraxinus sp.
1 Q. michauxii
1 Carya lacinosia 
</t>
  </si>
  <si>
    <t xml:space="preserve">American trumpet vine, poison ivy, Lizards tail, Dioscorea villosa, Sugar maple, </t>
  </si>
  <si>
    <t xml:space="preserve">Forest bottomlands, wetlands </t>
  </si>
  <si>
    <t>e9964d25-a621-4e9c-a5c9-1f10ddea4b92,b223915a-cdc4-4973-b8bf-f7277afe2634</t>
  </si>
  <si>
    <t>93db6f08-5461-42e7-9f1d-61a3e5f7f5ad</t>
  </si>
  <si>
    <t>0542c289-3bcf-4cbf-956a-b190c10825a6</t>
  </si>
  <si>
    <t>383c903a-5d3c-4b65-bf97-9b673f1e00df</t>
  </si>
  <si>
    <t>2023-01-10 21:45:22 UTC</t>
  </si>
  <si>
    <t>SRID=4326;POINT(-87.5376835932 37.8946504556)</t>
  </si>
  <si>
    <t xml:space="preserve">1 Acer saccharum 
1 Quercus pagoda 
1 Quercus palustris 
1 Fraxinus </t>
  </si>
  <si>
    <t>Campsis radicans, poison ivy, Smilex, liquidambar, pawpaw, Carex, Celtis, Vitus sp.,</t>
  </si>
  <si>
    <t>957d290e-a726-4172-986f-1d1b61402af3,685b5c96-6beb-45b2-b883-9905d2e475b7</t>
  </si>
  <si>
    <t>039f0b84-4b1c-4fde-805f-b4eb430fff14</t>
  </si>
  <si>
    <t>57eac0dc-c11d-4b98-a5bb-4a3635718c0c</t>
  </si>
  <si>
    <t>7ea56b3f-973a-420e-94bd-d2a7079879b7</t>
  </si>
  <si>
    <t>2023-01-10 21:45:01 UTC</t>
  </si>
  <si>
    <t>SRID=4326;POINT(-87.540201014 37.8950471292)</t>
  </si>
  <si>
    <t xml:space="preserve">1 Celtis occidentalis 
2 Acer saccharum 
1 Fraxinus 
2 Celtis laevigata 
</t>
  </si>
  <si>
    <t xml:space="preserve">Campsis radicans, Fraxinus, gentian, Vitus sp. </t>
  </si>
  <si>
    <t xml:space="preserve">Bottomlands forest, wetlands, area with minimal foliage </t>
  </si>
  <si>
    <t>8484096c-0cdd-41fa-ac44-be472d224426,17195aa8-872d-444b-808f-b3971edc5435</t>
  </si>
  <si>
    <t>7835d3ac-6ca8-4ac4-98bc-b90fab758675</t>
  </si>
  <si>
    <t>dec766cd-99f8-492b-b6ce-8643b17c2803</t>
  </si>
  <si>
    <t>8f65065b-dfe6-43bc-9b0a-fb34c12eacee</t>
  </si>
  <si>
    <t>2023-01-10 21:44:45 UTC</t>
  </si>
  <si>
    <t>SRID=4326;POINT(-87.5577388053 37.8818983958)</t>
  </si>
  <si>
    <t>1 Ulmus sp.
1 Q. Muehlenbergii 
1 Fagus grandifolia
1 Celtis sp.</t>
  </si>
  <si>
    <t xml:space="preserve">Oriental Bittersweet, ground clover, poaceae, Lindera benzoin, </t>
  </si>
  <si>
    <t xml:space="preserve">Forest hillside, sparse foliage, dry, near parking lot </t>
  </si>
  <si>
    <t>4fbff7bc-aa8d-40e8-ad13-85f18a0bec64,d75391fd-aed4-42f3-b357-7465a4dcfa82</t>
  </si>
  <si>
    <t>8f08c843-6e35-4440-b02b-b23b66598942</t>
  </si>
  <si>
    <t>b1fefdd7-7a79-427d-9437-59a6d709cd7d</t>
  </si>
  <si>
    <t>387af87d-3fd2-4b11-a19c-5a33c291cb2f</t>
  </si>
  <si>
    <t>b785a440-1e09-41f7-9d55-c485cfe9f55c</t>
  </si>
  <si>
    <t>Quercus alba x michauxii</t>
  </si>
  <si>
    <t>2023-01-10 21:44:28 UTC</t>
  </si>
  <si>
    <t>SRID=4326;POINT(-87.5378575519 37.8942793565)</t>
  </si>
  <si>
    <t xml:space="preserve">2 Kingnut Carya lasinosa 
1 Q. alba 
1 Acer saccharum 
1 Q. michauxii 
1 Q. palustris </t>
  </si>
  <si>
    <t xml:space="preserve">Pawpaw, poison ivy, Virginia creeper, Carex, inland oat, Greenbrier, Gentian, sugar maple, </t>
  </si>
  <si>
    <t>2baa20d2-5a54-4508-b60d-c19c62071bac,82015b49-ef99-42a7-a807-7950a67b9687</t>
  </si>
  <si>
    <t>913d4c1a-1479-45f6-ac95-587ef16ccdb8</t>
  </si>
  <si>
    <t>d06cffeb-6e94-49e2-8eb9-1584f3b14613</t>
  </si>
  <si>
    <t>Andrew Hipp,Drew Larson,Ian Pearse,Leah Samuels,Mira Garner</t>
  </si>
  <si>
    <t>be74074c-537c-4ebc-bc73-ff783dac35f7</t>
  </si>
  <si>
    <t>2023-01-10 21:44:10 UTC</t>
  </si>
  <si>
    <t>SRID=4326;POINT(-87.5378082321 37.8941956954)</t>
  </si>
  <si>
    <t xml:space="preserve">1 Acer saccharum 
1 Q. alba x michauxii
2 Celtis laevigata 
1 Quercus velutina </t>
  </si>
  <si>
    <t xml:space="preserve">Poison ivy, Gentian, inland oats, Pawpaw, Carex, 
Virginia creeper, </t>
  </si>
  <si>
    <t>ad86b74d-d9f8-47ea-ab7a-a4669553c073,3c6f1455-3f3d-45e8-bbc7-51ce0028a11a</t>
  </si>
  <si>
    <t>5220855a-0af0-44c5-a10f-3a566141e4d9</t>
  </si>
  <si>
    <t>46fc97eb-f8a0-4f9b-9d4f-121b4737ad88</t>
  </si>
  <si>
    <t>c01d8d60-e64d-43f4-a694-f5c08f4f6c95</t>
  </si>
  <si>
    <t>2023-01-10 21:42:57 UTC</t>
  </si>
  <si>
    <t>SRID=4326;POINT(-87.5382600967 37.8941558698)</t>
  </si>
  <si>
    <t>4 Celtis laevigata
1 Quercus palustris 
1 Liquidambar</t>
  </si>
  <si>
    <t xml:space="preserve">Poison ivy, trumpet vine, Carex, Virginia creeper, Carex grayi, Chasmanthium latifolium, Viola sp., Smilax sp., </t>
  </si>
  <si>
    <t>42a5b290-027f-4a72-a638-6a3e44b5ae1e,c0f79d67-2b8c-4eb6-9d7e-441edbda053d</t>
  </si>
  <si>
    <t>240d4316-efd1-4486-b5bd-7515054f1051</t>
  </si>
  <si>
    <t>a624581c-d658-4bb5-9f57-2f506ed26f51</t>
  </si>
  <si>
    <t>c26688f9-e75c-43a2-a465-3e4bfe9b3db0</t>
  </si>
  <si>
    <t>2023-01-10 21:42:43 UTC</t>
  </si>
  <si>
    <t>SRID=4326;POINT(-87.5533397756 37.8859053519)</t>
  </si>
  <si>
    <t xml:space="preserve">1 Carya glabra  
2 Acer saccharum 
1 Carya ovata 
1 Fraxinus americana </t>
  </si>
  <si>
    <t xml:space="preserve">Pawpaw, Virginia creeper, asteraceae, mystery plant </t>
  </si>
  <si>
    <t xml:space="preserve">Along a hill, sparse foliage, near a body of water </t>
  </si>
  <si>
    <t>46e91eb8-3c17-44c0-a571-0552baaf88df,e0943a04-08a5-4c32-97e4-447782aa3d87,8b2a8a28-12e0-44a7-ab53-415d0838e5ce</t>
  </si>
  <si>
    <t>5a99e527-682b-4224-bd8a-988da6a48562</t>
  </si>
  <si>
    <t>3a3371dd-9697-4920-9ebe-2f0c0707cde2</t>
  </si>
  <si>
    <t>ca4689d0-bb58-4847-99b9-50c46e0e675e</t>
  </si>
  <si>
    <t>2023-01-10 21:42:24 UTC</t>
  </si>
  <si>
    <t>SRID=4326;POINT(-87.5433743187 37.894344558)</t>
  </si>
  <si>
    <t>2 Q. alba 
1 Celtis laevigata
1 red oak group 
1 Carya sp.</t>
  </si>
  <si>
    <t>Hackberries, gentian, poison ivy, viola sp., greenbriers, Carex</t>
  </si>
  <si>
    <t>e7d5d933-209f-47b0-99ae-e26d873a9b43,340f61c4-fffc-4d33-bb11-a0d317a6bdb0</t>
  </si>
  <si>
    <t>df958652-18e9-4709-9e8c-97e8ae740fb8</t>
  </si>
  <si>
    <t>82bbda52-5728-4321-87f2-247b809b5536</t>
  </si>
  <si>
    <t>ce1018c2-75e9-43df-bd29-774e58d82442</t>
  </si>
  <si>
    <t>2023-01-10 21:42:03 UTC</t>
  </si>
  <si>
    <t>SRID=4326;POINT(-87.5388656092 37.8942772514)</t>
  </si>
  <si>
    <t xml:space="preserve">3 Carya (king nut)
1 Q. michauxii
1 Celtis laevigata
1 Liquidambar sp.
1 Pin oak 
</t>
  </si>
  <si>
    <t xml:space="preserve">Bignonia, trumpet vine, Carex, Triosteum aurantiacum, Virginia creeper, hackberries, </t>
  </si>
  <si>
    <t xml:space="preserve">Bottomlands Forest, wetlands </t>
  </si>
  <si>
    <t>4449704e-da1a-4363-8196-dac067b9b9fd,133c9857-42eb-42f4-bd49-4155cf22d55c</t>
  </si>
  <si>
    <t>fa8bd6c0-c244-49c5-afa0-673424acf74c</t>
  </si>
  <si>
    <t>dde4b82d-6e0c-44cf-a527-ebdc25fd9d31</t>
  </si>
  <si>
    <t>d8b20dea-5d0a-4067-bc61-73e7930aac46</t>
  </si>
  <si>
    <t>2023-01-10 21:41:32 UTC</t>
  </si>
  <si>
    <t>SRID=4326;POINT(-87.5065743635 37.8993067801)</t>
  </si>
  <si>
    <t xml:space="preserve">1 Red oak group 
1 Carya laevigata 
1 liquidambar 
</t>
  </si>
  <si>
    <t xml:space="preserve">Trumpet vine, poison ivy, honeysuckle, Honewort, Carex, Virginia creeper </t>
  </si>
  <si>
    <t xml:space="preserve">Sloping downwards, near still river, forest, understory </t>
  </si>
  <si>
    <t>5d0f0777-3353-4519-a700-6515f31ffad8,6d6a058c-05c8-451a-bc60-92df919e997d,be26fcde-c926-4b8a-b51b-c854f5032840</t>
  </si>
  <si>
    <t>0d18eb99-5d81-4fec-b469-d74e7b208d3a</t>
  </si>
  <si>
    <t>dd695931-c800-4638-9443-a46c06671568</t>
  </si>
  <si>
    <t>eb9007e6-a769-4993-b6d5-c5589c57ec15</t>
  </si>
  <si>
    <t>2023-01-10 21:41:16 UTC</t>
  </si>
  <si>
    <t>SRID=4326;POINT(-87.5028698002 37.8988505597)</t>
  </si>
  <si>
    <t>2 Q. macrocarpa 
1 Walnut?</t>
  </si>
  <si>
    <t xml:space="preserve">American hog peanut, Virginia creeper, Carex, Greenbrier, poison ivy, green dragon, dogbane?, smooth ruellia, </t>
  </si>
  <si>
    <t>1a38e6fd-dc55-45c1-bff6-3cad164644bc,61bbec06-d93d-4f46-a139-9c4c91da53d0</t>
  </si>
  <si>
    <t>2aef2edd-dc0f-4180-826d-e814b79c2841</t>
  </si>
  <si>
    <t>5cf1cd20-6e3d-4b70-8413-989403e4fad0</t>
  </si>
  <si>
    <t>3a9b9e0a-bf4b-4f41-8312-fb5ba2e9e10e</t>
  </si>
  <si>
    <t>2023-01-10 21:41:02 UTC</t>
  </si>
  <si>
    <t>SRID=4326;POINT(-84.5070377738 38.0610236479)</t>
  </si>
  <si>
    <t xml:space="preserve">1 catalpas </t>
  </si>
  <si>
    <t xml:space="preserve">Lawn grass 
Euonymus </t>
  </si>
  <si>
    <t xml:space="preserve">Open grown, woodland pasture </t>
  </si>
  <si>
    <t>3c5f3911-c09c-448b-ab6e-e50a5b0f8937,fcbfa6fb-46c3-4019-b553-c655a769eb35,c6d54113-cb80-400d-9efa-439cd1e20d65</t>
  </si>
  <si>
    <t>0481ad9f-7b74-425a-92be-215e2b98bb5b</t>
  </si>
  <si>
    <t>abb4f55a-904a-4cb4-8e06-b6773ed95eb6</t>
  </si>
  <si>
    <t>721b6c53-2e11-4e57-be0e-98d8a2dd5a3f</t>
  </si>
  <si>
    <t>2023-01-10 21:40:47 UTC</t>
  </si>
  <si>
    <t>SRID=4326;POINT(-87.5392687074 37.8917673201)</t>
  </si>
  <si>
    <t xml:space="preserve">2 Acer saccharum 
1 Q. lyrata
2 Fraxinus 
2 Willow
1 Sycamore </t>
  </si>
  <si>
    <t>Stinging nettle, carex, Pilea pumila, Impatiens, Saururus cernuus, Lamiaceae</t>
  </si>
  <si>
    <t>7784e7d0-fabd-4263-9ecd-e23c8183d63a,ba2288cb-58ce-4b1f-b901-fe3a30c85f70,f53422b4-5eb4-4af6-99ae-23057d1114e0</t>
  </si>
  <si>
    <t>9febce13-7859-431d-9f63-03882a8fa423</t>
  </si>
  <si>
    <t>80238b27-5db9-4c4e-b78f-566ff345aa1d</t>
  </si>
  <si>
    <t>eb3e278d-03ab-419e-8fec-0c754dae75a9</t>
  </si>
  <si>
    <t>2023-01-10 21:40:23 UTC</t>
  </si>
  <si>
    <t>SRID=4326;POINT(-84.7355566175 38.1379250531)</t>
  </si>
  <si>
    <t xml:space="preserve">2 Juniperus sp.
2 Juglens nigra
1 celtis occidentalis 
1 Acer saccharum 
1 Fraxinus sp. (White or blue ash) </t>
  </si>
  <si>
    <t xml:space="preserve">Ground ivy(Glechoma hederacea), poaceae, celtis sp., nettle, Fraxinus sp. </t>
  </si>
  <si>
    <t xml:space="preserve">Woodland Pasture </t>
  </si>
  <si>
    <t>1370672b-872a-4e04-98b0-54ed05302ec0,3c04e89a-a34c-4af5-bb2f-bb9db7838f8c</t>
  </si>
  <si>
    <t>4ef7a58d-db07-42e1-835b-0679f5569d4c</t>
  </si>
  <si>
    <t>ade307a2-1faf-4c06-9bc1-b3e2aeaacb85</t>
  </si>
  <si>
    <t>a545437a-4374-45f0-bc94-b1505d5fb149</t>
  </si>
  <si>
    <t>c2af8ca3-baea-4c63-a66f-6ef34bfefeeb</t>
  </si>
  <si>
    <t>2023-01-10 21:40:05 UTC</t>
  </si>
  <si>
    <t>SRID=4326;POINT(-84.7355765941 38.1378465989)</t>
  </si>
  <si>
    <t xml:space="preserve">3 Juniper sp.
1 Juglens nigra 
1 pin oak 
2 Acer saccharum </t>
  </si>
  <si>
    <t xml:space="preserve">Ground ivy(Glechoma hederacea), poaceae, Virginia creeper, </t>
  </si>
  <si>
    <t>841c40cc-0f97-4bff-be63-d9d30015705a,062ccffb-2605-4c2c-99e1-dc153b5b6851</t>
  </si>
  <si>
    <t>2fe6563d-c661-47c1-953e-be633a42e266</t>
  </si>
  <si>
    <t>4fa3f2f9-150a-4c10-b8d8-265778fad95a</t>
  </si>
  <si>
    <t>e945cb71-1181-4433-bca8-c85e7672c580</t>
  </si>
  <si>
    <t>2023-01-10 21:39:45 UTC</t>
  </si>
  <si>
    <t>SRID=4326;POINT(-84.7342603561 38.1369063584)</t>
  </si>
  <si>
    <t xml:space="preserve">1 Juniper sp. </t>
  </si>
  <si>
    <t xml:space="preserve">Ground ivy, poaceae, Euonymus, Virginia creeper, Lamium sp., Persicaria virginiana </t>
  </si>
  <si>
    <t>b2a3ec10-f6aa-4fe2-b307-fc80fb1020ad,447bb892-be04-4e18-85a0-701fa154f454,7c2c4c3a-4606-4d48-ab47-cd1bf180af00</t>
  </si>
  <si>
    <t>a4139108-21ce-47ff-b1ac-77d67b071258</t>
  </si>
  <si>
    <t>fdaab7aa-0e3d-45db-91aa-789bf3571271</t>
  </si>
  <si>
    <t>423714bf-c714-4204-9e68-645c49d89f93</t>
  </si>
  <si>
    <t>2023-01-10 21:38:58 UTC</t>
  </si>
  <si>
    <t>SRID=4326;POINT(-87.5382742659 37.8941412969)</t>
  </si>
  <si>
    <t xml:space="preserve">1 Q. macrocarpa 
3 Celtis laevigata 
1 Quercus palustris 
</t>
  </si>
  <si>
    <t xml:space="preserve">Pawpaw, Smilax tamnoides, Triosteum aurantiacum, 
Triosteum aurantiacum, poison ivy, Viola sp., American trumpet vine </t>
  </si>
  <si>
    <t>620c222f-a464-4ec9-931d-5f323c82152e,490e0dc3-d775-4f33-af30-6712207262cf</t>
  </si>
  <si>
    <t>4c7b8a49-927f-4c76-b4c1-597debd2835c,238bd62c-8c6e-4cda-b45f-db9750f32b4b</t>
  </si>
  <si>
    <t>85e16b18-5bb2-4e68-9752-a9555586000b</t>
  </si>
  <si>
    <t>772aa3d7-c428-4114-a7d3-1d5e2a958c11</t>
  </si>
  <si>
    <t>2023-01-10 21:38:38 UTC</t>
  </si>
  <si>
    <t>SRID=4326;POINT(-87.5397437811 37.890516181)</t>
  </si>
  <si>
    <t xml:space="preserve">2 Sugar maple 
1 Fraxinus 
1 pin oak (Quercus palustris) 
1 Liquidambar styraciflua
1 Celtis occidentalis 
2 Kentucky coffee tree 
1 Ulmus rubra </t>
  </si>
  <si>
    <t xml:space="preserve">Virginia creeper, poison ivy, paw paw, Carex, boehmaria, moonseed, solinago, creeping Jenny, </t>
  </si>
  <si>
    <t>Bottomlands forest, wetlands</t>
  </si>
  <si>
    <t>4f473c7c-32b9-4dd5-bd31-47d8cb16cf4f,98b31ec4-3878-49a1-981d-256d8f01d2d7,12ed0263-9412-4436-97fb-56a97c651fbe</t>
  </si>
  <si>
    <t>264dee9e-33d5-4f1e-9fb0-6d5886ccbc00,c59b703b-e184-4f82-b0e8-bc6664439f1f,825a4b10-07b5-4a77-a305-78740a48e210,b4ec10f2-a807-4326-8abb-4a98e668f8fa,a12545b4-dc72-4153-8de9-f428b946316f</t>
  </si>
  <si>
    <t>ef857247-e737-454c-8f8a-1a1fc13acc70</t>
  </si>
  <si>
    <t>e2ccb446-ee8f-46ff-8216-419d526430b8</t>
  </si>
  <si>
    <t>efca0242-4e34-4a71-8dd4-f78cab28f73f</t>
  </si>
  <si>
    <t>2023-01-10 21:38:19 UTC</t>
  </si>
  <si>
    <t>SRID=4326;POINT(-84.7599746101 38.1398915314)</t>
  </si>
  <si>
    <t xml:space="preserve">1 Fraxinus quadrangulata </t>
  </si>
  <si>
    <t xml:space="preserve">Burdock, knotweed, Trifolium repens, Avens, Creeping Charlie, Ragweed, Grasses family, Viola sp., Lonicera sp., Vitus, Rhumex sp. </t>
  </si>
  <si>
    <t>3b81e3f7-100a-4f16-956a-9c525ec12f7c,a6266b59-8f10-4acf-b346-829852d6666e</t>
  </si>
  <si>
    <t>ba970c0a-faec-46d0-986f-16bb30c150c4</t>
  </si>
  <si>
    <t>f804c532-3c5c-44c8-b17b-d78f016833b2</t>
  </si>
  <si>
    <t>02656f9a-87a8-4d29-beba-42b3d8cb46cb</t>
  </si>
  <si>
    <t>0c9f34b3-6fa1-4cef-8e3b-a0886d45bfe8</t>
  </si>
  <si>
    <t>2023-01-10 21:38:00 UTC</t>
  </si>
  <si>
    <t>SRID=4326;POINT(-84.2080635054 38.2736470958)</t>
  </si>
  <si>
    <t xml:space="preserve">Poison ivy 
Honeysuckle 
Pokeweed
Vitis sp.
Common plantain 
Grasses family </t>
  </si>
  <si>
    <t>2e7cb762-8f10-4a55-8e91-0e19354182a9,4ec377f7-d45d-4aa9-ad21-35ab60cc5207,db3dcebc-4ef9-40b8-9591-fefa08471208</t>
  </si>
  <si>
    <t>50c76819-80c9-4a13-9a61-205fd1eb24ca</t>
  </si>
  <si>
    <t>0da775eb-2a44-4996-9ff4-642b82d5c20d</t>
  </si>
  <si>
    <t>512789c7-af74-4b81-8df6-bba4190ed036</t>
  </si>
  <si>
    <t>2023-01-10 21:37:34 UTC</t>
  </si>
  <si>
    <t>SRID=4326;POINT(-84.2081702618 38.27340865)</t>
  </si>
  <si>
    <t>Poison ivy 
Ragweed
Common plantain
Grass (pennisetum sp) 
Smooth ruellia</t>
  </si>
  <si>
    <t>2235754d-8938-4a83-b542-1745674eee15,98d80e15-5a54-4b3c-bea6-ebf0f5dab90d,c07d0a0d-2de4-4e96-8da2-a8bb727ece82,73987ffa-c892-4255-97c6-8fa479bbf1fb,4c30a3ca-7779-478e-9d25-48d79101bf23</t>
  </si>
  <si>
    <t>0d2bc8c5-699b-4aa8-aca1-21b294af573b</t>
  </si>
  <si>
    <t>eba40d10-ce93-4b3d-b7be-06f9f6d06639</t>
  </si>
  <si>
    <t>c11c1772-5ce3-40e4-a72d-d081fcb50053</t>
  </si>
  <si>
    <t>2023-01-10 21:37:09 UTC</t>
  </si>
  <si>
    <t>SRID=4326;POINT(-84.208627 38.272487408)</t>
  </si>
  <si>
    <t xml:space="preserve">1 Q. muehlenbergii </t>
  </si>
  <si>
    <t xml:space="preserve">Poison ivy 
Honeysuckle 
Common plantain 
Grass (pennisetum sp) 
Smooth ruellia </t>
  </si>
  <si>
    <t>0dc2304d-3d41-4c74-817d-38b9d4083635,bf9ad18e-cc4b-491c-9ac1-d61aa7ce8f5b,f3e6bade-49ca-4abe-8f5f-6a5889bfdb8f</t>
  </si>
  <si>
    <t>2e738cfe-44d5-4b26-9960-14711af7a909</t>
  </si>
  <si>
    <t>11bbafe4-85f1-42b0-8b2d-e3696bfd91a4</t>
  </si>
  <si>
    <t>36510541-414d-45a1-9f6c-e8414b3abb49</t>
  </si>
  <si>
    <t>2023-01-10 21:36:15 UTC</t>
  </si>
  <si>
    <t>SRID=4326;POINT(-84.2034044211 38.278194652)</t>
  </si>
  <si>
    <t xml:space="preserve">6 Celtis occidentalis </t>
  </si>
  <si>
    <t xml:space="preserve">Honeysuckle
Grass (pennisetum sp) 
Smooth ruellia </t>
  </si>
  <si>
    <t>d489be1c-a41c-4576-a61c-371cafeb2279,602d86cd-1e62-4cf8-bb5a-2beba30fa4ef</t>
  </si>
  <si>
    <t>29cebcf9-8eaa-4aa9-b3e2-ac89f46ba790</t>
  </si>
  <si>
    <t>861c89d2-fef3-432a-86c0-9c0e2aa7466e</t>
  </si>
  <si>
    <t>8e508ec2-71e3-49c2-95af-10ca1a9f6930</t>
  </si>
  <si>
    <t>2023-01-10 21:35:57 UTC</t>
  </si>
  <si>
    <t>SRID=4326;POINT(-84.2033732971 38.2782157186)</t>
  </si>
  <si>
    <t>1 Q. macrocarpa 
1 Fraxinus quadrangulata</t>
  </si>
  <si>
    <t>Honeysuckle
Grass (pennisetum sp) 
Poison ivy</t>
  </si>
  <si>
    <t>23e01198-0ff4-43cc-a0bd-64b671d14f7d,88cd4d62-04ce-41f8-bc1a-45846beb3ee2</t>
  </si>
  <si>
    <t>c0c6071e-393f-4ad7-8bfd-31c3bea7a4d0</t>
  </si>
  <si>
    <t>e8ff085e-6324-4fbc-af74-1210b2fdc5d7</t>
  </si>
  <si>
    <t>dc208672-0198-4c96-8aa6-abbe8ca179d4</t>
  </si>
  <si>
    <t>2023-01-10 21:35:38 UTC</t>
  </si>
  <si>
    <t>SRID=4326;POINT(-84.2040037271 38.2781601604)</t>
  </si>
  <si>
    <t xml:space="preserve">1 Quercus macrocarpa
1 walnut (Juglans nigra) 
1 Quercus muehlenbergii </t>
  </si>
  <si>
    <t xml:space="preserve">Honeysuckle 
Common plantain 
Clover 
Grass (pennisetum sp) </t>
  </si>
  <si>
    <t>49e65d4d-04e0-4918-a161-a38148c48cd2,7a1b3767-7286-4f6f-9d68-1270169c030e,0c58524b-85bc-45d1-8730-d681bee658b0</t>
  </si>
  <si>
    <t>65c13c85-c4c8-45a3-a750-445263cd69cf</t>
  </si>
  <si>
    <t>d2e2497b-93bc-4703-b6b8-262b52b22f95</t>
  </si>
  <si>
    <t>49a1eb0a-5a28-4020-97ff-61f1b97c3b4f</t>
  </si>
  <si>
    <t>06458714-2e13-434c-88d4-b811c1fc2fb5</t>
  </si>
  <si>
    <t>2023-01-10 21:35:20 UTC</t>
  </si>
  <si>
    <t>SRID=4326;POINT(-84.2094083783 38.2741015172)</t>
  </si>
  <si>
    <t>Virginia creeper 
Ragweed 
Common plantain 
Grass family 
Hackberry 
Thistle 
Vitis sp.</t>
  </si>
  <si>
    <t>ce2bdb30-7341-4dcd-865e-ade1506d2102,4bedeb98-f897-42ed-97b5-8c455ad3ad9d,657eee44-5123-4ca1-88a7-0513964349a5</t>
  </si>
  <si>
    <t>2ccf1453-5d29-4466-b18d-c601cff8c2e0</t>
  </si>
  <si>
    <t>670100ed-f148-4bd3-9b7c-8f44e7c065e6</t>
  </si>
  <si>
    <t>e507b024-aff3-4cf1-9f33-482f3300bc6b,93f89510-75c6-466a-beb7-7bca7bc2d2f6</t>
  </si>
  <si>
    <t>91b7a761-06b0-4016-bd84-f0f0eb7b31d0</t>
  </si>
  <si>
    <t>2023-01-10 21:34:48 UTC</t>
  </si>
  <si>
    <t>SRID=4326;POINT(-84.2019877956 38.2774078008)</t>
  </si>
  <si>
    <t xml:space="preserve">1 Celtis occidentalis 
</t>
  </si>
  <si>
    <t>Poison ivy
Honeysuckle 
Rose 
Pennistum sp grass
Ash 
Trumpet vine 
Vitis sp.</t>
  </si>
  <si>
    <t>77eae515-ebf3-4f04-97d2-59c11c709640,af5cba4f-e4eb-4b8c-a2d2-b82a658f66ae,acf191d0-f5a8-4e44-99db-f909e8f175fc</t>
  </si>
  <si>
    <t>716b9491-1a44-4fc4-be4c-e46b352a7688</t>
  </si>
  <si>
    <t>d3aa1ce1-4a2f-4ecf-856f-80778a6e303c</t>
  </si>
  <si>
    <t>095f7154-058a-42bd-b049-2cd4061c68c1</t>
  </si>
  <si>
    <t>2023-01-10 21:34:19 UTC</t>
  </si>
  <si>
    <t>SRID=4326;POINT(-86.3143726532 36.0746130115)</t>
  </si>
  <si>
    <t>Cedars of Lebanon State Park</t>
  </si>
  <si>
    <t xml:space="preserve">5 Juniperus sp.
</t>
  </si>
  <si>
    <t xml:space="preserve">Honeysuckle
Virginia creeper 
Dogwood 
St JohnΓÇÖs wart (hypericum sp.)
</t>
  </si>
  <si>
    <t xml:space="preserve">Limestone area, dense woods, forest, muddy </t>
  </si>
  <si>
    <t>99b826f8-8052-4fe1-93f2-0970e9ab92c2,5d873ef7-9995-47ef-a529-271fa32b1ec0,d1b1e3d1-df72-4f38-be49-8ba1f023854a</t>
  </si>
  <si>
    <t>40170b83-62f5-4236-8d63-df86b2464329</t>
  </si>
  <si>
    <t>d1743827-351a-4cdc-b7c9-4516a520ad0e</t>
  </si>
  <si>
    <t>0e03b1df-ffba-4795-95b1-94b9594591bd</t>
  </si>
  <si>
    <t>2023-01-10 21:34:06 UTC</t>
  </si>
  <si>
    <t>SRID=4326;POINT(-86.3135852616 36.0730289791)</t>
  </si>
  <si>
    <t xml:space="preserve">3 Juniper sp
1 Walnut 
</t>
  </si>
  <si>
    <t>Virginia creeper 
Fraxinus 
Aster family 
Dogwood 
Honeysuckle 
Fragrant sumac</t>
  </si>
  <si>
    <t xml:space="preserve">Dense forest area, limestone and wet soil </t>
  </si>
  <si>
    <t>c6b95e15-7579-4f09-8027-87b8677ec28e,e9acb548-5ab9-4785-9487-f44835ff8cba</t>
  </si>
  <si>
    <t>026740fd-c2cf-4710-bb63-76da8dea8ac0</t>
  </si>
  <si>
    <t>0fb154f3-555e-4897-9a28-026d60cdb9cd</t>
  </si>
  <si>
    <t>3c2df8ba-a7ea-4d0e-9a46-0602f10ff85a</t>
  </si>
  <si>
    <t>2023-01-10 21:33:50 UTC</t>
  </si>
  <si>
    <t>SRID=4326;POINT(-86.313884072 36.0729364042)</t>
  </si>
  <si>
    <t xml:space="preserve">1 Fraxinus 
4 Juniperus 
</t>
  </si>
  <si>
    <t xml:space="preserve">Virginia creeper 
Red bud 
Honeysuckle 
Dog wood 
Fern </t>
  </si>
  <si>
    <t>a8cf4a34-a198-4377-8da2-3cb84f7e1367,f3f09851-fae0-4ca9-afe4-93cd984daf3d</t>
  </si>
  <si>
    <t>458eaf4f-d1c8-4b14-a7f6-83722fb343a6</t>
  </si>
  <si>
    <t>16c6ce39-cc1c-4e36-a12b-6cd4c8d8272e</t>
  </si>
  <si>
    <t>4e25fc45-25b5-4e63-bb22-a0f5e8ea5286</t>
  </si>
  <si>
    <t>2023-01-10 21:33:34 UTC</t>
  </si>
  <si>
    <t>SRID=4326;POINT(-86.3143314143 36.0746511491)</t>
  </si>
  <si>
    <t xml:space="preserve">2 Q. Stellata 
1 Fraxinus 
1 Q. muehlenbergii 
4 Juniperus 
</t>
  </si>
  <si>
    <t xml:space="preserve">Poison ivy
Virginia creeper 
Fraxinus 
White avens 
Ulmus 
Rhumatica 
Polisticum
Q. Shumarii
Fragrant sumac </t>
  </si>
  <si>
    <t>26ea21ed-a224-4e09-8bc9-a5b0d28f0257,9cd820eb-344c-4b2a-ae8c-2772664ffb84</t>
  </si>
  <si>
    <t>03c3b95f-f190-4f4a-8600-5a408ea4f7ef</t>
  </si>
  <si>
    <t>f8eaa39f-fc04-4800-9a29-a04b4e3c0f44</t>
  </si>
  <si>
    <t xml:space="preserve">DBH estimated due to poison ivy </t>
  </si>
  <si>
    <t>ca945e82-d502-4190-826d-c8e7f484837d</t>
  </si>
  <si>
    <t>2023-01-10 21:33:17 UTC</t>
  </si>
  <si>
    <t>SRID=4326;POINT(-86.3139709924 36.0756971268)</t>
  </si>
  <si>
    <t xml:space="preserve">3 Juniperus 
2 Quercus Alba 
1 Quercus velutina </t>
  </si>
  <si>
    <t xml:space="preserve">Hickory 
Poison ivy 
Redbud 
Birch family </t>
  </si>
  <si>
    <t>a63cab13-0a7c-454b-a887-91d2af143012,acf42b2c-2d12-426a-b7b8-35240f3e49eb</t>
  </si>
  <si>
    <t>2519175a-57e5-4b8d-8d64-1e60400221d8</t>
  </si>
  <si>
    <t>da5543cf-ed6f-4dd6-9c57-8c007aaf5232</t>
  </si>
  <si>
    <t>Two stems - 25, 24.7</t>
  </si>
  <si>
    <t>0ad533f2-5cc2-4012-8083-0c5da8b748a5</t>
  </si>
  <si>
    <t>2023-01-10 17:53:48 UTC</t>
  </si>
  <si>
    <t>SRID=4326;POINT(-96.4284604043 36.8456713468)</t>
  </si>
  <si>
    <t xml:space="preserve">1 black or pin oak 
1 Q. stellata 
 1 hickory </t>
  </si>
  <si>
    <t xml:space="preserve">Aster, grasses, San Diego sage wort, legumes, tricktrefoiles, inland wood oats </t>
  </si>
  <si>
    <t xml:space="preserve">Edge of prairie and wooded area </t>
  </si>
  <si>
    <t>7c2e0a5a-de75-4fa9-9bbe-9b8a0313234f,9c9b47fb-9e7e-406a-a07e-f803ff91d123</t>
  </si>
  <si>
    <t>024d8b2a-5861-49b7-aef1-5a0912a86788</t>
  </si>
  <si>
    <t>151a1093-8802-4bca-9cab-810eb5557dc0</t>
  </si>
  <si>
    <t>53a30f07-ca3d-4b0b-a3a0-5b2337a193ce</t>
  </si>
  <si>
    <t>2022-12-12 21:37:30 UTC</t>
  </si>
  <si>
    <t>SRID=4326;POINT(-88.9173955 37.3586727)</t>
  </si>
  <si>
    <t>Acer rubrum, ulmus alata, morus rubra</t>
  </si>
  <si>
    <t>Wet forest adjacent to creek</t>
  </si>
  <si>
    <t>fa25ed26-abc7-4b9b-9770-10082e18433d</t>
  </si>
  <si>
    <t>Supplement -- not tagged</t>
  </si>
  <si>
    <t>9fb3b095-55ea-4017-a302-4f8ca2d82b7e</t>
  </si>
  <si>
    <t>Quercus prinoides</t>
  </si>
  <si>
    <t>2022-11-02 16:48:14 UTC</t>
  </si>
  <si>
    <t>SRID=4326;POINT(-94.5797791892 37.5350274984)</t>
  </si>
  <si>
    <t>MG927</t>
  </si>
  <si>
    <t xml:space="preserve">2 persimmon 
1 pin oak </t>
  </si>
  <si>
    <t xml:space="preserve">Lots of small trees - persimmon, gum bumelia, grass, Rubus, iron weeds, </t>
  </si>
  <si>
    <t xml:space="preserve">Edge of prairie </t>
  </si>
  <si>
    <t>c32214ab-c672-4ace-9c12-1187fc6c19d1,91d5f24b-be92-4ead-b9f5-279292414ea2</t>
  </si>
  <si>
    <t>f57b922a-271e-4427-8975-cfff3465d1a6</t>
  </si>
  <si>
    <t>ad722499-665e-4413-a7ac-965d5b148628,a9ca8b30-8918-4636-bf29-dc7cde30e562</t>
  </si>
  <si>
    <t>Tagged as 105</t>
  </si>
  <si>
    <t>0cb14f6a-56c5-4869-a96a-488e2f20b08d</t>
  </si>
  <si>
    <t>2022-11-02 16:47:58 UTC</t>
  </si>
  <si>
    <t>SRID=4326;POINT(-94.5746692401 37.5327568972)</t>
  </si>
  <si>
    <t xml:space="preserve">2 hackberry 
1 elm 
1 pin oak 
1 red mulberry </t>
  </si>
  <si>
    <t xml:space="preserve">American hog peanut, sassafras, grasses, coral berry, small pin oaks </t>
  </si>
  <si>
    <t xml:space="preserve">Wooded area near prairie </t>
  </si>
  <si>
    <t>9c717537-b6fe-4dba-9301-5414e027064c,b80d2b73-93ad-414d-9498-14b9c83d5609</t>
  </si>
  <si>
    <t>36e5a053-c3a2-4080-802c-3cf1cc58eb02</t>
  </si>
  <si>
    <t>920eaeb5-423e-412f-98da-0e141a9ef60f</t>
  </si>
  <si>
    <t>f40568b1-17b2-4042-b38b-e2e78edf4607</t>
  </si>
  <si>
    <t>2022-11-02 16:47:49 UTC</t>
  </si>
  <si>
    <t>SRID=4326;POINT(-94.5746948943 37.5325925136)</t>
  </si>
  <si>
    <t>MG925</t>
  </si>
  <si>
    <t xml:space="preserve">2 hackberry 
1 elm 
1 pin oak 
1 red mulberry 
</t>
  </si>
  <si>
    <t>c7c7ab65-6db8-4473-b1c4-241d96f30909,e27e8bba-4db7-41f3-a16a-0650eb95b652</t>
  </si>
  <si>
    <t>e7e5991e-2b94-4606-94c6-fbc9d9fecc45</t>
  </si>
  <si>
    <t>Tagged as 104</t>
  </si>
  <si>
    <t>97636033-21b6-47fb-a400-b6b9211d552f</t>
  </si>
  <si>
    <t>2022-11-02 16:47:33 UTC</t>
  </si>
  <si>
    <t>SRID=4326;POINT(-94.5749243812 37.5322468397)</t>
  </si>
  <si>
    <t>MG924</t>
  </si>
  <si>
    <t xml:space="preserve">2 gum bumelia 
1 pin oak 
1 American elm 
1 Q. Prinoides </t>
  </si>
  <si>
    <t>Gentian, crownbeard, coral berry, grasses, ragweed</t>
  </si>
  <si>
    <t>90ec9035-6310-47d6-aaa8-cbf678ff6c36,5b629277-3c0a-4a69-a24a-537b37abbdd9</t>
  </si>
  <si>
    <t>c1737223-09b5-466e-b9a2-705ee805768f</t>
  </si>
  <si>
    <t>fdb0f58e-1a3e-482c-9dcd-63aa0f402c45</t>
  </si>
  <si>
    <t>Tagged as 103</t>
  </si>
  <si>
    <t>bd370e37-7af0-4852-b74e-b0fb70a60145</t>
  </si>
  <si>
    <t>2022-11-02 16:47:23 UTC</t>
  </si>
  <si>
    <t>SRID=4326;POINT(-94.5751265624 37.5321828481)</t>
  </si>
  <si>
    <t>MG923</t>
  </si>
  <si>
    <t xml:space="preserve">2 gum bumelia 
1 pin oak 
1 American elm 
1 Q. stellata </t>
  </si>
  <si>
    <t xml:space="preserve">
Gentian, crownbeard, coral berry, grasses, ragweed</t>
  </si>
  <si>
    <t>da4f87f6-5360-4e2d-9d46-75d61ca482e1,c479bbc3-9a8b-443e-9db9-a0b2f3106ef5</t>
  </si>
  <si>
    <t>9b012cd5-3361-4176-830c-f1ffd52de89e</t>
  </si>
  <si>
    <t>b9331f97-6aed-449b-8a51-1ccc11ef5a6a</t>
  </si>
  <si>
    <t>3 stems close by 
Tagged as 102</t>
  </si>
  <si>
    <t>f4c21991-1004-456d-aabb-707e81412b96</t>
  </si>
  <si>
    <t>2022-11-02 16:47:07 UTC</t>
  </si>
  <si>
    <t>SRID=4326;POINT(-94.5747844048 37.5317555899)</t>
  </si>
  <si>
    <t xml:space="preserve">Hedge apple 
Honey locust 
Red mulberry 
Pin oak </t>
  </si>
  <si>
    <t xml:space="preserve">Buckbrush, </t>
  </si>
  <si>
    <t xml:space="preserve">Wooded area of prairie, riparian? </t>
  </si>
  <si>
    <t>dcfb1dfe-1fe9-49fb-9a88-30c966302999</t>
  </si>
  <si>
    <t>7d232fa1-c588-41f2-89c6-5d775140e7bb</t>
  </si>
  <si>
    <t xml:space="preserve">Very very small </t>
  </si>
  <si>
    <t>f087c8e0-eff1-41b4-b380-f796992c71ad</t>
  </si>
  <si>
    <t>2022-11-01 19:54:56 UTC</t>
  </si>
  <si>
    <t>SRID=4326;POINT(-94.80684109032154 38.979521376702436)</t>
  </si>
  <si>
    <t>4 Carya sp
1 Celtis sp
2 Carya (ovata ?) 
1 Juglans sp</t>
  </si>
  <si>
    <t xml:space="preserve">Smilax, Ribes, Virginia creeper, Sanicula sp., Fraxinus, redbud, honeysuckle </t>
  </si>
  <si>
    <t xml:space="preserve">Uphill of lake, dense forest </t>
  </si>
  <si>
    <t>50c73d26-8060-4307-95dc-356c3cec7159,952c963c-b55a-404f-a6ba-ba6d19081ca0</t>
  </si>
  <si>
    <t>60b6348f-4cac-4e0e-96ab-6196dcdc0b2b</t>
  </si>
  <si>
    <t>931a1abe-3d4d-49c4-a757-18275be8e530</t>
  </si>
  <si>
    <t>Subcanopy leaves 
Middle path</t>
  </si>
  <si>
    <t>ab67c039-d0e1-4846-9df8-0376bf6853f0</t>
  </si>
  <si>
    <t>2022-11-01 19:36:06 UTC</t>
  </si>
  <si>
    <t>SRID=4326;POINT(-94.80799578139074 38.97990298461074)</t>
  </si>
  <si>
    <t xml:space="preserve">2  Carya (ovata probably) 
1 Ulmus sp.
2 Carya sp.
</t>
  </si>
  <si>
    <t xml:space="preserve">Redbud, honeysuckle, Virginia creeper, Fraxinus, Smilax, sanicles </t>
  </si>
  <si>
    <t>3128ffb3-4fe7-47b1-a3e2-bf7854f13ec5,b7cf6388-1e6c-4ee9-b421-e1ab7ff7117d</t>
  </si>
  <si>
    <t>734568b5-e205-410d-92ac-1e55a8c490bc,6f3b681e-2906-464a-8106-4b43ab89a05a</t>
  </si>
  <si>
    <t>75cc010f-ce9f-4b68-b70f-1c6bc93e522a</t>
  </si>
  <si>
    <t>1db5abff-4250-4ba0-b266-b4c4aa035943</t>
  </si>
  <si>
    <t>4fcf3b7e-9ada-4067-ba0e-baf75d0394e8</t>
  </si>
  <si>
    <t>2022-11-01 19:36:05 UTC</t>
  </si>
  <si>
    <t>SRID=4326;POINT(-94.7941280901432 38.981980935959115)</t>
  </si>
  <si>
    <t xml:space="preserve">1 Juglans sp.
1 Q. macrocarpa 
1 Ulmus sp.
1 Q. muehlenbergii 
1 red oak group
</t>
  </si>
  <si>
    <t xml:space="preserve">Carex sp., Virginia creeper, Carya sp., honeysuckle, sanicles </t>
  </si>
  <si>
    <t xml:space="preserve">Dense forest </t>
  </si>
  <si>
    <t>84ee1967-03fd-4abd-8f75-757d7ed2b1e9,f0661cfa-88ba-448e-b9f6-817ea15cf614</t>
  </si>
  <si>
    <t>6b19c09f-6ddf-405c-b90d-10d69f72ab10</t>
  </si>
  <si>
    <t>1fbec5b6-af74-43fe-8e8e-976fa791df5b</t>
  </si>
  <si>
    <t xml:space="preserve">Leaves like stellata 
Tagged but not flagged </t>
  </si>
  <si>
    <t>25bca13b-2399-4dc5-b09c-c15b3f76d710</t>
  </si>
  <si>
    <t>2022-11-01 19:36:04 UTC</t>
  </si>
  <si>
    <t>SRID=4326;POINT(-94.79395332755035 38.981996113470736)</t>
  </si>
  <si>
    <t xml:space="preserve">2 red oak group 
1 Celtis sp. 
1 Q. muehlenbergii 
1 Tilia sp.
1 Juglans sp.
</t>
  </si>
  <si>
    <t xml:space="preserve">Honeysuckle, Virginia creeper, Hylodesmum glutinosum </t>
  </si>
  <si>
    <t xml:space="preserve">Hill top, dense forest, near stream </t>
  </si>
  <si>
    <t>a7b0ee74-926b-4fca-9f2b-7bd381cc57e7,1e9eaaef-f735-4c49-a81e-42f034e60ebc</t>
  </si>
  <si>
    <t>47ac2fe1-0a35-4d02-8f49-ced411147898,34fbc752-8f32-400f-b655-df3d924ada45</t>
  </si>
  <si>
    <t>c543f42b-df5c-4a43-b2ea-8b129521e97b</t>
  </si>
  <si>
    <t>a46025c8-b223-4758-8f3d-4877866a7a92</t>
  </si>
  <si>
    <t>85f19787-4f42-4c5d-b4de-ced800bf0d23</t>
  </si>
  <si>
    <t>2022-11-01 19:36:03 UTC</t>
  </si>
  <si>
    <t>SRID=4326;POINT(-96.6046791896224 39.107931858363415)</t>
  </si>
  <si>
    <t xml:space="preserve">4 Q. muehlenbergii 
1 Q. macrocarpa 
1 Juglans sp.
2 eastern redbud </t>
  </si>
  <si>
    <t xml:space="preserve">Ribes sp., redbud, fragrant sumac, smooth brome, snowberry??? Dogwood, </t>
  </si>
  <si>
    <t xml:space="preserve">Gravely, limestone, prairie hillside edge of sparse forest </t>
  </si>
  <si>
    <t>b18a90b6-96ce-4c79-868d-831a679b4fbf,52bcc0d9-8fa0-4d07-9d2e-091740e5212e,06577329-fbea-4e1a-a255-15687125d9cc</t>
  </si>
  <si>
    <t>11bd6717-6423-4182-a4c1-2eb8a5997d4d</t>
  </si>
  <si>
    <t>c3d59e6e-5ad0-45d4-9cc3-9c70fc3b09b3</t>
  </si>
  <si>
    <t xml:space="preserve">Some accessible branches without pole pruners </t>
  </si>
  <si>
    <t>8108377a-7e34-4239-be08-2f36cdda99dc</t>
  </si>
  <si>
    <t>SRID=4326;POINT(-96.60502376975175 39.10785277843392)</t>
  </si>
  <si>
    <t xml:space="preserve">2 walnut 
1 q macrocarpa 
2 Juniperus sp. </t>
  </si>
  <si>
    <t>Poison ivy, poaceae, brome, moonseed, asters, prickly ash??</t>
  </si>
  <si>
    <t xml:space="preserve">Limestone, gravelly prairie </t>
  </si>
  <si>
    <t>26ba1631-ca06-4ced-a9b5-de6bc11d3fc1,b9bc5b3e-152a-46ea-8b7d-48171952d622,58006b05-1943-4e39-995a-fca98c0e33ec</t>
  </si>
  <si>
    <t>6cb21345-78e9-47c8-a67d-c3a6b9ce2d96,bd32422c-c1e6-43a0-b7a5-0e942290f80e,8624767c-f21a-4863-9aa2-751736a231fc</t>
  </si>
  <si>
    <t>ebb73c9b-668c-4012-b209-7a7df463647d</t>
  </si>
  <si>
    <t>fa5cb2a7-15a8-44a6-8887-ab116b8aadc0</t>
  </si>
  <si>
    <t xml:space="preserve">Some branches accessible without pole pruners </t>
  </si>
  <si>
    <t>325f686e-169d-4eff-a907-9086ff734fb2</t>
  </si>
  <si>
    <t>2022-11-01 19:36:02 UTC</t>
  </si>
  <si>
    <t>SRID=4326;POINT(-96.60682495683432 39.10762851049935)</t>
  </si>
  <si>
    <t xml:space="preserve">4 Celtis sp.
1 Q. macrocarpa </t>
  </si>
  <si>
    <t xml:space="preserve">Sassafras, Virginia creeper, poison ivy, wingstem, aster sp?, smooth brome, </t>
  </si>
  <si>
    <t xml:space="preserve">Limestone, prairie and woodlands edge </t>
  </si>
  <si>
    <t>16a254ee-786a-4fc5-8a93-cb35324775fd,8d4fa355-7b80-47ea-80f8-c504d894e9af,6f43fd48-ec20-4803-9fe5-c3f3152702b7,62129fc0-0f1f-4916-9524-38f7e19295d7</t>
  </si>
  <si>
    <t>bb41cb71-aeb5-4ee5-8f29-332d41cceb1c</t>
  </si>
  <si>
    <t>7f659918-6305-4248-8fc5-a9dcdccbe8e5</t>
  </si>
  <si>
    <t xml:space="preserve">Accessible, sun exposed branches </t>
  </si>
  <si>
    <t>83de34b1-dc52-456a-ba68-262a76ba057f</t>
  </si>
  <si>
    <t>2022-11-01 19:36:01 UTC</t>
  </si>
  <si>
    <t>SRID=4326;POINT(-96.42994567751884 36.84680412603404)</t>
  </si>
  <si>
    <t xml:space="preserve">4 Q. stellata 
1 Q. Marilandica 
2 black or pin oak </t>
  </si>
  <si>
    <t xml:space="preserve">grasses, Virginia creeper, legumes, moonseed, Rubus, </t>
  </si>
  <si>
    <t xml:space="preserve">Open prairie edge of forest </t>
  </si>
  <si>
    <t>1da1c571-582b-4a31-ab65-467439839dfd,51e87d26-4113-40cc-a843-42b6096e4fdb</t>
  </si>
  <si>
    <t>4c3e0da4-2dc8-4e7a-bff8-64405485b85a</t>
  </si>
  <si>
    <t>ea84a083-66d9-4f61-89cb-2eecc85209d5</t>
  </si>
  <si>
    <t>82591ab3-b2a0-408f-8d9f-4745c5c8315e</t>
  </si>
  <si>
    <t>2022-11-01 19:36:00 UTC</t>
  </si>
  <si>
    <t>SRID=4326;POINT(-96.4216496051 36.8477400625)</t>
  </si>
  <si>
    <t xml:space="preserve">3 Q. stellata </t>
  </si>
  <si>
    <t>Sagebrush, mint family, wild rye, grasses, bromes</t>
  </si>
  <si>
    <t xml:space="preserve">Prairie, near small stand of trees, low grasses, near dirt road </t>
  </si>
  <si>
    <t>9b6f6908-0eeb-442a-85c6-f22937e566b9,27cd9cdf-1c34-46f5-a044-e25a8978929c,252b4ba3-bd0d-4eb1-a239-202f1840187d</t>
  </si>
  <si>
    <t>b2f2ce6c-01b4-4489-b83e-0e54fc029956,21addf84-74a6-4258-8698-f118da63c9d9</t>
  </si>
  <si>
    <t>76309282-83de-4b10-8233-65934d9b1818</t>
  </si>
  <si>
    <t>6f8f8237-21ee-4e3b-bd95-e411ac8c57aa</t>
  </si>
  <si>
    <t>6fec3901-23a5-413c-96e1-ea2e12bf67b1</t>
  </si>
  <si>
    <t>Quercus stellata(??)</t>
  </si>
  <si>
    <t>2022-10-29 17:42:21 UTC</t>
  </si>
  <si>
    <t>SRID=4326;POINT(-98.3535294258 35.4364945593)</t>
  </si>
  <si>
    <t>Red Rock Canyon Adventure Park</t>
  </si>
  <si>
    <t xml:space="preserve">7 eastern red cedar </t>
  </si>
  <si>
    <t>Plains fleabane, Indian blanket, grasses</t>
  </si>
  <si>
    <t xml:space="preserve">Dry, open, some trees, little foliage, sandy and rocky </t>
  </si>
  <si>
    <t>a741df71-da15-40b7-a9cc-de28650433b9,dbe2e2c9-ed6a-42a9-ad20-67e6d0bd22f8</t>
  </si>
  <si>
    <t>bd621e03-0f22-4a66-b269-14e42fddc2a6</t>
  </si>
  <si>
    <t>d3a76201-6aa7-468d-bd15-cf90093269d3</t>
  </si>
  <si>
    <t>cafec5f2-f601-4ccf-8c85-3d3b11876130</t>
  </si>
  <si>
    <t>Not tagged. End of road, canyon ridge trail, left path up a ways along flat for a bit. To left of main trail</t>
  </si>
  <si>
    <t>9d5271fe-8ad0-4a77-9576-c48bc2a62437</t>
  </si>
  <si>
    <t>2022-10-29 17:41:59 UTC</t>
  </si>
  <si>
    <t>SRID=4326;POINT(-98.35506029427052 35.43573487656065)</t>
  </si>
  <si>
    <t xml:space="preserve">1 Q. Stellata 
3 eastern red cedar </t>
  </si>
  <si>
    <t xml:space="preserve">Hackberries, winged elm, grasses, </t>
  </si>
  <si>
    <t xml:space="preserve">Side of hill, forested area, rocky, sandy soil </t>
  </si>
  <si>
    <t>366adaab-5328-478d-b9ea-8c716939ff4d,d3596d34-4b30-40ef-9e32-cb5473403517,5c43c2dd-e632-4b41-8620-a6b485e04391</t>
  </si>
  <si>
    <t>d535cefd-2562-4d33-aa41-4472c63a7b23</t>
  </si>
  <si>
    <t>4e6e7888-b9c5-456e-9d94-14f3564d500c</t>
  </si>
  <si>
    <t xml:space="preserve">Subcanopy leaves, DBH taken below the stem split </t>
  </si>
  <si>
    <t>bfd50c9c-3857-4167-b0eb-1107d8cec3e3</t>
  </si>
  <si>
    <t>2022-10-27 20:12:04 UTC</t>
  </si>
  <si>
    <t>SRID=4326;POINT(-92.3273178935051 34.80574507261078)</t>
  </si>
  <si>
    <t>Burns Park</t>
  </si>
  <si>
    <t xml:space="preserve">4 Carya 
1 red oak 
3 ulmus 
1 bluejack oak 
2 Fraxinus 
1 Q. lyrata </t>
  </si>
  <si>
    <t xml:space="preserve">Grass 
Carex 
Lyrata sapling 
Virginia creeper 
Bluejack oak sapling 
Carya </t>
  </si>
  <si>
    <t xml:space="preserve">Marshy forest with little foliage </t>
  </si>
  <si>
    <t>c7007178-fba3-442b-84e6-0a6b860b3b14,65adf3f5-3c72-424b-9913-94c0163838ec</t>
  </si>
  <si>
    <t>48995a0a-4f2a-4991-9ee9-9e914db985a5,b42c08b8-051a-46f6-a1ba-c39c077f7508,e48ffb67-21e1-4dcd-9936-ea2fe772537d</t>
  </si>
  <si>
    <t>39100f7f-0213-4268-855e-c1d975bddfc6</t>
  </si>
  <si>
    <t>17274b79-c2f0-46a4-9a48-5136f64427a0</t>
  </si>
  <si>
    <t xml:space="preserve">Shade leaves 
Need pole pruners </t>
  </si>
  <si>
    <t>023eff0c-f8bc-49bd-9983-429f2add9f31</t>
  </si>
  <si>
    <t>2022-10-27 19:45:24 UTC</t>
  </si>
  <si>
    <t>SRID=4326;POINT(-92.32698932290077 34.805368746851336)</t>
  </si>
  <si>
    <t xml:space="preserve">8 Carya 
2 bluejack oak 
1 post oak </t>
  </si>
  <si>
    <t>Carex
Carya 
Poison ivy 
American jump seed
Leafy elephants foot</t>
  </si>
  <si>
    <t xml:space="preserve">Marshy forest, low foliage, dense forest </t>
  </si>
  <si>
    <t>36d9b126-f12d-4c9e-aebd-8cff959a5553,57a5108a-211d-4d5d-b5fd-fe39c83b6de1</t>
  </si>
  <si>
    <t>d0a67ec2-1696-4a6c-96f1-df6a00fa79ef</t>
  </si>
  <si>
    <t>ae550c52-9490-4165-ae31-dff131976154</t>
  </si>
  <si>
    <t>cf955809-63be-4413-ac1d-e34cc18a3e8f</t>
  </si>
  <si>
    <t>2022-10-27 19:25:48 UTC</t>
  </si>
  <si>
    <t>SRID=4326;POINT(-92.3270795121789 34.80506537253028)</t>
  </si>
  <si>
    <t>3 Carya ovata 
3 Ulmus 
1 Fraxinus 
2 Carya 
2 Q. macrocarpa
1 bluejack oak ?</t>
  </si>
  <si>
    <t>Carya, Carex</t>
  </si>
  <si>
    <t xml:space="preserve">Marshy forest with sparse foliage </t>
  </si>
  <si>
    <t>7ecccebd-fe9e-4858-8ac9-b94295565e42,f99a43c1-b1aa-46f5-b695-f979187d5e42</t>
  </si>
  <si>
    <t>3b92459b-55cb-451a-a0ac-611b9f94023e</t>
  </si>
  <si>
    <t>3c490c21-687f-4e8d-9726-b7cc87f757cb</t>
  </si>
  <si>
    <t xml:space="preserve"> Shade leaves </t>
  </si>
  <si>
    <t>e3cab0c8-f1ac-4d19-9327-1f050bfa24cf</t>
  </si>
  <si>
    <t>2022-10-27 17:32:07 UTC</t>
  </si>
  <si>
    <t>SRID=4326;POINT(-92.32743490495936 34.8036427377116)</t>
  </si>
  <si>
    <t xml:space="preserve">7 Carya 
1 Ulmus 
1 hackberry </t>
  </si>
  <si>
    <t xml:space="preserve">Carex 
Ulmus
Hackberry </t>
  </si>
  <si>
    <t xml:space="preserve">Forest with low sedge underbrush </t>
  </si>
  <si>
    <t>234f03ba-d36e-4811-bc22-7f386e8152b7,4b977c21-0ab8-4545-b3a6-6dc9d4a35c5d</t>
  </si>
  <si>
    <t>8ca5c788-7d08-4498-981a-bf791b580daa</t>
  </si>
  <si>
    <t>3f293b71-ded0-42c2-a4d7-73cae4486d05</t>
  </si>
  <si>
    <t xml:space="preserve">Need pole pruners </t>
  </si>
  <si>
    <t>b2337d51-0aa9-4a81-ab49-7229aa450eca</t>
  </si>
  <si>
    <t>2022-10-27 16:19:31 UTC</t>
  </si>
  <si>
    <t>SRID=4326;POINT(-92.33044451111213 34.8066000826981)</t>
  </si>
  <si>
    <t xml:space="preserve">2 Carya 
1 Fraxinus 
1 cedar elm 
1 Q. lyrata 
1 celtis </t>
  </si>
  <si>
    <t xml:space="preserve">Possumhaw, Carya, grass?, </t>
  </si>
  <si>
    <t xml:space="preserve">Forest on edge of grasslands/pasture 
Low/little underbrush </t>
  </si>
  <si>
    <t>dbb2b1a3-cefd-49f9-bdb6-f02a6cf60920,a8ad303a-9354-4717-80be-016d8e03f255</t>
  </si>
  <si>
    <t>46d6e987-19dc-4897-b074-d07f34caecee,d571322b-a2da-4135-9f10-022d605aed3b,00fa3480-57e0-4bb9-b1da-8a388e16786f,ea5b9376-b2c6-434b-a258-cf559087a0a4,8600ffdc-13a2-4a7e-9f32-e630f588b983</t>
  </si>
  <si>
    <t>ad83e630-97b8-4d4a-9c42-1765468ae52c</t>
  </si>
  <si>
    <t>d1bbeb3e-7e97-451d-9bd1-d4ff9a1809b8</t>
  </si>
  <si>
    <t>bdf965e6-eead-4f60-bee2-f911905fe6af</t>
  </si>
  <si>
    <t>2022-10-27 15:45:11 UTC</t>
  </si>
  <si>
    <t>SRID=4326;POINT(-92.33010554694788 34.80624976105504)</t>
  </si>
  <si>
    <t xml:space="preserve">2 Carya 
1 Fraxinus 
1 cedar elm 
1 post oak 
</t>
  </si>
  <si>
    <t xml:space="preserve">Forest with low underbrush on edge of grasslands/pasture </t>
  </si>
  <si>
    <t>86e63a4c-89fc-4bb5-95cf-0461fa6c545f,62c1d7cd-f3ff-48a5-afb7-aafa9b40710c,123e7277-5090-4b30-85bb-94c7abc8d878</t>
  </si>
  <si>
    <t>768d6702-cde4-4985-a019-9e8b2047b4a4,3077629e-37d3-4cbb-8fd4-70a7e0c699cf,2bdcc7f6-7c6e-4095-9be7-3666a9f61bb1</t>
  </si>
  <si>
    <t>0a6318c3-378b-49c2-8843-a67a4d3cdacf</t>
  </si>
  <si>
    <t>ea01a5dc-3b74-44a0-81ff-52da61de1a4c</t>
  </si>
  <si>
    <t xml:space="preserve">Accessible leaves </t>
  </si>
  <si>
    <t>8a661848-2879-423e-ae41-9d0e5261bc9b</t>
  </si>
  <si>
    <t>2022-10-27 15:45:10 UTC</t>
  </si>
  <si>
    <t>SRID=4326;POINT(-92.3277024552226 34.80912862374755)</t>
  </si>
  <si>
    <t xml:space="preserve">4 Carya 
1 post oak 
2 red oaks </t>
  </si>
  <si>
    <t>Muscodine 
Smilax</t>
  </si>
  <si>
    <t xml:space="preserve">Forest minimal understory   </t>
  </si>
  <si>
    <t>40130578-0a7b-4a12-b1cc-ccc2702a1475,b11002e8-99f0-4766-a3e5-3f8930a38d5a</t>
  </si>
  <si>
    <t>b1bdb6cb-ebbe-4cc8-84ad-80476b42c279</t>
  </si>
  <si>
    <t>892dd9a3-830d-42f6-a0aa-1fb5101ffc97</t>
  </si>
  <si>
    <t>658c68e7-ad3f-44d1-97fa-3f55924f4d71</t>
  </si>
  <si>
    <t>Quercus sinuata</t>
  </si>
  <si>
    <t>SRID=4326;POINT(-96.99663600893412 32.61404701511619)</t>
  </si>
  <si>
    <t xml:space="preserve">3 Q. sinuata 
2 Mexican buckeye </t>
  </si>
  <si>
    <t xml:space="preserve">Buckeye, ulmus, smilax, Fraxinus </t>
  </si>
  <si>
    <t xml:space="preserve">Middle of parking lot, right near river </t>
  </si>
  <si>
    <t>a2c7e0f9-086b-4af7-b677-9022ea017514,edb5ad71-850a-4f94-9807-ab3c14b91fd1,e5aeb51a-6ceb-465e-b7ab-913ba2433046</t>
  </si>
  <si>
    <t>66e41d12-e784-4007-9d3b-caf7be166b3d</t>
  </si>
  <si>
    <t>1af3a5a4-12ea-4b6d-9547-b107889d1ff9</t>
  </si>
  <si>
    <t>Leah Samuels,Mira Garner,"Seth, Emma"</t>
  </si>
  <si>
    <t xml:space="preserve">May be planted 
Three stems - 11.4, 13.3, 13.3
Accessible </t>
  </si>
  <si>
    <t>9b4485a8-ed7b-4f00-85ca-67e66328149f</t>
  </si>
  <si>
    <t>2022-10-26 17:21:50 UTC</t>
  </si>
  <si>
    <t>SRID=4326;POINT(-96.97974286973476 32.62282287739511)</t>
  </si>
  <si>
    <t xml:space="preserve">2 cedar elm 
3 Juniperus 
1 Fraxinus </t>
  </si>
  <si>
    <t xml:space="preserve">Smilax 
Privet 
</t>
  </si>
  <si>
    <t xml:space="preserve">Flat open forest with little underbrush, river floodplains </t>
  </si>
  <si>
    <t>44165777-8bc3-4fee-9a21-6923c8f62857,2ac3caea-328b-41d5-9a03-a89e0aedffd3,1af366b4-665e-44de-b237-3b90ba7f5773</t>
  </si>
  <si>
    <t>9b02649f-8397-42b5-b91e-3ede613b6653</t>
  </si>
  <si>
    <t>51896a3a-6ed1-4c8a-a0cc-93bede61fa7e</t>
  </si>
  <si>
    <t xml:space="preserve">Not accessible </t>
  </si>
  <si>
    <t>ef55b65e-84e3-422b-9280-71bec3246011</t>
  </si>
  <si>
    <t>SRID=4326;POINT(-96.97849120022447 32.63800903226495)</t>
  </si>
  <si>
    <t xml:space="preserve">6 cedar elm
2 Quercus stellata 
</t>
  </si>
  <si>
    <t xml:space="preserve">Ulmus 
Stretchberry </t>
  </si>
  <si>
    <t xml:space="preserve">Flat forest, no underbrush, river floodplains </t>
  </si>
  <si>
    <t>72304ee1-4997-42ca-bf49-2c8b1208a932,1d3c0d3e-94f6-486d-96ea-9e2fb11e3524,b20226f7-75b7-4cd9-b07a-31fd5e6e8bf3</t>
  </si>
  <si>
    <t>bd8d4df3-d797-4715-b9de-ca85c010e149,2581c2fa-1378-4842-92f3-80496a2154ff,de4fea9e-d065-4319-aa2b-b6c814e30503,2a1de3f8-e94a-462d-9978-57d567efd000,abf38595-1e93-4eed-9614-5f338a018398</t>
  </si>
  <si>
    <t>1f27829a-66ab-4406-a754-8e53ad38c880</t>
  </si>
  <si>
    <t>a800dcd9-6b78-4249-aed9-2767469ae9ad</t>
  </si>
  <si>
    <t xml:space="preserve">Need pole pruners 
Campsite 44 </t>
  </si>
  <si>
    <t>d4e97ac0-0b5d-4d43-9763-885d585e0542</t>
  </si>
  <si>
    <t xml:space="preserve">Quercus sinuata </t>
  </si>
  <si>
    <t>2022-10-26 17:21:48 UTC</t>
  </si>
  <si>
    <t>SRID=4326;POINT(-97.58348758341519 29.58868334538265)</t>
  </si>
  <si>
    <t xml:space="preserve">Palmetto State Park </t>
  </si>
  <si>
    <t>4 cedar elms 
1 Q. Sinuata 
1 Fraxinus</t>
  </si>
  <si>
    <t xml:space="preserve">Dwarf palmetto
Smilax 
Straggler daisy 
Inland oats </t>
  </si>
  <si>
    <t xml:space="preserve">Forest, less swampy and palmetto than other parts of park </t>
  </si>
  <si>
    <t>b70a4f64-48bc-409a-975a-e46cb889ab2c,7b7b6ba3-ea74-4108-a31c-85e3192c9f8d</t>
  </si>
  <si>
    <t>9c7dfe0e-bef9-42b8-8f06-9c456276af12,d7e2cbc3-f28e-4786-b948-f419f685b824</t>
  </si>
  <si>
    <t>ff4b58ee-7a18-4890-938d-4f4959cd2c32</t>
  </si>
  <si>
    <t>ce174dcd-2f4a-4a82-98a1-79da342fecd4</t>
  </si>
  <si>
    <t xml:space="preserve">Accessible </t>
  </si>
  <si>
    <t>b3b28794-1548-4ad7-8216-2afe0cd241b2</t>
  </si>
  <si>
    <t>2022-10-25 13:25:50 UTC</t>
  </si>
  <si>
    <t>SRID=4326;POINT(-97.58488560104517 29.59723489827443)</t>
  </si>
  <si>
    <t xml:space="preserve">1 Juglans </t>
  </si>
  <si>
    <t>Rio grande copper Lilly 
Dallis grass</t>
  </si>
  <si>
    <t xml:space="preserve">Lawn area in floodplains </t>
  </si>
  <si>
    <t>561e7e58-daf3-485d-9c7c-e868ca02de57,00aa02f5-a5c1-4918-a61d-541ff1a43a91,44c73a36-22c2-4718-a5c9-b74619201f68</t>
  </si>
  <si>
    <t>663f7e3a-69e6-4edf-a45b-60185ba3d590,5216624f-af4f-4b7d-bc14-c2997eb2551f</t>
  </si>
  <si>
    <t>22956633-1e9a-4269-8648-45a5cc55b670</t>
  </si>
  <si>
    <t>f9ec3c71-6c22-41bc-82a1-bffa808340b7</t>
  </si>
  <si>
    <t xml:space="preserve">Accessible 
Untagged in park office lawn </t>
  </si>
  <si>
    <t>0639617c-86c4-4464-aeba-e5120f958556</t>
  </si>
  <si>
    <t>SRID=4326;POINT(-95.57900489316842 29.37400465833896)</t>
  </si>
  <si>
    <t xml:space="preserve">Brazos Bend State Park </t>
  </si>
  <si>
    <t xml:space="preserve">5 sugar hackberries 
4 Cedar elms 
1 Carya?
</t>
  </si>
  <si>
    <t xml:space="preserve">Carex 
Palmetto 
Cedar elms and sugar hackberries </t>
  </si>
  <si>
    <t xml:space="preserve">River floodplains, flat forest. Dense underbrush </t>
  </si>
  <si>
    <t>0207ab66-aba0-4402-822f-ab93d94bc3d5,b087a1c1-9f21-43d7-b981-21da3f1cf5bc</t>
  </si>
  <si>
    <t>bf2ef472-64e5-42a8-9193-a0fc9e9b52ad,9a3e95c2-1fd1-43ba-bfb0-26c651869d92,6e1795cb-04aa-4685-8e48-bc3ece05d909</t>
  </si>
  <si>
    <t>2cebf0ea-1bf1-427a-8cae-5a435cca601c</t>
  </si>
  <si>
    <t>733d4625-f1e0-4ad8-80b0-efd39d67b0d2</t>
  </si>
  <si>
    <t xml:space="preserve">Mostly need pole pruners </t>
  </si>
  <si>
    <t>7e5f106f-1156-4be3-aa40-bd58b8532a46</t>
  </si>
  <si>
    <t>2022-10-25 13:25:49 UTC</t>
  </si>
  <si>
    <t>SRID=4326;POINT(-95.58047918611726 29.37383978630363)</t>
  </si>
  <si>
    <t xml:space="preserve">1 Fraxinus 
4 sugar hackberry 
3 ulmus (Cedar elm?) 
</t>
  </si>
  <si>
    <t xml:space="preserve">palmetto
Carex sp
Turks cap
Inland wood oats 
</t>
  </si>
  <si>
    <t>River floodplains, flat forest with thick underbrush</t>
  </si>
  <si>
    <t>c1895e2b-e824-422f-9e28-1c78f6880d00,d7b1597d-aaa5-4498-8c60-6ac2069070ca</t>
  </si>
  <si>
    <t>020e3386-30b9-426d-8744-12faf27aa474</t>
  </si>
  <si>
    <t>1cfce889-6ca1-409f-8787-f3190a118879</t>
  </si>
  <si>
    <t>45f380af-afa1-4546-9114-5738cc576190</t>
  </si>
  <si>
    <t xml:space="preserve">May be able to reach some without pole pruners </t>
  </si>
  <si>
    <t>76c658e0-9509-46ec-a227-de2b5c03a083</t>
  </si>
  <si>
    <t>2022-10-25 13:25:48 UTC</t>
  </si>
  <si>
    <t>SRID=4326;POINT(-85.51026642330504 40.45721647799058)</t>
  </si>
  <si>
    <t xml:space="preserve">1 Carya sp 
9 small Acer
2 Q. alba 
1 Quercus sect Lobatae </t>
  </si>
  <si>
    <t xml:space="preserve">Virginia creeper 
American jump seed 
Grasses? 
Carex 
Northern spice bush </t>
  </si>
  <si>
    <t xml:space="preserve">Riparian forest along dry creek/ditch, little underbrush </t>
  </si>
  <si>
    <t>51514db9-ea2e-404e-8386-69b4fbfff0b6,70464899-b340-4d7f-b6df-2529815b566a</t>
  </si>
  <si>
    <t>2257edba-3e21-4855-bdfb-078c183a9a0c,031d2456-8afb-4dce-a6ba-bc59dc893ec6,65200d6a-84ad-4024-8f98-5cf747196974,5b132336-252b-415f-9e07-ed4297fe335d</t>
  </si>
  <si>
    <t>686b0489-43d6-4f08-8679-e182dad0636f</t>
  </si>
  <si>
    <t>731fbfc5-d242-4aa6-b114-dfe2ab8a1e2e</t>
  </si>
  <si>
    <t>60624045-f407-4993-88f5-9a530417d88d</t>
  </si>
  <si>
    <t>SRID=4326;POINT(-85.50896923997021 40.45695265758825)</t>
  </si>
  <si>
    <t xml:space="preserve">5 Q. alba 
1 Juglans 
1 honey locust 
2 Ulmus 
3 Quercus sect Lobatae </t>
  </si>
  <si>
    <t xml:space="preserve">Fraxinus
Snakeroot 
Aster? Maybe goldenrod 
Black raspberry 
Carex 
</t>
  </si>
  <si>
    <t xml:space="preserve">Edge of forest and grasslands </t>
  </si>
  <si>
    <t>9e119568-b68a-44cb-8216-6788b6b7f5ec,481e2de3-add5-4ca8-b0cb-b4b5d354fc7b</t>
  </si>
  <si>
    <t>7b530e6d-58ad-4e11-9aa2-e44877f076e5,53156a43-1b4d-465f-a968-a316aa9e9ea1,e0048305-6a4a-4a72-8c91-154aac63ff71</t>
  </si>
  <si>
    <t>d6e44b7b-bae5-49fb-a0e9-b36c19dce4d2</t>
  </si>
  <si>
    <t>6f24c1d3-5d0f-4738-829b-d138fc1bb068</t>
  </si>
  <si>
    <t>64f649ec-2ca3-49cc-a8bf-b5b42a9a4483</t>
  </si>
  <si>
    <t>2022-10-24 16:04:48 UTC</t>
  </si>
  <si>
    <t>SRID=4326;POINT(-88.0614781101 41.8156930246)</t>
  </si>
  <si>
    <t xml:space="preserve">1 Q. bicolor </t>
  </si>
  <si>
    <t xml:space="preserve">Honeysuckles, lawn grass, gooseberries, aster, viburnums </t>
  </si>
  <si>
    <t xml:space="preserve">Oak savanna </t>
  </si>
  <si>
    <t>f12b3e4f-5a05-4ae0-a988-76b7056f75c0,d92d6cb8-cc0e-4ed1-8689-674f7b3cd4b7,1043684a-d88b-48f3-bbc7-df0ba7c26c2d,3ecb88c5-1ded-4935-9f8b-01cb6f0763f1</t>
  </si>
  <si>
    <t>1e08c8bd-1b88-4e80-b10e-e424b18bc423</t>
  </si>
  <si>
    <t>18b27bd5-7303-4f3a-bf29-5f53b75c4c10</t>
  </si>
  <si>
    <t>Macrocarpa bark, acorns, bicolor peduncle, leaves. MG910</t>
  </si>
  <si>
    <t>6b1ec28d-896f-480d-97c7-424355183620</t>
  </si>
  <si>
    <t>2022-10-21 16:52:06 UTC</t>
  </si>
  <si>
    <t>SRID=4326;POINT(-93.2002444 45.4009509)</t>
  </si>
  <si>
    <t>4 paper birch 
2 pin oak
4 red maples</t>
  </si>
  <si>
    <t>Solidago, wild grape, hazel</t>
  </si>
  <si>
    <t>Next to parking lot on forest edge</t>
  </si>
  <si>
    <t>2d8cf8b1-e10c-4c4e-a3ac-18c05ba85176,ca46e046-95e3-4030-a59b-660d76c376f5</t>
  </si>
  <si>
    <t>4232e2f6-2d22-4d24-97bd-8b7db9fd4eb5</t>
  </si>
  <si>
    <t>f7e7cd13-85e3-4911-9598-009ce0ab8dff</t>
  </si>
  <si>
    <t>48ed2fac-f65d-4c98-ab2c-a71f255e3690</t>
  </si>
  <si>
    <t>2022-10-21 16:52:05 UTC</t>
  </si>
  <si>
    <t>SRID=4326;POINT(-93.2011444 45.4247992)</t>
  </si>
  <si>
    <t xml:space="preserve">2 pin oak
3 white oak
5 white pines
</t>
  </si>
  <si>
    <t>Pine seedlings 
White oak seedlings
Hazel
Unknown species
Hog-peanut</t>
  </si>
  <si>
    <t>Closed forest.  
A slight north facing slope</t>
  </si>
  <si>
    <t>07c12604-1186-4407-8170-47eff9d9e673</t>
  </si>
  <si>
    <t>8fe72a13-0fd8-4159-b86a-2ba16bb53ff7</t>
  </si>
  <si>
    <t>c624d317-9ca1-42d4-b1f3-c0ba670acc80</t>
  </si>
  <si>
    <t>c83dc0da-4752-4756-b5fc-cced2d35eb1a</t>
  </si>
  <si>
    <t>SRID=4326;POINT(-93.2009867 45.4247185)</t>
  </si>
  <si>
    <t>2 Pin oak
1 Red oak
3 red maples
1 white pine</t>
  </si>
  <si>
    <t>Pine seedlings 
Unknown fern</t>
  </si>
  <si>
    <t>Closed forest canopy
Near road drainage ditch</t>
  </si>
  <si>
    <t>21f7a8a8-55f9-470b-b1ab-99bf56164823</t>
  </si>
  <si>
    <t>e4e6e863-b6a4-456e-8ae7-6b69ec3c97d5</t>
  </si>
  <si>
    <t>b4fd6f4c-096d-4997-afdf-2672bfa23470</t>
  </si>
  <si>
    <t>af17cb21-69d3-4ee5-8c29-984952c3173e</t>
  </si>
  <si>
    <t>2022-10-21 16:52:04 UTC</t>
  </si>
  <si>
    <t>SRID=4326;POINT(-93.2003742 45.4244682)</t>
  </si>
  <si>
    <t xml:space="preserve">4 q. Alba
3 red maple
3 pin oaks </t>
  </si>
  <si>
    <t>Unknown fern (Polypodiaceae? - see pics)
Hazel
Red pine seedlings
Sedges</t>
  </si>
  <si>
    <t>Closed canopy forest 
In a slight gully</t>
  </si>
  <si>
    <t>32d32a53-bfb7-4ef2-8c59-49c97e772d38</t>
  </si>
  <si>
    <t>d17f0e02-67e5-45c0-87e9-fe40c6d912ba</t>
  </si>
  <si>
    <t>845b0b20-9369-4501-9da5-70ddaba55a07</t>
  </si>
  <si>
    <t>afd8ee56-6454-424d-8ab9-4c50f4786db8</t>
  </si>
  <si>
    <t>4db94682-a3d7-4071-a9bd-8cf8f98be628</t>
  </si>
  <si>
    <t>2022-10-21 16:52:03 UTC</t>
  </si>
  <si>
    <t>SRID=4326;POINT(-93.1833347 45.4010227)</t>
  </si>
  <si>
    <t xml:space="preserve">5 bur oaks </t>
  </si>
  <si>
    <t>Rubus, vetch, hazel, sedges</t>
  </si>
  <si>
    <t>Forest patch edge. On a sandy rise</t>
  </si>
  <si>
    <t>cba6abf0-797a-48b3-9989-fe293a953431</t>
  </si>
  <si>
    <t>c3d7c44d-d811-46b9-a210-bad827c7d600</t>
  </si>
  <si>
    <t>8b60522c-f910-45c4-9aaf-4699abc3fc40</t>
  </si>
  <si>
    <t>Plant 22 from acorn collection</t>
  </si>
  <si>
    <t>68ac6136-640f-4fd9-9f52-453eafba3d70</t>
  </si>
  <si>
    <t>2022-10-19 14:31:16 UTC</t>
  </si>
  <si>
    <t>SRID=4326;POINT(-88.9174913157 37.3598722597)</t>
  </si>
  <si>
    <t>Hickory,
Redbud
Pawpaw</t>
  </si>
  <si>
    <t xml:space="preserve">Bottom woodlands, forested, dense understory </t>
  </si>
  <si>
    <t>805e2f97-044d-4096-8785-346c5aa62c07,fb85188e-8378-45b5-ae5f-0824fb321331</t>
  </si>
  <si>
    <t>a92ca6a5-409d-4dd7-b518-19838e1f2bd0</t>
  </si>
  <si>
    <t>e8369604-7670-4621-9b97-b550da47e592</t>
  </si>
  <si>
    <t>ec1e6766-8bac-4c61-82df-d69904f4e6b8</t>
  </si>
  <si>
    <t>2022-10-19 14:26:27 UTC</t>
  </si>
  <si>
    <t>SRID=4326;POINT(-88.3687088081 39.8393349303)</t>
  </si>
  <si>
    <t>Caps on the ground,Seeds mature</t>
  </si>
  <si>
    <t xml:space="preserve"> 1 Carya ovata 
1 Q. macrocarpa </t>
  </si>
  <si>
    <t xml:space="preserve">Pasture/lawn </t>
  </si>
  <si>
    <t>720717fb-0ba2-44e0-b348-b92307d1860e,95ca81a0-0593-4fcb-9613-f26fc3d562aa</t>
  </si>
  <si>
    <t>6bf3bf08-c224-43e9-a4f5-95bac0ac721a,0327f5d9-82ad-48b2-9b3b-7ee01c739b8b</t>
  </si>
  <si>
    <t>2434d4e1-ddd6-431e-a55b-11ba670265e2</t>
  </si>
  <si>
    <t>4212ca02-03f2-4302-aa36-446983c0eac8</t>
  </si>
  <si>
    <t>Ian Pearse,Leah Samuels,Mira Garner</t>
  </si>
  <si>
    <t>0fd218fd-0676-481d-bab8-79e341428364</t>
  </si>
  <si>
    <t>2022-10-17 20:08:46 UTC</t>
  </si>
  <si>
    <t>SRID=4326;POINT(-98.35553588 35.43593776)</t>
  </si>
  <si>
    <t xml:space="preserve">5 Q. Stellata 
1 gum bumelia 
2 eastern red cedar </t>
  </si>
  <si>
    <t>Elms, coralberry, SolomonΓÇÖs seals, moon seed</t>
  </si>
  <si>
    <t>Dense forest, near river</t>
  </si>
  <si>
    <t>87424ed0-753e-4a86-837f-8adecceae55f,5d5d5eb0-1cde-45b9-9470-7416d500f4fb,750c6462-f2de-40b2-993e-4bb2eeff3c3b</t>
  </si>
  <si>
    <t>854aa0c5-9fb1-4f05-968a-08989806a6c8</t>
  </si>
  <si>
    <t>9eaccc06-bac9-4afd-b7cd-a67c82f0d5ae</t>
  </si>
  <si>
    <t xml:space="preserve">2 stems -40.4, 34.9
Subcanopy leaves </t>
  </si>
  <si>
    <t>496b5694-6982-4aea-8176-b898317ba23e</t>
  </si>
  <si>
    <t>2022-10-17 20:04:45 UTC</t>
  </si>
  <si>
    <t>SRID=4326;POINT(-88.3693182562 39.8392143567)</t>
  </si>
  <si>
    <t xml:space="preserve">4 Q. alba </t>
  </si>
  <si>
    <t>Mulberry</t>
  </si>
  <si>
    <t>Pasture/yard</t>
  </si>
  <si>
    <t>b9380f9e-8f61-4dd6-8ac9-bdac21cfe8b3,addb45ec-0218-4ff0-b929-66f3c1220c2f</t>
  </si>
  <si>
    <t>e6811468-3a24-4b3b-9598-593e544772e5</t>
  </si>
  <si>
    <t>7100a150-74a6-4c4a-a69e-e299d09f245f</t>
  </si>
  <si>
    <t>Ian Pearse,Klara Peterson,Leah Samuels</t>
  </si>
  <si>
    <t>db5f7666-7d64-4098-b94b-ca692019703d</t>
  </si>
  <si>
    <t>2022-10-17 20:04:32 UTC</t>
  </si>
  <si>
    <t>SRID=4326;POINT(-88.3697034047 39.8391398415)</t>
  </si>
  <si>
    <t xml:space="preserve">1 Q. macrocarpa </t>
  </si>
  <si>
    <t xml:space="preserve">Yard/ pasture </t>
  </si>
  <si>
    <t>22885391-c65d-4db5-8f7d-fa9fb949a296,95244653-a1a9-4e53-a6e5-e180ddf445c3</t>
  </si>
  <si>
    <t>866f1a8e-2cd2-4a6e-ac7a-dc46c04e2c3f</t>
  </si>
  <si>
    <t>af61854b-29d5-4708-9c1b-67e40ac6c4f6</t>
  </si>
  <si>
    <t>02ebfcbf-ee80-4c58-a83a-b59b9b0436d9</t>
  </si>
  <si>
    <t>2022-10-17 20:04:20 UTC</t>
  </si>
  <si>
    <t>SRID=4326;POINT(-88.3691296715 39.8397098696)</t>
  </si>
  <si>
    <t xml:space="preserve">2 Q. macrocarpa 
1 Q. alba </t>
  </si>
  <si>
    <t xml:space="preserve">Pasture/ yard </t>
  </si>
  <si>
    <t>042c1667-a148-44e3-a64f-a7786c2544b7,ff16feed-92fa-4d74-8842-ab926f7d2106</t>
  </si>
  <si>
    <t>777080d8-1ca5-41c3-946c-48ec19b06c28</t>
  </si>
  <si>
    <t>afab6575-5b4d-4fb7-91d6-3afcd3ab33da</t>
  </si>
  <si>
    <t>fa1f611a-36d9-4a66-8a84-0598e92a5b70</t>
  </si>
  <si>
    <t>2022-10-17 20:04:09 UTC</t>
  </si>
  <si>
    <t>SRID=4326;POINT(-88.3686771652 39.8394384792)</t>
  </si>
  <si>
    <t xml:space="preserve">3 Q. macrocarpa 
1 Q. alba </t>
  </si>
  <si>
    <t>4bbdfd26-b419-4a31-8e62-8dd2921bcf3c,873d9c78-061a-45e5-99fa-6f2f810cc676</t>
  </si>
  <si>
    <t>50a6b8ee-24d2-43b9-8c30-5012f2f724aa</t>
  </si>
  <si>
    <t>0f0daaf3-38b2-4ae9-b190-dc3e29e58bde</t>
  </si>
  <si>
    <t>ae40ab2b-3a66-4144-837d-aa8c9faa0185</t>
  </si>
  <si>
    <t>2022-10-17 20:03:57 UTC</t>
  </si>
  <si>
    <t>SRID=4326;POINT(-88.3687744384 39.839522182)</t>
  </si>
  <si>
    <t>160bc918-d548-4bd8-8c68-4bafb0758263,e96f9c2f-5c14-4381-996a-074ff6e9eab2,2d55daad-cfde-4054-bbb7-626d876b6aa2</t>
  </si>
  <si>
    <t>4b482fcc-cc0c-4db0-bcbc-b197de33869a</t>
  </si>
  <si>
    <t>50fee8a7-1c26-43ce-b8cb-9af6cf62c79e</t>
  </si>
  <si>
    <t>b48d330e-1606-405e-af41-1c2405bc933e</t>
  </si>
  <si>
    <t>2022-10-17 20:03:34 UTC</t>
  </si>
  <si>
    <t>SRID=4326;POINT(-88.3686658927 39.8393779295)</t>
  </si>
  <si>
    <t xml:space="preserve">1 Q. alba </t>
  </si>
  <si>
    <t xml:space="preserve">Field/pasture/lawn </t>
  </si>
  <si>
    <t>4eb3bedb-b821-465b-bf4a-bbd8797e8f64,fb4b1780-801d-42e4-bc76-e32cf53b9bda,0ac15567-4f0d-4373-b92e-e9fa0ef21ab3</t>
  </si>
  <si>
    <t>956cee10-5d1b-48be-8e2e-007500253659</t>
  </si>
  <si>
    <t>d09bc4cc-d00b-4ddc-a7fb-9eb2f7e79f85</t>
  </si>
  <si>
    <t>149997b4-b2e9-48c0-8925-642ff07fbfe8</t>
  </si>
  <si>
    <t>2022-10-17 20:03:22 UTC</t>
  </si>
  <si>
    <t>SRID=4326;POINT(-88.36798721 39.8391892109)</t>
  </si>
  <si>
    <t>Caps on the ground,Seeds mature,Seeds ripening</t>
  </si>
  <si>
    <t xml:space="preserve">2 Juglans 
2 Q. macrocarpa 
1 Carya ovata 
1 Celtis 
1 Osage orange </t>
  </si>
  <si>
    <t>35038fa5-d1ad-419c-bb22-c4ad33eb8ab7,b9cf4f94-163a-4fe6-9296-4d072462bea1</t>
  </si>
  <si>
    <t>b45058aa-4f23-49b9-ae76-94309c9aa927</t>
  </si>
  <si>
    <t>02bc31dd-4288-405b-be36-55f9fcc6f044</t>
  </si>
  <si>
    <t>7df6d0c9-cbb1-49c7-bd83-7f468faa67ec</t>
  </si>
  <si>
    <t>2022-10-17 20:03:03 UTC</t>
  </si>
  <si>
    <t>SRID=4326;POINT(-88.367891824 39.8392821243)</t>
  </si>
  <si>
    <t xml:space="preserve">1 Q. macrocarpa 
2 Juglans 
</t>
  </si>
  <si>
    <t xml:space="preserve">Pasture </t>
  </si>
  <si>
    <t>0ebe9385-fa27-4c2d-bb3f-9915dea5ffa5,27df6e0b-a036-4413-8c55-3126b409d411</t>
  </si>
  <si>
    <t>da4ba896-e87e-4504-a06f-7bc00a3037ee,9af8ff5f-f364-4e4e-bde9-876758b5a932,cfc8292f-c6c4-4624-872d-4e9b17d99152,3e479247-8bb5-4e55-ad41-201e2f59c41a</t>
  </si>
  <si>
    <t>d47947ff-fee2-4aa2-8f26-11c3408dc4bb</t>
  </si>
  <si>
    <t>7bd3419b-e2c4-4332-8b3b-00055aad90c1</t>
  </si>
  <si>
    <t>Ian Pearse,Klara Peterson,Leah Samuels,Talia</t>
  </si>
  <si>
    <t>477a3899-d569-4c51-91d8-5262d243c9de</t>
  </si>
  <si>
    <t>2022-10-17 19:57:00 UTC</t>
  </si>
  <si>
    <t>SRID=4326;POINT(-73.3701728471 42.0806373982)</t>
  </si>
  <si>
    <t xml:space="preserve">Mass Audubon Lime Kiln </t>
  </si>
  <si>
    <t xml:space="preserve">4 Red oaks 
1 Carya ovata 
2 Black cherry </t>
  </si>
  <si>
    <t xml:space="preserve">Fraxinus, maple, elm, Virginia creeper, Christmas fern </t>
  </si>
  <si>
    <t xml:space="preserve">Deciduous limestone forest </t>
  </si>
  <si>
    <t>89567f67-61ca-40ce-96ab-fb43eb9ba01f,c6ac17dd-4409-4c9f-b2a9-3e78efd8b18c</t>
  </si>
  <si>
    <t>939d7e73-e491-4fc8-b4f0-8d78b41623e8</t>
  </si>
  <si>
    <t>ca6620ff-3fb8-4258-ac3e-a6060a8a2609</t>
  </si>
  <si>
    <t xml:space="preserve">Subcanopy leaves 
Need pole pruners </t>
  </si>
  <si>
    <t>9b787d60-7a7f-4181-9ab8-cd808ff4fe7a</t>
  </si>
  <si>
    <t>2022-10-17 19:56:48 UTC</t>
  </si>
  <si>
    <t>SRID=4326;POINT(-73.3685839736 42.0837889519)</t>
  </si>
  <si>
    <t xml:space="preserve">6 populus ?? - based on bark, no Leaves able to be seen 
1 Q. alba </t>
  </si>
  <si>
    <t xml:space="preserve">Buckthorn, honeysuckle, ash, elm, </t>
  </si>
  <si>
    <t>09fdfc7e-bd98-49c1-a6d4-dfc017fe3d04,401d3604-5c04-4332-a2d7-99715f5b7926</t>
  </si>
  <si>
    <t>7f6a74a3-4968-477a-ba49-28069eaf92e7</t>
  </si>
  <si>
    <t>59c004c4-3740-476d-adc8-cdd5de35f44d</t>
  </si>
  <si>
    <t>cba772eb-7fe6-40cf-b8c3-01c2f16c1ebb</t>
  </si>
  <si>
    <t>2022-10-17 19:56:19 UTC</t>
  </si>
  <si>
    <t>SRID=4326;POINT(-73.8550133911 42.7167561232)</t>
  </si>
  <si>
    <t xml:space="preserve">Albany Pine Bush Preserve </t>
  </si>
  <si>
    <t xml:space="preserve">1 Pinus sp. 
7 Quercus sect Lobatae </t>
  </si>
  <si>
    <t>Blueberry, bear oak, Q Prinoides, fern?</t>
  </si>
  <si>
    <t xml:space="preserve">Oak brush barrens, sandy </t>
  </si>
  <si>
    <t>287cba9e-c151-4ef8-8865-34f7b2a82c8c,466327ff-ea9b-48ae-b69b-8dc2b0a01209</t>
  </si>
  <si>
    <t>694759ef-12ea-4692-9868-4d013c880439</t>
  </si>
  <si>
    <t>ae3007c0-1def-4f78-b278-2ee895e8827d</t>
  </si>
  <si>
    <t>ddd79a2b-dc5f-4d8d-adf4-ff7eaadc4060</t>
  </si>
  <si>
    <t xml:space="preserve">Accessible branches </t>
  </si>
  <si>
    <t>0653f220-916d-420d-97ea-e6233df99745</t>
  </si>
  <si>
    <t>2022-10-17 19:55:45 UTC</t>
  </si>
  <si>
    <t>SRID=4326;POINT(-76.9024932571 42.7341461834)</t>
  </si>
  <si>
    <t>3 Fraxinus sp. 
3 common buckthorn 
3 cottonwoods 
1 Acer sp</t>
  </si>
  <si>
    <t xml:space="preserve">Poison ivy, buckthorn, Vitus sp., Ulmus, </t>
  </si>
  <si>
    <t>Edge of road and thick shrubby forest (dry)</t>
  </si>
  <si>
    <t>ef1a98b9-ae08-4aad-8cd0-dfea9319358c,32722680-c8af-43c1-b72c-3ed2841c8441</t>
  </si>
  <si>
    <t>e1d74a3c-abea-4485-b6ae-46216c0795c7</t>
  </si>
  <si>
    <t>5922550e-6110-47fa-8bce-9ee651e409c9</t>
  </si>
  <si>
    <t xml:space="preserve">No branches accessible without pole pruners </t>
  </si>
  <si>
    <t>316a11a7-611c-4f97-b0a1-fcc33b943749</t>
  </si>
  <si>
    <t>2022-10-17 19:55:31 UTC</t>
  </si>
  <si>
    <t>SRID=4326;POINT(-76.8958858029 42.6995307254)</t>
  </si>
  <si>
    <t xml:space="preserve">1 Buckeye 
3 Q. alba 
3 Locust 
1 Quercus sect Lobatae 
1 Carya sp
1 cherry (black?) 
2 ironwood </t>
  </si>
  <si>
    <t xml:space="preserve">Common buckthorn, Fraxinus, wisteria, olive, eves necklace, creeping snowberry, ulmus, </t>
  </si>
  <si>
    <t>Edge of lake and path, deciduous shrubby but not dense woodlands</t>
  </si>
  <si>
    <t>1a73f5c1-9e13-4c41-a673-45058daa41a3,a3943964-22ca-45db-8bdd-5523cff1e419,1c73b112-8f23-4171-868a-23147e4e7566</t>
  </si>
  <si>
    <t>a0ebcfe0-fa04-4034-8c6c-e30fab8548bb</t>
  </si>
  <si>
    <t>98ad5856-da47-41f4-8a01-c9dc218c41e0</t>
  </si>
  <si>
    <t>adf8a80b-749d-4ea9-a32d-44918fd0c3ab</t>
  </si>
  <si>
    <t>2022-10-17 19:54:55 UTC</t>
  </si>
  <si>
    <t>SRID=4326;POINT(-84.3821957801 42.765921643)</t>
  </si>
  <si>
    <t xml:space="preserve">Lake Lansing Park </t>
  </si>
  <si>
    <t xml:space="preserve">5 Q. bicolor
2 Acer sp. 
2 red oak group </t>
  </si>
  <si>
    <t xml:space="preserve">Sensitive fern, American hornbeam, fern, false nettle </t>
  </si>
  <si>
    <t xml:space="preserve">Slightly marshy area of forest </t>
  </si>
  <si>
    <t>8e8a32d2-df72-4cd7-a949-56bca860ecce,237149cc-3290-4c8a-b73e-670c1801c56c</t>
  </si>
  <si>
    <t>68372e5e-fa48-40cf-8f8f-4ef19bac9292</t>
  </si>
  <si>
    <t>e3318162-d125-42fc-aef1-f8d81ea413e4</t>
  </si>
  <si>
    <t>f7ee470a-ca9c-4ced-a986-2050ca77c8aa</t>
  </si>
  <si>
    <t>7fc19893-37b0-483f-b36f-159b701bc271</t>
  </si>
  <si>
    <t>2022-10-17 19:54:20 UTC</t>
  </si>
  <si>
    <t>SRID=4326;POINT(-91.6392809898 43.9043229851)</t>
  </si>
  <si>
    <t>Prairie Moon Nursery</t>
  </si>
  <si>
    <t xml:space="preserve">1 Quercus Alba 
1 Quercus macrocarpa 
2 Carya ovata </t>
  </si>
  <si>
    <t xml:space="preserve">Ribes sp., Circaea canadienses, Osmorhiza claytonii, Asteraceae family, Viburnum, Sanicula sp. </t>
  </si>
  <si>
    <t xml:space="preserve">Edge of prairie in riparian woodlands </t>
  </si>
  <si>
    <t>8f81f2fa-7206-41e1-bdf6-c12ba742f6e5,fe160354-3bf0-49ec-b3b1-0ffff61f4a24</t>
  </si>
  <si>
    <t>5ef88f04-f9ce-4ca1-9510-d7b5fe699430</t>
  </si>
  <si>
    <t>bf5a5e5a-f485-4c6e-8078-4b5bfb09a400</t>
  </si>
  <si>
    <t>70a96702-c6da-46a5-a8b6-d260f7f61d5c</t>
  </si>
  <si>
    <t>2022-10-14 13:36:25 UTC</t>
  </si>
  <si>
    <t>SRID=4326;POINT(-83.99969810627773 42.41738622546421)</t>
  </si>
  <si>
    <t xml:space="preserve">1 Q. Bicolor
3 cottonwoods </t>
  </si>
  <si>
    <t xml:space="preserve">Poison ivy, Virginia creeper, viola pesara, fleabane, white sweet clover </t>
  </si>
  <si>
    <t xml:space="preserve">Swampy/marshy dense forest </t>
  </si>
  <si>
    <t>83eae6a7-c082-40c0-9983-1a0c5c7a3cf4,2fabf1f6-e455-4601-926b-6d8c9990a5e5,22f93c60-f7e2-4457-a662-ba5153eb3914</t>
  </si>
  <si>
    <t>5e565288-d20a-4185-b5c6-d2abdd45b24b</t>
  </si>
  <si>
    <t>1a322538-1757-45f8-8c24-a0a33870dde8</t>
  </si>
  <si>
    <t>039b9425-2a02-4f68-a886-f5fc257d721f</t>
  </si>
  <si>
    <t>2022-10-14 12:13:06 UTC</t>
  </si>
  <si>
    <t>SRID=4326;POINT(-78.97138332955443 43.05780742321448)</t>
  </si>
  <si>
    <t>Buckhorn Island State Park</t>
  </si>
  <si>
    <t xml:space="preserve">1 Acer sp.
7 Crataegus douglasii
</t>
  </si>
  <si>
    <t>Poison ivy, Virginia creeper, dogwood, common buckthorn, Japanese stiltgrass</t>
  </si>
  <si>
    <t xml:space="preserve">Deciduous woods near stream, formerly marshy </t>
  </si>
  <si>
    <t>a195f77d-eecc-463e-8190-1948798bb6a7,96141b88-ef69-42d1-b9a4-79fc5445a46d,62c1243a-cf1e-42ef-89eb-5cc0e766a775,946cdaf7-c25f-4a0c-90f4-01426b50615c,c2384da8-395f-4dd9-ba0c-b7dea5461594</t>
  </si>
  <si>
    <t>dfbb97f3-d948-4853-a407-506f9ace91b8</t>
  </si>
  <si>
    <t>fc29206a-d35c-49cc-9c0e-87688571f395</t>
  </si>
  <si>
    <t xml:space="preserve">Long peduncle like bicolor, </t>
  </si>
  <si>
    <t>93f660a0-aa8f-4b3e-8ab4-56330cb824e2</t>
  </si>
  <si>
    <t>SRID=4326;POINT(-76.07685408562057 44.101026468020265)</t>
  </si>
  <si>
    <t xml:space="preserve">1 Q. alba 
2 Ulmus sp
2 buckthorn 
1 Acer 
12 Juniperus sp
1 Carya ovata </t>
  </si>
  <si>
    <t>Fragrant sumac, Carex, honeysuckle, moss, buckthorn, Croton fruticulosus</t>
  </si>
  <si>
    <t xml:space="preserve">Limestone deciduous and coniferous forest </t>
  </si>
  <si>
    <t>83c4c3c1-ebe0-4905-b16a-3a925e2feb71,0813f532-e8a5-4113-a656-dc5cb3d5936c</t>
  </si>
  <si>
    <t>be56d080-69e2-43d4-9e53-4d008c39af45</t>
  </si>
  <si>
    <t>48051fdb-ae14-43e0-9121-afeb7adc882e</t>
  </si>
  <si>
    <t xml:space="preserve">One or two very small branches accessible without pole pruners </t>
  </si>
  <si>
    <t>b66eb07d-0148-40fd-800b-c3681708068c</t>
  </si>
  <si>
    <t>2022-10-14 12:13:05 UTC</t>
  </si>
  <si>
    <t>SRID=4326;POINT(-76.08029921546213 44.09795605115974)</t>
  </si>
  <si>
    <t>3 Buckthorn 
2 Ulmus sp</t>
  </si>
  <si>
    <t xml:space="preserve">Buckthorn, honeysuckle, fragrant sumac, viburnum l, common juniper </t>
  </si>
  <si>
    <t>Grasslands/ pavement barrens</t>
  </si>
  <si>
    <t>e6410fec-3ff6-4438-a2c4-660c72481a19,6e995cb9-73a7-46e5-b85f-27f303d7ec7c,0faac12c-34ca-431a-a630-f8c6bc53a885</t>
  </si>
  <si>
    <t>9abcb0d1-86af-4b77-97d0-500447652a71</t>
  </si>
  <si>
    <t>2f10fcda-d503-42a3-bd3e-502f1cea2200</t>
  </si>
  <si>
    <t xml:space="preserve">Plenty of branches accessible without pole pruners 
Not flagged </t>
  </si>
  <si>
    <t>e6a9c1ea-5c95-476d-a538-0ae93d144704</t>
  </si>
  <si>
    <t>2022-10-14 12:13:04 UTC</t>
  </si>
  <si>
    <t>SRID=4326;POINT(-76.07933118946485 44.09820717297876)</t>
  </si>
  <si>
    <t xml:space="preserve">2 Q. macrocarpa 
2 Juniperus
2 Buckthorn 
1 Q. alba </t>
  </si>
  <si>
    <t xml:space="preserve">Carya,buckthorn, Carex, downy arrow wood, dogwood, Rubus, </t>
  </si>
  <si>
    <t>198a2257-51df-4bd0-93ad-1369e882da25,66681333-781f-4c4f-8a35-22ec19c3aaa5</t>
  </si>
  <si>
    <t>96b55e3c-568a-49cf-b2ef-51f1b65cdc6a,d6d2b96d-329d-41d8-83f4-2eb848304f49</t>
  </si>
  <si>
    <t>55b669ac-8c41-4c0b-aab9-c2096dc37495</t>
  </si>
  <si>
    <t xml:space="preserve">Low branches accessible without pole pruners </t>
  </si>
  <si>
    <t>08ebc8af-6f2b-43e5-a1b9-45b350b88334</t>
  </si>
  <si>
    <t>SRID=4326;POINT(-76.07880078263216 44.0986713627764)</t>
  </si>
  <si>
    <t xml:space="preserve">2 Juniperus s
2 Pinus </t>
  </si>
  <si>
    <t xml:space="preserve">Buckthorn, SolomonΓÇÖs seal, Rubus sp, </t>
  </si>
  <si>
    <t>Rocky barrens, shrubby prairie</t>
  </si>
  <si>
    <t>1b0c0e63-946f-42df-98ff-3af9a818003e,da458e25-a4e4-4b68-81ae-44e4db11977a</t>
  </si>
  <si>
    <t>fb894fe5-aa5d-4d0e-a9f0-a0f5495bd368</t>
  </si>
  <si>
    <t>863bd47e-23a3-4cf2-8b91-f289b103236d</t>
  </si>
  <si>
    <t>11118a30-c794-4eab-9161-3879d3bc6092</t>
  </si>
  <si>
    <t xml:space="preserve">Tagged but not flagged  
Some branches able to be reached without pole pruners, not many </t>
  </si>
  <si>
    <t>18586306-3df1-438d-965a-26ce10e33dc8</t>
  </si>
  <si>
    <t>2022-10-14 12:13:02 UTC</t>
  </si>
  <si>
    <t>SRID=4326;POINT(-76.07681712142758 44.09860145770395)</t>
  </si>
  <si>
    <t xml:space="preserve">1 Q. macrocarpa 
4 common buckthorn 
1 Pinus sp.
1 Carya ovata 
</t>
  </si>
  <si>
    <t xml:space="preserve">Poison ivy, Carex, Carya, buckthorn </t>
  </si>
  <si>
    <t>5385fb9e-d23e-4fbb-9712-c37819e3468f,3413b0cc-4ae0-4a50-8802-fcb85378c9a4</t>
  </si>
  <si>
    <t>cb30be62-520e-4148-be0d-97d980c06f82</t>
  </si>
  <si>
    <t>419d7f46-5b8f-4d0d-9271-2e962fb953ca</t>
  </si>
  <si>
    <t xml:space="preserve">
No accessible branches (without pole pruners)</t>
  </si>
  <si>
    <t>a98231c7-e0f8-493f-a8d5-6c0780857941</t>
  </si>
  <si>
    <t>2022-10-14 12:12:58 UTC</t>
  </si>
  <si>
    <t>SRID=4326;POINT(-76.07592537074916 44.09961114175999)</t>
  </si>
  <si>
    <t xml:space="preserve">1 Q. macrocarpa 
1 Pinus sp.
1 Ulmus sp.
1 Quercus sect Lobatae 
1 Carya ovata </t>
  </si>
  <si>
    <t>Poison ivy, downy arrow wood, Rosa sp.</t>
  </si>
  <si>
    <t>7bede55d-001d-4ebe-b9b1-7ff02849dfbe,f882ecbf-4ea6-4714-a644-502af87fbc65,97708563-557f-4c31-acb4-95fcc7a4e5eb</t>
  </si>
  <si>
    <t>ba363253-c03e-4227-a437-6e92a21fb0b9</t>
  </si>
  <si>
    <t>8304d57d-18ec-4b37-a088-9f9069cf19c1</t>
  </si>
  <si>
    <t>415adf37-b944-46da-90ca-81c2ad8b0c79</t>
  </si>
  <si>
    <t>2022-10-14 12:12:55 UTC</t>
  </si>
  <si>
    <t>SRID=4326;POINT(-73.18536051555833 43.598946360911796)</t>
  </si>
  <si>
    <t xml:space="preserve">2 populus sp. </t>
  </si>
  <si>
    <t xml:space="preserve">Sensitive fern, clover, Virginia creeper, buckthorn l, cinnamon fern, Rubus, grass, lady fern </t>
  </si>
  <si>
    <t xml:space="preserve">Edge of shrubby forest patch </t>
  </si>
  <si>
    <t>044d97d5-4152-4291-9f44-e371d375449b,255ff755-1bf7-4211-94ea-6dc19fa8a1ca</t>
  </si>
  <si>
    <t>d1ef29be-c171-423e-ae05-9dc8476be05a</t>
  </si>
  <si>
    <t>099a95ec-362a-42e0-a0b6-829ef94d2765</t>
  </si>
  <si>
    <t xml:space="preserve">Two bunches of leaves accessible without pole pruners 
Not flagged </t>
  </si>
  <si>
    <t>a7744209-b747-4a71-a1b8-c75c0f45459d</t>
  </si>
  <si>
    <t>2022-10-14 12:12:53 UTC</t>
  </si>
  <si>
    <t>SRID=4326;POINT(-73.18453196442982 43.599324468563864)</t>
  </si>
  <si>
    <t xml:space="preserve">1 willow 
5 Populus 
1 Q macrocarpa 
1 cherry? </t>
  </si>
  <si>
    <t xml:space="preserve">Sensitive fern, cinnamon fern, dogwood, alder buckthorn, purple flowered raspberry </t>
  </si>
  <si>
    <t xml:space="preserve">Strip of deciduous woodlands with dense foliage between trail and farmland </t>
  </si>
  <si>
    <t>eb17c1dd-2310-4d05-a23f-04b758035f29,04d047b7-57df-4a4e-b270-5a0402ad6fbb</t>
  </si>
  <si>
    <t>31340677-6cc5-4732-bf84-83f47c52850c</t>
  </si>
  <si>
    <t>9c3b0904-af60-48bb-9274-2eee6756bf28</t>
  </si>
  <si>
    <t xml:space="preserve">No accessible branches without pole pruners 
Not flagged </t>
  </si>
  <si>
    <t>a58dfcdb-e6a4-4d63-82bd-d67ac37a5dfa</t>
  </si>
  <si>
    <t>2022-10-14 12:12:52 UTC</t>
  </si>
  <si>
    <t>SRID=4326;POINT(-73.1837210153 43.5998622934)</t>
  </si>
  <si>
    <t xml:space="preserve">4 Pinus sp
1 Ulmus 
3 Fraxinus 
1 Populus 
1 Quercus sect Lobatae </t>
  </si>
  <si>
    <t xml:space="preserve">Fraxinus, lady fern, cinnamon fern, dogwood, sensitive fern, </t>
  </si>
  <si>
    <t xml:space="preserve">Deciduous forest </t>
  </si>
  <si>
    <t>1a85a935-221b-44a7-905f-af3c129a0ffe,bba891f9-4692-4ab9-9893-2e8b74cea6e6</t>
  </si>
  <si>
    <t>bf0d8e9b-9f92-44c6-a6be-46bca3cc65a9</t>
  </si>
  <si>
    <t>bc6351b7-2a5a-422c-9b0c-6e1ae76954ab</t>
  </si>
  <si>
    <t xml:space="preserve">Some branches low hanging enough to pull down and look at </t>
  </si>
  <si>
    <t>66c82e09-8044-4674-866c-770375ebfd8a</t>
  </si>
  <si>
    <t>2022-10-14 12:12:51 UTC</t>
  </si>
  <si>
    <t>SRID=4326;POINT(-73.18296505145094 43.60087495301278)</t>
  </si>
  <si>
    <t xml:space="preserve">1 Acer 
3 Populus 
2 Quercus sect Lobatae 
1 Fraxinus 
1 Pinus 
2 Ulmus 
1 cherry </t>
  </si>
  <si>
    <t xml:space="preserve">Sensitive fern, cinnamon fern, alder buckthorn, hickory, ulmus, </t>
  </si>
  <si>
    <t xml:space="preserve">Dense deciduous forest near trails </t>
  </si>
  <si>
    <t>1c1bb3a3-0e0b-4280-86eb-9295c1745c31,4cad1f76-951b-4d19-b09e-02cd0893ecbe</t>
  </si>
  <si>
    <t>82d56239-1785-4c70-92cc-4fd9d40a3ea5</t>
  </si>
  <si>
    <t>9842b0a3-2b5e-441c-9b67-4c0b72bec339</t>
  </si>
  <si>
    <t xml:space="preserve">Some branches able to be pulled down with hands and looked at 
Not flagged </t>
  </si>
  <si>
    <t>28c130fb-3071-4fd4-88df-654f1aaf766c</t>
  </si>
  <si>
    <t>2022-10-14 12:12:50 UTC</t>
  </si>
  <si>
    <t>SRID=4326;POINT(-73.18385839469096 43.60030619897284)</t>
  </si>
  <si>
    <t xml:space="preserve">1 Quercus sect Lobatae 
1 Populus 
</t>
  </si>
  <si>
    <t>Purple flowered raspberry, sensitive fern, VirginΓÇÖs bower, cinnamon fern, alder buckthorn, lady fern</t>
  </si>
  <si>
    <t xml:space="preserve">Dense deciduous forest </t>
  </si>
  <si>
    <t>9f57c1d4-0813-4356-a5a7-0caa5d0cf310,3a127f6d-c5ef-4189-ab48-35f1e93a0ccd,c66b947f-c56f-49ee-af71-ebd1babbf505</t>
  </si>
  <si>
    <t>1cc1ed32-8bba-4b5c-a533-a75a925c3991</t>
  </si>
  <si>
    <t>c249604d-81c0-47ed-94ac-a75045dff639</t>
  </si>
  <si>
    <t>No accessible branches without pole pruners 
Two stems - 15, 36</t>
  </si>
  <si>
    <t>7b5c433a-ad4e-4408-b0ce-250f5360f1e1</t>
  </si>
  <si>
    <t>2022-10-14 12:12:49 UTC</t>
  </si>
  <si>
    <t>SRID=4326;POINT(-73.18186945288738 43.60184566121884)</t>
  </si>
  <si>
    <t xml:space="preserve">2 Pinus 
1 Ulmus 
3 Carya ovata 
3 Fraxinus </t>
  </si>
  <si>
    <t xml:space="preserve">Lady fern, New York fern, large leafed aster, sensitive fern, wild sarsaparilla </t>
  </si>
  <si>
    <t>4d318806-f072-45c4-aaac-2d1b4914503d,501c7b6f-1a85-4064-ae00-b1dc263a48d9</t>
  </si>
  <si>
    <t>cd710e7c-9c29-478e-b825-262bfad3cb72</t>
  </si>
  <si>
    <t>3ceb1b0e-78ba-47c4-af37-5d59ef1108c4</t>
  </si>
  <si>
    <t xml:space="preserve">No accessible branches without pole pruners </t>
  </si>
  <si>
    <t>f067f0c6-be47-4d9b-b4da-36dad81ff106</t>
  </si>
  <si>
    <t>2022-10-14 12:12:48 UTC</t>
  </si>
  <si>
    <t>SRID=4326;POINT(-73.18190918310842 43.602051688398795)</t>
  </si>
  <si>
    <t xml:space="preserve">2 Acer </t>
  </si>
  <si>
    <t xml:space="preserve">Virgins bower, Virginia creeper, lady fern, dogwood, goldenrod, </t>
  </si>
  <si>
    <t xml:space="preserve">Deciduous woods with dense foliage </t>
  </si>
  <si>
    <t>ac78e6fa-f41f-4d20-9ebe-7cb192441c2f,e8ecd043-0842-456b-9506-c3fa7e106806</t>
  </si>
  <si>
    <t>e64dea31-90f3-492e-ad0c-e9ba6b5ef2f9</t>
  </si>
  <si>
    <t>f0b4c334-1a0e-4b00-ad75-d997e4ba82a5</t>
  </si>
  <si>
    <t xml:space="preserve">Some leaves accessible without pole pruners, no big branches </t>
  </si>
  <si>
    <t>b801af1c-3056-41cd-b5f0-49cfbae4535a</t>
  </si>
  <si>
    <t>2022-10-14 12:12:46 UTC</t>
  </si>
  <si>
    <t>SRID=4326;POINT(-73.1802917272534 43.60451412391253)</t>
  </si>
  <si>
    <t xml:space="preserve">3 populus sp. (Aspen?) 
2 Pinus sp
1 cherry </t>
  </si>
  <si>
    <t xml:space="preserve">Sensitive fern, coralberry, alder buckthorn, ulmus, </t>
  </si>
  <si>
    <t xml:space="preserve">Strip of deciduous forest with dense underbrush between road and trail </t>
  </si>
  <si>
    <t>b9faa81e-b9a7-48de-849c-9f94eddd4933,e0508392-c018-42d2-afe6-49a6fbce853a</t>
  </si>
  <si>
    <t>90bfa4ed-439f-4451-bec4-d0abcd2a59bc</t>
  </si>
  <si>
    <t>103c5ead-2551-463c-9596-d11d8048d3f7</t>
  </si>
  <si>
    <t>0c0aea41-ed86-4742-832a-8b46d91f24bc</t>
  </si>
  <si>
    <t>2022-10-12 18:43:57 UTC</t>
  </si>
  <si>
    <t>SRID=4326;POINT(-85.5074154028 40.4569342593)</t>
  </si>
  <si>
    <t xml:space="preserve">3 Acer 
2 Carya 
1 shingle oak </t>
  </si>
  <si>
    <t xml:space="preserve">Poison ivy 
Honeysuckle 
Carex 
Black raspberry
Fraxinus 
Sanicles </t>
  </si>
  <si>
    <t>Uphill of riparian, forest</t>
  </si>
  <si>
    <t>6d766434-7cb8-4805-8fb4-95b8affd0bb7,e81734f0-b63d-4687-96ea-32b83f8304f4</t>
  </si>
  <si>
    <t>07b002a0-e7c8-498a-ab99-b05173fa2b82</t>
  </si>
  <si>
    <t>424b2c0b-9a74-4009-8f8d-e9babdc340fd</t>
  </si>
  <si>
    <t>07ba8f2d-b704-41b7-81ef-e02a3f250b8f</t>
  </si>
  <si>
    <t xml:space="preserve">Some leaves maybe can reach without pole pruners? 
</t>
  </si>
  <si>
    <t>35860d77-648b-459a-958d-9e0c5b9c5f54</t>
  </si>
  <si>
    <t>2022-10-12 18:17:32 UTC</t>
  </si>
  <si>
    <t>SRID=4326;POINT(-84.3823251129 42.7660373552)</t>
  </si>
  <si>
    <t xml:space="preserve">3 Q. Bicolor 
3 Fraxinus sp. 
1 Acer sp. </t>
  </si>
  <si>
    <t xml:space="preserve">Fern, Acer sp., moss, </t>
  </si>
  <si>
    <t xml:space="preserve">Open swampy area of woodlands </t>
  </si>
  <si>
    <t>4a9fa3dd-9c12-4527-ad38-ba51f424a359,16cb221a-b693-4c0f-a76f-2ef372cdda46</t>
  </si>
  <si>
    <t>6efc5afd-ee8f-4754-ab03-0582973b5acf</t>
  </si>
  <si>
    <t>2a6dc554-ea1f-4854-9e87-860610db9f80</t>
  </si>
  <si>
    <t>1b3f930e-29f9-429b-94dd-dacc06855bac</t>
  </si>
  <si>
    <t>b2e15a12-1fe1-46d5-9371-6e26d51baafc</t>
  </si>
  <si>
    <t>2022-10-12 16:01:32 UTC</t>
  </si>
  <si>
    <t>SRID=4326;POINT(-91.5072600637 46.3319215877)</t>
  </si>
  <si>
    <t xml:space="preserve">2 Quercus red oak group </t>
  </si>
  <si>
    <t xml:space="preserve">Red maple, fern, Ulmus, poaceae, American hazlenut </t>
  </si>
  <si>
    <t>bcd40b7b-7725-4bb2-b362-47ff0a2b95ce,586a4734-523e-472b-86c1-c1925d94bfd1,76affe42-96f0-450a-88dc-362136c52785,b64735bd-50fe-48b7-a249-ac6969520adb</t>
  </si>
  <si>
    <t>0399346a-529c-4d99-82b3-74e0a4a43545</t>
  </si>
  <si>
    <t>68996311-6884-4ed4-9659-a1dee7e2e134</t>
  </si>
  <si>
    <t>23ff6fce-9397-458c-8a64-be0438e88da7,03d9e684-b5fe-41de-9a16-0c6c68e5a026</t>
  </si>
  <si>
    <t>Two stems - 15.6, 13.1</t>
  </si>
  <si>
    <t>76fbf9ee-ea6c-4e11-9b9e-7556b9618495</t>
  </si>
  <si>
    <t>2022-10-12 16:00:52 UTC</t>
  </si>
  <si>
    <t>SRID=4326;POINT(-91.6391783953 43.904458745)</t>
  </si>
  <si>
    <t xml:space="preserve">3 Quercus macrocarpa 
1 Quercus Alba 
3 Tilia (americana??) </t>
  </si>
  <si>
    <t xml:space="preserve">Ribes sp., Circaea canadienses, Osmorhiza claytonii, Asteraceae family, Viburnum, Sanicula sp. Ferns, American hog peanut </t>
  </si>
  <si>
    <t>Edge of riparian woodland and prairie</t>
  </si>
  <si>
    <t>11b36a82-29e7-4f53-9168-72584b08d729,55cf67f4-6baf-411a-a3f6-071fa1262ba0</t>
  </si>
  <si>
    <t>9bae46b3-928c-4ee7-97e8-ab64cbf3ad3a</t>
  </si>
  <si>
    <t>e6f565a8-ff3a-4158-90e8-c8f97d75626e</t>
  </si>
  <si>
    <t>2 stems - 25.4,27.5</t>
  </si>
  <si>
    <t>52f5b8ab-6265-4265-95bd-8c3523342016</t>
  </si>
  <si>
    <t>2022-10-12 15:56:32 UTC</t>
  </si>
  <si>
    <t>SRID=4326;POINT(-96.4267849457 36.844408256)</t>
  </si>
  <si>
    <t xml:space="preserve">1 Q. stellata
1 pin oak 
1 hickory 
2 black oaks </t>
  </si>
  <si>
    <t>Poison ivy, aster, Virginia creeper, panicled tick trefoils, grasses, legumes</t>
  </si>
  <si>
    <t xml:space="preserve">Near road and prairie, edge of forested area, short dense foliage </t>
  </si>
  <si>
    <t>552a5e91-ec93-4395-ac3c-f7fe5183fcec,70a6e7ba-caa4-49ce-8b35-11a8ba4fc977</t>
  </si>
  <si>
    <t>4ab11411-c8af-43cd-b2bf-e834016d5b43</t>
  </si>
  <si>
    <t>1376ba54-61e3-4ffc-9ac8-73e9703c29c4</t>
  </si>
  <si>
    <t xml:space="preserve">Not totally sun exposed leaves </t>
  </si>
  <si>
    <t>b4c7857d-05c0-4ec1-95bb-170e5045b9e8</t>
  </si>
  <si>
    <t>2022-10-12 15:55:32 UTC</t>
  </si>
  <si>
    <t>SRID=4326;POINT(-90.5556376186 38.5143668019)</t>
  </si>
  <si>
    <t>1 hickory 
1 Q. Stellata 
4 black oak
1 ash</t>
  </si>
  <si>
    <t xml:space="preserve">Honeysuckle, poison ivy, Carolina buckthorn, Virginia creeper </t>
  </si>
  <si>
    <t xml:space="preserve">Low sparse foliage, wooded area </t>
  </si>
  <si>
    <t>65824c65-b728-497e-a606-1f740d5645ea,18346a37-1c90-4429-bd11-386c958f68ee</t>
  </si>
  <si>
    <t>bbd8f5ac-7b41-4e3c-bafe-4d5ef4a6462b</t>
  </si>
  <si>
    <t>d2882155-4d32-4889-a906-1b18ad082619</t>
  </si>
  <si>
    <t xml:space="preserve">Understory leaves </t>
  </si>
  <si>
    <t>d89b2610-d67a-4a27-b0f6-02e476bd8988</t>
  </si>
  <si>
    <t>2022-10-12 15:52:44 UTC</t>
  </si>
  <si>
    <t>SRID=4326;POINT(-94.8014848866 38.9888871694)</t>
  </si>
  <si>
    <t xml:space="preserve">4 Q. stellata, 
1 Celtis (occidentalis?) 
1 Q. muehlenbergii </t>
  </si>
  <si>
    <t>Redbud, honeysuckle, Carya, Ulmus sp.</t>
  </si>
  <si>
    <t xml:space="preserve">Dry, hillside with a dense forest </t>
  </si>
  <si>
    <t>eb43c841-d5b6-4a56-abec-147662822c52,4431efd6-6409-46a9-94cd-e87f5d2e1027,13807359-28a0-42d3-ba6f-1d00a3162bde</t>
  </si>
  <si>
    <t>8734a4fb-3b86-440d-836b-1439303e1e3a</t>
  </si>
  <si>
    <t>649f7645-1850-45b9-b2b1-874cc1013545</t>
  </si>
  <si>
    <t>ef2b2675-cfe8-4a54-a5ea-0dd198960fcd</t>
  </si>
  <si>
    <t>2022-10-12 15:50:57 UTC</t>
  </si>
  <si>
    <t>SRID=4326;POINT(-86.35174297 36.3769549722)</t>
  </si>
  <si>
    <t xml:space="preserve">1 Quercus muehlenbergii 
3 Juniper sp. 
2 Fraxinus sp. 
1 black walnut 
1 Quercus sp. Red oak group </t>
  </si>
  <si>
    <t>Elymus
Dicamptilium 
Carex 
Lonicera
Fern
Agrotina
Polisticume</t>
  </si>
  <si>
    <t xml:space="preserve">Hillside forest, little foliage, near a river </t>
  </si>
  <si>
    <t>3da1a1ce-f30e-45ed-a7e0-25d1bf8ba1c7,268dbdc2-def5-4dff-8db8-31c948822c2d</t>
  </si>
  <si>
    <t>bd060fe8-98f0-431c-a332-8a526590c2bb</t>
  </si>
  <si>
    <t>97acd88b-f215-4ea5-a235-30378ab09828</t>
  </si>
  <si>
    <t>12580849-ba7d-466f-beec-18746ca8d88c</t>
  </si>
  <si>
    <t>2022-10-11 21:46:22 UTC</t>
  </si>
  <si>
    <t>SRID=4326;POINT(-85.51148490056909 40.457008900158534)</t>
  </si>
  <si>
    <t xml:space="preserve">4 Q. macrocarpa 
4 Acer 
</t>
  </si>
  <si>
    <t xml:space="preserve">Wild Ginger 
Pawpaw
Northern spicebush 
Virginia creeper </t>
  </si>
  <si>
    <t xml:space="preserve">Riparian forest </t>
  </si>
  <si>
    <t>62e2faf2-42d9-44f7-aa04-5ef326b5277b,c5f973b4-e8c2-47e7-806a-730e595438cc</t>
  </si>
  <si>
    <t>24cad9db-4daf-4e6d-80a7-46c6fdb45827</t>
  </si>
  <si>
    <t>0a7c09fc-6606-4e18-97e2-f715e12e2b35</t>
  </si>
  <si>
    <t xml:space="preserve">Need pole pruners 
Partial sun </t>
  </si>
  <si>
    <t>11f14c94-b9ba-4ebb-80fb-a4347d9acbe2</t>
  </si>
  <si>
    <t>SRID=4326;POINT(-85.51136981703854 40.45791104439689)</t>
  </si>
  <si>
    <t xml:space="preserve">1 Carya sp
1 Black cherry 
1 Acer 
4 buckeyes 
2 Ulmus 
2 Celtis 
1 Juglans </t>
  </si>
  <si>
    <t xml:space="preserve">Fraxinus 
Poison ivy 
American jump seed 
Ribes sp
Ulmus
Honeysuckle 
Sanicles </t>
  </si>
  <si>
    <t>8fd532a8-73cb-4505-8a6f-7b3b583e6f72,88d00135-cbe1-4884-bf03-0982820346c5</t>
  </si>
  <si>
    <t>88c7b243-d44b-4de1-93cf-88bfdcd5fcf6</t>
  </si>
  <si>
    <t>71db47b6-71aa-480f-a2b4-57f74b3f98af</t>
  </si>
  <si>
    <t xml:space="preserve">Hard to reach even with pole pruners 
Mostly shaded leaves </t>
  </si>
  <si>
    <t>57fbbd46-4dc3-4d7f-8e08-b0794a1c66df</t>
  </si>
  <si>
    <t>2022-10-11 21:46:21 UTC</t>
  </si>
  <si>
    <t>SRID=4326;POINT(-85.511069744905 40.45808723200155)</t>
  </si>
  <si>
    <t xml:space="preserve">5 Acer 
1 Q. muehlenbergii 
1 red oak group 
</t>
  </si>
  <si>
    <t>Sanicles 
American jump seed 
Snakeroot 
Carex 
Grasses?</t>
  </si>
  <si>
    <t>88b5cd4e-ae73-4c4d-a0dd-755a21d91b48,fbb91b4d-872d-4559-b3ae-04d776196f90</t>
  </si>
  <si>
    <t>c15ab560-0a0e-4e23-97dd-28980b913b14</t>
  </si>
  <si>
    <t>27d9b87f-ff6b-40e8-96e2-e024cbbf7013</t>
  </si>
  <si>
    <t xml:space="preserve">Need pole pruners
Partial sun </t>
  </si>
  <si>
    <t>a288c127-75e7-4d0f-aa1e-648ecf231e98</t>
  </si>
  <si>
    <t>2022-10-11 21:46:20 UTC</t>
  </si>
  <si>
    <t>SRID=4326;POINT(-85.51112742484308 40.45600498536442)</t>
  </si>
  <si>
    <t xml:space="preserve">2 ulmus 
1 celtis 
5 acer 
</t>
  </si>
  <si>
    <t xml:space="preserve">Ulmus 
Virginia creeper 
Ribes sp
Northern spicebush 
</t>
  </si>
  <si>
    <t>02cea9f6-d1ca-41f0-a5db-fbe35ee7788f,cd3a76e9-2c4f-416b-9542-27f2b675e52d</t>
  </si>
  <si>
    <t>27835ec3-457b-4b1c-8130-387eb777eb23</t>
  </si>
  <si>
    <t>ef46d60c-440d-4e22-ac40-489d06d1f541</t>
  </si>
  <si>
    <t>d7d561d4-5b5c-4c45-abe4-c33344af1bed</t>
  </si>
  <si>
    <t>6c4e7701-9984-4bb1-9322-318da33d339c</t>
  </si>
  <si>
    <t>SRID=4326;POINT(-85.51039709717548 40.45550309125376)</t>
  </si>
  <si>
    <t xml:space="preserve">8 Q. bicolor 
1 Ulmus </t>
  </si>
  <si>
    <t xml:space="preserve">Ribes sp
Northern spice bush 
Poison Ivy 
Wood nettle 
Fraxinus </t>
  </si>
  <si>
    <t xml:space="preserve">Riparian Q bicolor stand </t>
  </si>
  <si>
    <t>ff52331e-4714-4a72-8f4d-978e547dacf8,49c5f4f4-b0bf-43a6-9253-ba6380d1d4b1</t>
  </si>
  <si>
    <t>cd8543e2-2162-4387-a49a-ad8551699870</t>
  </si>
  <si>
    <t>85dcc383-afa7-4da8-8758-675fdc0289ad</t>
  </si>
  <si>
    <t xml:space="preserve">Need pole pruners 
Some sun </t>
  </si>
  <si>
    <t>0d2fc327-a24f-4ac1-9534-0618fdeb3b14</t>
  </si>
  <si>
    <t>2022-10-11 21:46:19 UTC</t>
  </si>
  <si>
    <t>SRID=4326;POINT(-85.50856447786606 40.45696820601864)</t>
  </si>
  <si>
    <t xml:space="preserve">3 Juglans 
2 Carya 
3 Acer 
1 Red oak group </t>
  </si>
  <si>
    <t xml:space="preserve">Carya 
Virginia creeper 
Snakeroot 
Carex 
Juglans 
Northern spice bush 
Spicules  </t>
  </si>
  <si>
    <t xml:space="preserve">Forest uphill of riparian area 
</t>
  </si>
  <si>
    <t>277d0216-b37b-46a0-9889-79b07b0d0f77,0a022e2b-7256-45ec-a365-5dbc795871fb,86603150-e75b-45f6-9bd0-d99e20cda095</t>
  </si>
  <si>
    <t>daf2eed4-b623-4df7-961d-0295424a304a</t>
  </si>
  <si>
    <t>7e88f43e-698d-4b47-9c1d-a8504318f4ee</t>
  </si>
  <si>
    <t xml:space="preserve">Need pole pruners 
Weird, possible inteogression (maybe Alba?) </t>
  </si>
  <si>
    <t>af30951c-6304-4753-bf1b-385a99a135f5</t>
  </si>
  <si>
    <t>2022-10-11 21:35:11 UTC</t>
  </si>
  <si>
    <t>SRID=4326;POINT(-84.3571120967 41.5509783151)</t>
  </si>
  <si>
    <t xml:space="preserve">1 Carya ovata
2 Ulmus sp.
</t>
  </si>
  <si>
    <t xml:space="preserve">Maple, poison ivy, Virginia creeper, black snakeroot, </t>
  </si>
  <si>
    <t xml:space="preserve">Dense forest - wetlands/ river foodplain </t>
  </si>
  <si>
    <t>e2c71702-3af1-4835-932c-6f41f73fac59,94759db6-6334-4520-a888-2cb0a6ade679</t>
  </si>
  <si>
    <t>1c6ec573-0ff0-4246-8e23-7aa2b6f7b477</t>
  </si>
  <si>
    <t>67e4abd0-1ae2-4a1e-a5f9-168b28ee11b3</t>
  </si>
  <si>
    <t>1afe44f6-f779-4cc3-b3bb-aac403ee3e9e</t>
  </si>
  <si>
    <t>2022-10-11 21:34:12 UTC</t>
  </si>
  <si>
    <t>SRID=4326;POINT(-88.4383019061 43.0179062952)</t>
  </si>
  <si>
    <t>UWM Waukesha Field Station</t>
  </si>
  <si>
    <t>Bromes, milkweed</t>
  </si>
  <si>
    <t xml:space="preserve">Prairie </t>
  </si>
  <si>
    <t>30322a62-7c73-4e92-b96f-dbdca0bfe21d,006a2302-7952-4c59-a513-a6875c16d319,fa8b224f-2702-4a51-a09a-b5e764c3ba73</t>
  </si>
  <si>
    <t>513f2a53-d0f3-44ea-92c4-53a8ed1adc07</t>
  </si>
  <si>
    <t>6802709b-82b6-41ee-a6e7-b6733ee070e9</t>
  </si>
  <si>
    <t>f6c8e4b9-90a8-4be9-bbb3-5559b40e676d</t>
  </si>
  <si>
    <t>bd9d2d76-d1ee-474f-9d11-3690ef1e05ac</t>
  </si>
  <si>
    <t>2022-10-11 21:32:07 UTC</t>
  </si>
  <si>
    <t>SRID=4326;POINT(-86.3510504496 36.3777500822)</t>
  </si>
  <si>
    <t xml:space="preserve">2 Quercus Alba 
1 Quercus macrocarpa
1 Quercus muehlenbergii 
1 Fraxinus 
1 Quercus rubra 
1 Quercus shumarii? </t>
  </si>
  <si>
    <t xml:space="preserve">Greenbrier 
</t>
  </si>
  <si>
    <t xml:space="preserve">Hillside forest, very sparse foliage, near reservoir </t>
  </si>
  <si>
    <t>47b803c7-54a6-44cc-a9e5-bf550c5ae710,a7e86e9a-3d6c-4d9d-9cd9-df1a6a29f676</t>
  </si>
  <si>
    <t>3bba1a3a-46ad-48ca-b01c-a1cb3c447e5a</t>
  </si>
  <si>
    <t>5ada4000-97c3-4f7d-9612-116cdbefd9ed</t>
  </si>
  <si>
    <t>83c54719-dd7b-4d5b-8115-52f4c9fc9f3a</t>
  </si>
  <si>
    <t>2022-10-11 21:28:37 UTC</t>
  </si>
  <si>
    <t>SRID=4326;POINT(-86.3579328173 36.3755660411)</t>
  </si>
  <si>
    <t xml:space="preserve">1 redbud 
1 jublis nigra (black walnut)
1 prunis ceratana
1 juniperis 
1 Q. Muehlenbergii 
3 Celtis olata
1 fraxinus 
1 acer nagundo 
1 fraxinus Americana 
1 platinus occidentalis 
</t>
  </si>
  <si>
    <t xml:space="preserve">Poison ivy, 
Ager nigrosa 
Baptisia tinctoria?
Flat spiklet grass (check AH)
Elymus
Agrotina 
Virbusina agrifolia 
Black locust </t>
  </si>
  <si>
    <t xml:space="preserve">Lowlands, forest area near creek, low/thin foliage </t>
  </si>
  <si>
    <t>a5afb601-27e4-403d-a76b-0d62d363bbe0,dd0d8493-e598-488e-ae01-bc917318808d</t>
  </si>
  <si>
    <t>4520f220-7a45-49d6-8acc-968e3f4ab378</t>
  </si>
  <si>
    <t>40dc6676-8fc8-4df4-b2e5-80b34ffa67d6</t>
  </si>
  <si>
    <t>77c5b2e2-a886-4615-8439-1a354a8a1350</t>
  </si>
  <si>
    <t>2022-10-11 21:27:36 UTC</t>
  </si>
  <si>
    <t>SRID=4326;POINT(-86.3508996246 36.378031597)</t>
  </si>
  <si>
    <t xml:space="preserve">1 Q. Muehlenbergii
1 persimmon 
1 Fraxinus 
1 Ulmus </t>
  </si>
  <si>
    <t xml:space="preserve">Poison ivy </t>
  </si>
  <si>
    <t xml:space="preserve">Hillside forest, little foliage, near reservoir </t>
  </si>
  <si>
    <t>a3b2b038-0f44-40a8-bdc7-93a4dc6d4516,871cf2b6-b1bf-4c20-ba5a-6f0da5d17d10</t>
  </si>
  <si>
    <t>073571b8-6ffd-43a5-b7e7-d6668e03da22</t>
  </si>
  <si>
    <t>78236417-218c-4fa7-9322-c2d6f1ff71a0</t>
  </si>
  <si>
    <t>47b4cc44-8b77-427e-befe-1646b121b341</t>
  </si>
  <si>
    <t>2022-10-11 21:26:10 UTC</t>
  </si>
  <si>
    <t>SRID=4326;POINT(-96.4286875539 36.8458440341)</t>
  </si>
  <si>
    <t xml:space="preserve">1 hickory 
1 Q. Macrocarpa 
4 black or pin oak 
1 Q. muehlenbergii </t>
  </si>
  <si>
    <t xml:space="preserve">Virginia creeper, poison ivy, asters, grape family, ruellias, </t>
  </si>
  <si>
    <t xml:space="preserve">Hillside, edge of wood and prairie </t>
  </si>
  <si>
    <t>df36334d-ea09-4180-b671-9650237ec5bf,322ae483-a8e8-4dd4-b56c-86ebe02054b0,cc559cbb-42a6-49be-aab4-f2ba6a26532b</t>
  </si>
  <si>
    <t>1be6a8ac-ffe9-41c1-aab0-88f038d84368</t>
  </si>
  <si>
    <t>1cdd89f3-be86-4b83-ae7e-1f2a7c30bc85</t>
  </si>
  <si>
    <t>eb286596-27f2-4e0c-a861-6deee3ecc80e</t>
  </si>
  <si>
    <t>2022-10-11 21:24:27 UTC</t>
  </si>
  <si>
    <t>SRID=4326;POINT(-90.5555156619 38.5141487047)</t>
  </si>
  <si>
    <t xml:space="preserve">1 red oak
1 ash 
</t>
  </si>
  <si>
    <t xml:space="preserve">Fragrant sassafras, dogwood, Virginia creeper, mayapple, honeysuckle </t>
  </si>
  <si>
    <t xml:space="preserve">Wooded area, mid height but not dense foliage, rocky soil </t>
  </si>
  <si>
    <t>b51c4333-bf90-425f-81be-544d6fa5bc58,8e78d37e-0cf9-4119-b9d6-2134539503e3</t>
  </si>
  <si>
    <t>8eb4d68d-3949-4468-ad17-60e982bcf7e1</t>
  </si>
  <si>
    <t>2e15e76e-260c-4084-ae53-ed2e4d7cff6e</t>
  </si>
  <si>
    <t xml:space="preserve">Canopy (ish) leaves </t>
  </si>
  <si>
    <t>369d82eb-f1d7-4fb9-bc30-be67e94374a6</t>
  </si>
  <si>
    <t>2022-10-11 21:23:19 UTC</t>
  </si>
  <si>
    <t>SRID=4326;POINT(-92.768592081 37.9784705742)</t>
  </si>
  <si>
    <t>Ha Ha Tonka State Park</t>
  </si>
  <si>
    <t xml:space="preserve">3 Q. stellata 
2 black oak </t>
  </si>
  <si>
    <t xml:space="preserve">Sunflower, fragrant sumac, common dittany, Virginia creeper, American hog peanut, </t>
  </si>
  <si>
    <t xml:space="preserve">Open woodlands </t>
  </si>
  <si>
    <t>1ea657b9-99ec-473a-843a-e212c1abd19f,39f5a926-1dd5-4429-b8ed-775190ab0a93</t>
  </si>
  <si>
    <t>7fb7ae0c-89ed-4752-a0f3-3ba4f563a3f6</t>
  </si>
  <si>
    <t>085107be-b6cd-4c11-9fc7-2316babf478f</t>
  </si>
  <si>
    <t xml:space="preserve">Subcanopy but exposed leaves </t>
  </si>
  <si>
    <t>97adb46d-cc49-41f2-b68d-ddea7c440be2</t>
  </si>
  <si>
    <t>2022-10-11 20:51:22 UTC</t>
  </si>
  <si>
    <t>SRID=4326;POINT(-94.7917104979 38.9814666706)</t>
  </si>
  <si>
    <t xml:space="preserve">1 Tilia sp. 
2 red oak group 
1 Carya sp.
</t>
  </si>
  <si>
    <t xml:space="preserve">Honeysuckle, coralberry, Virginia creeper, asteraceae, Ribes sp., Vitus sp., hylodesmum glutinosum </t>
  </si>
  <si>
    <t xml:space="preserve">Forested woodlands dense near stream </t>
  </si>
  <si>
    <t>46ae71c7-ab00-4829-bbd2-b1f061a4c53f,d5596d39-bd0b-4541-a708-566b8eb854e0</t>
  </si>
  <si>
    <t>0cf0d053-cdc7-425c-b0b0-94787a7e267f</t>
  </si>
  <si>
    <t>60477e35-a0c9-4a8c-b948-6939380d20af</t>
  </si>
  <si>
    <t>e97a5010-b032-44a4-a0f5-1726f6313187</t>
  </si>
  <si>
    <t>2022-10-10 17:10:44 UTC</t>
  </si>
  <si>
    <t>SRID=4326;POINT(-73.3510575847058 42.056203087411774)</t>
  </si>
  <si>
    <t xml:space="preserve">2 Juniperus sp
2 Acer sp
1 Celtis sp
1 Ulmus </t>
  </si>
  <si>
    <t xml:space="preserve">SolomonΓÇÖs seal Fraxinus, poison ivy, aster, dryopterus marginalis, meninspernum (Canada moonseed), buckthorn </t>
  </si>
  <si>
    <t xml:space="preserve">Cobble, forest with lots of shrubs </t>
  </si>
  <si>
    <t>3836c031-283b-42ad-9086-63b3303f4ac6,cddcbcc3-8851-4721-96b0-40ed026c74f5</t>
  </si>
  <si>
    <t>a98ba71d-044e-4a42-9da5-4fb6c1da4cd4</t>
  </si>
  <si>
    <t>54592a46-650b-48a6-b59d-45fa894e8d45</t>
  </si>
  <si>
    <t xml:space="preserve">Not accessible leaves </t>
  </si>
  <si>
    <t>aaa41ecc-ab54-4a5f-83c6-43702f865132</t>
  </si>
  <si>
    <t>2022-10-10 17:10:43 UTC</t>
  </si>
  <si>
    <t>SRID=4326;POINT(-73.35033749237037 42.0574263995905)</t>
  </si>
  <si>
    <t>7 Juniperus sp
1 Acer sp
1 Ulmus sp
1 Juglans sp</t>
  </si>
  <si>
    <t xml:space="preserve">Poison ivy, Carya, hylodesmotium glutinosum, Rubus, splenium sp., herb Robert, boblet fern, Virginia creeper, </t>
  </si>
  <si>
    <t xml:space="preserve">Edge of Dense forest, cobble </t>
  </si>
  <si>
    <t>bbfad37d-4430-4a17-b58c-455fbb32e0ec,20e9235a-b5b5-4fbd-972b-662a60d51840</t>
  </si>
  <si>
    <t>7bf915a6-87b3-4f23-beff-96418bbfa2f4</t>
  </si>
  <si>
    <t>c85bf4a2-73b0-4c55-8dd1-1020f3eeea9e</t>
  </si>
  <si>
    <t>8fc34010-bdd3-4266-8686-23aacd87e371</t>
  </si>
  <si>
    <t xml:space="preserve">Some accessible leaves </t>
  </si>
  <si>
    <t>048d0e4c-3ddd-4c9f-8003-337642d66a0b</t>
  </si>
  <si>
    <t>2022-10-10 17:10:42 UTC</t>
  </si>
  <si>
    <t>SRID=4326;POINT(-73.38515063754598 42.08458087410972)</t>
  </si>
  <si>
    <t xml:space="preserve">2 Q. macrocarpa
2 Q. alba 
1 Acer 
2 Ulmus 
</t>
  </si>
  <si>
    <t xml:space="preserve">Hylodesmum glutinosum, Christmas fern, sensitive fern, Ulmus, dryopterus, </t>
  </si>
  <si>
    <t xml:space="preserve">Forest in watershed basin, little underbrush </t>
  </si>
  <si>
    <t>91185cff-3ac8-4492-b0de-a0225626ce6c,cb9bc2af-26e7-4195-b850-8d13da6c2174</t>
  </si>
  <si>
    <t>6592465c-7942-4aac-805c-f43b965d8a76</t>
  </si>
  <si>
    <t>737215d0-8205-4976-a920-e1a173689fd0</t>
  </si>
  <si>
    <t xml:space="preserve">Need pole pruners 
Low leaves </t>
  </si>
  <si>
    <t>ca3aec2f-f01d-4530-9a5f-6d9770783815</t>
  </si>
  <si>
    <t>SRID=4326;POINT(-73.38461796759943 42.08227107305274)</t>
  </si>
  <si>
    <t xml:space="preserve">3 Hemlock 
3 pine 
1 Carya 
1 Q alba 
2 Acer </t>
  </si>
  <si>
    <t xml:space="preserve">Sessile bellwort, Canada mayflower </t>
  </si>
  <si>
    <t xml:space="preserve">Almost no underbrush, watershed basin forest </t>
  </si>
  <si>
    <t>0f4aed13-b77c-4e47-90f6-91430d6bf248,7d71b57c-d44f-4e33-af04-ded34c617201</t>
  </si>
  <si>
    <t>1e486a51-21b5-432b-838e-da3b5a00a00a</t>
  </si>
  <si>
    <t>e4ea9153-e383-4ac9-87a8-090040b05571</t>
  </si>
  <si>
    <t xml:space="preserve">Few leaves accessible with pole pruners 
Subcanopy </t>
  </si>
  <si>
    <t>2450a47f-5356-490b-bcd6-0ee9319dcef8</t>
  </si>
  <si>
    <t>2022-10-10 17:10:41 UTC</t>
  </si>
  <si>
    <t>SRID=4326;POINT(-85.51162202850497 40.458035096563826)</t>
  </si>
  <si>
    <t xml:space="preserve">1 Q. macrocarpa 
2 Celtis 
2 Ulmus 
2 Juglans 
</t>
  </si>
  <si>
    <t xml:space="preserve">Sanicles 
Carya 
Black raspberry 
Honeysuckle 
Snakeroot 
Carex 
Ragwort 
</t>
  </si>
  <si>
    <t>0344139c-dbdc-40d6-a73d-71d376e4ff4f,6d6a3b9a-e44e-45b7-aaac-3675881a38ef</t>
  </si>
  <si>
    <t>fb57da06-08f3-47d7-8fa3-daa0ff651e41</t>
  </si>
  <si>
    <t>6f0aaa03-b599-4e64-b495-60e162863113</t>
  </si>
  <si>
    <t xml:space="preserve">Need pole pruner
Partial sun </t>
  </si>
  <si>
    <t>af487c83-506b-4b1e-945d-0e558d719959</t>
  </si>
  <si>
    <t>SRID=4326;POINT(-85.50896379173315 40.45676087964369)</t>
  </si>
  <si>
    <t xml:space="preserve">1 honey locust
1 ulmus 
1 Q. muehlenbergii 
3 Carya </t>
  </si>
  <si>
    <t xml:space="preserve">Ulmus 
Honeysuckle 
Sanicles 
Snakeroot 
Honey locust sapling??
Carex </t>
  </si>
  <si>
    <t>Brushy flat forest uphill of ditch/stream</t>
  </si>
  <si>
    <t>0d8f6a72-bad9-4ba6-bb0a-ad33628d2c81,11da5ef3-6ecb-4e71-8e5b-64c5b262c1a2</t>
  </si>
  <si>
    <t>dd71dad6-133e-4eff-a52f-2577f22fadeb</t>
  </si>
  <si>
    <t>6d1c64a4-7f32-4134-94d0-c316f346df31</t>
  </si>
  <si>
    <t xml:space="preserve">Partial sun 
Need pole pruners </t>
  </si>
  <si>
    <t>5b2291b1-0efe-4e53-a30a-cac0e5576607</t>
  </si>
  <si>
    <t>2022-10-08 16:26:56 UTC</t>
  </si>
  <si>
    <t>SRID=4326;POINT(-88.43645744366786 43.01754332269951)</t>
  </si>
  <si>
    <t xml:space="preserve">2 Quercus macrocarpa </t>
  </si>
  <si>
    <t>Pale Indian plantain, side oats, smooth brome, alder leaf buckthorn, false sunflower, flowering spurge, leaf plant, bluejacket, prairie clover</t>
  </si>
  <si>
    <t>4a6d9e2f-0a23-42f2-b114-16cf7f38a1a6,2c51fb54-0313-4b26-a8c6-490fa51b70b4</t>
  </si>
  <si>
    <t>0c8638d0-f21d-4667-965e-0f878a373054,8fb45154-72f5-4148-9106-bc07fd5aaa56,df507b8e-df3b-4988-bed4-dcd1a143c8bb,3fb92190-cd31-447b-812f-ea54d30c2606,67c8160a-f9c3-4d20-b886-691083b6a28b,2a55b9d5-87d3-499d-bcf0-ac5e56fd84eb,4a4a5a29-bab4-4176-9945-5f3e701e8841,fc199173-4fb4-425c-a96b-16e8a5085762</t>
  </si>
  <si>
    <t>85ce8e66-54e3-45cb-8afe-7143912fc291</t>
  </si>
  <si>
    <t>562d0e2d-c3c6-4896-96fa-9023e3ccb141</t>
  </si>
  <si>
    <t>02c499b0-6143-4f56-8ee3-83b0836059dd</t>
  </si>
  <si>
    <t>2022-10-07 13:59:40 UTC</t>
  </si>
  <si>
    <t>SRID=4326;POINT(-82.03719165183793 39.34713670987575)</t>
  </si>
  <si>
    <t xml:space="preserve">Strouds Run State Park </t>
  </si>
  <si>
    <t xml:space="preserve">2 Q. alba 
1 red oak group 
Lots of small Fraxinus, Nyssa, Acer </t>
  </si>
  <si>
    <t>Carya 
Acer 
Carex 
Black cohosh</t>
  </si>
  <si>
    <t xml:space="preserve">Hillside bank of lake, deciduous forest </t>
  </si>
  <si>
    <t>2ae081a6-1e3d-43a8-9431-e08b5caa32ba,5c0c8000-1600-45d0-9ca2-aa6b59403032</t>
  </si>
  <si>
    <t>44695fab-9084-468c-b146-35f3caaa2a09</t>
  </si>
  <si>
    <t>c7404a6c-7e4f-499c-ad6b-d414ccaa5ee8</t>
  </si>
  <si>
    <t>Need pole pruners
Partial shade 
Two stems - 64.1, 62.5</t>
  </si>
  <si>
    <t>44004164-c413-45ec-87bd-383235208700</t>
  </si>
  <si>
    <t>Quercus montana</t>
  </si>
  <si>
    <t>2022-10-07 13:59:39 UTC</t>
  </si>
  <si>
    <t>SRID=4326;POINT(-82.04729234807384 39.34945275545059)</t>
  </si>
  <si>
    <t xml:space="preserve">2 red oak group 
2 Acer </t>
  </si>
  <si>
    <t>Acer 
Beech 
Virginia creeper 
Fraxinus 
Low smartweed</t>
  </si>
  <si>
    <t xml:space="preserve">High elevation forest </t>
  </si>
  <si>
    <t>22369275-c462-463c-861c-cd1731aedeae,6cdeeabc-48ea-4350-ad19-44a1ba620451</t>
  </si>
  <si>
    <t>bf4a5d55-644c-4323-bc67-af38aabc88f1</t>
  </si>
  <si>
    <t>f1d9bf0c-4dd8-4fb5-a53d-7bf386466e42</t>
  </si>
  <si>
    <t>Need pole pruners 
Two stems - 21.7, 24.7</t>
  </si>
  <si>
    <t>17be2fc1-de7b-439a-b0b1-400de26ba7cd</t>
  </si>
  <si>
    <t>SRID=4326;POINT(-82.04692446634364 39.34952672574608)</t>
  </si>
  <si>
    <t xml:space="preserve">1 tuliptree
1 ulmus 
2 Q. Montana 
1 Carya </t>
  </si>
  <si>
    <t xml:space="preserve">Sassafras 
Acer 
Poison ivy 
Carya 
White wood aster </t>
  </si>
  <si>
    <t xml:space="preserve">On ridge, high elevation </t>
  </si>
  <si>
    <t>77e76e64-82e4-4ca7-83f8-cae6274d189e,6bfc9219-cb14-4320-9e3a-27c168824c2a</t>
  </si>
  <si>
    <t>b832e8cb-5f85-4930-a155-7fa2dfc62a9a</t>
  </si>
  <si>
    <t>3668475f-aadc-433d-acea-5cb2e65b17a7</t>
  </si>
  <si>
    <t xml:space="preserve">Need pole pruners 
3 stems - 50.2, 24.1,54.6
Not flagged </t>
  </si>
  <si>
    <t>0a564966-e8c6-4fc4-ae2b-82cfde039072</t>
  </si>
  <si>
    <t>2022-10-07 13:59:38 UTC</t>
  </si>
  <si>
    <t>SRID=4326;POINT(-82.0152770821769 39.3361984519656)</t>
  </si>
  <si>
    <t xml:space="preserve">1 Acer 
1 Carya 
1 Nyssa 
1 beech </t>
  </si>
  <si>
    <t xml:space="preserve">Oleaster
Aster? 
Sapling Q. montana, Acer, Carya, beech </t>
  </si>
  <si>
    <t xml:space="preserve">Hillside forest near lake </t>
  </si>
  <si>
    <t>d288348e-e1ad-46b0-9552-57a80e99f024,9359a678-6f71-4ed0-9232-bbd77a30f562</t>
  </si>
  <si>
    <t>a2f49144-4d7b-46aa-ae49-720390fbee7e</t>
  </si>
  <si>
    <t>793f4029-e22d-42d0-a92b-32aae315d691</t>
  </si>
  <si>
    <t xml:space="preserve">Unflagged </t>
  </si>
  <si>
    <t>6bd1f8cd-7e23-460c-8718-0e81b56f3d35</t>
  </si>
  <si>
    <t>2022-10-07 13:57:34 UTC</t>
  </si>
  <si>
    <t>SRID=4326;POINT(-86.5387918242128 39.19899273201749)</t>
  </si>
  <si>
    <t xml:space="preserve">4 Acer sp
1 Carya ovata 
1 Q. muehlenbergii
1 Quercus sect Lobatae </t>
  </si>
  <si>
    <t xml:space="preserve">Ulmus
Fraxinus 
Snakeroot
Leafcup
Viola 
American jump seed
Virginia creeper 
Honeysuckle 
</t>
  </si>
  <si>
    <t xml:space="preserve">Hillside forest </t>
  </si>
  <si>
    <t>e4154970-6d64-4945-8f88-e3886811177a,0336cf8d-daae-4a2e-9029-da5f08f6d412</t>
  </si>
  <si>
    <t>d09433df-aafe-4877-8919-cdf83385f555</t>
  </si>
  <si>
    <t>c9e91ab7-5be8-4dfa-9e1f-1c510b1955fa</t>
  </si>
  <si>
    <t>Drew Larson ,Leah Samuels,Mira Garner</t>
  </si>
  <si>
    <t>a5cb472e-58b0-48ac-8b56-8d6cc2f3f5b2</t>
  </si>
  <si>
    <t>SRID=4326;POINT(-86.54260743417454 39.219944598189755)</t>
  </si>
  <si>
    <t xml:space="preserve">Bayles Road </t>
  </si>
  <si>
    <t xml:space="preserve">2 Fraxinus 
1 Q. macrocarpa 
2 Ulmus 
3 tulip trees </t>
  </si>
  <si>
    <t xml:space="preserve">Fraxinus 
Black raspberry 
Sanicles
Carex 
Poison ivy 
Violets 
American jump seed 
Fortunes spindle </t>
  </si>
  <si>
    <t>On bed of mostly dry creek</t>
  </si>
  <si>
    <t>db074403-fa5e-4580-9401-1d15be02f421,65dc0a9a-bc01-48ce-98df-65b4dc1c485d</t>
  </si>
  <si>
    <t>dccb82e6-e0d0-46cf-ae43-311362076f40</t>
  </si>
  <si>
    <t>2993b8eb-2ab1-4be2-9bb4-0178c85a0fdd</t>
  </si>
  <si>
    <t xml:space="preserve">Need pole pruners to reach leaves </t>
  </si>
  <si>
    <t>51b69f6c-27c1-4dfb-aeea-5883e1c7d738</t>
  </si>
  <si>
    <t>2022-10-07 13:57:33 UTC</t>
  </si>
  <si>
    <t>SRID=4326;POINT(-86.53902224273098 39.19750791978016)</t>
  </si>
  <si>
    <t xml:space="preserve">5 Acer 
2 Ulmus 
1 Q. muehlenbergii
</t>
  </si>
  <si>
    <t>Honeysuckles 
Wild ginger 
Fraxinus 
Smilax 
Privets</t>
  </si>
  <si>
    <t>acb6ee78-e91f-4b8f-879b-5fb76d807dce,296e4c59-feca-41dd-8965-372d7679a5e3</t>
  </si>
  <si>
    <t>14baa635-807b-44a5-bec4-58aed94ab3b0</t>
  </si>
  <si>
    <t>9bcbfa3b-0ba4-43c4-b233-8552083050bb</t>
  </si>
  <si>
    <t xml:space="preserve">No more leaves accessible with pole pruners 
Shade leaves </t>
  </si>
  <si>
    <t>9a632427-2714-4b0f-b4e5-759836b0e478</t>
  </si>
  <si>
    <t>SRID=4326;POINT(-86.53823358946157 39.19693455569371)</t>
  </si>
  <si>
    <t>1 Q. muehlenbergii 
2 Celtis 
1 Acer 
1 Ulmus</t>
  </si>
  <si>
    <t xml:space="preserve">Honeysuckle 
Black raspberry 
Vitus 
Acer 
Poison ivy 
</t>
  </si>
  <si>
    <t xml:space="preserve">Hillside dense shrubby forest </t>
  </si>
  <si>
    <t>66e34b71-5704-462b-9a94-d2872a5a34eb,4b90fa77-99f6-4419-951b-32a982435b89</t>
  </si>
  <si>
    <t>6cfcf1fa-cc2f-4127-884d-886779c78547</t>
  </si>
  <si>
    <t>7cc64fdb-4460-4551-bb4c-a7aa5673208d</t>
  </si>
  <si>
    <t>Drew Larson,Leah Samuels,Mira Garner</t>
  </si>
  <si>
    <t>6c21e605-d173-4c68-bd9b-d0b91d7cd293</t>
  </si>
  <si>
    <t>2022-10-07 13:57:32 UTC</t>
  </si>
  <si>
    <t>SRID=4326;POINT(-86.53784592643989 39.19646579775884)</t>
  </si>
  <si>
    <t xml:space="preserve">3 Juglans 
2 Acer 
1 Ulmus 
1 Fraxinus </t>
  </si>
  <si>
    <t xml:space="preserve">Snakeroot 
Wingstem 
Leafcup
Honeysuckle 
Carex 
</t>
  </si>
  <si>
    <t xml:space="preserve">Dense wooded forest </t>
  </si>
  <si>
    <t>6a17823d-9462-4c82-a212-0ad5f796f66e,843c4511-f172-4d0e-89b1-ab94a1bb75a1</t>
  </si>
  <si>
    <t>13fef591-bb62-423e-8d7b-71b004c46385</t>
  </si>
  <si>
    <t>da6e0ece-d37a-42d3-8746-3b3278cf47e0</t>
  </si>
  <si>
    <t xml:space="preserve">Some leaves accessible without pole pruners </t>
  </si>
  <si>
    <t>447d2e48-e96d-4eae-bbc4-2842fadf4b5e</t>
  </si>
  <si>
    <t>SRID=4326;POINT(-86.53701460928333 39.19637192044332)</t>
  </si>
  <si>
    <t xml:space="preserve">4 red oak group
4 Q. muehlenbergii 
3 Acer 
1 Black maple </t>
  </si>
  <si>
    <t xml:space="preserve">Honeysuckle 
Carex 
Virginia creeper 
Black maple </t>
  </si>
  <si>
    <t>6365c3f9-bfcb-46ba-9747-243763144123,df9daf92-7974-4bf3-bb1a-7b2cd1dd5592</t>
  </si>
  <si>
    <t>c147f94a-5c03-444a-ad68-cc78eccbc83d</t>
  </si>
  <si>
    <t>9547767e-623d-4f71-8d27-3658bc60517f</t>
  </si>
  <si>
    <t>62f1e444-e9b9-4098-b705-170e60d76e42</t>
  </si>
  <si>
    <t>2022-10-07 13:57:31 UTC</t>
  </si>
  <si>
    <t>SRID=4326;POINT(-86.53901042424751 39.19799230996445)</t>
  </si>
  <si>
    <t xml:space="preserve">2 Acer 
1 Juglans 
1 Celtis 
1 Q. muehlenbergii </t>
  </si>
  <si>
    <t xml:space="preserve">PawPaw
American Jumpseed
snakeroot
Wild ginger
Sanicles 
Leafcup 
</t>
  </si>
  <si>
    <t>e8805d5c-a4e6-41c0-ab3d-308c4cbc98cc,70b0e67c-313f-4dad-b883-e398f91864e3</t>
  </si>
  <si>
    <t>3c2c9c16-b384-4f1d-8cbf-42e615841e15</t>
  </si>
  <si>
    <t>550b2c08-2e3d-4c59-af22-73d2992aee2b</t>
  </si>
  <si>
    <t>Need pole pruner 
Mostly shade leaves 
Two stems -43.4,37.6</t>
  </si>
  <si>
    <t>889ad2e4-5eb7-4de7-ada5-309f6b0bf4a4</t>
  </si>
  <si>
    <t>2022-10-07 13:55:42 UTC</t>
  </si>
  <si>
    <t>SRID=4326;POINT(-86.50187389933178 39.189670295491055)</t>
  </si>
  <si>
    <t xml:space="preserve">Griffy Lake </t>
  </si>
  <si>
    <t>4 Q. alba 
3 Quercus sect Lobatae 
2 Carya sp</t>
  </si>
  <si>
    <t xml:space="preserve">Pawpaw
Carya 
</t>
  </si>
  <si>
    <t xml:space="preserve">Forest on Hillside bank of lake, </t>
  </si>
  <si>
    <t>6c62912e-9e8d-4ab8-ac20-c1bb8788f252,f314bc0a-7180-4c44-a101-ec60c6a15274</t>
  </si>
  <si>
    <t>a8b0081b-8aea-4803-9a2b-5960bc1c1106</t>
  </si>
  <si>
    <t>928e3ac7-9178-4480-9f06-7bb46a5532c1,83795a89-3898-4ec3-b413-881ad7d630b6</t>
  </si>
  <si>
    <t xml:space="preserve">Can reach without pole pruners
Partial shade </t>
  </si>
  <si>
    <t>94bc661d-44ab-4aec-94a5-92c63cf1ea7b</t>
  </si>
  <si>
    <t>2022-10-07 13:55:41 UTC</t>
  </si>
  <si>
    <t>SRID=4326;POINT(-87.91187454954526 42.18244751453624)</t>
  </si>
  <si>
    <t>1 Q. macrocarpa 
4 Q. alba 
2 Acer (saccharum?) 
1 Carya sp</t>
  </si>
  <si>
    <t>American hog peanut 
Wild geranium 
Poison ivy 
Goldenrods 
Ribes sp 
Virginia creeper 
SolomonΓÇÖs seal 
Ulmus sp
Carex</t>
  </si>
  <si>
    <t>Dense underbrush forest</t>
  </si>
  <si>
    <t>60e4cd57-b99e-4dd2-80ca-52e84a50b5a6,009565b5-6269-44f1-b0d3-7eb7f78bbcfc</t>
  </si>
  <si>
    <t>ada13cc9-4e93-4305-8a0f-c4bcc3368567</t>
  </si>
  <si>
    <t>29f71aed-8315-41f1-9357-c09f00ceea9a</t>
  </si>
  <si>
    <t>Accessible leaves 
Unflagged</t>
  </si>
  <si>
    <t>4e1b2b18-12cb-477a-9e69-53f5cc883f5b</t>
  </si>
  <si>
    <t>SRID=4326;POINT(-87.91069513194999 42.182289012747056)</t>
  </si>
  <si>
    <t xml:space="preserve">1 Carya 
1 Q. Macrocarpa 
2 Ulmus sp
1 Tilia 
1 Juglans </t>
  </si>
  <si>
    <t>Poison ivy
Goldenrods 
Dogwood 
Virginia creeper
Carex 
Coneflower 
Apioideae</t>
  </si>
  <si>
    <t>Dense underbrush, forest</t>
  </si>
  <si>
    <t>333461dc-bb70-48b5-bc9a-39dac20319a5,a591e038-33a0-4673-99e7-df195af39a7a</t>
  </si>
  <si>
    <t>c59a08cc-5c69-4d98-b2a1-2e51a0113bf0</t>
  </si>
  <si>
    <t>e5da63bd-e287-4fd1-9e25-737787eb15c7</t>
  </si>
  <si>
    <t xml:space="preserve">Accessible 
Unflagged </t>
  </si>
  <si>
    <t>dd79c970-fa0f-4f27-a39c-b699289fa0fa</t>
  </si>
  <si>
    <t>2022-10-07 13:55:40 UTC</t>
  </si>
  <si>
    <t>SRID=4326;POINT(-87.91049832486352 42.18178479936177)</t>
  </si>
  <si>
    <t>1 ulmus 
2 red oak group 
1 Acer sp</t>
  </si>
  <si>
    <t xml:space="preserve">Poison ivy
Tilia 
Brambles
Goldenrods 
Blackberry 
Carex 
Asteraceae </t>
  </si>
  <si>
    <t xml:space="preserve">Dense underbrush forest </t>
  </si>
  <si>
    <t>55aceb40-c857-455f-bcc0-3ce48649eb97,1a4ea540-46aa-4d46-bc21-1203f35eccea</t>
  </si>
  <si>
    <t>3737b354-fce6-407a-8134-3fb7e962a39b</t>
  </si>
  <si>
    <t>a27785f9-daab-4b76-96eb-371c1c6f931c</t>
  </si>
  <si>
    <t>3582a494-9135-4233-a30f-d8f174ee4db8</t>
  </si>
  <si>
    <t>SRID=4326;POINT(-87.90971805349729 42.18189648822153)</t>
  </si>
  <si>
    <t xml:space="preserve">American hog peanut 
Coneflower 
Poison ivy
Brambles 
Q Alba saplings 
Dogwood 
Carya 
Goldenrod 
Acer small trees 
SolomonΓÇÖs seal 
Rubus
Multiflora rose 
Prickly ash? </t>
  </si>
  <si>
    <t>9f33a33f-b4f7-40b5-813a-2c38f2c1893c,5c113ac3-665f-4e11-b643-3c683c0de884</t>
  </si>
  <si>
    <t>bf2d08f3-b50c-4b13-bb56-44725c91f2b0</t>
  </si>
  <si>
    <t>51385313-fdc6-45d0-b325-001d30f739e0</t>
  </si>
  <si>
    <t xml:space="preserve">Some accessible ish </t>
  </si>
  <si>
    <t>e479c39c-068e-49a6-9972-50bc47585f73</t>
  </si>
  <si>
    <t>2022-10-07 13:55:39 UTC</t>
  </si>
  <si>
    <t>SRID=4326;POINT(-87.90960925639412 42.18199593950289)</t>
  </si>
  <si>
    <t xml:space="preserve">2 Q. macrocarpa 
2 Q. alba </t>
  </si>
  <si>
    <t xml:space="preserve">Sensitive fern
Poison ivy 
Sapling Q. bicolor 
Wild rye 
Wild geranium 
American aster 
Goldenrod 
Carex and poaceae </t>
  </si>
  <si>
    <t xml:space="preserve">Forest/grasslands area near formerly marshy area </t>
  </si>
  <si>
    <t>a18ba95e-0832-49d3-82bc-de275515df60,fd4367fa-6724-4d1e-921c-0ecbaf82fc70,6939ebdf-fa47-4569-b6f5-27fb6bb18b3e</t>
  </si>
  <si>
    <t>b44bb486-7490-4c3d-a225-a73746daf5ac</t>
  </si>
  <si>
    <t>70e65d1a-f57e-4cd1-b9f7-f61b77b08c67</t>
  </si>
  <si>
    <t>a3fd7c47-043e-436b-bab1-9646a97b56c0</t>
  </si>
  <si>
    <t>SRID=4326;POINT(-87.9083390627875 42.181628854053265)</t>
  </si>
  <si>
    <t>3 Q. Alba 
1 red oak group 
1 Ulmus sp.
1 Tilia sp</t>
  </si>
  <si>
    <t>Poison ivy 
American aster 
Wild geranium 
American hog peanut 
Carya 
Carex 
Rubus 
Blackhaw</t>
  </si>
  <si>
    <t>021516cc-0cb3-47ac-b101-7036089f138b,b8125237-1f57-4454-bffd-b65aa6901aba</t>
  </si>
  <si>
    <t>f467c2c9-4218-43eb-9f15-404ab44e56aa</t>
  </si>
  <si>
    <t>bbf4809d-d0d7-4b12-a128-d508da7d632e</t>
  </si>
  <si>
    <t>72128fb5-6fe1-4340-839c-b3bd8c553d2c</t>
  </si>
  <si>
    <t>4fb36a22-e31e-4c85-ac3f-1b7bcac59f5a</t>
  </si>
  <si>
    <t>SRID=4326;POINT(-87.90785190657517 42.181559032799846)</t>
  </si>
  <si>
    <t>3 Q. bicolor 
2 Ulmus sp</t>
  </si>
  <si>
    <t xml:space="preserve">Coneflower 
Goldenrods 
Wild geranium 
American asters
Poison ivy 
Juglans 
Carya 
Rubus 
Virginia creeper 
Carex 
Grasses 
Common buckthorn </t>
  </si>
  <si>
    <t xml:space="preserve">Marshy wooded area </t>
  </si>
  <si>
    <t>ae944326-24c0-40f8-b6da-6cc02756ec61,646fd845-f66a-4e25-b19e-d650863555c0</t>
  </si>
  <si>
    <t>9488f12d-409d-48c5-be59-32752cba17ef</t>
  </si>
  <si>
    <t>795bfcef-1349-459a-a564-6f2862e4689d</t>
  </si>
  <si>
    <t>871586c7-5da1-44f6-ac9f-77da4ce9145d</t>
  </si>
  <si>
    <t>2022-10-07 13:55:38 UTC</t>
  </si>
  <si>
    <t>SRID=4326;POINT(-87.90749031127235 42.18144625429288)</t>
  </si>
  <si>
    <t xml:space="preserve">1 Q. alba 
1 Carya 
1 Tilia 
1 Q. macrocarpa </t>
  </si>
  <si>
    <t xml:space="preserve">Common cult born 
Carya 
Ulmus 
Poison ivy 
Wild geranium 
Multiflora rose 
Dogwood 
SolomonΓÇÖs seal 
</t>
  </si>
  <si>
    <t>80e56396-e6b4-4644-a181-06727eb18bc4,c855d030-b5b4-49c3-bce9-78b1992b1047,3fad3569-b3e8-461c-9d40-e5c63248edeb</t>
  </si>
  <si>
    <t>bd75241f-a8c1-4514-9b9d-92365ac4c13f</t>
  </si>
  <si>
    <t>8cf395d6-47c7-4248-a1be-20e4a3c02aa7</t>
  </si>
  <si>
    <t>57a5196e-e49c-45eb-b8cc-6439e7d34d5f</t>
  </si>
  <si>
    <t>SRID=4326;POINT(-87.90691858165702 42.18099078167433)</t>
  </si>
  <si>
    <t xml:space="preserve">2 Q. alba 
1 Q. macrocarpa 
1 Ulmus </t>
  </si>
  <si>
    <t xml:space="preserve">Ulmus
Carya 
Carex 
Poison ivy 
Geranium? 
Multiflora rose </t>
  </si>
  <si>
    <t xml:space="preserve">Dense shrubby forest </t>
  </si>
  <si>
    <t>534e6769-9f6a-487c-9cb9-a6d799b0f415,395cb7f3-acc2-49c0-a734-4e5edabcac5e</t>
  </si>
  <si>
    <t>131d68e0-6015-4c6d-a0c3-df7aa9d5a5ee</t>
  </si>
  <si>
    <t>f9aeaef9-c753-4289-82af-d0f078926cf0</t>
  </si>
  <si>
    <t xml:space="preserve">Need pole pruners! </t>
  </si>
  <si>
    <t>53f0f03a-2315-448b-b484-66f4f619cfac</t>
  </si>
  <si>
    <t>2022-10-07 13:55:37 UTC</t>
  </si>
  <si>
    <t>SRID=4326;POINT(-87.9067818728163 42.18124940529669)</t>
  </si>
  <si>
    <t xml:space="preserve">1 Q. alba 
2 red oak group 
1 Q macrocarpa 
4 Carya 
</t>
  </si>
  <si>
    <t xml:space="preserve">Fraxinus 
Rubus 
Buckthorn 
Ribes sp 
Poison ivy 
Goldenrod 
Carex 
Wild geranium 
</t>
  </si>
  <si>
    <t>d9df90cf-1b9b-45d8-bf22-976948e88221,d43f9393-843b-459c-b09a-8d89dcc03440</t>
  </si>
  <si>
    <t>b66f5388-46e9-447d-8e05-d8f2e50b04f6</t>
  </si>
  <si>
    <t>0b251bd3-55ee-4cf8-93af-83f24790f977</t>
  </si>
  <si>
    <t>8d454f2d-ade7-42c3-b3ae-09e99079d2a7</t>
  </si>
  <si>
    <t>SRID=4326;POINT(-87.90646621034286 42.17995041985267)</t>
  </si>
  <si>
    <t>Seeds mature,Seeds ripening</t>
  </si>
  <si>
    <t xml:space="preserve">2 Q. bicolor </t>
  </si>
  <si>
    <t xml:space="preserve">Poison ivy 
Pear 
Water parsnip 
Common jewel weed 
Buckthorn 
Wild geranium 
American hog peanut 
Ulmus </t>
  </si>
  <si>
    <t xml:space="preserve">Marshy forest, wooded area </t>
  </si>
  <si>
    <t>8b82c135-88ac-4470-a102-4c1df30d8555,924b70ae-5ac6-46bb-9a8d-06a05872ed92,3346be50-2590-46ea-b2a0-88e114b25f0f</t>
  </si>
  <si>
    <t>3362ede5-2e95-4ceb-9eae-645ed7754f9c</t>
  </si>
  <si>
    <t>5762c5e2-503d-4a5d-8d7c-6fccf69cccbf</t>
  </si>
  <si>
    <t>bc92cde1-fbb1-4198-8a21-2030a4a0aeb1</t>
  </si>
  <si>
    <t>8395680c-02ed-49ee-b128-5c79d17480eb</t>
  </si>
  <si>
    <t>2022-10-07 13:55:36 UTC</t>
  </si>
  <si>
    <t>SRID=4326;POINT(-87.90659973406038 42.17982259582931)</t>
  </si>
  <si>
    <t xml:space="preserve">5 Q macrocarpa 
1 Carya </t>
  </si>
  <si>
    <t xml:space="preserve">Poison ivy 
Common buckthorn 
Virginia creeper
Dogwood 
Fraxinus 
Wild geranium 
Ulmus </t>
  </si>
  <si>
    <t>89fce023-1bf3-420d-bb1a-f3ad0da5f10f,3483f9be-7f75-4314-bac0-a7cae197ae9a,f2ddff27-6f95-4a47-8dec-0e44aaf62183</t>
  </si>
  <si>
    <t>8c717c01-ff3f-44db-94a2-d6f1167508b6</t>
  </si>
  <si>
    <t>90ad6e91-0c27-4569-b49d-3549122074ff</t>
  </si>
  <si>
    <t>1e50030a-1d1d-4242-b021-5dc40fc1c8f1</t>
  </si>
  <si>
    <t>SRID=4326;POINT(-87.90663039276549 42.17990454878085)</t>
  </si>
  <si>
    <t xml:space="preserve">4 Q macrocarpa 
1 Carya 
1 Q. alba </t>
  </si>
  <si>
    <t>Poison ivy 
Common buckthorn 
Virginia creeper
Dogwood 
Fraxinus sp
Wild geranium 
Ulmus sp 
Ribes sp</t>
  </si>
  <si>
    <t xml:space="preserve">Shrubby dense forest </t>
  </si>
  <si>
    <t>b8b5bda0-568b-4ed2-be91-c923e1349f9a,fd2b4ed0-3070-4205-80e6-25e6afafbbdf</t>
  </si>
  <si>
    <t>6ac240e2-ef7e-4bd2-a46b-10b6cc1684ad</t>
  </si>
  <si>
    <t>df4f9d6b-df53-43c1-8bb6-47bb9acd1220</t>
  </si>
  <si>
    <t>e3431f07-57fd-4a51-859e-1ebd94bdf2c4</t>
  </si>
  <si>
    <t>2022-10-07 13:55:35 UTC</t>
  </si>
  <si>
    <t>SRID=4326;POINT(-87.90608701304338 42.17901822649145)</t>
  </si>
  <si>
    <t>3 Q. bicolor 
1 Ulmus sp</t>
  </si>
  <si>
    <t xml:space="preserve">American hog peanut 
Common buckthorn 
Wild geranium 
Smilax 
Poison ivy 
</t>
  </si>
  <si>
    <t xml:space="preserve">Previously wet/swampy area, dense brushy woods </t>
  </si>
  <si>
    <t>7c2f9e06-0099-4304-85ff-29da22702c5a,70b29d3a-f16d-4587-880f-7883775241d7</t>
  </si>
  <si>
    <t>a2e5a719-9e00-4f90-8b54-fc628e55f3eb</t>
  </si>
  <si>
    <t>4fbceb81-7e08-420e-a3a5-96d296616fb2</t>
  </si>
  <si>
    <t>e9898d63-5464-4279-8231-9076c59af14f</t>
  </si>
  <si>
    <t>2022-10-07 13:55:33 UTC</t>
  </si>
  <si>
    <t>SRID=4326;POINT(-96.97735436269731 32.637773710333406)</t>
  </si>
  <si>
    <t xml:space="preserve">11 Quercus stellata 
2 Fraxinus sp 
4 Juniperus sp.
1 Cedar elm </t>
  </si>
  <si>
    <t xml:space="preserve">Cedar elm, grasses, sugar hackberry </t>
  </si>
  <si>
    <t xml:space="preserve">River floodplains, forest, little underbrush </t>
  </si>
  <si>
    <t>d5f6d05b-ddd0-4e95-9bac-4e4b511f1459,7b4f0f2d-a707-4b83-9ddd-8ca19a08cfcf</t>
  </si>
  <si>
    <t>05ba1c89-3d01-417b-a4ee-661c9029448f</t>
  </si>
  <si>
    <t>ef4acc93-017d-48d1-872e-d5e38587d01f</t>
  </si>
  <si>
    <t>"Emma, Seth",Leah Samuels,Mira Garner</t>
  </si>
  <si>
    <t>1ccaa124-a9cd-4e7e-b312-614ca7ef718d</t>
  </si>
  <si>
    <t>SRID=4326;POINT(-96.97767027662785 32.63821208386928)</t>
  </si>
  <si>
    <t xml:space="preserve">1 celtis (sugar hackberry) 
1 ulmus (cedar elm) 
3 Quercus stellata 
2 Juniperus sp. 
</t>
  </si>
  <si>
    <t xml:space="preserve">Stretchberry
Fraxinus 
</t>
  </si>
  <si>
    <t xml:space="preserve">No underbrush, flat river floodplains, forest </t>
  </si>
  <si>
    <t>e09bfa96-0b01-4cdc-ad72-8eb408e8fdba,b6e37591-ef7d-4be4-8e81-44a03ce333c5,f27bec5c-dbbc-456d-9d4c-fb8d8f06a6cc,e446f95d-2c43-41b3-8ea1-c6e0da6a736e</t>
  </si>
  <si>
    <t>52bc6340-42ca-40d3-949a-b584d760ccc6</t>
  </si>
  <si>
    <t>c02e8910-84c4-46ce-9bc8-7c8fab19af65</t>
  </si>
  <si>
    <t>Accessible 
Two stems - 38.6, 30.5</t>
  </si>
  <si>
    <t>3eb03036-50e2-41ff-8070-b904c9d7747b</t>
  </si>
  <si>
    <t>SRID=4326;POINT(-96.97602926762492 32.63836551460683)</t>
  </si>
  <si>
    <t>6 Cedar elm 
1 Celtis sp</t>
  </si>
  <si>
    <t xml:space="preserve">Smilax sp
Grasses 
</t>
  </si>
  <si>
    <t xml:space="preserve">River floodplains, flat forest, marshy </t>
  </si>
  <si>
    <t>65f7374c-c591-4cf5-9716-9b173b6091b7,a5c191ec-d8b2-44c2-863c-040227e05794</t>
  </si>
  <si>
    <t>2b442e4f-962d-4255-ae5e-07590c115f4b</t>
  </si>
  <si>
    <t>610d3fff-a177-4c15-8800-da08532599f4</t>
  </si>
  <si>
    <t>"Emma, Seth ",Leah Samuels,Mira Garner</t>
  </si>
  <si>
    <t xml:space="preserve">Almost accessible </t>
  </si>
  <si>
    <t>85c5784c-943f-475d-9de2-aee138531e41</t>
  </si>
  <si>
    <t>2022-10-07 13:55:32 UTC</t>
  </si>
  <si>
    <t>SRID=4326;POINT(-96.97921615102977 32.63839841357685)</t>
  </si>
  <si>
    <t>4 sugar hackberry 
2 cedar elm
4 Juniperus sp</t>
  </si>
  <si>
    <t xml:space="preserve">Ulmus 
Stretchberry 
Juniper 
Hackberry </t>
  </si>
  <si>
    <t xml:space="preserve">Shrubby forest, little underbrush, river floodplains </t>
  </si>
  <si>
    <t>6c0940ce-ebe5-4f5d-84f8-66d72c7ffdbf,6742b654-1e8c-4ed9-b71f-be77d29e731f,d0ee1ee5-801e-4f3a-9c1f-22e0228a463e</t>
  </si>
  <si>
    <t>12d5e758-eae9-4811-9d48-e677a539d28c</t>
  </si>
  <si>
    <t>034e0e04-8366-4b8d-82a4-61f9864f3925</t>
  </si>
  <si>
    <t>855b8c3a-31d7-4834-8ec9-8e320455849e,ac5baee1-751e-46fb-b1ef-5aadba044144</t>
  </si>
  <si>
    <t>172f1eff-914c-42d7-8a08-115e631902e4</t>
  </si>
  <si>
    <t>SRID=4326;POINT(-96.97981832385813 32.63496732224029)</t>
  </si>
  <si>
    <t xml:space="preserve">5 Celtis 
2 Juniperus sp.
1 Mezquite </t>
  </si>
  <si>
    <t xml:space="preserve">Chinese bush clover 
Pricklypears 
</t>
  </si>
  <si>
    <t xml:space="preserve">Flat shrubby patch on grassy hill. Near river </t>
  </si>
  <si>
    <t>350581c5-cdf4-4d47-87cb-f84b8609f659,a9d7ff52-cf66-4718-9b77-5760b3696af4</t>
  </si>
  <si>
    <t>649e04b4-df82-4b69-b7d9-5bb9f5adcd35</t>
  </si>
  <si>
    <t>69a35b1a-a0f1-463c-90e0-800ed7223d9a</t>
  </si>
  <si>
    <t xml:space="preserve">Accessible. 
Two stems </t>
  </si>
  <si>
    <t>f094c06a-eaed-4f43-8396-7a7e9ad7f5ff</t>
  </si>
  <si>
    <t>2022-10-07 13:55:31 UTC</t>
  </si>
  <si>
    <t>SRID=4326;POINT(-96.97592197926433 32.63197012248702)</t>
  </si>
  <si>
    <t xml:space="preserve">5 cedar elm 
1 celtis </t>
  </si>
  <si>
    <t xml:space="preserve">Ulmus, celtis, privet, </t>
  </si>
  <si>
    <t xml:space="preserve">Slight slope, no underbrush, sparse forest near river/river floodplains </t>
  </si>
  <si>
    <t>788a886a-135e-4bd1-ae6f-5ad75c112128,c79c06cc-b581-4e0f-9fd3-0fe1678b0fe2,b2c0e620-ed6f-4771-aa33-b5d3ff2bb090</t>
  </si>
  <si>
    <t>dccc680d-abd7-4378-8f3a-6ce64519543c</t>
  </si>
  <si>
    <t>1e20c611-691b-4873-9e9a-02947325841a</t>
  </si>
  <si>
    <t>21afbaaa-54a3-4113-ba81-401a39460698</t>
  </si>
  <si>
    <t>2022-10-07 13:55:30 UTC</t>
  </si>
  <si>
    <t>SRID=4326;POINT(-96.99130293922218 32.61057707484123)</t>
  </si>
  <si>
    <t xml:space="preserve">11 cedar elms 
2 Juglans </t>
  </si>
  <si>
    <t xml:space="preserve">Privet 
Juglans </t>
  </si>
  <si>
    <t xml:space="preserve">Edge of grasslands and forest, river floodplains, little underbrush </t>
  </si>
  <si>
    <t>272351fd-c3fd-4df3-b863-1faaa7b1781a,a6416ac8-c2d9-4f47-8138-e355fb7ce63d,b94614fa-e072-4952-acc0-76833cbbc171</t>
  </si>
  <si>
    <t>80c3d87e-aaba-4f91-8b24-d16181d9add6</t>
  </si>
  <si>
    <t>2e827559-0c1d-4893-8375-a22fd75ae9e2</t>
  </si>
  <si>
    <t>3f1f8659-1d91-471b-b342-dcdb1f1e1776</t>
  </si>
  <si>
    <t>SRID=4326;POINT(-92.32655958281114 34.804446604135265)</t>
  </si>
  <si>
    <t>4 Carya 
1 Ulmus 
1 Fraxinus
1 ulmus???</t>
  </si>
  <si>
    <t xml:space="preserve">Carex, poison ivy, cross vine, supplejack </t>
  </si>
  <si>
    <t xml:space="preserve">Creek side forest with sparse foliage </t>
  </si>
  <si>
    <t>46899cf9-9a19-44a3-bd4b-d924fc6c489d,a1f29b0e-c8fc-4504-b559-17db4803d217</t>
  </si>
  <si>
    <t>8f8f131e-8239-4d23-8256-e1a7d3a3ad13</t>
  </si>
  <si>
    <t>b94a493f-af00-41f3-a7c1-8857f9cf349b</t>
  </si>
  <si>
    <t>10b7a234-8f52-4f25-bf92-b529ef5d6259</t>
  </si>
  <si>
    <t>2022-10-07 13:55:29 UTC</t>
  </si>
  <si>
    <t>SRID=4326;POINT(-92.32636000969663 34.8044033535149)</t>
  </si>
  <si>
    <t xml:space="preserve">4 Ulmus
2 Bluejack oak
5 Carya 
2 Carya ovata
1 Celtis
</t>
  </si>
  <si>
    <t xml:space="preserve">Round leaf ragwort, honeysuckle, Carex, </t>
  </si>
  <si>
    <t xml:space="preserve">Near creek, dense forest with little foliage </t>
  </si>
  <si>
    <t>2ee40795-5b29-435b-9278-af9aa5c850cd,cf69f163-66c7-4d18-8980-7bbd7dba3f5d,e684b87b-1bdf-46a8-9325-e32ddb922e6f</t>
  </si>
  <si>
    <t>cc4488ef-3fec-4c5d-a830-09e72f7754ed</t>
  </si>
  <si>
    <t>7fdc4fcd-b9aa-4086-8c41-d2d2904ab1a4</t>
  </si>
  <si>
    <t>1ec6e0c7-93c1-498a-8a09-efcb188909b4</t>
  </si>
  <si>
    <t>2022-10-07 13:55:28 UTC</t>
  </si>
  <si>
    <t>SRID=4326;POINT(-92.32767060407654 34.8061743239265)</t>
  </si>
  <si>
    <t xml:space="preserve">7 ulmus 
1 basswood 
3 Carya 
1 Q lyrata?
</t>
  </si>
  <si>
    <t xml:space="preserve">Virginia creepe 
Carex 
Bluejack oak 
American jump seed </t>
  </si>
  <si>
    <t xml:space="preserve">Marshy forest (formerly marshy?) with very little ground cover </t>
  </si>
  <si>
    <t>1cece8d6-d29f-4ce1-86b4-740e7a25b70b,86f194ac-aa00-43c9-9baf-4d5dcc68db22</t>
  </si>
  <si>
    <t>647a9362-d6e3-4040-9d3c-9754529cb05f</t>
  </si>
  <si>
    <t>96129b28-286c-47f3-8267-dedd8bf6fd65</t>
  </si>
  <si>
    <t xml:space="preserve">Some leaves accessible </t>
  </si>
  <si>
    <t>31357c33-194d-4993-bddb-19026ccf6d66</t>
  </si>
  <si>
    <t>SRID=4326;POINT(-92.32898354538933 34.806970395180215)</t>
  </si>
  <si>
    <t xml:space="preserve">1 Fraxinus 
7 Carya 
3 Quercus stellata </t>
  </si>
  <si>
    <t xml:space="preserve">Carex 
Anglepod </t>
  </si>
  <si>
    <t xml:space="preserve">Forest with no/little underbrush </t>
  </si>
  <si>
    <t>8415edfe-7420-48ed-a98d-acd69d68b5e1,bb77f7f0-23e0-4d3e-9d97-a1e3398f53bf</t>
  </si>
  <si>
    <t>c6bce2b3-696e-474d-b95e-d7d496ca2225</t>
  </si>
  <si>
    <t>f37b2ae1-2ece-4619-9264-62656194a62e</t>
  </si>
  <si>
    <t>a8cb5146-d225-48f6-ba68-dab7fffb4338</t>
  </si>
  <si>
    <t>SRID=4326;POINT(-92.33020747089044 34.80673482179158)</t>
  </si>
  <si>
    <t xml:space="preserve">9 Carya 
5 red oaks 
1 bluejack oak </t>
  </si>
  <si>
    <t>Carex
River cane
Maple leaf viburnum 
Poison ivy</t>
  </si>
  <si>
    <t xml:space="preserve">High density forest with little underbrush </t>
  </si>
  <si>
    <t>0c1db37c-7507-4d8c-9805-2c03e4f8acc0,c49b12e6-8f6c-4a4b-bebe-4dd2fd328b38</t>
  </si>
  <si>
    <t>b15bac95-0bac-4eef-b69d-4d8819ca5903</t>
  </si>
  <si>
    <t>40e2fe63-d670-4273-b151-933c8021119e</t>
  </si>
  <si>
    <t>ab76bc25-6068-4f20-abc5-c78563b2c603</t>
  </si>
  <si>
    <t>2022-10-07 13:55:26 UTC</t>
  </si>
  <si>
    <t>SRID=4326;POINT(-92.32933273547546 34.80341072663181)</t>
  </si>
  <si>
    <t xml:space="preserve">3 red oak 
1 Fraxinus 
1 Quercus Alba 
1 Carya </t>
  </si>
  <si>
    <t xml:space="preserve">River came 
American jump seed 
Carya 
Hackberry 
Smilax 
</t>
  </si>
  <si>
    <t xml:space="preserve">Small hilltop in forest, more underbrush than surrounding areas </t>
  </si>
  <si>
    <t>e75376f4-70bb-42b5-9030-3229c9e38496,a763e380-0a7f-43f9-81de-d22bba188777</t>
  </si>
  <si>
    <t>f21ccda6-7280-4ffb-9723-5fcd8dbd44c4</t>
  </si>
  <si>
    <t>417c555d-ad17-4270-ad09-d87ac694761a</t>
  </si>
  <si>
    <t>ed79587a-e7ca-44b4-85d6-c13bb09f4b07</t>
  </si>
  <si>
    <t>SRID=4326;POINT(-92.32804686770992 34.8019592743692)</t>
  </si>
  <si>
    <t xml:space="preserve">5 Carya 
2 red oak group 
1 Quercus muehlenbergii </t>
  </si>
  <si>
    <t xml:space="preserve">River cane 
Carya </t>
  </si>
  <si>
    <t xml:space="preserve">Forest with little underbrush </t>
  </si>
  <si>
    <t>efad3a30-fb20-4adf-9667-d3210357d0af,a5caeaf9-c1dd-45ec-9070-8743e002ba49</t>
  </si>
  <si>
    <t>5530ad2e-a135-4445-88e1-d476c17ff7ed</t>
  </si>
  <si>
    <t>9911b029-6c83-41be-af1b-dba7aacc3ef1</t>
  </si>
  <si>
    <t>d7380c0c-071a-4a75-a2a0-e3a9dbf705ee</t>
  </si>
  <si>
    <t>SRID=4326;POINT(-92.32837351047651 34.80164273179583)</t>
  </si>
  <si>
    <t xml:space="preserve">2 Fraxinus 
1 Q. muehlenbergii 
6 Carya 
1 red oak group 
</t>
  </si>
  <si>
    <t xml:space="preserve">Vitus 
Elm 
</t>
  </si>
  <si>
    <t xml:space="preserve">Forest with dead leaves as ground cover, very little underbrush </t>
  </si>
  <si>
    <t>45bf5639-5764-4ff5-8f40-1a142d7b6422,8c12d9de-e040-40e0-8a95-eee826009dd5</t>
  </si>
  <si>
    <t>7298d7c9-0e58-4cf0-832f-39fb2da7f681</t>
  </si>
  <si>
    <t>f740c41c-7b5e-4d9f-b5ac-623825a1c1b1</t>
  </si>
  <si>
    <t>b9c9603a-dc0c-4b9b-be93-bdc733462176</t>
  </si>
  <si>
    <t>2022-10-07 13:55:25 UTC</t>
  </si>
  <si>
    <t>SRID=4326;POINT(-92.32742484667556 34.802384697864575)</t>
  </si>
  <si>
    <t xml:space="preserve">4 Carya (ovata) 
3 Quercus macrocarpa 
1 black cherry 
1 elm?? </t>
  </si>
  <si>
    <t xml:space="preserve">Poison ivy 
River cane 
Carex 
Bignonia </t>
  </si>
  <si>
    <t xml:space="preserve">Forest with tall sparse grasses </t>
  </si>
  <si>
    <t>5c354700-3a38-42d5-b21c-b20469ac5dbf,f1c8c0d2-6bf9-44da-a121-ba25d94e71f5</t>
  </si>
  <si>
    <t>66e07bd6-c057-4417-b898-a935a655e79a</t>
  </si>
  <si>
    <t>19c8b3fe-4377-42d8-b21f-178843327542</t>
  </si>
  <si>
    <t xml:space="preserve">ShDe leaves 
Need pole pruners </t>
  </si>
  <si>
    <t>9a766253-17d3-48ec-85c2-04c53985a904</t>
  </si>
  <si>
    <t>2022-10-07 13:55:24 UTC</t>
  </si>
  <si>
    <t>SRID=4326;POINT(-92.32411600657954 34.80538659266644)</t>
  </si>
  <si>
    <t xml:space="preserve">4Carya 
1 Celtis 
2 Pinus 
1 bluejack oak 
</t>
  </si>
  <si>
    <t>Carex
Carya 
Smilax</t>
  </si>
  <si>
    <t xml:space="preserve">Forest with sedge ground cover </t>
  </si>
  <si>
    <t>89a9d46f-159a-42d1-95c8-a6989e424981,32fe613d-ef1d-4013-843f-7b9713200ad1</t>
  </si>
  <si>
    <t>98400c1a-dc85-4c72-9379-3b55f5ab5da8</t>
  </si>
  <si>
    <t>946b1f03-8c79-4148-86b6-96ff49d9c1af</t>
  </si>
  <si>
    <t>0d8490ab-4be3-44aa-9dfa-1125b2f287f3</t>
  </si>
  <si>
    <t>SRID=4326;POINT(-92.32308419429913 34.80619305748009)</t>
  </si>
  <si>
    <t xml:space="preserve">3 bluejack oak 
3 red oak group 
2 ulmus 
5 Carya 
1 post oak 
</t>
  </si>
  <si>
    <t xml:space="preserve">Carex 
Lespedeza </t>
  </si>
  <si>
    <t xml:space="preserve">Forest with mostly Carex underbrush </t>
  </si>
  <si>
    <t>c97c9316-09c6-40ee-acb1-8629f3a373ee,d665e691-de70-4a6c-a36a-1fa05a464228,976b55f9-449d-480b-8eac-4e8e48a9363e</t>
  </si>
  <si>
    <t>9acbc884-1381-4ead-be06-4c13a7e69032</t>
  </si>
  <si>
    <t>4820d015-cc11-4988-8bf7-bfe77b7d857e</t>
  </si>
  <si>
    <t xml:space="preserve">Need pole pruners 
</t>
  </si>
  <si>
    <t>d7d5cdbe-3a93-4263-9cc3-94508b5bbe35</t>
  </si>
  <si>
    <t>2022-10-07 13:55:23 UTC</t>
  </si>
  <si>
    <t>SRID=4326;POINT(-92.3222513684 34.806822370770206)</t>
  </si>
  <si>
    <t xml:space="preserve">2 Celtis 
2 cedar elm?
2 ulmus sp
5 Carya 
1 Fraxinus
</t>
  </si>
  <si>
    <t xml:space="preserve">Carya 
Carex 
</t>
  </si>
  <si>
    <t xml:space="preserve">Forest with sedge cover </t>
  </si>
  <si>
    <t>9c5f5598-6d1e-456e-9800-5ef8f1575891,b72a5007-8962-4863-ac6e-d60dfbedc858,9ea91af6-7ae9-4d5c-aaec-e9fc71d441e1,54641b23-f082-4364-808e-1253d3f67958</t>
  </si>
  <si>
    <t>c528d35b-9c26-40f0-822c-b9513950c01f</t>
  </si>
  <si>
    <t>7c51b364-5356-4315-be47-4f453166e7af</t>
  </si>
  <si>
    <t>6a75fb86-655e-4acb-b6e6-1da4f3a15267</t>
  </si>
  <si>
    <t>SRID=4326;POINT(-92.3263147474195 34.80935161005222)</t>
  </si>
  <si>
    <t xml:space="preserve">7 Carya 
2 red oak group 
</t>
  </si>
  <si>
    <t>Muscadine
Carex sp</t>
  </si>
  <si>
    <t xml:space="preserve">Forest with minimal underbrush </t>
  </si>
  <si>
    <t>83ad78f9-bf00-4da8-8a0f-928034afa91e,ed92ed0a-c3d6-4fb2-bb55-124f321fbfa1</t>
  </si>
  <si>
    <t>474122bf-f1bb-4b58-84bd-d3b561c9a7e4</t>
  </si>
  <si>
    <t>44f9dcb9-3230-4552-827d-4c529c64aa5a</t>
  </si>
  <si>
    <t>ec273678-0ce1-42f7-aa6b-dd2d39050330</t>
  </si>
  <si>
    <t>2022-10-07 13:45:03 UTC</t>
  </si>
  <si>
    <t>SRID=4326;POINT(-73.35024788982547 42.05632795118008)</t>
  </si>
  <si>
    <t xml:space="preserve">5 Pinus sp
1 Platanus sp???
1 Carya sp 
</t>
  </si>
  <si>
    <t xml:space="preserve">Poison ivy, honeysuckle, prickly ash, dryopterus sp., Virginia creeper, basswood, garlic mustard </t>
  </si>
  <si>
    <t xml:space="preserve">South cobble, hillside forest </t>
  </si>
  <si>
    <t>fc9ee078-877b-4082-91a5-0f2f1f085edf,bf8024e9-d7bf-4ecf-9c3d-0f7a6d023a9d</t>
  </si>
  <si>
    <t>549f3cf5-8b8a-48b5-8fed-6e6b14b12f63</t>
  </si>
  <si>
    <t>e1090685-f28e-4740-ade2-72c68f779186</t>
  </si>
  <si>
    <t xml:space="preserve">Difficult to get to, need pole pruners </t>
  </si>
  <si>
    <t>40434c8e-0b72-44ed-b22c-4fdd66eabe95</t>
  </si>
  <si>
    <t>2022-10-07 13:45:02 UTC</t>
  </si>
  <si>
    <t>SRID=4326;POINT(-73.35026188760376 42.05611576330108)</t>
  </si>
  <si>
    <t xml:space="preserve">1 Ulmus sp.
3 Juniperus sp
3 Pinus sp. 
1 Carya sp </t>
  </si>
  <si>
    <t xml:space="preserve">Carya, prickly ash, SolomonΓÇÖs seal, partridge berry, aster, common buckthorn, </t>
  </si>
  <si>
    <t xml:space="preserve">Hilltop forest, south cobble </t>
  </si>
  <si>
    <t>9714b65e-5f65-43f6-8d20-fe1bb241d5e7,592c820a-f4cc-4055-8be7-fb4c5d65287a</t>
  </si>
  <si>
    <t>7634832f-7196-47c7-9aaa-8aa36d7fe6ef</t>
  </si>
  <si>
    <t>77d7940a-fb78-4de0-9e45-2b5616e04258</t>
  </si>
  <si>
    <t xml:space="preserve">Off trail, some accessible leaves </t>
  </si>
  <si>
    <t>122d7226-49f9-4e0d-aff7-87ad59e5ead4</t>
  </si>
  <si>
    <t>2022-10-07 13:45:01 UTC</t>
  </si>
  <si>
    <t>SRID=4326;POINT(-73.3502463810829 42.056183195712094)</t>
  </si>
  <si>
    <t xml:space="preserve">3 Juniperus sp. 
3 Pinus sp. 
1 Tilia sp.
1 Carya sp.
1 Buckthorn </t>
  </si>
  <si>
    <t>Carya, buckhorn, SolomonΓÇÖs seal, prickly ash, Virginia creeper, hepatica sp. Polypodypia</t>
  </si>
  <si>
    <t xml:space="preserve">South cobble hilltop forest </t>
  </si>
  <si>
    <t>7facc436-1e39-46c1-a673-8135e1fe8ae8,cbe4a982-5319-40cb-b1f8-8a1f9f065bb4</t>
  </si>
  <si>
    <t>7bda4583-9344-4a0c-b1f0-2e3bcb3769ff</t>
  </si>
  <si>
    <t>4f685dd0-45eb-4c9a-8b08-3d3ec7143005</t>
  </si>
  <si>
    <t xml:space="preserve">No accessible branches 
Very off trail </t>
  </si>
  <si>
    <t>2c343828-bd8d-4204-a8c8-0eb14849dcbf</t>
  </si>
  <si>
    <t>2022-10-07 13:45:00 UTC</t>
  </si>
  <si>
    <t>SRID=4326;POINT(-73.3510786202488 42.05599669836653)</t>
  </si>
  <si>
    <t xml:space="preserve">8 Juniperus 
2 Carya ?
1 common buckthorn 
</t>
  </si>
  <si>
    <t xml:space="preserve">Carya, buckthorn, SolomonΓÇÖs seal, basswood, dryopterus, aster? Poison ivy, Vitus sp. </t>
  </si>
  <si>
    <t>531b45b0-b7ad-49c5-834e-b3347c48909c,c303251e-7ed6-4ecd-b815-40c272c7a935</t>
  </si>
  <si>
    <t>12b68df0-5363-4de9-8fee-76d418b71a04</t>
  </si>
  <si>
    <t>29afcfc5-913b-471a-adf5-b430f2a1f8e3</t>
  </si>
  <si>
    <t xml:space="preserve">No accessible leaves </t>
  </si>
  <si>
    <t>6d61375b-685a-4151-9795-38bccad675b0</t>
  </si>
  <si>
    <t>2022-10-07 13:44:58 UTC</t>
  </si>
  <si>
    <t>SRID=4326;POINT(-73.3852371387867 42.08475798372373)</t>
  </si>
  <si>
    <t xml:space="preserve">5 Eastern hemlock 
1 Q. macrocarpa 
2 Acer </t>
  </si>
  <si>
    <t xml:space="preserve">Hylodesmum glutinosum, white wood aster, sensitive fern, starflower </t>
  </si>
  <si>
    <t xml:space="preserve">Watershed, forest with low and sparse foliage </t>
  </si>
  <si>
    <t>df2e241c-b897-470e-83bf-b6c02508d156,b8db6e44-7c5e-48cd-b253-157bad0c80ef</t>
  </si>
  <si>
    <t>3d3e28cf-24fc-4137-ac05-675788aa7ba6</t>
  </si>
  <si>
    <t>6199b782-c4b8-4827-85bc-6b5dbf1d2ba0</t>
  </si>
  <si>
    <t>8b3fcdd0-43a5-444c-b891-e4f850a8a510</t>
  </si>
  <si>
    <t>2022-10-07 13:44:57 UTC</t>
  </si>
  <si>
    <t>SRID=4326;POINT(-73.38548306382576 42.084773993159)</t>
  </si>
  <si>
    <t xml:space="preserve">5 hemlock 
1 Ulmus 
1 Q. macrocarpa </t>
  </si>
  <si>
    <t>Fraxinus, Carex, christmas fern, starflower, ulmus</t>
  </si>
  <si>
    <t xml:space="preserve">Sparse underbrush, watershed forest </t>
  </si>
  <si>
    <t>0234a4e3-9bb4-46cc-8bf4-8569dd4f88ab,238a3e36-e951-4297-a8ce-3181bc40cb6f,88784ccd-5c87-42ca-a103-7b99c6f941ad</t>
  </si>
  <si>
    <t>bbe0edd1-6daa-4648-97d0-243fd263e674</t>
  </si>
  <si>
    <t>ee4424b1-7409-44a1-be04-b7e273aa1110</t>
  </si>
  <si>
    <t xml:space="preserve">Subcanopy leaves 
Not many pole pruner accessible leaves </t>
  </si>
  <si>
    <t>67ccb483-873f-4171-bc38-069074180813</t>
  </si>
  <si>
    <t>SRID=4326;POINT(-73.31545611850295 42.287037363315264)</t>
  </si>
  <si>
    <t xml:space="preserve">3 Acer sp 
1 Q. macrocarpa 
1 Pinus 
1 Willow </t>
  </si>
  <si>
    <t xml:space="preserve">Common buckthorn, goldenrod, hawthorn, barberry, black eyed Susan, </t>
  </si>
  <si>
    <t xml:space="preserve">Edge of pasture and dense forwst </t>
  </si>
  <si>
    <t>4543e65b-94da-434a-9615-2e1fc1b7e619,cd872c0b-b363-4997-9398-5e62b4355b0f</t>
  </si>
  <si>
    <t>511926b9-268e-4e38-a346-756d6d39fca0</t>
  </si>
  <si>
    <t>3edb8d40-fe4d-43ba-b4ec-48c017a31c8d</t>
  </si>
  <si>
    <t>Julie,Leah Samuels,Mira Garner</t>
  </si>
  <si>
    <t xml:space="preserve">Some accessible on trunk </t>
  </si>
  <si>
    <t>3d18bb53-fd13-4104-859e-a455bfe6b4cc</t>
  </si>
  <si>
    <t>SRID=4326;POINT(-73.31692697487149 42.28670095563148)</t>
  </si>
  <si>
    <t xml:space="preserve">Onoclea sensibilis, rosa, dogwood, grasses, buckthorn, goldenrod, Virginia creeper </t>
  </si>
  <si>
    <t xml:space="preserve">Open pasture </t>
  </si>
  <si>
    <t>2cf9e7fc-cf4b-4d34-abb6-9ff9591a083f,2f2bdce3-1711-409d-8a70-de960a0e5184</t>
  </si>
  <si>
    <t>56d5ac1b-1ff1-4745-9bba-9e917c220621</t>
  </si>
  <si>
    <t>feaadb2b-87cf-413e-9901-5c248ea60081</t>
  </si>
  <si>
    <t>d5c4a960-c08a-484c-bbac-01e9f1556d06</t>
  </si>
  <si>
    <t>2022-10-07 13:44:56 UTC</t>
  </si>
  <si>
    <t>SRID=4326;POINT(-73.31785476773355 42.29008607104634)</t>
  </si>
  <si>
    <t xml:space="preserve">2 Juniperus </t>
  </si>
  <si>
    <t xml:space="preserve">Dandelions, lawn grass, Vitus, rhubarb, ulmus, Virginia creeper </t>
  </si>
  <si>
    <t>398fcba5-dd27-4584-9e83-af0bb6b19c38,b6bf9daf-3d8e-46f0-8dbb-dbecdc5aa745</t>
  </si>
  <si>
    <t>9a40a890-abc0-4a60-9088-4eb5f97345ca</t>
  </si>
  <si>
    <t>e32cc57e-58a0-48a8-aa9e-094e3d51e098</t>
  </si>
  <si>
    <t>Julie ,Leah Samuels,Mira Garner</t>
  </si>
  <si>
    <t xml:space="preserve">Accessible leave </t>
  </si>
  <si>
    <t>1f113218-3305-4292-9301-f666f99f0ba9</t>
  </si>
  <si>
    <t>SRID=4326;POINT(-73.31937801099691 42.29011553343599)</t>
  </si>
  <si>
    <t xml:space="preserve">1 Acer sp
1 Q. macrocarpa </t>
  </si>
  <si>
    <t>Thistle, knotweed, dandelion, clover, Virginia creeper, bedstraws, poison ivy, common buckthorn</t>
  </si>
  <si>
    <t xml:space="preserve">Edge of pasture </t>
  </si>
  <si>
    <t>4a134f47-29c0-4733-9e93-a8e45f32317b,a7ae7cac-a8e6-4c65-a0c1-5c5665c1c0cf,9ca4de46-7736-4af3-bd71-92131e45d081</t>
  </si>
  <si>
    <t>98fb8a11-06d2-4ba0-a697-c2b833a707e2</t>
  </si>
  <si>
    <t>b8df29a8-2060-40d9-8342-59f1edb0809c</t>
  </si>
  <si>
    <t>40f2045e-9ec4-4488-ad25-a4566dbb3f83</t>
  </si>
  <si>
    <t>SRID=4326;POINT(-73.30149320892366 43.08138140015591)</t>
  </si>
  <si>
    <t xml:space="preserve">2 Q. montana 
6 Ulmus 
</t>
  </si>
  <si>
    <t xml:space="preserve">Goldenrods, Ulmus, </t>
  </si>
  <si>
    <t xml:space="preserve">Edge of prairie and deciduous forest with little foliage, on a hill </t>
  </si>
  <si>
    <t>98d6a9e3-0158-4ab8-960e-143ada59ac79,c27169ab-f829-41d6-a944-70447efda7cf,aed24e1e-9f4b-46ac-a85c-ebf9dfc9f8ed</t>
  </si>
  <si>
    <t>3f30e3df-0091-4d03-bb1a-5393cdec6423,809f7b2d-f536-427f-9d21-963dc6c02b7f,08cce86a-8c44-48d5-a35e-819995fe394b,80d5c842-0be1-4202-924b-8e74f3603ae2</t>
  </si>
  <si>
    <t>82f75ce8-112d-4efa-85d5-b8c5342a0ce2</t>
  </si>
  <si>
    <t>f5df754b-ae87-4143-b864-8ccdd51bd78b,b5e93863-bebb-4df4-bd92-55c5cf5e2679</t>
  </si>
  <si>
    <t xml:space="preserve">Maybe some branches we could reach without pole pruners </t>
  </si>
  <si>
    <t>12ef0490-2f7d-4b18-9feb-ab506acd157a</t>
  </si>
  <si>
    <t>2022-10-07 13:44:55 UTC</t>
  </si>
  <si>
    <t>SRID=4326;POINT(-73.8602887932899 42.71960957445457)</t>
  </si>
  <si>
    <t xml:space="preserve">8 populus 
5 Pinus 
2 Quercus sect Quercus </t>
  </si>
  <si>
    <t xml:space="preserve">Q. Prinoides, blueberries, dogwoods </t>
  </si>
  <si>
    <t xml:space="preserve">Pine barrens oak shrub </t>
  </si>
  <si>
    <t>c49b0962-76bb-41d5-ba85-ab0009df36cb,04bee3f8-fd00-4c22-8e6c-e1cbde977173</t>
  </si>
  <si>
    <t>f2b77349-4f19-41f6-9aba-4d5d5274b47e</t>
  </si>
  <si>
    <t>9da77d56-d794-4832-a0fa-14fad7c3324e</t>
  </si>
  <si>
    <t xml:space="preserve">Branches can be reached without pole pruners 
Karner Barrens yellow trail (trailhead 1) 
Subcanopy leaves </t>
  </si>
  <si>
    <t>4f33b98c-95e5-481f-8740-2f5434efec06</t>
  </si>
  <si>
    <t>2022-10-07 13:44:52 UTC</t>
  </si>
  <si>
    <t>SRID=4326;POINT(-73.18686573772987 43.59781740237362)</t>
  </si>
  <si>
    <t xml:space="preserve">1 Acer 
3 apples </t>
  </si>
  <si>
    <t xml:space="preserve">Sensitive fern, goldenrods, populus, buckthorn, Rubus, common yarrow, bedstraws, American groundnut </t>
  </si>
  <si>
    <t>Edge of dense brush</t>
  </si>
  <si>
    <t>993df604-b252-4993-8ada-077bc288a6d3,193647bb-8f1a-46f0-92c0-af1cd4187fdd</t>
  </si>
  <si>
    <t>cae9b55a-3379-4c44-bc2e-e32d8153898a</t>
  </si>
  <si>
    <t>d8486f25-f972-4857-8581-c52751affbb6</t>
  </si>
  <si>
    <t>86b251ae-0eaf-41a6-9eb0-770bfcb2d721</t>
  </si>
  <si>
    <t xml:space="preserve">Some bunches of leaves accessible without pole pruners 
Not flagged </t>
  </si>
  <si>
    <t>9c362e5d-adac-4b8d-9c69-79881244c83c</t>
  </si>
  <si>
    <t>2022-10-07 13:44:51 UTC</t>
  </si>
  <si>
    <t>SRID=4326;POINT(-76.07987056493394 44.09800026569897)</t>
  </si>
  <si>
    <t xml:space="preserve">2 Pinus sp.
1 Juniperus (common juniper) 
1 Quercus sect Lobatae 
1 Bucktjkrn </t>
  </si>
  <si>
    <t xml:space="preserve">Common juniper, honeysuckle, fragrant sumac, buckthorn, SolomonΓÇÖs plume </t>
  </si>
  <si>
    <t>Edge of deciduous limestone forest and grasslands</t>
  </si>
  <si>
    <t>bfd84f91-1355-4b11-af31-f675099d7a16,3afb3062-4829-4549-bcd4-f2d8d78965cc,3c352c54-3749-4943-8afd-8f687ea8f906</t>
  </si>
  <si>
    <t>9e2dd903-979c-4eaf-9e31-acf7d4a08329</t>
  </si>
  <si>
    <t>636630aa-d190-4ca4-bcca-75227f0a7a36</t>
  </si>
  <si>
    <t xml:space="preserve">Some branches accessible without pole pruners 
Tagged but not flagged </t>
  </si>
  <si>
    <t>f35500ec-452e-46fb-9a50-7a8b7f88f34d</t>
  </si>
  <si>
    <t>2022-10-07 13:44:48 UTC</t>
  </si>
  <si>
    <t>SRID=4326;POINT(-76.07828873216741 44.10203531388575)</t>
  </si>
  <si>
    <t xml:space="preserve">8 Carya sp 
6 Acer sp 
1 Quercus sect Lobatae </t>
  </si>
  <si>
    <t xml:space="preserve">Carex, saplings of ulmus, tilia, Acer, Carya, 
Large leafed aster </t>
  </si>
  <si>
    <t xml:space="preserve">Open deciduous limestone forest, very low foliage </t>
  </si>
  <si>
    <t>e28ced7b-d99d-479c-8f50-73a8aafedd83,38a58eab-00d2-48e5-9147-52188ffd7c06</t>
  </si>
  <si>
    <t>6496e937-d1b6-4d85-84db-dc2201cc398d</t>
  </si>
  <si>
    <t>5799aa70-8cff-4af0-8966-a0dcca7e870d</t>
  </si>
  <si>
    <t xml:space="preserve">A few bunches of leaves accessible without pole pruners 
Not flagged </t>
  </si>
  <si>
    <t>d40184c3-bf0e-4004-a93c-f1f97f4cd230</t>
  </si>
  <si>
    <t>2022-10-07 13:32:17 UTC</t>
  </si>
  <si>
    <t>SRID=4326;POINT(-78.97259803496205 43.059832616749276)</t>
  </si>
  <si>
    <t xml:space="preserve">1 black hawthorn 
1 dogwood 
2 Acer so 
</t>
  </si>
  <si>
    <t xml:space="preserve">Dogwood, common wrinkle leafed goldenrod, American jump seed, Rubus pubescens, Carex sp. Vitus sp., </t>
  </si>
  <si>
    <t xml:space="preserve">Dense deciduous forest near river </t>
  </si>
  <si>
    <t>dcddde25-27a7-4fef-9c8b-077c35bf6153,b6816141-9deb-4069-a330-f38838692b90,861cd72f-1ac1-4a80-9b78-8d3cc22f9786,88db5a0f-fa42-43a5-8568-eb421e126eb0</t>
  </si>
  <si>
    <t>f92edd98-978a-42b0-b2ff-fc641edfe9e2,4a172915-4cbe-45cf-b334-918a2ac2d68f</t>
  </si>
  <si>
    <t>7515f4b2-4e2a-48af-9a67-7ab17b4de8cf</t>
  </si>
  <si>
    <t>Need pole pruners 
Two stems - 30.3, 29.9</t>
  </si>
  <si>
    <t>300671fc-aa11-4fcb-b786-716595737825</t>
  </si>
  <si>
    <t>SRID=4326;POINT(-78.97337101407253 43.06113985836812)</t>
  </si>
  <si>
    <t xml:space="preserve">1 Quercus sect Lobatae 
</t>
  </si>
  <si>
    <t>Poison ivy 
Dogwood 
Carex sp
Milkweed sp 
Buttercup sp.</t>
  </si>
  <si>
    <t xml:space="preserve">Right near river, edge of trail </t>
  </si>
  <si>
    <t>cfb874d0-f4aa-4bfc-9f00-8821b8e953d2,13a93926-72b0-4a2f-8ddc-1e4fd4132650,17990f0d-e6e1-492c-a935-f0cd26bc77c5</t>
  </si>
  <si>
    <t>eb792450-216f-4226-8254-bdcb17910742,464e4fc0-1ed2-4c02-b6da-4f3d035cd299</t>
  </si>
  <si>
    <t>1c115c9d-008b-4e56-b0ec-c896abfc5cdb</t>
  </si>
  <si>
    <t xml:space="preserve">Leaves accessible without pole pruners </t>
  </si>
  <si>
    <t>374e9f2f-6da8-45e3-ae8a-f2796dacdd2c</t>
  </si>
  <si>
    <t>2022-10-07 13:32:16 UTC</t>
  </si>
  <si>
    <t>SRID=4326;POINT(-78.9859768399481 43.0570437434074)</t>
  </si>
  <si>
    <t xml:space="preserve">3 Q. alba 
1 Ulmus sp.
1 Prunus sp.
</t>
  </si>
  <si>
    <t xml:space="preserve">Poison ivy, Virginia creeper, Fraxinus, white avens </t>
  </si>
  <si>
    <t xml:space="preserve">Deciduous forest with low foliage, fairly dry </t>
  </si>
  <si>
    <t>bed259ff-4a22-43c7-b446-be0e3231d2f0,edfd4233-a7b0-411e-8012-caeb3ac8ce5d</t>
  </si>
  <si>
    <t>f0ba5805-ddb6-465b-98ec-e90f0eb31d79,4cc78bb0-1252-4fb4-9fbd-a30019e5d9bd</t>
  </si>
  <si>
    <t>e4590cda-1979-46dd-a43a-3d3169764c48</t>
  </si>
  <si>
    <t xml:space="preserve">Branches only accessible with pole pruners </t>
  </si>
  <si>
    <t>ab68f824-97f9-43a5-95f6-c344e3d4103d</t>
  </si>
  <si>
    <t>SRID=4326;POINT(-78.9861776401093 43.05708691481785)</t>
  </si>
  <si>
    <t xml:space="preserve">5 Acer sp
1 Q. alba 
2 Carya ovata 
1 Ulmus 
1 Fraxinus </t>
  </si>
  <si>
    <t xml:space="preserve">Poison ivy
Fraxinus sp
Carex 
Ulmus sp. </t>
  </si>
  <si>
    <t xml:space="preserve">Deciduous forest with low foliage </t>
  </si>
  <si>
    <t>b9c1c227-c2af-49a2-8144-f0dc34731b98,1236f48e-ed27-4ed9-a002-eb66ed2adea3,49aadb42-d6c4-4d35-b646-1f18994cd657</t>
  </si>
  <si>
    <t>342bf3a5-59d5-449d-954b-aa24dfbb5971</t>
  </si>
  <si>
    <t>3e99a89a-2f27-436f-91aa-41a5110ea1a6</t>
  </si>
  <si>
    <t>bcf68edb-18b8-4aa3-a6ea-45454331d687</t>
  </si>
  <si>
    <t>SRID=4326;POINT(-78.98535646505559 43.056894633959324)</t>
  </si>
  <si>
    <t xml:space="preserve">1 cornus sp.
3 Carya ovata 
2 Quercus sect Lobatae 
</t>
  </si>
  <si>
    <t xml:space="preserve">Carya sp.,
Poison ivy
Carex 
Rubus 
Goldenrod 
</t>
  </si>
  <si>
    <t>ff2b55bf-d7fb-4298-8520-500baab69afe,28bd1508-d999-4f0b-bc7c-f095d810a8de</t>
  </si>
  <si>
    <t>9c5dbfcb-a2fd-441c-8e98-d29d991e9935</t>
  </si>
  <si>
    <t>3e9d87bd-3db7-4659-b570-2bd8f83bec45</t>
  </si>
  <si>
    <t xml:space="preserve">Leaves only accessible with pole pruners 
Subcanopy leaves </t>
  </si>
  <si>
    <t>e14102a2-0f78-41a0-aa2a-240461a4c233</t>
  </si>
  <si>
    <t>2022-10-07 13:32:15 UTC</t>
  </si>
  <si>
    <t>SRID=4326;POINT(-78.98399784237051 43.05671907499717)</t>
  </si>
  <si>
    <t xml:space="preserve">3 Q. alba 
3 Carya ovata </t>
  </si>
  <si>
    <t xml:space="preserve">Carya 
White avens 
Hawthorn </t>
  </si>
  <si>
    <t xml:space="preserve">Deciduous forest with low and sparse foliage </t>
  </si>
  <si>
    <t>a4adcdf8-99f3-4083-b5a0-38267e43c05c,3ac6d6b5-4958-4c43-9d4b-68fad30c4b14</t>
  </si>
  <si>
    <t>859b3394-80ce-48e0-afa6-d65d4012048b</t>
  </si>
  <si>
    <t>c36a9b79-605c-4e73-8bce-9ab463774c66</t>
  </si>
  <si>
    <t xml:space="preserve">Subcanopy leaves 
Only access with pole pruners </t>
  </si>
  <si>
    <t>a01e40d1-554c-452c-92c2-9d536aa11412</t>
  </si>
  <si>
    <t>SRID=4326;POINT(-78.98404728648477 43.05681763273202)</t>
  </si>
  <si>
    <t>3 Quercus sect Lobatae 
1 Ulmus sp
3 Carya ovata</t>
  </si>
  <si>
    <t xml:space="preserve">Carex sp
Euonymus sp
White avens 
Asteraceae 
Burnet saxifrage </t>
  </si>
  <si>
    <t xml:space="preserve">Edge of road and deciduous forest with little foliage </t>
  </si>
  <si>
    <t>177c4566-c4b3-46f0-8f29-c73f4eefbdad,371aaf11-080d-4ca5-a002-a1aead952acb,5e31d4b3-3f70-47e5-93d7-bf668b8e50ae</t>
  </si>
  <si>
    <t>9a7a4b7e-8aa7-4655-9427-baf3708cb9bf</t>
  </si>
  <si>
    <t>3031e18e-0f1b-4630-8025-c9fd444b7377</t>
  </si>
  <si>
    <t>Branches accessible without pole pruners!!</t>
  </si>
  <si>
    <t>a3adf361-defd-42bd-adac-5b6585a49afe</t>
  </si>
  <si>
    <t>2022-10-07 13:32:14 UTC</t>
  </si>
  <si>
    <t>SRID=4326;POINT(-78.98148721091354 43.056682068894666)</t>
  </si>
  <si>
    <t xml:space="preserve">4 Carya ovata 
3 Quercus sect Lobatae 
2 ironwood </t>
  </si>
  <si>
    <t xml:space="preserve">Poison ivy, Acer, white avens, Carex, Ulmus, prickly ash, Carya </t>
  </si>
  <si>
    <t xml:space="preserve">Deciduous forest with sparse foliage </t>
  </si>
  <si>
    <t>70c73ea8-8f34-48f1-86f5-1199cd090d35,adf6f047-e2a4-4a86-8cb1-7f19a30b7ca3,5127489a-10a8-4eaf-87e4-164b739ffb90</t>
  </si>
  <si>
    <t>34b21dbf-1826-455a-9834-3ce9e392c16f,569ec669-cfd7-41a6-ada4-ac0c5e3ab906</t>
  </si>
  <si>
    <t>671809cc-6b19-4e00-937c-5eecc7650231</t>
  </si>
  <si>
    <t xml:space="preserve">Some branches accessible without pole pruners! </t>
  </si>
  <si>
    <t>c0402cf5-314e-46ab-b695-075a93c0c58a</t>
  </si>
  <si>
    <t>SRID=4326;POINT(-78.97836198978115 43.05566479781198)</t>
  </si>
  <si>
    <t xml:space="preserve">1 Fraxinus 
3 Tilia sp
1 Carya ovata
2 Carya sp 
1 Q. macrocarpa </t>
  </si>
  <si>
    <t xml:space="preserve">Northern spicebush, prickly ash, poison ivy, Virginia creeper, knotweed </t>
  </si>
  <si>
    <t xml:space="preserve">Deciduous forest, tall foliage </t>
  </si>
  <si>
    <t>8ca30cb2-0d2c-4f10-baca-82c455e0850c,6b2b8918-3579-4274-9c78-84d8fefbe7db</t>
  </si>
  <si>
    <t>0fe010a3-4b76-4053-a286-4b00a54ed18b</t>
  </si>
  <si>
    <t>c45facff-7017-4eb5-a93e-0fe8accc0a79</t>
  </si>
  <si>
    <t xml:space="preserve">No leaves accessible without pole pruners </t>
  </si>
  <si>
    <t>269ba685-989e-41d4-9689-34ce9dcfecfe</t>
  </si>
  <si>
    <t>2022-10-07 13:32:13 UTC</t>
  </si>
  <si>
    <t>SRID=4326;POINT(-78.97687355995083 43.05578977339254)</t>
  </si>
  <si>
    <t xml:space="preserve">2 Q. macrocarpa </t>
  </si>
  <si>
    <t>Poison ivy 
Common buckthorn
Bidens sp
Fraxinus sp</t>
  </si>
  <si>
    <t xml:space="preserve">Sparse deciduous forest, roadside </t>
  </si>
  <si>
    <t>870a1ce0-e000-41d0-8978-d3e181d0c1e6,fe163557-0c06-4cd7-8a4f-45ee32654929,e878267e-9924-45a9-8bc5-4f8ae27265a6,e0fcf888-034e-4b81-b9b3-445c2fe499f7</t>
  </si>
  <si>
    <t>eb9b8a0b-a4ab-41b0-aecc-dc5f35bbad97</t>
  </si>
  <si>
    <t>a298d570-7cc4-4aef-bae2-250189ec1ca5</t>
  </si>
  <si>
    <t xml:space="preserve">Some branches accessible without pole pruners 
DBH estimated due to poison ivy </t>
  </si>
  <si>
    <t>1ab462ba-d52b-4220-8ad7-a59fcc889dec</t>
  </si>
  <si>
    <t>SRID=4326;POINT(-78.97487397313022 43.05555855859355)</t>
  </si>
  <si>
    <t xml:space="preserve">1 Quercus sect Lobatae 
3 Fraxinus sp.
1 Hawthorn </t>
  </si>
  <si>
    <t xml:space="preserve">Fraxinus 
Poison ivy 
Goldenrod? 
White avens 
Parsley hawthorn </t>
  </si>
  <si>
    <t xml:space="preserve">Edge of roadside and wooded area </t>
  </si>
  <si>
    <t>97e4ca21-5f17-4e60-996d-3bd6eebb6665,20cb55ba-6ef8-4f62-a036-d5ab02fdcf3b,59de3703-ee4a-4e45-9f54-329993f7bfe1,66d72a33-3acc-4e2c-81db-bfc70734ada0</t>
  </si>
  <si>
    <t>fd7583b2-3ebf-4e20-a153-b03ea0e1aafb</t>
  </si>
  <si>
    <t>4afc414d-09a1-47a3-8847-3abc0f077048</t>
  </si>
  <si>
    <t xml:space="preserve">Lots of branches accessible without pole pruners 
Two stems - 29.7, 26.6
Looks a bit like macrocarpa </t>
  </si>
  <si>
    <t>5d093864-0138-4b5b-9ef6-7c7fb9f698da</t>
  </si>
  <si>
    <t>2022-10-07 13:32:12 UTC</t>
  </si>
  <si>
    <t>SRID=4326;POINT(-78.97400064201204 43.055667464355956)</t>
  </si>
  <si>
    <t xml:space="preserve">2 Quercus sect Lobatae </t>
  </si>
  <si>
    <t xml:space="preserve">Smaller trees - Fraxinus, bicolor 
Poaceae 
Virginia creeper 
American jump seed 
American aster </t>
  </si>
  <si>
    <t xml:space="preserve">Edge of road and low foliage desidiosa forest </t>
  </si>
  <si>
    <t>e1472fe1-e81b-4fb2-9b81-b17ed14d84d7,cca7609d-2c6b-47be-905e-08d516b0f22f,8da5a218-08ba-46b0-9702-cc23a78bbe4e</t>
  </si>
  <si>
    <t>dfbf5519-bd51-4f1b-a03e-fc3d899343ba</t>
  </si>
  <si>
    <t>32e1af79-8d19-4354-a76c-653707f01fca</t>
  </si>
  <si>
    <t xml:space="preserve">Looks like macrocarpa leaves 
Very accessible without pole pruners leaves </t>
  </si>
  <si>
    <t>0452d97c-84ed-42c3-a55d-3da7f382c2e7</t>
  </si>
  <si>
    <t>2022-10-07 13:32:11 UTC</t>
  </si>
  <si>
    <t>SRID=4326;POINT(-96.60777680584845 39.1070968564964)</t>
  </si>
  <si>
    <t>4 Celtis sp.
1 Carya sp.</t>
  </si>
  <si>
    <t xml:space="preserve">Smilax, sassafras, Virginia creeper, poison ivy, aster, Symphyotrichum sp., Fraxinus sp., Ribes sp., Drummond aster, Virginia wildrye, </t>
  </si>
  <si>
    <t xml:space="preserve">Edge of prairie and small forested area, limestone </t>
  </si>
  <si>
    <t>698f39d2-180e-4c86-ba77-ce55e96c6e1c,027c23db-9056-46d2-9261-01ecdf257da2</t>
  </si>
  <si>
    <t>c2613c04-3310-413a-8aa8-f55067541474</t>
  </si>
  <si>
    <t>86d660a4-78ca-412a-98a6-aea3e78c8da3</t>
  </si>
  <si>
    <t xml:space="preserve">Subcanopy Leaves 
Konza prairie Nature trail </t>
  </si>
  <si>
    <t>19a2f7f0-0e54-43e8-9976-1228cbcc7665</t>
  </si>
  <si>
    <t xml:space="preserve">Quercus prinoides/muehlenbergii </t>
  </si>
  <si>
    <t>SRID=4326;POINT(-94.97356962120661 38.91700150013038)</t>
  </si>
  <si>
    <t>Quercus prinoides/muehlenbergii</t>
  </si>
  <si>
    <t xml:space="preserve">7 Celtis 
4 Ulmus 
2 honey locust </t>
  </si>
  <si>
    <t xml:space="preserve">Smilax, Virginia creeper, coralberry, brome?, poison ivy, </t>
  </si>
  <si>
    <t xml:space="preserve">Edge of woodlands and prairie </t>
  </si>
  <si>
    <t>f06614fb-2181-4fa3-a653-5312bdccfb9e,b45404f0-2126-4573-98bb-cbdd06389b31</t>
  </si>
  <si>
    <t>d2b486c9-adbb-4f0c-aa58-2aac5d930bb5</t>
  </si>
  <si>
    <t>b1d0a36a-e465-4c61-be20-34007df319af</t>
  </si>
  <si>
    <t xml:space="preserve">Flagged but not tagged 
Maybe muehlenbergii, maybe prinoides </t>
  </si>
  <si>
    <t>ef540679-de8e-44d5-b6c3-7e051f13dd14</t>
  </si>
  <si>
    <t>2022-10-07 13:32:10 UTC</t>
  </si>
  <si>
    <t>SRID=4326;POINT(-94.7893088310957 38.98084382068714)</t>
  </si>
  <si>
    <t>1 Juglans sp. 
1 Carya sp.
1 basswood 
1 Ulmus sp.</t>
  </si>
  <si>
    <t xml:space="preserve">Virginia creeper, Amur honeysuckle, Ribes sp., Carya sp. sapling, </t>
  </si>
  <si>
    <t xml:space="preserve">Dense forested area near creek </t>
  </si>
  <si>
    <t>43313e12-d436-404a-929c-02befbceae1e,8a181477-8cae-4d94-985c-befc6bdeb98c</t>
  </si>
  <si>
    <t>f3f077ad-88c9-4045-a8f6-59e4eb851b08</t>
  </si>
  <si>
    <t>743502ce-c98e-47d9-9be0-b7ba20741db7</t>
  </si>
  <si>
    <t>5f379fe4-376b-484c-b290-f434908db3d9</t>
  </si>
  <si>
    <t>2022-10-07 13:32:09 UTC</t>
  </si>
  <si>
    <t>SRID=4326;POINT(-94.7905383725602 38.98125607523972)</t>
  </si>
  <si>
    <t xml:space="preserve">3 Q. Macrocarpa
1 Tilia sp. 
1 Carya (probably ovata) 
1 Carya sp.
1 red oak group </t>
  </si>
  <si>
    <t xml:space="preserve">Virginia creeper, honeysuckle, American hog peanut, Ribes sp., sassafras, viburnums, </t>
  </si>
  <si>
    <t xml:space="preserve">Dense forest near creek, </t>
  </si>
  <si>
    <t>3b347027-0cba-4a49-b7fb-0c1f7e6d203e,e629a1b8-e039-48e9-90fb-6adacb46a497</t>
  </si>
  <si>
    <t>f51c09f0-1d06-4e1c-939f-3a60f2b9e321</t>
  </si>
  <si>
    <t>4c25b086-3353-4f32-9dda-82a9605de908</t>
  </si>
  <si>
    <t>8453a15f-a30f-48b7-b78d-6c5e8c4fe007</t>
  </si>
  <si>
    <t>1da3f8fd-0646-49e6-8cbd-4662618552df</t>
  </si>
  <si>
    <t>SRID=4326;POINT(-94.79027847690624 38.98118346042874)</t>
  </si>
  <si>
    <t xml:space="preserve">3 Carya sp. 
2 Q. Macrocarpa 
1 Tilia sp.
1 Q. muehlenbergii 
1 red oak group </t>
  </si>
  <si>
    <t xml:space="preserve">Virginia creeper, American hog peanut, honeysuckle, Ribes sp., coralberry </t>
  </si>
  <si>
    <t xml:space="preserve">Dense forest near stream </t>
  </si>
  <si>
    <t>49059a01-2db2-4bc1-9471-a41b8951918b,7b0ae93a-2b10-4976-9fee-292ba086a33f</t>
  </si>
  <si>
    <t>73dc4a1f-d6b8-48b1-97f5-a687bdf89121</t>
  </si>
  <si>
    <t>9d1da424-a267-4d7a-9ee4-983b2cffba5d</t>
  </si>
  <si>
    <t>be7bb4b9-194f-411d-8431-1706e4e3a142</t>
  </si>
  <si>
    <t>2022-10-07 13:32:08 UTC</t>
  </si>
  <si>
    <t>SRID=4326;POINT(-94.79162257173545 38.98163363806808)</t>
  </si>
  <si>
    <t xml:space="preserve">5 Juniperus sp. 
1 Q. macrocarpa 
1 red oak group </t>
  </si>
  <si>
    <t>American hog peanut, honeysuckle, viringo is creeper Carya saplings, coralberry, Juniperus young trees</t>
  </si>
  <si>
    <t xml:space="preserve">Dense woodlands near stream </t>
  </si>
  <si>
    <t>9782975f-5ec9-4035-9528-d9ad38403e80,69903383-6e00-4519-92a4-5c06e792969b,2b7954cd-1b56-4055-a45f-a45318a424aa,7ce848da-b890-45e6-91ea-aabf15fd0c13</t>
  </si>
  <si>
    <t>d98bac77-9955-4698-9e3a-d1ecdb705231</t>
  </si>
  <si>
    <t>08b50f9b-6112-4607-bc90-0c2915c38531,cea98417-56be-4a7f-86b4-9307e459a3fe</t>
  </si>
  <si>
    <t xml:space="preserve">3 stems - 26.5 25, 24
Tagged on stem collected from </t>
  </si>
  <si>
    <t>3d71929b-ece7-4f7a-bf04-159ad38fa006</t>
  </si>
  <si>
    <t>2022-10-07 13:32:07 UTC</t>
  </si>
  <si>
    <t>SRID=4326;POINT(-94.79388593704886 38.981893518975916)</t>
  </si>
  <si>
    <t xml:space="preserve">2 Celtis sp.
1 Ulmus 
1 Q. muehlenbergii 
</t>
  </si>
  <si>
    <t xml:space="preserve">Honeysuckle, Virginia creeper, Ulmus </t>
  </si>
  <si>
    <t xml:space="preserve">Hillside in dense forest near to stream </t>
  </si>
  <si>
    <t>9678a6f5-a39f-4a92-903a-e9a12d6d6bea,a46845ad-d214-48b2-bb53-4b55e4ba91b9</t>
  </si>
  <si>
    <t>fe0566fc-de4f-46ec-a630-fc4e918c5c81</t>
  </si>
  <si>
    <t>5ff67935-466f-40ea-b032-3a6641983cc6</t>
  </si>
  <si>
    <t>e6d664bc-3119-4eb5-850f-d2670dd05bd5</t>
  </si>
  <si>
    <t>2022-10-07 13:32:06 UTC</t>
  </si>
  <si>
    <t>SRID=4326;POINT(-94.79541513146347 38.98253988943899)</t>
  </si>
  <si>
    <t xml:space="preserve">1 Q. muehlenbergii 
3 Celtis 
1 red oak group 
1 Tilia sp. 
</t>
  </si>
  <si>
    <t xml:space="preserve">Carya, honeysuckle, redbud, Virginia creeper, </t>
  </si>
  <si>
    <t>bf2cd08d-9170-449e-9a70-fa9419fd7aa2,6a87d318-16f3-48ca-98ba-9b992317dd58</t>
  </si>
  <si>
    <t>ef1b57f6-2238-4ce5-a926-a86c6e183034</t>
  </si>
  <si>
    <t>03c48e20-de7f-4a45-8b1f-6b6cf0aea2d5</t>
  </si>
  <si>
    <t>5dd2af87-5c99-454f-8a00-e52ce4b6c917</t>
  </si>
  <si>
    <t>2022-10-07 13:32:05 UTC</t>
  </si>
  <si>
    <t>SRID=4326;POINT(-94.79115025149173 38.980748928188326)</t>
  </si>
  <si>
    <t xml:space="preserve">8 Q. stellata 
1 Q. muehlenbergii 
1 Celtis so. 
3 Carya (ovata?) 
1 shingle oak </t>
  </si>
  <si>
    <t>Honeysuckle, Virginia creeper, Carya, redbud</t>
  </si>
  <si>
    <t>1feaf7a4-227f-4938-829e-6712bcb581ca,35550ae6-6b4f-467c-9581-2e43d19f3f7f</t>
  </si>
  <si>
    <t>eaa7562a-b00f-4202-a985-f155e033c1a6</t>
  </si>
  <si>
    <t>7653a570-ec44-4c57-9d16-4dedbb51b991</t>
  </si>
  <si>
    <t>One stem splits to two smaller 18.8, 21.7</t>
  </si>
  <si>
    <t>64aed80d-7dab-499d-9d97-ae093c722f91</t>
  </si>
  <si>
    <t>SRID=4326;POINT(-94.7899410781402 38.98074230648482)</t>
  </si>
  <si>
    <t xml:space="preserve">5 Carya 2 Q. stellata </t>
  </si>
  <si>
    <t>Honeysuckle, red bud, Virginia creeper</t>
  </si>
  <si>
    <t xml:space="preserve">Hillside dense forest </t>
  </si>
  <si>
    <t>10ebb17f-9e2d-4807-b044-14d6ee89b4c4,2a5584f0-0da9-40b0-8ce0-c17319cb644c,8a769111-5be7-42f5-8665-7dae7bd0acef</t>
  </si>
  <si>
    <t>8c17faee-349f-4aa6-923c-aa98bc26f638</t>
  </si>
  <si>
    <t>3bcc588a-e6bd-4ee9-ab19-f42355e145c0</t>
  </si>
  <si>
    <t xml:space="preserve">Not sun exposed leaves </t>
  </si>
  <si>
    <t>44626932-2205-4687-b31a-78dd278b992f</t>
  </si>
  <si>
    <t>SRID=4326;POINT(-94.80128866629191 38.9882578142352)</t>
  </si>
  <si>
    <t>4 Q. stellata 
4 Ulmus so.
1 Celtis sp
1 Juniperus sp.</t>
  </si>
  <si>
    <t xml:space="preserve">Smilax, Hylodesmum glutinosum, Virginia creeper, </t>
  </si>
  <si>
    <t xml:space="preserve">Cracked dry soil, fairly dense forest along top of a small hill </t>
  </si>
  <si>
    <t>e55613bc-2349-4f56-a5d6-8761b0085d3a,1a9e0c63-2a40-4eea-bdcc-ac13d14878f2,c7bf4d8a-606d-45b6-8cc7-c0be0386375d</t>
  </si>
  <si>
    <t>6bdc9423-0044-439e-b778-63cb0be34657</t>
  </si>
  <si>
    <t>20d0a51d-8c63-4696-b252-dd6dcb9aa93b</t>
  </si>
  <si>
    <t>c185b16b-1079-4837-ad81-3ac0e054f761</t>
  </si>
  <si>
    <t>2022-10-07 13:32:04 UTC</t>
  </si>
  <si>
    <t>SRID=4326;POINT(-94.80840775193163 38.980219988188686)</t>
  </si>
  <si>
    <t>1 Fraxinus sp.
4 red oak group 
1 black cherry 
1 Ulmus sp.</t>
  </si>
  <si>
    <t xml:space="preserve">Redbud, thistle, honeysuckle, Virginia creeper </t>
  </si>
  <si>
    <t>Thick forest on edge of open lawn area, dry</t>
  </si>
  <si>
    <t>14349675-ff07-45d8-ad64-d5585a00df9f,18691691-1bd1-42f6-8c97-24a47251846b,e0bb72f0-4835-4402-9fd9-3662ac48f223</t>
  </si>
  <si>
    <t>c3b08d10-f864-4139-b543-cd0b69feebad</t>
  </si>
  <si>
    <t>fe8a0923-20a4-445f-ad5a-4f56574e180d</t>
  </si>
  <si>
    <t>c1252bb5-6b1c-40a5-bcec-f467531cd3f8</t>
  </si>
  <si>
    <t>2022-10-07 13:32:02 UTC</t>
  </si>
  <si>
    <t>SRID=4326;POINT(-94.80747534902282 38.97979251112694)</t>
  </si>
  <si>
    <t>1 Carya sp
4 Carya ovata 
1 Q. alba 
1 red oak group 
1 Ulmus sp.</t>
  </si>
  <si>
    <t xml:space="preserve">Ribes, redbud, honeysuckle, Virginia creeper, Sanicula, Mullein foxglove </t>
  </si>
  <si>
    <t xml:space="preserve">Close to lake on side of hill in dense forest </t>
  </si>
  <si>
    <t>f1d39755-537e-4586-a9f7-8cd649a8fab7,539360ea-7b2e-4751-984d-f7512e0b2829</t>
  </si>
  <si>
    <t>937594e9-0489-40ae-a4f7-6ba701a60313</t>
  </si>
  <si>
    <t>868ba1b5-e658-4ba4-b02e-d5a0c1878dd9</t>
  </si>
  <si>
    <t>865fab12-d8af-4fd5-9eb7-d517b4fe7e28</t>
  </si>
  <si>
    <t>SRID=4326;POINT(-83.988868435923 42.41327452477292)</t>
  </si>
  <si>
    <t xml:space="preserve">Acer sp., Hylodesmum glutinosum, lespedeza??, prickly ash., Poison ivy, </t>
  </si>
  <si>
    <t xml:space="preserve">Dense woodlands, near lake, edge of sand prairie </t>
  </si>
  <si>
    <t>740bf7ce-2d81-47d2-a91a-ebd28944c875</t>
  </si>
  <si>
    <t>282f2e4e-843b-46d8-9f38-0a3250136bb6</t>
  </si>
  <si>
    <t>08f47332-626d-4ce8-a894-b58901c990fc</t>
  </si>
  <si>
    <t>a3dcab43-a29b-44f4-8624-fcc66a62fd12</t>
  </si>
  <si>
    <t>2022-10-07 13:32:01 UTC</t>
  </si>
  <si>
    <t>SRID=4326;POINT(-83.985454929599 42.411756458965435)</t>
  </si>
  <si>
    <t xml:space="preserve">2 Acer sp. 
3 red oaks 
1 Carya sp. </t>
  </si>
  <si>
    <t xml:space="preserve">Q. alba, Q. Prinoides, hylodesmun glutinosum, serviceberries </t>
  </si>
  <si>
    <t xml:space="preserve">Woodlands near lake, close to sand prairie </t>
  </si>
  <si>
    <t>3074f59b-17dc-4402-8016-6e05f6abec54,b73abeb5-38cb-40b8-91a4-7909e9fea6cf</t>
  </si>
  <si>
    <t>8e2417d2-ffbe-4b8e-901b-fdc6af4fb41b</t>
  </si>
  <si>
    <t>54b146db-9983-4136-a6f1-d1c30a2415ba</t>
  </si>
  <si>
    <t>8e7df662-a8cd-4c3c-b138-9afec0eb5417</t>
  </si>
  <si>
    <t>SRID=4326;POINT(-84.36137672513723 41.55329464159305)</t>
  </si>
  <si>
    <t xml:space="preserve">1 Acer (saccharum?)
2 basswood
</t>
  </si>
  <si>
    <t>Virginia creeper, false nettle, poison ivy, asteraceae, poaceae, bristly buttercup</t>
  </si>
  <si>
    <t xml:space="preserve">Dense wood along a River floodplain </t>
  </si>
  <si>
    <t>744f5f0c-3977-4cb4-b2ca-b0197907d3fd,012bb46d-8ffa-4543-9e02-bdf97c216caa</t>
  </si>
  <si>
    <t>fdcdcebb-88aa-4da8-b405-f11ddaf22986</t>
  </si>
  <si>
    <t>1ceae223-829b-4443-b503-e08e599e3158</t>
  </si>
  <si>
    <t>c4a06bd9-c0a3-4468-bec8-277e325fe9d8</t>
  </si>
  <si>
    <t>2022-10-07 13:32:00 UTC</t>
  </si>
  <si>
    <t>SRID=4326;POINT(-84.35812848627972 41.5534200054049)</t>
  </si>
  <si>
    <t xml:space="preserve">2 beech </t>
  </si>
  <si>
    <t xml:space="preserve">Pawpaw, poison ivy, ash, asteraceae, Q. alba, maple, wood nettle </t>
  </si>
  <si>
    <t>Dense woodlands in river flood plain</t>
  </si>
  <si>
    <t>48f6ff96-7461-49c5-aefc-8396b3e335d2,3fce6622-068e-4191-bcba-4b7ded198f19</t>
  </si>
  <si>
    <t>d6b6c8eb-fa6b-49f0-a02e-7f1d737596ac</t>
  </si>
  <si>
    <t>b520ec2e-0117-4438-8f50-ba68cd5153f3</t>
  </si>
  <si>
    <t>0d7171c2-b55d-4b6a-80b4-006245aff0ca</t>
  </si>
  <si>
    <t>2022-10-07 00:57:10 UTC</t>
  </si>
  <si>
    <t>SRID=4326;POINT(-88.36790389389579 39.83928199861184)</t>
  </si>
  <si>
    <t>1 Q. macrocarpa 
6 Juglans 
1 Celtis 
1 Osage orange 
1 Ulmus</t>
  </si>
  <si>
    <t>c31f801a-a699-4da7-b01f-64b5e209f89f,2b98e7be-e01e-4a96-aee4-fa2019a03c34</t>
  </si>
  <si>
    <t>91d17932-d299-471b-b742-9e45fdb86fe1,5dc61856-6be7-495d-be83-8ccff7c3b5c1</t>
  </si>
  <si>
    <t>94bcadc1-0b9d-4f53-b0bb-17dcb0264392</t>
  </si>
  <si>
    <t>3206fe3b-25e5-4f51-85aa-06c1303c8ed9</t>
  </si>
  <si>
    <t>740fd9fe-94b8-4c8e-a197-ac066d8e052c</t>
  </si>
  <si>
    <t>2022-10-07 00:57:08 UTC</t>
  </si>
  <si>
    <t>SRID=4326;POINT(-88.43770620421361 43.01787591077668)</t>
  </si>
  <si>
    <t xml:space="preserve">Bromea </t>
  </si>
  <si>
    <t>434eadbd-e512-4634-9c82-bdf4b4197a55,f2115dd5-3532-4762-8d13-4e230a6b98c6,a516abf6-fffb-4bfa-85ee-bdfe36138b32,66cb4cc6-24b9-41fe-a57d-6b67e6063c07</t>
  </si>
  <si>
    <t>923057cf-a53c-4383-8e59-0f1896c3f661,aa6adb6e-533a-4566-89f3-576cddac6c90,af8b936c-4d5b-401d-b172-9e460cf36b5d,b3c2093d-5707-4867-83cf-0b08e40d51a4,336205d3-6822-43b4-bb2d-7f38a8a5da50</t>
  </si>
  <si>
    <t>26f5ba8e-cd46-4788-8dc5-d56aab680914</t>
  </si>
  <si>
    <t>b80bcd20-10ae-4887-9dce-86bfa46f4517</t>
  </si>
  <si>
    <t>Not known gall - NEUM or PHPO</t>
  </si>
  <si>
    <t>6c9cc642-a6bd-48c6-988c-e719ec9c816a</t>
  </si>
  <si>
    <t>2022-10-07 00:57:07 UTC</t>
  </si>
  <si>
    <t>SRID=4326;POINT(-88.43846040786099 43.016418758819825)</t>
  </si>
  <si>
    <t xml:space="preserve">Heliopsis helianthoides, Erigeron sp., Solidago sp., Wild bergamot, queens AnneΓÇÖs lace, blazing star </t>
  </si>
  <si>
    <t>c318a363-b704-4933-a5ce-dda47e4ba0d4,1deee9ec-2f54-405b-97e1-f61bbd497d89</t>
  </si>
  <si>
    <t>13128caf-4746-4720-b783-a3359d3bb0ba,db86d1c3-2cb4-48c3-9cb3-43a97aa58bed,fd19d613-a87a-44aa-a90c-afaa6e796211</t>
  </si>
  <si>
    <t>20fc551a-214b-41f2-85f7-e570f87fb027</t>
  </si>
  <si>
    <t>a659fd7d-676d-4f08-8be7-14a12ad645a5</t>
  </si>
  <si>
    <t>Gall photos - NENI</t>
  </si>
  <si>
    <t>68a17422-becf-4395-93b5-59172c6bfcd5</t>
  </si>
  <si>
    <t>2022-10-06 21:09:44 UTC</t>
  </si>
  <si>
    <t>SRID=4326;POINT(-88.44075369656872 43.01780449696166)</t>
  </si>
  <si>
    <t xml:space="preserve">2 mulberry 
1 cherry </t>
  </si>
  <si>
    <t xml:space="preserve">Virginia creeper, Ribes sp., common buckthorn, </t>
  </si>
  <si>
    <t xml:space="preserve">Forest, edge of river, loose soils </t>
  </si>
  <si>
    <t>5a5608ad-b9af-4ce5-8475-189efde1e1cf,3bc8ac8c-de61-4525-a23d-832c5f3f6fe1,0a3b7173-4191-4a1e-8cd9-ddf8cdf57ebf</t>
  </si>
  <si>
    <t>337507ba-f07c-4cd9-83cb-2c6e43f88b6f</t>
  </si>
  <si>
    <t>c2b028d5-cb29-46f6-90f8-9d031f0cceaa</t>
  </si>
  <si>
    <t>9e012ff8-cccc-4d68-8662-ac9286c80d1d</t>
  </si>
  <si>
    <t>2022-10-06 21:09:43 UTC</t>
  </si>
  <si>
    <t>SRID=4326;POINT(-88.44101655305218 43.01765999295098)</t>
  </si>
  <si>
    <t xml:space="preserve">6 cherry
1 quaking aspen </t>
  </si>
  <si>
    <t xml:space="preserve">Virginia creeper, common buckthorn, garlic mustard, stick seed </t>
  </si>
  <si>
    <t xml:space="preserve">Hillside forest, minimal foliage, near river </t>
  </si>
  <si>
    <t>8eabf858-59de-4d5e-8c58-99ad5caecb0f,de543042-31ea-4df9-b618-ec0c416a2cc0</t>
  </si>
  <si>
    <t>6b1d86f7-0bb6-4a93-99fe-db9d155d1b84</t>
  </si>
  <si>
    <t>d691cceb-4c3b-4cc0-8cf5-5f1ecd703395</t>
  </si>
  <si>
    <t>914a6b83-11fd-4e76-a8a5-0450a13730ca</t>
  </si>
  <si>
    <t>SRID=4326;POINT(-88.43411162503848 43.01648216791732)</t>
  </si>
  <si>
    <t xml:space="preserve">1 Quercus macrocarpa 
1 Pinus sp. See photo </t>
  </si>
  <si>
    <t xml:space="preserve">Buckthorn, red maple ?, Virginia creeper, </t>
  </si>
  <si>
    <t>Sandy soil, forest, minimal foliage</t>
  </si>
  <si>
    <t>7027d022-89af-41de-9037-c145cff7a146,5a4e8a2d-dbbf-4226-80f3-f2cb5ce6456d,2a1223fa-b066-45b0-b6a5-5d8c81d2aa81</t>
  </si>
  <si>
    <t>7f6598e4-0e22-412e-b8aa-006c8169c13d</t>
  </si>
  <si>
    <t>df655579-020e-4c17-b6e5-d882de7993ab</t>
  </si>
  <si>
    <t>c4b78dc0-ed22-4de3-bb5f-5565591299ce</t>
  </si>
  <si>
    <t>c7209c55-658d-413f-98c6-463bc000e9e7</t>
  </si>
  <si>
    <t>2022-10-06 21:09:42 UTC</t>
  </si>
  <si>
    <t>SRID=4326;POINT(-88.43556378976295 43.017079923341996)</t>
  </si>
  <si>
    <t xml:space="preserve">Golden rod, blazing star, milkweed, false sunflower, bottlebrush grass, common lambsquarters, white campion </t>
  </si>
  <si>
    <t>4edd79ea-2e25-4762-939b-bba95618d99b,66e47800-4ee3-4ed5-96fd-3f9ce6daad43,c50a8eff-5be4-475a-8505-7f18377d9019</t>
  </si>
  <si>
    <t>ed01d988-99ce-47b0-8caf-25018834367b</t>
  </si>
  <si>
    <t>1a6d4eb3-aa93-4e88-ad07-c92a00821169</t>
  </si>
  <si>
    <t>bfb9156b-c19e-4ec7-8d44-24332a0232da</t>
  </si>
  <si>
    <t>2022-10-06 21:09:41 UTC</t>
  </si>
  <si>
    <t>SRID=4326;POINT(-88.44050651424419 43.01782524217201)</t>
  </si>
  <si>
    <t xml:space="preserve">2 black locust </t>
  </si>
  <si>
    <t xml:space="preserve">Virginia creeper, Fraxinus, broadleaf enchanters nightshade, dtickseed, currant, common hedge parsley, great stinging nettle </t>
  </si>
  <si>
    <t xml:space="preserve">Hillside, forest - not very dense, plenty of foliage </t>
  </si>
  <si>
    <t>fb36a1ae-fa22-4f56-95bf-68e65a75a921,3ff061a0-07ae-47dd-9232-fc2a29dd8386,318c9a12-dcdd-4868-976f-468b70f67c78</t>
  </si>
  <si>
    <t>8de95897-9c9d-46a1-94d3-0856c8d5789c</t>
  </si>
  <si>
    <t>b38b4c8f-9ed5-48ce-96a8-292dd03d03b7</t>
  </si>
  <si>
    <t>f7727a14-8460-488f-b4db-14155b4a8898</t>
  </si>
  <si>
    <t>2022-10-06 21:09:40 UTC</t>
  </si>
  <si>
    <t>SRID=4326;POINT(-88.43941141859483 43.018181514966315)</t>
  </si>
  <si>
    <t xml:space="preserve">1 Quercus red oak group 
1 cherry ? </t>
  </si>
  <si>
    <t xml:space="preserve">Virginia creeper, star flower, fragrant sumac, </t>
  </si>
  <si>
    <t xml:space="preserve">Forest by a creek </t>
  </si>
  <si>
    <t>e4e593ec-fadc-46a5-84c7-40b5392f11ea,6b8b7ee4-02df-4c2b-956d-85629c17d46b</t>
  </si>
  <si>
    <t>307d5aac-48cc-4197-a245-b62708d9fcd0</t>
  </si>
  <si>
    <t>e2d93f40-48ff-4f9f-b22c-3a789dc0f106</t>
  </si>
  <si>
    <t>45e4f487-954c-49ae-90df-0e8ded00048a</t>
  </si>
  <si>
    <t>2022-10-06 20:59:18 UTC</t>
  </si>
  <si>
    <t>SRID=4326;POINT(-91.6391197219 43.9024542008)</t>
  </si>
  <si>
    <t xml:space="preserve">1 Quercus macrocarpa 
1 Quercus palustris (?)
3 Ulmus sp 
</t>
  </si>
  <si>
    <t>Rubus, Amphicarpaea bracteata, Virginia creeper, ranunculus abortvitus, ribes sp.</t>
  </si>
  <si>
    <t xml:space="preserve">Bluff, edge of prairie and forest, wooded riparian </t>
  </si>
  <si>
    <t>c3363153-9401-437a-a065-4ffe4de7274f,8a6a1b53-645f-4e28-8259-0f71e0f22db5,aa52f7d1-8c95-4f18-90fc-4862fa0de3bd</t>
  </si>
  <si>
    <t>f0b71c32-2915-4469-9373-5014b2227208</t>
  </si>
  <si>
    <t>f993f66b-0b4c-49e6-bf42-af6b1a98422e</t>
  </si>
  <si>
    <t>cf4adcd5-dc29-499e-8854-c0241211f96b</t>
  </si>
  <si>
    <t>2022-10-06 20:59:16 UTC</t>
  </si>
  <si>
    <t>SRID=4326;POINT(-91.6381973773241 43.90433868687243)</t>
  </si>
  <si>
    <t xml:space="preserve">4 Ulmus sp.
2 Carya ovata </t>
  </si>
  <si>
    <t xml:space="preserve">Ribes sp., poison I y, Aralia nudicaulis, </t>
  </si>
  <si>
    <t>56b42591-4af4-4dc7-8fe2-1980a0bdfa92,3dca6d7f-58f7-4241-9910-5b85a53c2586,f4717432-5629-471f-9928-3435d7d087c2</t>
  </si>
  <si>
    <t>48701ae1-5427-4139-81ab-f32335912bc0</t>
  </si>
  <si>
    <t>25a7f4bd-e61e-42e1-9d9f-c61f84b894f3</t>
  </si>
  <si>
    <t>f44c663d-2923-47df-8a9e-8f9dde70613e</t>
  </si>
  <si>
    <t>3ac684b8-4f0f-4683-b43d-87006785cc2b</t>
  </si>
  <si>
    <t>SRID=4326;POINT(-91.64280859762025 43.89210765719776)</t>
  </si>
  <si>
    <t xml:space="preserve">Solidago sp., lonicera sp., Virginia creeper, Pastinaca sativa </t>
  </si>
  <si>
    <t>37ba6539-a6db-4124-81c8-4a3c4da4e7d2,730a98a8-0d0d-4991-a460-66e404dcf870</t>
  </si>
  <si>
    <t>a2258e37-74c9-4eaa-beff-006326118a27</t>
  </si>
  <si>
    <t>39eee79f-e058-4db7-8e3d-7b30767f0caa</t>
  </si>
  <si>
    <t>80fb274e-040a-47cc-8c59-92dd18649844</t>
  </si>
  <si>
    <t>2022-10-06 20:59:15 UTC</t>
  </si>
  <si>
    <t>SRID=4326;POINT(-91.6317981296141 43.896129210520435)</t>
  </si>
  <si>
    <t xml:space="preserve">1 Ulmus sp.
1 Q. macrocarpa 
1 Quercus Alba 
2 unknown (see photos) - simple unserrated alternate leaves
3 Quercus sect Lobatae 
</t>
  </si>
  <si>
    <t xml:space="preserve">Poison ivy, fern, Rhamnus cathartics, virotismos creeper, Carex sp., American hog peanut, Arisaeum trifollium, </t>
  </si>
  <si>
    <t xml:space="preserve">Edge of forest and riparian meadow - separated by road </t>
  </si>
  <si>
    <t>b9f10b23-6392-4d3b-8266-0284b9d65eea,efa4e16d-11af-49e1-9c27-1ac59129da26,69e3414e-2a05-41e5-93c8-5e35b90296ac,aebc8f96-5130-4593-abee-84a80ef2237d</t>
  </si>
  <si>
    <t>098fa23e-44dd-474f-b877-c7cb7b0f1fb0,bd13c766-94a3-44c6-b50e-07f65c122f81</t>
  </si>
  <si>
    <t>4940a998-030d-4f2d-b823-c6d65fe529ea</t>
  </si>
  <si>
    <t>a800906a-629b-48ca-9a81-d40708efbc5b,2cc20a4f-39b8-475c-9947-39d97c61d433</t>
  </si>
  <si>
    <t>24240b0c-ca02-49de-aed6-fc3410965e36</t>
  </si>
  <si>
    <t>2022-10-06 20:54:09 UTC</t>
  </si>
  <si>
    <t>SRID=4326;POINT(-91.632306995 43.8922797377)</t>
  </si>
  <si>
    <t xml:space="preserve">2 Quercus macrocarpa 
1 Ulmus sp.
1 Quercus Alba </t>
  </si>
  <si>
    <t xml:space="preserve">Ferns (Anthyrium sp.)
American hog peanut </t>
  </si>
  <si>
    <t>Hillside forest</t>
  </si>
  <si>
    <t>e765894d-0395-4f11-8bf1-dd521eca5417,4028d0a7-aa03-4290-ac3e-62c82e89261d</t>
  </si>
  <si>
    <t>ae08d08f-6693-4d4a-b15d-257e69587601</t>
  </si>
  <si>
    <t>1dc085ab-af47-46ae-9111-a7f50fd175c8</t>
  </si>
  <si>
    <t xml:space="preserve">In Sunshine and AndyΓÇÖs yard </t>
  </si>
  <si>
    <t>fd85be29-5b54-4926-9be5-c3d35cb4fc8c</t>
  </si>
  <si>
    <t>2022-10-06 20:53:25 UTC</t>
  </si>
  <si>
    <t>SRID=4326;POINT(-90.0451963116 43.1506941235)</t>
  </si>
  <si>
    <t>Tower Hill State Park</t>
  </si>
  <si>
    <t xml:space="preserve">1 Ulmus so.
1 Quercus Alba </t>
  </si>
  <si>
    <t xml:space="preserve">Poison ivy, ferns, tiarella trifoliata, smilax, Virginia creeper, Cronus rugosa </t>
  </si>
  <si>
    <t xml:space="preserve">Hillside forest, sandy soil </t>
  </si>
  <si>
    <t>e1994634-9d23-4ccd-b87f-d2ad83432b60,b3ec32a7-d48d-4d9f-92d5-76c3096452f7</t>
  </si>
  <si>
    <t>ca3dca28-12cf-41be-9617-d8866874d4bb</t>
  </si>
  <si>
    <t>09b1a57e-7d43-4985-9875-039b701337a9</t>
  </si>
  <si>
    <t>f1cbb268-7f10-4d82-85f7-18965f79be9b</t>
  </si>
  <si>
    <t>2022-10-06 20:53:09 UTC</t>
  </si>
  <si>
    <t>SRID=4326;POINT(-90.0412009098 43.148235376)</t>
  </si>
  <si>
    <t xml:space="preserve">1 Juniperus 
2 Fraxinus so.
1 Quercus red oak group </t>
  </si>
  <si>
    <t xml:space="preserve">Virginia creeper, osmorhize claytonii, Geum canadense, Persicaria virginiana, wood nettle, poison ivy, smilax, </t>
  </si>
  <si>
    <t xml:space="preserve">Sandy ground, bottomland forest </t>
  </si>
  <si>
    <t>0dd8cc5d-96e6-4c0e-a044-a7b46b53d01d,79701c35-9564-401d-959a-4ca5a7558d0f</t>
  </si>
  <si>
    <t>be6e160a-cfb6-4a0a-86fb-ed410f194442</t>
  </si>
  <si>
    <t>be375254-3183-40b8-b15a-83061ea5da9c</t>
  </si>
  <si>
    <t>2022-10-06 20:52:32 UTC</t>
  </si>
  <si>
    <t>SRID=4326;POINT(-90.044722315 43.1501262496)</t>
  </si>
  <si>
    <t xml:space="preserve">1 Celtis sp. </t>
  </si>
  <si>
    <t xml:space="preserve">Direvilla lonicera, mulberry, Virginia creeper, fern, bittersweet, </t>
  </si>
  <si>
    <t xml:space="preserve">Hillside forest, sandy soil, </t>
  </si>
  <si>
    <t>e2dfa5f7-3529-4a3d-a138-4caee170601d,bd351355-039e-455b-aa7b-c1303bcdc87f</t>
  </si>
  <si>
    <t>0e9c9297-1c1d-46e1-980d-2e8283f9e759</t>
  </si>
  <si>
    <t>465cc6d9-da66-4418-a13c-ecd99cacdd32</t>
  </si>
  <si>
    <t xml:space="preserve">Bent over trail untagged </t>
  </si>
  <si>
    <t>a4a68756-9263-43d5-8b22-b4bc7968c7f2</t>
  </si>
  <si>
    <t>2022-10-06 20:52:14 UTC</t>
  </si>
  <si>
    <t>SRID=4326;POINT(-90.0416194183 43.1487426488)</t>
  </si>
  <si>
    <t xml:space="preserve">3 Acer saccharum 
1 Quercus red oak group 
1 Quercus Alba </t>
  </si>
  <si>
    <t>Fern, smilax, Quercus Alba, Virginia creeper, wood nettle, Hylodesmum glutinosum, lindera benzoin</t>
  </si>
  <si>
    <t xml:space="preserve">Sandy bottomland forest </t>
  </si>
  <si>
    <t>6811f32b-b226-43fe-90b5-e81f1687fa73,89f53cdb-c699-4a78-880b-33057e72338d</t>
  </si>
  <si>
    <t>d59af746-51d7-4bec-88df-991f54a73e4d</t>
  </si>
  <si>
    <t>7d03cd1c-5bc9-490c-bbdf-c8745191f188</t>
  </si>
  <si>
    <t>2022-10-06 20:51:46 UTC</t>
  </si>
  <si>
    <t>SRID=4326;POINT(-90.0433261414 43.1486595422)</t>
  </si>
  <si>
    <t>1 Celtis occidentalis 
1 Honey locust
2 black oak ? Definitely red oak group 
1 Fraxinus sp.</t>
  </si>
  <si>
    <t xml:space="preserve">Honeysuckle, smilax, alliaria peri olata, Virginia creeper, Quercus macrocarpa </t>
  </si>
  <si>
    <t xml:space="preserve">Along a ridge, sandy soil, forested area </t>
  </si>
  <si>
    <t>9c0b5149-47e8-461e-aace-4fcf23526bdd,8dc70bce-3ef6-4460-a7e5-3170d33a0f6f</t>
  </si>
  <si>
    <t>3bdcd3b3-9681-4bb5-85f4-9ec4e44c13fa</t>
  </si>
  <si>
    <t>0654cffb-d565-4148-a5d0-4b5f4af11272</t>
  </si>
  <si>
    <t xml:space="preserve">Near another macrocarpa that is small that we collected </t>
  </si>
  <si>
    <t>6375e8fe-45af-4e0d-b8a4-46bcd138f7fb</t>
  </si>
  <si>
    <t>2022-10-06 20:51:28 UTC</t>
  </si>
  <si>
    <t>SRID=4326;POINT(-90.0435996575 43.1486289026)</t>
  </si>
  <si>
    <t xml:space="preserve">1 Juniperus sp.
5 honey locust 
2 morus sp. 
</t>
  </si>
  <si>
    <t xml:space="preserve">Poison ivy, Virginia creeper, Osmorhiza, Smilax, honeysuckle, </t>
  </si>
  <si>
    <t xml:space="preserve">Top of ridge, sandy soil, forested area </t>
  </si>
  <si>
    <t>235ebb7e-9493-4173-baf6-25b93a7efcf0,b5494a0f-7c70-4e6e-992d-199a4fcd87ac</t>
  </si>
  <si>
    <t>e1900329-100b-47b1-bb86-c77e838a5f76</t>
  </si>
  <si>
    <t>596e305a-a583-46f0-a65d-5355aaaa7652</t>
  </si>
  <si>
    <t>Subcanopy leaves 
Untagged</t>
  </si>
  <si>
    <t>fb41e534-e37c-40d9-9e90-27ab644bfd90</t>
  </si>
  <si>
    <t>2022-10-06 18:45:15 UTC</t>
  </si>
  <si>
    <t>SRID=4326;POINT(-86.358141359 36.376807401)</t>
  </si>
  <si>
    <t xml:space="preserve">1 Juniper 
2 Quercus shumarii? 
2 Ulmus americana 
1 Platanus occidentalis </t>
  </si>
  <si>
    <t xml:space="preserve">Flat spikelets
Elymus
Carex
Poison ivy 
</t>
  </si>
  <si>
    <t xml:space="preserve">Forested area, flat area right near water. Grasses </t>
  </si>
  <si>
    <t>dd8d74be-a27c-43bd-9781-d68756288df1,22107175-385a-42d9-a398-be579608b648</t>
  </si>
  <si>
    <t>b22e924e-a524-44e3-8163-7c23de7fc0de</t>
  </si>
  <si>
    <t>7aa82ec2-fe5a-436c-bb8f-5d4aee38f68c</t>
  </si>
  <si>
    <t>Andrew Hipp,Drew,Leah Samuels,Mira Garner</t>
  </si>
  <si>
    <t>f690a8e8-4359-455e-96a5-514aa5cac03e</t>
  </si>
  <si>
    <t>2022-10-06 18:44:58 UTC</t>
  </si>
  <si>
    <t>SRID=4326;POINT(-86.3510410539 36.3776887224)</t>
  </si>
  <si>
    <t xml:space="preserve">1 Quercus macrocarpa 
3 Quercus shumarii? 
1 Quercus muehlenbergii 
1 Quercus rubra 
</t>
  </si>
  <si>
    <t xml:space="preserve">Virginia creeper </t>
  </si>
  <si>
    <t xml:space="preserve">Hillside forest, very little foliage, near reservoir </t>
  </si>
  <si>
    <t>77342810-5ce3-4cc1-a8e8-c11c6a28e159,d9d5a98c-75fb-4459-8686-ab56db428807</t>
  </si>
  <si>
    <t>e9e91c74-8dac-4a0a-acfe-d5f3a21791c1</t>
  </si>
  <si>
    <t>ea731141-b5b8-46c7-8e93-f54192a97442</t>
  </si>
  <si>
    <t>e366db6e-907a-4101-8e1e-c3ae693e8b86</t>
  </si>
  <si>
    <t>2022-10-06 18:44:24 UTC</t>
  </si>
  <si>
    <t>SRID=4326;POINT(-86.3520294379 36.3767097345)</t>
  </si>
  <si>
    <t xml:space="preserve">2 Fraxinus sp.
7 Juniper sp.
1 Quercus macrocarpa 
1 Quercus muehlenbergii 
</t>
  </si>
  <si>
    <t xml:space="preserve">Elymus
Dicamptilium 
Carex 
Lonicera
Fern
Agrotina
Polisticum
</t>
  </si>
  <si>
    <t xml:space="preserve">Hillside forest, little foliage, near creek </t>
  </si>
  <si>
    <t>09aea510-d11c-410d-862d-bd8327a374cf,97ed7ade-46c8-4df1-8b93-a27ca6e67924,42e75fe3-0fb0-441d-9abc-90123340e55f</t>
  </si>
  <si>
    <t>596a5393-d550-43c4-86ed-33dc98f4de88</t>
  </si>
  <si>
    <t>5bafd157-a5f4-48cc-bc01-5640d3daf4da</t>
  </si>
  <si>
    <t>c3457441-7ecc-4139-985b-a46f846f171f</t>
  </si>
  <si>
    <t>2022-10-06 18:43:49 UTC</t>
  </si>
  <si>
    <t>SRID=4326;POINT(-86.3580154628 36.3760040794)</t>
  </si>
  <si>
    <t>15 Juniper sp. 
1 Ulmus rubra
1 Ulmus olata 
2 Fraxinus sp
1 Acer nugundo</t>
  </si>
  <si>
    <t>Elymus 
Ostrya virginiana
Black locust
Baptisia tinctoria?</t>
  </si>
  <si>
    <t>6d4c0c20-fc8d-42f9-a86a-68532a701eb8,2f3d3457-c5de-4607-bb00-9555357bebc8</t>
  </si>
  <si>
    <t>286db76a-06cf-442f-83c1-3ab2ed8c4701,349cf924-9c43-41cb-b68f-03867b590d76</t>
  </si>
  <si>
    <t>820e11fe-3ed4-4997-97e7-89427ab3b307</t>
  </si>
  <si>
    <t>d11af8fb-9fbd-4203-9a16-edafd215b0eb</t>
  </si>
  <si>
    <t>a0bd69cd-33ff-4038-a1e4-7a3b5471f7ae</t>
  </si>
  <si>
    <t>2022-10-06 18:43:06 UTC</t>
  </si>
  <si>
    <t>SRID=4326;POINT(-86.3518401506 36.3767978018)</t>
  </si>
  <si>
    <t xml:space="preserve">2 Juniper sp.
1 Fraxinus sp.
3 Quercus muehlenbergii 
1 Ulmus rubra </t>
  </si>
  <si>
    <t xml:space="preserve">Hillside forest, near reservoir, low/thin foliage </t>
  </si>
  <si>
    <t>2770826c-8361-43b6-9403-85160784cc6c,07e19189-57d9-4a32-b22c-de9d4820478f</t>
  </si>
  <si>
    <t>a776079a-1b13-4b0b-9419-6258f3d26910</t>
  </si>
  <si>
    <t>8e87cceb-7118-49a3-a4ef-86a3a52bf978</t>
  </si>
  <si>
    <t>9cd2b626-f9e5-4a03-af36-432e48e9ca1c</t>
  </si>
  <si>
    <t>2022-10-06 18:42:52 UTC</t>
  </si>
  <si>
    <t>SRID=4326;POINT(-86.3578984515 36.3755740039)</t>
  </si>
  <si>
    <t xml:space="preserve">1 Juniper sp.
1 Quercus coccinea 
2 Ulmus rubra 
1 honey locust 
1 Quercus muehlenbergii 
1 Quercus macrocarpa 
2 Fraxinus Americana 
1 Acer saccharum 
1 Celtis levigata
</t>
  </si>
  <si>
    <t xml:space="preserve">Poison ivy, 
Ager nigrosa 
Baptisia tinctoria?
Flat spiklet grass (check AH)
</t>
  </si>
  <si>
    <t>5dbac314-cba2-4652-9d10-bdaf20d8c132,dfe6e5e1-7671-49b4-81a1-dbdad2c5a0ea</t>
  </si>
  <si>
    <t>ac75f36a-3d2f-47ee-a090-58f253859f88</t>
  </si>
  <si>
    <t>5a8d0ce6-e6a4-48c0-8d6c-cdc4ad09a1dc</t>
  </si>
  <si>
    <t>848ac2c3-6a5e-432a-b1d2-8af32e9642f7</t>
  </si>
  <si>
    <t>2022-10-06 18:41:58 UTC</t>
  </si>
  <si>
    <t>SRID=4326;POINT(-86.350783661 36.377984183)</t>
  </si>
  <si>
    <t xml:space="preserve">2 Fraxinus 
2 Quercus muehlenbergii 
1 persimmon? </t>
  </si>
  <si>
    <t xml:space="preserve">Poison ivy 
Honeysuckle 
</t>
  </si>
  <si>
    <t>242ed412-e811-48ef-9c46-b2d9863cc4a9,9f4201de-dbfb-4505-a829-1e2c78bd86ac</t>
  </si>
  <si>
    <t>824535ae-346f-431e-a3b7-332539aaea6a</t>
  </si>
  <si>
    <t>26bd73ed-80b7-4556-9ebf-d220bc0270d4</t>
  </si>
  <si>
    <t>6a34bdd2-3df8-4090-91aa-1dcf847bc95d</t>
  </si>
  <si>
    <t>2022-10-06 18:40:58 UTC</t>
  </si>
  <si>
    <t>SRID=4326;POINT(-86.3509591689 36.3777695164)</t>
  </si>
  <si>
    <t xml:space="preserve">1 Quercus rubra 
1 Quercus muehlenbergii 
2 Quercus shumarii? 
1 Quercus Alba 
1 Quercus macrocarpa 
</t>
  </si>
  <si>
    <t>1ddbb3a8-1ab7-4d4d-8fc1-238533e64fd7,7e6644f7-e305-4d06-b73d-5ccbd7c48333</t>
  </si>
  <si>
    <t>8d3224c0-ebac-4433-9708-a40a92d9d462</t>
  </si>
  <si>
    <t>a2cedc0e-e773-4614-8cd8-0c2397a2d0dc</t>
  </si>
  <si>
    <t>318e0cd6-c109-479a-9c89-d0626b239da1</t>
  </si>
  <si>
    <t>2022-10-06 18:40:01 UTC</t>
  </si>
  <si>
    <t>SRID=4326;POINT(-86.3507293858 36.3783246897)</t>
  </si>
  <si>
    <t xml:space="preserve">2 Quercus Alba 
1 Quercus muehlenbergii </t>
  </si>
  <si>
    <t xml:space="preserve">Virginia creeper 
Poison ivy 
Honeysuckle 
Pawpaw </t>
  </si>
  <si>
    <t>585e407a-1e66-46bd-9f1e-6a80128ea15d,e2e01888-9dd7-4e78-bdaa-74ff6e90f8d5</t>
  </si>
  <si>
    <t>453e4c74-0cdc-47b2-ae4f-27c69c3e2bf4</t>
  </si>
  <si>
    <t>6142c907-b324-4732-88db-3ce5fb2354a8</t>
  </si>
  <si>
    <t>e0833794-5941-4d4a-8f86-780f4b441b7a</t>
  </si>
  <si>
    <t>2022-10-06 18:38:35 UTC</t>
  </si>
  <si>
    <t>SRID=4326;POINT(-88.0628420888 41.8137772416)</t>
  </si>
  <si>
    <t xml:space="preserve">1 Celtis occidentalis </t>
  </si>
  <si>
    <t>Rubus, sassafras, grasses, poison ivy, Virginia creeper</t>
  </si>
  <si>
    <t>Oak savanna</t>
  </si>
  <si>
    <t>7bfd7897-53c5-45fa-88b1-6798b307280f,eae57a4b-cfb3-4f41-9ba6-a5f7e2fb4398</t>
  </si>
  <si>
    <t>64b90387-be8e-4ab9-bc19-f292db89b36f,bf8dfc38-70e9-44c9-a3d7-e99dc7b33e93</t>
  </si>
  <si>
    <t>06383bcb-261a-471f-8353-ba57c06a2149</t>
  </si>
  <si>
    <t xml:space="preserve">MG908 in notebook </t>
  </si>
  <si>
    <t>cb6079fc-d12c-4060-8462-02a57fceeb62</t>
  </si>
  <si>
    <t>2022-10-06 18:38:16 UTC</t>
  </si>
  <si>
    <t>SRID=4326;POINT(-88.0633042753 41.8137215012)</t>
  </si>
  <si>
    <t>1 Q. macrocarpa</t>
  </si>
  <si>
    <t xml:space="preserve">Poison ivy, Virginia creeper, Rubus, anerican aster, sweet joe pye weed, goldenrod </t>
  </si>
  <si>
    <t>03e3fb6b-c7da-494d-ade5-9c250e44122c,d4d9bf07-6061-4a63-802d-206cdacb5c5e</t>
  </si>
  <si>
    <t>2bdeef8e-8ce6-425e-9630-6d983e466b02</t>
  </si>
  <si>
    <t>ef0a3ebd-d78b-4dab-af8c-e56919721335</t>
  </si>
  <si>
    <t xml:space="preserve">MG909 in notebook
DBH partially estimated due to poison ivy on trunk 
Tree splits to two stems </t>
  </si>
  <si>
    <t>bcbb4f28-234c-43f4-8e56-248df35b363e</t>
  </si>
  <si>
    <t>2022-10-06 18:37:58 UTC</t>
  </si>
  <si>
    <t>SRID=4326;POINT(-88.052682057 41.8210032877)</t>
  </si>
  <si>
    <t>Sweet joe pye-weed, goldenrod, Virginia creeper, Rubus sp., poison ivy</t>
  </si>
  <si>
    <t xml:space="preserve">Oak forest, thick underbrush </t>
  </si>
  <si>
    <t>cc627bef-1816-4edd-b93c-58f8cc87678a,13c74c6b-7568-4573-ba95-865b5b527744</t>
  </si>
  <si>
    <t>c380b0c7-81ed-453f-9b43-7d3fd9601b6e</t>
  </si>
  <si>
    <t>c7734799-1d89-4aa4-8191-901a27e9ce7f</t>
  </si>
  <si>
    <t xml:space="preserve">MG918 in notebook </t>
  </si>
  <si>
    <t>b2baf874-626f-403d-ac2c-2acb03fbf55b</t>
  </si>
  <si>
    <t>2022-10-06 18:37:40 UTC</t>
  </si>
  <si>
    <t>SRID=4326;POINT(-88.0628360622 41.8138583517)</t>
  </si>
  <si>
    <t xml:space="preserve">1Q. rubra </t>
  </si>
  <si>
    <t xml:space="preserve">Goldenrod, lettuces, reed canary grass, hackberry, Virginia creeper </t>
  </si>
  <si>
    <t>c85b5930-a958-40d4-8baf-98e0a2ad828b,adac083d-e9e4-44ad-861c-604228b4fe97</t>
  </si>
  <si>
    <t>ddeb4b0a-78e8-4668-a3a7-1a1f3e365b1e</t>
  </si>
  <si>
    <t>a8bd57f5-b1a1-4df6-92f7-3fba4f56b7bb</t>
  </si>
  <si>
    <t xml:space="preserve">MG907 in notebook </t>
  </si>
  <si>
    <t>8510e50a-dc36-42fa-9b85-5cafb7daac39</t>
  </si>
  <si>
    <t>2022-10-06 18:37:24 UTC</t>
  </si>
  <si>
    <t>SRID=4326;POINT(-88.0524192006 41.8209096278)</t>
  </si>
  <si>
    <t xml:space="preserve">1 Q. macrocarpa 
1 Q. alba 
</t>
  </si>
  <si>
    <t xml:space="preserve">Poison ivy, Virginia creeper, ash, sunflower, bottlebrush grass, black cherry, lettuces sp., </t>
  </si>
  <si>
    <t>cb4411f0-66a3-4b94-aac8-cb0b0f2fbc5b,a63094d3-03af-4fc6-b480-288b07fbebe2</t>
  </si>
  <si>
    <t>f7d433e3-b590-424b-8971-87dfd9c29d79</t>
  </si>
  <si>
    <t>8571b494-40c5-4833-b282-4b1c6b082182</t>
  </si>
  <si>
    <t xml:space="preserve">MG917 in the notebook </t>
  </si>
  <si>
    <t>7c2af224-1b0a-42a3-8953-5e1d6c390c5e</t>
  </si>
  <si>
    <t>2022-10-06 18:37:06 UTC</t>
  </si>
  <si>
    <t>SRID=4326;POINT(-88.0511138868 41.8191940198)</t>
  </si>
  <si>
    <t xml:space="preserve">4 Q. alba 
3 Ostrya Virginians
3 Tilia Americana </t>
  </si>
  <si>
    <t xml:space="preserve">Sweet cicely, aster, Virginia creeper, avens, SolomonΓÇÖs seals, buckthorn </t>
  </si>
  <si>
    <t xml:space="preserve">Forest, thick tall underbrush </t>
  </si>
  <si>
    <t>f25f7ec6-9871-42c0-b38a-0093e1caeddc,ad37a739-0c59-4a3f-b9e6-c3563591d3b1</t>
  </si>
  <si>
    <t>1c99109f-7c11-4be2-88a2-25318d2a5373</t>
  </si>
  <si>
    <t>a5497e93-0a99-49fc-8b37-0ae4e33838f4</t>
  </si>
  <si>
    <t xml:space="preserve">MG916 in notebook </t>
  </si>
  <si>
    <t>5a3896f5-d706-436d-94ae-4c7e9f51edab</t>
  </si>
  <si>
    <t>2022-10-06 18:36:33 UTC</t>
  </si>
  <si>
    <t>SRID=4326;POINT(-88.0601228401 41.8158495016)</t>
  </si>
  <si>
    <t xml:space="preserve">1 Q. alba 
2 Aesculus glabra 
1 Acer saccharum </t>
  </si>
  <si>
    <t>Virginia creeper, American lopseed, enchanters nightshades, sweet joe pye-weed, garlic mustard, SolomonΓÇÖs plume, broad leafed helleboirne</t>
  </si>
  <si>
    <t xml:space="preserve">Oak forest, tall dense foliage </t>
  </si>
  <si>
    <t>b03a2e8a-d441-459a-9608-2d713727367c,c0e7bfd1-7bac-439c-947a-be3f99f06023</t>
  </si>
  <si>
    <t>d20d6c39-b9f1-4723-847e-127d60d0b319,916cd14b-104d-4ee6-b17d-589c61bea38e</t>
  </si>
  <si>
    <t>58782dfc-6cfc-4715-b915-336915d5d140</t>
  </si>
  <si>
    <t>4d40aade-ddd2-4c88-a7b8-63c43943d5f7</t>
  </si>
  <si>
    <t xml:space="preserve">MG912 in notebook </t>
  </si>
  <si>
    <t>52e34515-27bb-4323-8881-2eb9311f2983</t>
  </si>
  <si>
    <t>2022-10-06 18:36:20 UTC</t>
  </si>
  <si>
    <t>SRID=4326;POINT(-88.0509381183 41.8193793856)</t>
  </si>
  <si>
    <t xml:space="preserve">2 Ulmus americana 
1 Ostrya Virginiana
1 Tilia Americana </t>
  </si>
  <si>
    <t xml:space="preserve">Hairy sweet cicely, Virginia creeper, honeysuckle, knotweed, bottlebrush grass, American aster, grapevines </t>
  </si>
  <si>
    <t xml:space="preserve">Forest, dense tall underbrush </t>
  </si>
  <si>
    <t>7c63d721-ce07-4f8a-821c-1c389455680c,f2091996-57f0-4fbb-9068-c5ef75326219</t>
  </si>
  <si>
    <t>73d9cda5-91ea-4666-8d96-8abb3e967fbb</t>
  </si>
  <si>
    <t>8e53c770-38da-402e-abce-7cad0ab6652e</t>
  </si>
  <si>
    <t xml:space="preserve">MG915 in notebook </t>
  </si>
  <si>
    <t>2d308308-e367-4854-9e3a-c558ec4ce038</t>
  </si>
  <si>
    <t>2022-10-06 18:36:04 UTC</t>
  </si>
  <si>
    <t>SRID=4326;POINT(-88.0629196298 41.8136705133)</t>
  </si>
  <si>
    <t>1 Q. Elipsoidales 
1Q. macrocarpa</t>
  </si>
  <si>
    <t>Clover, grasses, bottlebrush grass, rye</t>
  </si>
  <si>
    <t>af7e8798-2933-40a9-9163-e385b94b6a07,eba44363-4ad2-4dc0-b479-dd284fd80d2a,dc220a72-d875-45f7-af38-7f0c169fa187</t>
  </si>
  <si>
    <t>1c52e812-77af-479a-832a-1f81e2dc072e</t>
  </si>
  <si>
    <t>1890201e-71ad-419a-81ff-7f5bfc553eb2</t>
  </si>
  <si>
    <t>MG906 in notebook</t>
  </si>
  <si>
    <t>14630779-68de-41f7-a6b6-f9d529a09dd6</t>
  </si>
  <si>
    <t>2022-10-06 18:35:34 UTC</t>
  </si>
  <si>
    <t>SRID=4326;POINT(-88.0602110177 41.8158957291)</t>
  </si>
  <si>
    <t xml:space="preserve">1 Q. macrocarpa 
2 Aesculus glabra 
1 Acer saccharum </t>
  </si>
  <si>
    <t xml:space="preserve">Virginia creeper, American lopseed, enchanters nightshades, sweet joe pye-weed, garlic mustard, SolomonΓÇÖs plume, broad leafed helleboirne </t>
  </si>
  <si>
    <t>2cb9c25e-2ca1-4aef-97c3-4b52c1b4d622,86f93b61-2025-4310-a0cf-b6acf8080d3a</t>
  </si>
  <si>
    <t>a4811afb-709a-402d-bd12-5dfef8347e28</t>
  </si>
  <si>
    <t>02ee2606-cf82-4979-ae66-e492bae66df1</t>
  </si>
  <si>
    <t xml:space="preserve">MG913 in notebook 
</t>
  </si>
  <si>
    <t>1082e51f-b0fc-4a91-81a9-59b015f60bed</t>
  </si>
  <si>
    <t>2022-10-06 18:34:49 UTC</t>
  </si>
  <si>
    <t>SRID=4326;POINT(-88.061202597 41.8149603205)</t>
  </si>
  <si>
    <t xml:space="preserve">Lawn grass, erythranthe sp., dandelion, avens </t>
  </si>
  <si>
    <t>Open lawn area, old savanna oak</t>
  </si>
  <si>
    <t>cca533dc-c068-49e5-8786-b00b47ad27bc,f8e0567e-1ceb-49c9-8606-52a91a6e1ddc,ab1edf45-78f0-479b-93ba-ba47b8d1a98e</t>
  </si>
  <si>
    <t>c0ca9412-69e0-45c4-8a94-d427b711f546,f358b5ac-b8da-4aa4-9309-fda3f86ca33f</t>
  </si>
  <si>
    <t>b02a1653-77df-4fcc-8866-77b1c98c6d1a</t>
  </si>
  <si>
    <t>9b09ff32-d443-4817-87bf-3bba8a2b6d92,3a1cfed2-479f-4f4d-8c10-adee70bbab36</t>
  </si>
  <si>
    <t xml:space="preserve">Un tagged 
MG914 in notebook 
138-U*15 
</t>
  </si>
  <si>
    <t>0c742619-2476-462e-a06f-4b59f60e7c3f</t>
  </si>
  <si>
    <t>2022-10-06 18:34:32 UTC</t>
  </si>
  <si>
    <t>SRID=4326;POINT(-88.0612051953 41.8157126382)</t>
  </si>
  <si>
    <t xml:space="preserve">2 Q. rubra
1 Acer saccharum 
1Q.Alba </t>
  </si>
  <si>
    <t xml:space="preserve">SolomonΓÇÖs seals, honeysuckle, Virginia creeper, Amur honeysuckle, oak seedlings, common buckthorn </t>
  </si>
  <si>
    <t xml:space="preserve">Oak forest, dense understory </t>
  </si>
  <si>
    <t>cbcd8683-fc27-44f4-aa17-f04f6bfd6a6d,f2646896-3926-455a-88b5-fdf7fa16edd9,fea0418e-f843-4602-9522-2aed025e09a1</t>
  </si>
  <si>
    <t>3e352068-5fda-45d9-beb3-a2194f0db289</t>
  </si>
  <si>
    <t>ee79dab9-4a77-46ff-901b-5aa419bb9435</t>
  </si>
  <si>
    <t xml:space="preserve">MG911 in notebook </t>
  </si>
  <si>
    <t>e58e1b46-282d-493a-adb0-3d38d5ad8aa5</t>
  </si>
  <si>
    <t>2022-10-06 18:34:13 UTC</t>
  </si>
  <si>
    <t>SRID=4326;POINT(-96.4267611411 36.844436042)</t>
  </si>
  <si>
    <t xml:space="preserve">1 pin oak 
1 Q. macrocarpa </t>
  </si>
  <si>
    <t xml:space="preserve">Poison ivy, aster, Virginia creeper, panicled tick trefoils, grasses, legumes </t>
  </si>
  <si>
    <t xml:space="preserve">Edge of road and forested  area, thick short foliage </t>
  </si>
  <si>
    <t>ed8f0fc7-8a03-4423-a950-630f67110373,74fd6e15-b056-4c19-8400-2624d54d912c</t>
  </si>
  <si>
    <t>ac038650-ef62-4141-8f13-81e186b3c5e5</t>
  </si>
  <si>
    <t>074898d7-333b-4a9f-8c85-26f9f8a95303</t>
  </si>
  <si>
    <t>dbe6c038-495c-4283-915b-020cf5ad9b96</t>
  </si>
  <si>
    <t>2022-10-06 18:33:58 UTC</t>
  </si>
  <si>
    <t>SRID=4326;POINT(-96.42652452 36.8451764994)</t>
  </si>
  <si>
    <t xml:space="preserve">4 Q. macrocarpa 
1 walnut </t>
  </si>
  <si>
    <t xml:space="preserve">Asters, hedge parslies, grasses, rosette grasses, sassafras, tweedy tick clover, leafy elephants foot, </t>
  </si>
  <si>
    <t xml:space="preserve">Prairie, edge of forested area </t>
  </si>
  <si>
    <t>9e2f53c4-f3f7-43a7-8e84-21196863dcaf,f5b70ff4-23ba-4a54-8719-0f29bce6305e,07ace3e2-ee11-4e6a-a3f2-6b97d02b4ede</t>
  </si>
  <si>
    <t>afc9ec36-2d32-4912-bfd5-4fd4c3572218</t>
  </si>
  <si>
    <t>8980f77f-79dd-4de0-96e5-b8f269bf96c9</t>
  </si>
  <si>
    <t>d255394e-57c2-4ab6-8701-7ee71404aac3</t>
  </si>
  <si>
    <t>2022-10-06 18:33:40 UTC</t>
  </si>
  <si>
    <t>SRID=4326;POINT(-96.4294162766 36.8466787041)</t>
  </si>
  <si>
    <t xml:space="preserve">2 elm 
2 Q. muehlenbergii 
1 pin oak </t>
  </si>
  <si>
    <t xml:space="preserve">Virginia creeper, grasses, pointed leaf tick trefoils, moonseed </t>
  </si>
  <si>
    <t>Wooded area, next to small creek, hillside, low dense foliage</t>
  </si>
  <si>
    <t>200c12cb-cd38-407a-8d47-dfc86928af0a,cf90a9d3-2899-445b-aca6-0862b60e0b12</t>
  </si>
  <si>
    <t>cc5077f5-0ba8-408a-9662-8bb83f622dda</t>
  </si>
  <si>
    <t>078365e1-f12e-4f52-858c-ed1f849bed62</t>
  </si>
  <si>
    <t>b845cfeb-34b3-4239-a00c-b99101d9cea3</t>
  </si>
  <si>
    <t>2022-10-06 18:33:28 UTC</t>
  </si>
  <si>
    <t>SRID=4326;POINT(-96.4231565037 36.8552689813)</t>
  </si>
  <si>
    <t xml:space="preserve">2 Q. stellata </t>
  </si>
  <si>
    <t xml:space="preserve">Yellow sweet clover, aster, sweet peas and vetchlings, grasses, wormwood/sagebrush </t>
  </si>
  <si>
    <t xml:space="preserve">Prairie, next to small lake </t>
  </si>
  <si>
    <t>000db249-6728-468e-add6-c7dffccad6fd,7834c833-57d0-4724-9cc2-dd7d9dfa9df6,a1a1647e-dc98-4de2-a5b6-4d5d283a7c73</t>
  </si>
  <si>
    <t>aa5f8494-560e-44f7-92b6-6ef66cef752b</t>
  </si>
  <si>
    <t>c043559c-0156-43ab-bf1e-287f77f7fe92</t>
  </si>
  <si>
    <t>58eefebd-f60a-4209-9b20-786e77054f98</t>
  </si>
  <si>
    <t>2022-10-06 18:32:45 UTC</t>
  </si>
  <si>
    <t>SRID=4326;POINT(-96.4289825969 36.8458946608)</t>
  </si>
  <si>
    <t xml:space="preserve">4 black/ pin oak 
1 Q. muehlenbergii </t>
  </si>
  <si>
    <t xml:space="preserve">Virginia creeper, grasses, American hog peanut, legumes, smooth ruellia </t>
  </si>
  <si>
    <t xml:space="preserve">Side of hill, forested, low but dense foliage </t>
  </si>
  <si>
    <t>2e871a01-e4d3-47c8-8355-1ef8dadb2c0a,8f633146-77ab-462d-a674-d91a1ebd8733,401d32e8-9745-4c40-8971-c0d72b08160b</t>
  </si>
  <si>
    <t>5d656f7f-3e25-464a-b64e-07b440015470</t>
  </si>
  <si>
    <t>9368a133-d0f1-48f1-83e3-cff920f5f92a</t>
  </si>
  <si>
    <t>f6fec429-2f16-4d32-8258-7e866d9cb915</t>
  </si>
  <si>
    <t>2022-10-06 18:32:13 UTC</t>
  </si>
  <si>
    <t>SRID=4326;POINT(-98.3524693643 35.4572937219)</t>
  </si>
  <si>
    <t>2 walnut? (Photo)</t>
  </si>
  <si>
    <t xml:space="preserve">Virginia creepr, winged euonymus, poison ivy, </t>
  </si>
  <si>
    <t xml:space="preserve">Forested area, dense foliage, hillside </t>
  </si>
  <si>
    <t>d086c786-7a7a-4311-a131-e64bbb1be4fc,a2193430-33bc-47aa-afef-4bbcc21f8d5f</t>
  </si>
  <si>
    <t>4fd4dffb-ac30-4848-b3ef-d1ba865b7509</t>
  </si>
  <si>
    <t>2b29aa36-f8ef-4166-b47a-f5f8542fdc88</t>
  </si>
  <si>
    <t>157b9b1c-67bc-42f6-a7bd-70738f1719d9</t>
  </si>
  <si>
    <t xml:space="preserve">Sun exposed but low leaves </t>
  </si>
  <si>
    <t>42466c92-53ea-4256-847a-2a9816fac6b0</t>
  </si>
  <si>
    <t>2022-10-06 18:31:35 UTC</t>
  </si>
  <si>
    <t>SRID=4326;POINT(-96.4286802753 36.8458741281)</t>
  </si>
  <si>
    <t xml:space="preserve">1 Q. muehlenbergii 
1 elm or walnut 
1 pin or black oak ( photo) </t>
  </si>
  <si>
    <t xml:space="preserve">Virginia creeper, asters, smooth ruellia, acanthus family, sassafras, </t>
  </si>
  <si>
    <t xml:space="preserve">Hillside, edge of woods and prairie, near small creek </t>
  </si>
  <si>
    <t>a80beb37-55ff-4fa4-8b9f-2ae3390a260d,554099e9-b47a-4728-b470-90434b07e21b,ef00c888-1ddc-4091-be6d-9d8593f4d0ad</t>
  </si>
  <si>
    <t>c4033b98-0e10-4aff-833d-5816a9cd9017</t>
  </si>
  <si>
    <t>a7fd4d00-4088-4835-9b85-7dbd85b3878b</t>
  </si>
  <si>
    <t>86c585a9-eb87-4310-b15f-de8134a88055</t>
  </si>
  <si>
    <t>Low but sun exposed leaves</t>
  </si>
  <si>
    <t>3142e29e-228e-44c6-8253-ed6a8fecb401</t>
  </si>
  <si>
    <t>2022-10-06 18:26:05 UTC</t>
  </si>
  <si>
    <t>SRID=4326;POINT(-96.42645696 36.84557062)</t>
  </si>
  <si>
    <t xml:space="preserve">4 Q. macrocarpa </t>
  </si>
  <si>
    <t xml:space="preserve">Milkweed, pipevine, crownbeard, borage, iron weeds, inland wood oat, </t>
  </si>
  <si>
    <t xml:space="preserve">Open prairie, next to river, near forested area </t>
  </si>
  <si>
    <t>d063b6da-b89c-44c9-b5b0-1b1d8125510b,1be0fb26-4d8b-449d-bcd3-b6ea7a55191c,dac29a69-6ac8-4e6a-b91f-07d2dda9a421</t>
  </si>
  <si>
    <t>0845aca8-63e9-4e27-a016-9a77b2606d66</t>
  </si>
  <si>
    <t>d99d1a7e-50d3-4b4d-a1b5-8cc7762abba7</t>
  </si>
  <si>
    <t>daea1ad3-80d1-4387-829e-a1cf91a99f37</t>
  </si>
  <si>
    <t>2022-10-06 18:24:57 UTC</t>
  </si>
  <si>
    <t>SRID=4326;POINT(-98.3540359738 35.4353223572)</t>
  </si>
  <si>
    <t xml:space="preserve">1 Q. muehlenbergii 
1 Q. macrocarpa 
1 Elm 
2 eastern red cedar </t>
  </si>
  <si>
    <t xml:space="preserve">Hackberries, grasses, fragrant sumac </t>
  </si>
  <si>
    <t xml:space="preserve">Wooded area, edge of ridge line </t>
  </si>
  <si>
    <t>929660e1-08a7-47b8-ab2f-675df06ab7e4,a36518ed-3f98-4cf2-97d5-6b1a49c0dfc7</t>
  </si>
  <si>
    <t>3e8b4400-fcaf-49c1-bf99-72bd4c230f59</t>
  </si>
  <si>
    <t>23a32d65-85d8-4e80-873a-39b4f50f68eb</t>
  </si>
  <si>
    <t xml:space="preserve">Sun exposed, low leaves </t>
  </si>
  <si>
    <t>d76947be-045d-4cd7-802e-66623b08bf39</t>
  </si>
  <si>
    <t>2022-10-06 18:24:43 UTC</t>
  </si>
  <si>
    <t>SRID=4326;POINT(-98.3554161062 35.4357793043)</t>
  </si>
  <si>
    <t xml:space="preserve">4 Q. Stellata 
1 gum bumelia 
2 eastern red cedar 
1 Q. muehlenbergii </t>
  </si>
  <si>
    <t xml:space="preserve">Elms, coralberry, SolomonΓÇÖs seals, moon seed, Virginia creeper, redbud </t>
  </si>
  <si>
    <t>2f48d93d-7971-4b04-bbd5-4e5574878b10,d44a2867-53eb-4069-89af-9629fd26d9e5</t>
  </si>
  <si>
    <t>68cb118c-a1a6-4b6f-abd0-21b9bc929bf1</t>
  </si>
  <si>
    <t>62e9528a-c535-49c4-87e2-1149bfd80a22</t>
  </si>
  <si>
    <t>c5cdf976-7519-46cc-a0c9-f1d893249473</t>
  </si>
  <si>
    <t>2022-10-06 18:24:27 UTC</t>
  </si>
  <si>
    <t>SRID=4326;POINT(-98.3544103616 35.4567296198)</t>
  </si>
  <si>
    <t xml:space="preserve">1 Q. muehlenbergii 
3 eastern red cedar 
1 box elder </t>
  </si>
  <si>
    <t xml:space="preserve">American trumpet vine, moonseed, horsetail </t>
  </si>
  <si>
    <t xml:space="preserve">Forested area, thicker foliage, sandy ground </t>
  </si>
  <si>
    <t>0883fb0a-b89d-4439-8a98-50b8172035ab,80041fc5-fa2a-40b1-95f8-52ac90e5250f</t>
  </si>
  <si>
    <t>5b3f7ea0-f232-4758-b332-f113d33c1cfe</t>
  </si>
  <si>
    <t>473dbdc3-62fc-408f-8256-18747d0378d2</t>
  </si>
  <si>
    <t>9e771c0c-b9f8-4ebf-b888-13f97afb5f90</t>
  </si>
  <si>
    <t>2022-10-06 18:24:06 UTC</t>
  </si>
  <si>
    <t>SRID=4326;POINT(-98.3535008413 35.435963329)</t>
  </si>
  <si>
    <t xml:space="preserve">1 Q. Marilandica
4 eastern red cedar </t>
  </si>
  <si>
    <t xml:space="preserve">Grasses, CA mugwort, Indian blanket, </t>
  </si>
  <si>
    <t xml:space="preserve">Dry ridge, little foliage, small trees, rocky dry soils </t>
  </si>
  <si>
    <t>602c16f0-a723-405d-82ef-400cae37e992,619845a3-764f-42c4-bd97-ef1308a3f26c</t>
  </si>
  <si>
    <t>689cab6f-acb3-4159-a5d3-582071bcd2f4</t>
  </si>
  <si>
    <t>d3f5a82a-7b9e-49f7-8e1a-d1a9e03e5827</t>
  </si>
  <si>
    <t>Not tagged, located on canyon ridge trail. End of road up trail to the left then up to the ridge along ridge, take a left and itΓÇÖs on the right side of that side trail 
Might not be stellataΓÇª margaretta??</t>
  </si>
  <si>
    <t>8f9a4763-4122-42c7-b285-8d3f245efd7d</t>
  </si>
  <si>
    <t>2022-10-06 18:23:32 UTC</t>
  </si>
  <si>
    <t>SRID=4326;POINT(-98.3539392148 35.4352801619)</t>
  </si>
  <si>
    <t xml:space="preserve">4 eastern red cedar
2 Q. marylandica </t>
  </si>
  <si>
    <t xml:space="preserve">Prickly pear, grasses, lespedeza, </t>
  </si>
  <si>
    <t xml:space="preserve">Dry, open grasslands </t>
  </si>
  <si>
    <t>bca61f33-685d-478c-901c-90cac4ee2d09,177bca11-f51f-407d-b3e8-c0c19175fc38,9fba471c-7a1a-4ce9-ae40-22b0b24f3739</t>
  </si>
  <si>
    <t>33cb8c1c-e974-497d-875b-55933d2383a6</t>
  </si>
  <si>
    <t>47aceffb-2328-48f2-887c-351520273608</t>
  </si>
  <si>
    <t>Could be Quercus margarette</t>
  </si>
  <si>
    <t>6bd5b738-47a9-43b0-97da-d177e1da742a</t>
  </si>
  <si>
    <t>2022-10-06 18:23:03 UTC</t>
  </si>
  <si>
    <t>SRID=4326;POINT(-98.3527785727 35.4502175097)</t>
  </si>
  <si>
    <t>2 elm (American elm ?)
3 eastern red cedar</t>
  </si>
  <si>
    <t xml:space="preserve">Sugar maple, Virginia creeper, greenbriers, </t>
  </si>
  <si>
    <t xml:space="preserve">Rocky soil, right by canyon wall, little foliage, by road </t>
  </si>
  <si>
    <t>ccb76587-02c0-447e-b9d3-f7f9621908ca,c1766af9-24de-4860-ad69-00c71df00da7,691ac3fd-4224-4fc1-ad58-959fe58f2bfe</t>
  </si>
  <si>
    <t>930b89c9-a923-4f06-860e-b33fc4a9df76</t>
  </si>
  <si>
    <t>fd01c07c-f0b0-4bdd-90a3-dc7a2c688c5d</t>
  </si>
  <si>
    <t>5f39e6a3-e714-4670-88e2-3bbea3245b5b</t>
  </si>
  <si>
    <t>2022-10-06 18:22:43 UTC</t>
  </si>
  <si>
    <t>SRID=4326;POINT(-98.3537547291 35.457398328)</t>
  </si>
  <si>
    <t>1 Q. macrocarpa 
1 Q. muehlenbergii 
1 walnut? Elm?(Photo)</t>
  </si>
  <si>
    <t xml:space="preserve">Poison ivy, Virginia creeper, elms, snow berries, green briers, American trumpet vine </t>
  </si>
  <si>
    <t xml:space="preserve">Forested area, dense foliage, near canyon wall </t>
  </si>
  <si>
    <t>8c43286d-1e35-4c44-aaba-6ec63c015127,a0d860bc-0600-43e4-a998-5e8304a3beb5</t>
  </si>
  <si>
    <t>a6c47bdd-8f2d-4bf4-900e-9715c10b4a20</t>
  </si>
  <si>
    <t>45ccd8a5-0feb-4ff0-ab98-fdd3a55b08a6</t>
  </si>
  <si>
    <t>a993bacb-93e2-4dd7-ba23-3bdebd998560,04f492c7-4cb5-404e-b2ea-ff3ed08021ce</t>
  </si>
  <si>
    <t>59fc8717-a587-4e11-a4f5-fca4a86fba0c</t>
  </si>
  <si>
    <t>2022-10-06 18:22:30 UTC</t>
  </si>
  <si>
    <t>SRID=4326;POINT(-98.3535434213 35.4365511518)</t>
  </si>
  <si>
    <t xml:space="preserve">5 eastern red cedar </t>
  </si>
  <si>
    <t xml:space="preserve">Gum bumelia, grasses, lespedeza, Plains fleabane, Indian blanket, hackberry </t>
  </si>
  <si>
    <t>c1ae4907-ecda-45eb-a3b5-de1445d289dc,fdc47b8b-01e1-4fb5-9e84-7e61409ce9f0,17ad9272-cd44-4515-8e53-74fa9d7e06fb</t>
  </si>
  <si>
    <t>d674f269-4a02-4b88-8bb2-f1e2ebb531dc</t>
  </si>
  <si>
    <t>e37c70bc-5d24-4006-b3ba-15bea0ee8488</t>
  </si>
  <si>
    <t>53a57383-38bf-4ef9-9826-b934d9eb103b</t>
  </si>
  <si>
    <t>2022-10-06 18:22:17 UTC</t>
  </si>
  <si>
    <t>SRID=4326;POINT(-98.3540536108 35.4353571169)</t>
  </si>
  <si>
    <t xml:space="preserve">2 Q. muehlenbergii 
1 Elm 
2 eastern red cedar </t>
  </si>
  <si>
    <t xml:space="preserve">Elms, hackberries, grasses, legumes </t>
  </si>
  <si>
    <t>Wooded area, edge of ridge line</t>
  </si>
  <si>
    <t>2e975569-8579-487e-a8e9-ccbbb00167ff,ad9da778-99bd-408a-a9b7-7015d5002ed2</t>
  </si>
  <si>
    <t>35d7ce23-8ffd-40b5-8aa6-e67f13931ee3</t>
  </si>
  <si>
    <t>e5a93367-776d-46a8-8811-4365476a9c58</t>
  </si>
  <si>
    <t xml:space="preserve">Low leaves, seem to be sun exposed </t>
  </si>
  <si>
    <t>45af0f3c-ce2e-4815-b496-d8612f45b74a</t>
  </si>
  <si>
    <t>2022-10-06 18:21:50 UTC</t>
  </si>
  <si>
    <t>SRID=4326;POINT(-98.3529926465 35.4455906153)</t>
  </si>
  <si>
    <t xml:space="preserve">1 Q. muehlenbergii 
2 Eastern red cedar 
1 walnut (photo) </t>
  </si>
  <si>
    <t xml:space="preserve">Virginia creeper, lespedeza, poison ivy </t>
  </si>
  <si>
    <t xml:space="preserve">Side of hill, growing on rocks, edge of forested area and desert like open area, very little foliage </t>
  </si>
  <si>
    <t>f8978a5a-d5e7-40cd-a481-4763f7119cb6,1d99f79d-4392-4300-8362-f9c2ed713ae9</t>
  </si>
  <si>
    <t>50f957d6-bf31-4dd7-82f8-2bdd34811df1</t>
  </si>
  <si>
    <t>e9d29194-b3ff-40e0-b205-d8c598e672fa</t>
  </si>
  <si>
    <t>99c1b774-f04a-474e-a659-70801f2d01ba</t>
  </si>
  <si>
    <t>3878f462-5577-44cd-ade2-91bc5bc9f6e6</t>
  </si>
  <si>
    <t>2022-10-06 18:21:33 UTC</t>
  </si>
  <si>
    <t>SRID=4326;POINT(-98.3537180164 35.4360825615)</t>
  </si>
  <si>
    <t xml:space="preserve">3 eastern red cedar
1 stellata (maybe - weird) 
1 muehlenbergii 
1 gum bumelia </t>
  </si>
  <si>
    <t>Grasses, hackberries, Virginia creeper, oak seedlings</t>
  </si>
  <si>
    <t>Wooded area, air of hill, tall but not dense foliage</t>
  </si>
  <si>
    <t>f2c647ce-4b4c-4fbd-a07e-33a74e609fc5,642ccbd7-77ed-44cf-8665-a60c0cfbbd2c</t>
  </si>
  <si>
    <t>d39c1e1b-ec11-48ff-b029-edbb18333f45</t>
  </si>
  <si>
    <t>afe244cf-bf9f-4f27-a37e-5b5ab8c652db</t>
  </si>
  <si>
    <t>0480847b-3473-4e4c-9497-ca55e7ac4e9d</t>
  </si>
  <si>
    <t>2022-10-06 18:20:15 UTC</t>
  </si>
  <si>
    <t>SRID=4326;POINT(-98.3535764994 35.4364875679)</t>
  </si>
  <si>
    <t xml:space="preserve">9 eastern red cedar </t>
  </si>
  <si>
    <t xml:space="preserve">Grasses, ferns, purple stem cliffwbrake </t>
  </si>
  <si>
    <t>64a30e16-2f56-42c6-93b1-e644bb4a846f,2ec2eaa3-4e5f-4393-9e2a-fe5ba266b723</t>
  </si>
  <si>
    <t>b015640d-99c5-465d-8657-55fd81b20659</t>
  </si>
  <si>
    <t>5a858c7a-eee4-4c19-b676-1182f83ed1bd</t>
  </si>
  <si>
    <t>e3d045fb-0043-4bd7-8faa-ccb687746d9c</t>
  </si>
  <si>
    <t>2022-10-06 17:01:19 UTC</t>
  </si>
  <si>
    <t>SRID=4326;POINT(-92.7692852543 37.9802752007)</t>
  </si>
  <si>
    <t xml:space="preserve">1 sugar hackberry (4 trunks) 
2 Q. stellata 
2 juniper (eastern red cedar) 
1 red oak </t>
  </si>
  <si>
    <t xml:space="preserve">Sunflower, fragrant sumac, redbud, Carolina buckthorn </t>
  </si>
  <si>
    <t>Open dry woodlands</t>
  </si>
  <si>
    <t>7819bc26-4e1c-427a-88ee-20a677579451,a7e65d53-f92d-4946-9f17-5b305ea44006,02402e58-4ead-4635-8d5f-7ed0f8dcee32</t>
  </si>
  <si>
    <t>e9b426de-900a-4cc1-9ccd-9473485db2fb</t>
  </si>
  <si>
    <t>62ade138-183f-49dc-841a-d5ea6d45bbad,039cab1f-026e-4b48-aece-3394de47e7cf</t>
  </si>
  <si>
    <t>df466ee5-1e21-449c-a517-d83cc4873ec1</t>
  </si>
  <si>
    <t>2022-10-06 17:00:56 UTC</t>
  </si>
  <si>
    <t>SRID=4326;POINT(-92.7707117704 37.9796667584)</t>
  </si>
  <si>
    <t xml:space="preserve">1 Q. muehlenbergii 
1 Gum bumelia 
1 Hickory 
1 Q. stellata 
1 red oak </t>
  </si>
  <si>
    <t xml:space="preserve">Redbud, sunflower, American hog peanut, hackberry, bush clover, </t>
  </si>
  <si>
    <t xml:space="preserve">Sparse foliage, dry woodlands </t>
  </si>
  <si>
    <t>cc09bd7d-bfa1-4b61-8680-fa2da73dc413,31bb0935-14dd-45a3-84e5-6b39afd96b2f</t>
  </si>
  <si>
    <t>26d8ddf9-095f-4615-bb89-55896a287b4c</t>
  </si>
  <si>
    <t>2233cc8e-f440-481a-9538-743c0ce78421</t>
  </si>
  <si>
    <t xml:space="preserve">Sun exposed low leaves </t>
  </si>
  <si>
    <t>dd4e0c39-53a1-4f3a-8588-ab804b073dca</t>
  </si>
  <si>
    <t>2022-10-06 17:00:40 UTC</t>
  </si>
  <si>
    <t>SRID=4326;POINT(-92.7739035991 37.9904674273)</t>
  </si>
  <si>
    <t xml:space="preserve">3 elm 
1 ironwood 
1 sycamore </t>
  </si>
  <si>
    <t xml:space="preserve">Pawpaw, Virginia creeper, garlic mustard, northern spicebush, coral berry </t>
  </si>
  <si>
    <t xml:space="preserve">Wooded area, dense, tall foliage </t>
  </si>
  <si>
    <t>52bf389f-1d7e-4cbd-9c45-1598646b91d8,ab1a5b5a-f954-4d00-b4f1-2bfc170e17f9</t>
  </si>
  <si>
    <t>3ca7ea91-e078-4633-995d-8ab95daa6fe7</t>
  </si>
  <si>
    <t>f9016b00-cbd2-4493-b86c-9bd7d3319ad3</t>
  </si>
  <si>
    <t xml:space="preserve">Very low leaves </t>
  </si>
  <si>
    <t>cf18a593-7d82-4218-a06b-5b33c7ff23b7</t>
  </si>
  <si>
    <t>2022-10-06 17:00:22 UTC</t>
  </si>
  <si>
    <t>SRID=4326;POINT(-92.7683023923 37.9804995424)</t>
  </si>
  <si>
    <t xml:space="preserve">1 Q. Stellata 
1 sassafras 
2 black oak 
1 mockernut hickory 
</t>
  </si>
  <si>
    <t xml:space="preserve">Sunflower, trefoil, fragrant sumac, black snakeroot </t>
  </si>
  <si>
    <t xml:space="preserve">Open dry woodlands </t>
  </si>
  <si>
    <t>50eca088-9f69-4a4a-84a8-73dbe1bbe38a,4cb249e9-c8ec-477e-996b-88989d4bd177,4536ca49-3327-4dde-aca2-f99e33078728</t>
  </si>
  <si>
    <t>c8acd21c-0930-4499-861a-83803971d05a</t>
  </si>
  <si>
    <t>1a454245-6d34-4ed6-81b2-540b91043bea</t>
  </si>
  <si>
    <t>c3773d05-b9ab-401a-a59f-7fb5cbeaa639</t>
  </si>
  <si>
    <t>2022-10-06 16:59:46 UTC</t>
  </si>
  <si>
    <t>SRID=4326;POINT(-92.7735824884 37.9775636969)</t>
  </si>
  <si>
    <t xml:space="preserve">3 Q. alba 
1 eastern red cedar </t>
  </si>
  <si>
    <t xml:space="preserve">Dogwoods, service berries, fragrant sumac </t>
  </si>
  <si>
    <t xml:space="preserve">Open woodlands, hillside, minimal foliage </t>
  </si>
  <si>
    <t>6de33263-33d5-457e-90b3-7e22c288d176,c51010f8-ba7f-40f3-8e54-794562b6b511</t>
  </si>
  <si>
    <t>4d6eb07f-7a70-449f-bfe1-a18948f9d8bf</t>
  </si>
  <si>
    <t>2aa8c952-8a2b-4557-9058-2e33899949c7</t>
  </si>
  <si>
    <t>aa433ad7-31f5-4302-b94e-a3314ad303ef</t>
  </si>
  <si>
    <t>2022-10-06 16:59:30 UTC</t>
  </si>
  <si>
    <t>SRID=4326;POINT(-92.7685595491 37.9785001651)</t>
  </si>
  <si>
    <t xml:space="preserve">2 Q. alba 
2 black oak 
1 Q. stellata 
1 black cherry </t>
  </si>
  <si>
    <t>Poison ivy, sunflower, sassafras, fragrant sumac, Virginia creeper</t>
  </si>
  <si>
    <t>9f9a7357-7025-49ba-8f9d-4c88fc27fae5,00d980ac-cd85-4688-b6d0-26bc36056827</t>
  </si>
  <si>
    <t>d8d3ec67-c4c4-4434-8e54-53e68ce6f216</t>
  </si>
  <si>
    <t>c2e5439b-00e1-40df-8801-446f7128f876</t>
  </si>
  <si>
    <t>8d8da7d5-b725-4bac-af3d-832792bbb457</t>
  </si>
  <si>
    <t>2022-10-06 16:59:14 UTC</t>
  </si>
  <si>
    <t>SRID=4326;POINT(-92.7682795917 37.9804300443)</t>
  </si>
  <si>
    <t xml:space="preserve">1 Q. alba 
1 sassafras 
2 black oak 
1 mockernut hickory </t>
  </si>
  <si>
    <t>aa1e5d2a-8e30-4758-889d-c5b0b426072a,bb40db72-8307-4d1e-ba17-2a9d0d344a12</t>
  </si>
  <si>
    <t>5ca3bcee-7cf5-4609-b650-115c5d3161a5</t>
  </si>
  <si>
    <t>95c6cc9e-8118-477f-a2c0-319eea522dd7</t>
  </si>
  <si>
    <t xml:space="preserve">Low leaves close to trunk </t>
  </si>
  <si>
    <t>81193fbc-ae0d-4aa6-9b99-d33aef618548</t>
  </si>
  <si>
    <t>2022-10-06 16:58:57 UTC</t>
  </si>
  <si>
    <t>SRID=4326;POINT(-92.7687357367 37.9768617126)</t>
  </si>
  <si>
    <t xml:space="preserve">1 sugar maple 
2 Q. alba
1 white ash </t>
  </si>
  <si>
    <t xml:space="preserve">American hog peanut, poison ivy, fragrant sumac, coral berry, sunflower, Virginia creeper, hickory </t>
  </si>
  <si>
    <t xml:space="preserve">Open forest </t>
  </si>
  <si>
    <t>4d041dd4-c46f-42d6-8558-9c0faaced381,657ba2aa-0673-4600-889f-9202477a7c5c</t>
  </si>
  <si>
    <t>873a2490-f23b-49f9-b893-0ca8db511fc2</t>
  </si>
  <si>
    <t>9f949087-08a3-4bef-946c-97e09f83ad59</t>
  </si>
  <si>
    <t>6f21287f-6c9b-422c-b490-d8b25d6fb00d</t>
  </si>
  <si>
    <t>2022-10-06 16:58:40 UTC</t>
  </si>
  <si>
    <t>SRID=4326;POINT(-92.7687253431 37.9772311868)</t>
  </si>
  <si>
    <t xml:space="preserve">1 Q. alba 
2 black oak 
1 Q. stellata </t>
  </si>
  <si>
    <t xml:space="preserve">Lespedeza, redbud, American hog peanut, strawberries (or some rubus), Virginia creeper, young oaks, aster </t>
  </si>
  <si>
    <t xml:space="preserve"> dry forest, minimal vegetation </t>
  </si>
  <si>
    <t>d38b857e-174e-46fe-81f0-d10db521c259,2351b5c6-9272-499f-a4a6-30af195815e2</t>
  </si>
  <si>
    <t>563ff62e-a7e7-4d97-969c-9fdc87233164</t>
  </si>
  <si>
    <t>0aad172a-ae98-496f-a131-1090e30978e0</t>
  </si>
  <si>
    <t>5dd47506-3ff0-4221-86b9-5e4adbd93002</t>
  </si>
  <si>
    <t>2022-10-06 16:58:24 UTC</t>
  </si>
  <si>
    <t>SRID=4326;POINT(-92.7717410681 37.9802541621)</t>
  </si>
  <si>
    <t xml:space="preserve">2 red oak 
2 Q. muehlenbergii 
1 Q. stellata </t>
  </si>
  <si>
    <t xml:space="preserve">Sunflower, fragrant sumac, lespedeza/ground clover, greenbrier, common persimmon (?) </t>
  </si>
  <si>
    <t>ec51ac18-63c9-4b44-aa98-98c38858379d,0851837d-d7d3-4364-acfd-c470ad4140cb</t>
  </si>
  <si>
    <t>43771cd5-077b-4ddc-bd11-dded06457a2e</t>
  </si>
  <si>
    <t>6c34ba9f-4d8e-47a3-9b2a-836fe6073847</t>
  </si>
  <si>
    <t xml:space="preserve">Sun exposed leaves </t>
  </si>
  <si>
    <t>53b3f26f-7b00-47b9-b23f-2f5fa7f21c43</t>
  </si>
  <si>
    <t>2022-10-06 16:58:09 UTC</t>
  </si>
  <si>
    <t>SRID=4326;POINT(-92.7728553583 37.9800237017)</t>
  </si>
  <si>
    <t>1 American persimmon 
1 buckthorn (? - photo of leaves)</t>
  </si>
  <si>
    <t xml:space="preserve">Fragrant sumac, sunflower, dogwood, redbud </t>
  </si>
  <si>
    <t xml:space="preserve">Hillside, open grassy area near wooded area </t>
  </si>
  <si>
    <t>ca8cda72-296a-49f7-bb34-6d24cad26f0f,c9a51eb5-5de2-4e59-88d4-6ff2db14790a</t>
  </si>
  <si>
    <t>7e8e9ba3-4477-487c-bd3e-0c64399cf45c</t>
  </si>
  <si>
    <t>a0436690-e87e-402a-bde3-3e97c6577140</t>
  </si>
  <si>
    <t>b40877a4-79e2-4a94-9abc-8f0a59f1fff3</t>
  </si>
  <si>
    <t xml:space="preserve">Two trunks 19.5,14.2
Sun exposed, low leaves </t>
  </si>
  <si>
    <t>32f724b3-911d-4951-b499-2ec29a0abdd9</t>
  </si>
  <si>
    <t>2022-10-06 16:57:33 UTC</t>
  </si>
  <si>
    <t>SRID=4326;POINT(-92.77019226 37.9801343428)</t>
  </si>
  <si>
    <t xml:space="preserve">3 Q. muehlenbergii 
2 black oak 
1 eastern red cedar 
</t>
  </si>
  <si>
    <t xml:space="preserve">Redbud, Carolina buckthorn, fragrant sumac </t>
  </si>
  <si>
    <t>Edge of forested area and open meadow</t>
  </si>
  <si>
    <t>84964485-7888-4237-8b23-a2343664590a,8a33ebea-da67-408b-a39a-9a30f27b64a0,c32ea8ed-0fa9-4623-938d-6f6d4b3ccca7</t>
  </si>
  <si>
    <t>d1d4bcce-e76d-46dd-8746-6949b33e846c</t>
  </si>
  <si>
    <t>674f70a5-4746-48c0-b4c7-af4b3283eacb</t>
  </si>
  <si>
    <t>67467e7c-cac4-4805-bae1-42fc8b4f1cac</t>
  </si>
  <si>
    <t>2022-10-06 14:46:27 UTC</t>
  </si>
  <si>
    <t>SRID=4326;POINT(-90.5750936923 38.5116736964)</t>
  </si>
  <si>
    <t xml:space="preserve">1 sugar maple 
1 black oak 
2 q. alba
1 Q. muehlenbergii 
1 ash 
</t>
  </si>
  <si>
    <t>American hog peanut, dogwood, redbud, fragrant sumac, sassafras, grass</t>
  </si>
  <si>
    <t xml:space="preserve">Rocky hill, low foliage, wooded area </t>
  </si>
  <si>
    <t>94b37945-55d1-4c62-b700-e11d1830ffb1,3a464851-1e69-456e-8390-5e0ad300903e</t>
  </si>
  <si>
    <t>fd1c462b-b47c-4a4f-b1a5-9cbac7339e48</t>
  </si>
  <si>
    <t>631113a1-d6e2-40c8-8639-b5c9b0c8e286</t>
  </si>
  <si>
    <t>cb018347-d56c-4c5d-a597-4d7cac212276</t>
  </si>
  <si>
    <t>b844e90a-847d-4692-bed3-63f9e1fdd6c8</t>
  </si>
  <si>
    <t>2022-10-06 14:45:31 UTC</t>
  </si>
  <si>
    <t>SRID=4326;POINT(-90.5574792193 38.5125178729)</t>
  </si>
  <si>
    <t xml:space="preserve">4 red oak 
2 black oak 
1 Q. alba 
</t>
  </si>
  <si>
    <t xml:space="preserve">Ash, hickory, Carolina buckthorn, false buckthorn, American hog peanut </t>
  </si>
  <si>
    <t xml:space="preserve">Wooded area, sparse, low foliage </t>
  </si>
  <si>
    <t>c76db81d-256b-4236-9437-78233cc5b320,a3a9b155-39a7-424a-b089-5d46f76851cc</t>
  </si>
  <si>
    <t>9cc42413-3185-45cf-aa2d-a8bed9bbb7a4</t>
  </si>
  <si>
    <t>4c625049-e4bd-4aa3-9885-2ca02cb599cd</t>
  </si>
  <si>
    <t>ac5d8e7a-ea46-4a91-a562-76aab92cb3ef</t>
  </si>
  <si>
    <t>2022-10-06 14:44:06 UTC</t>
  </si>
  <si>
    <t>SRID=4326;POINT(-90.5760678052 38.5123072652)</t>
  </si>
  <si>
    <t xml:space="preserve">1 red oak
2 white oak
4 black oak 
1 sugar maple 
</t>
  </si>
  <si>
    <t xml:space="preserve">Fragrant sumac, Virginia creeper, redbud, American hog peanut </t>
  </si>
  <si>
    <t xml:space="preserve">Hillside, low foliage, wooded forest </t>
  </si>
  <si>
    <t>9e407851-206f-4abb-ba9f-51ae049e7494,c0f9ff06-6440-4652-9b65-c86bc96b4371</t>
  </si>
  <si>
    <t>7edfced0-79db-469d-9667-d12ae9b179f8</t>
  </si>
  <si>
    <t>e673f467-1e6b-48d0-85c3-a71e07714846</t>
  </si>
  <si>
    <t>Subcanopy leaves 
Tagged 01-0227</t>
  </si>
  <si>
    <t>9c87ca9e-b4d0-4c9d-8af5-a7df8750b0da</t>
  </si>
  <si>
    <t>2022-10-06 14:43:51 UTC</t>
  </si>
  <si>
    <t>SRID=4326;POINT(-90.5601177927 38.5261255485)</t>
  </si>
  <si>
    <t xml:space="preserve">2 Q. Stellata 
1 red oak 
1 ash </t>
  </si>
  <si>
    <t xml:space="preserve">Inland wood oats, American hog peanut, fragrant sumac, Carolina buckthorn, </t>
  </si>
  <si>
    <t xml:space="preserve">Low foliage, wooded area </t>
  </si>
  <si>
    <t>4e75734c-c5d5-49a7-90a9-3e6948e12a8d,7c5361c9-7ead-4e06-b616-58e7a225ee3d</t>
  </si>
  <si>
    <t>e919f4cd-a8aa-4c8b-9d35-806daf21fba8</t>
  </si>
  <si>
    <t>6b7b672f-5da0-418f-9f7d-be67dac416b8</t>
  </si>
  <si>
    <t>Understory leaves 
2 trunks - 29.3,18.6</t>
  </si>
  <si>
    <t>5b9f760d-ac9b-4ecc-b28a-7d24136fba8b</t>
  </si>
  <si>
    <t>2022-10-06 14:43:27 UTC</t>
  </si>
  <si>
    <t>SRID=4326;POINT(-90.5574624882 38.5130176587)</t>
  </si>
  <si>
    <t xml:space="preserve">1 ash 
3 red oak </t>
  </si>
  <si>
    <t xml:space="preserve">Fragrant sumac, clover, </t>
  </si>
  <si>
    <t xml:space="preserve">Wooded area, taller foliage </t>
  </si>
  <si>
    <t>198e3e5c-f2aa-45ca-bfed-1a9f8f2baf15,51c0da0e-e600-4fb7-b55c-f88634a64cb4</t>
  </si>
  <si>
    <t>98fa8b5a-8ae0-4ee7-aca8-247b9381e4c0</t>
  </si>
  <si>
    <t>b01b0587-ff24-4add-b4c0-1ed37899addd</t>
  </si>
  <si>
    <t>2f685072-12df-4996-a0bb-9e405409c66f</t>
  </si>
  <si>
    <t>2022-10-06 14:43:02 UTC</t>
  </si>
  <si>
    <t>SRID=4326;POINT(-90.5753967819 38.5117446911)</t>
  </si>
  <si>
    <t xml:space="preserve">2 sugar maple 
1 sassafras 
1 slippery elm
1 white ash 
1 red oak 
</t>
  </si>
  <si>
    <t xml:space="preserve">Redbud, Carolina buckthorn, American hog peanut, Virginia creeper, black oak, dogwood, honeysuckle, </t>
  </si>
  <si>
    <t xml:space="preserve">Hillside, rocky low foliage, wooded </t>
  </si>
  <si>
    <t>29423081-0a06-4aca-a7e4-b0b547ff739b,5e17066f-f998-4f34-b27b-525924bc2669</t>
  </si>
  <si>
    <t>83bef560-b489-4a94-84c3-fba1a089d360</t>
  </si>
  <si>
    <t>d2c19d1f-ea52-4f96-9562-a467e1daaf08</t>
  </si>
  <si>
    <t>2646009f-4b4a-465f-9589-7e6886009134</t>
  </si>
  <si>
    <t>2022-10-06 14:42:43 UTC</t>
  </si>
  <si>
    <t>SRID=4326;POINT(-90.5762341403 38.5123797306)</t>
  </si>
  <si>
    <t xml:space="preserve">2 Q alba 
1 red oak 
1 shagbark hickory
3 Q. Muehlenbergii 
1 unknown look at pictures (possibly elm or linden ) 
2 black oak </t>
  </si>
  <si>
    <t xml:space="preserve">Virginia creeper, fragrant sumac, redbud, American hog peanut, grass, </t>
  </si>
  <si>
    <t xml:space="preserve">Hillside, rocky ground, low foliage, wooded </t>
  </si>
  <si>
    <t>b4686a8f-4ba1-42b5-bd60-368a8a03f91c,e71b44c8-7570-4ef5-84a0-cd46883618d2</t>
  </si>
  <si>
    <t>006585e9-d32f-4849-8372-f383c590ddd9</t>
  </si>
  <si>
    <t>b3d1d2c9-dd2c-4eae-9c90-70f9bd262fa6</t>
  </si>
  <si>
    <t>b357db0f-b947-4293-b9ca-bef595aa7691,fc43ac26-5d56-4d54-bb1e-cf3127cfe23f,b9eefb03-5cfb-4858-ba37-7ff2aa4f9047</t>
  </si>
  <si>
    <t xml:space="preserve">Tagged as SPFD
01-0162
Subcanopy leaves </t>
  </si>
  <si>
    <t>38245444-6e6b-4d34-8a61-0e280a2901d8</t>
  </si>
  <si>
    <t>2022-10-06 14:40:09 UTC</t>
  </si>
  <si>
    <t>SRID=4326;POINT(-90.5369133689 38.5470757541)</t>
  </si>
  <si>
    <t>Castlewood State Park</t>
  </si>
  <si>
    <t>MGLS</t>
  </si>
  <si>
    <t xml:space="preserve">1 American sycamore 
1 hackberry </t>
  </si>
  <si>
    <t xml:space="preserve">Sunflower, American hog peanut, Virginia creeper, pawpaw, hackberry, American jump seed, </t>
  </si>
  <si>
    <t xml:space="preserve">Shrubby woods </t>
  </si>
  <si>
    <t>e640c2c8-0681-4d17-9a5e-c9e2e2944fee,61f5a535-0f65-43dd-89bf-20f7c75e314b,1a210e62-de0d-41a4-9701-8f305330653c,d86329a6-be9a-45c7-a6cc-fd10b22a8709</t>
  </si>
  <si>
    <t>abe1f3c8-1976-4451-ba21-814886efce08</t>
  </si>
  <si>
    <t>25b6e60c-f2a6-4b5e-a179-54640a70b0ee</t>
  </si>
  <si>
    <t>ca628216-1bed-4c5f-90b3-33c758f69863</t>
  </si>
  <si>
    <t>b0cc0075-672b-4c25-a732-34f2219932f9</t>
  </si>
  <si>
    <t>2022-09-18 21:18:14 UTC</t>
  </si>
  <si>
    <t>SRID=4326;POINT(-82.03978358775566 39.348630826025754)</t>
  </si>
  <si>
    <t xml:space="preserve">1 Acer 
2 Buckeye 
2 red oak group 
</t>
  </si>
  <si>
    <t xml:space="preserve">Black cohosh
American hog peanut 
Aster ?
Early meadow rue
Jacobs ladder
SolomonΓÇÖs sealAmerican jumpseed
Shield fern 
Sharp loved hepatica </t>
  </si>
  <si>
    <t xml:space="preserve">Hillside bank of lake, shrubby </t>
  </si>
  <si>
    <t>21af9849-97d2-42b0-a28c-d0c2000d85a3,506b9d36-9413-4967-8eff-9453649ec89f</t>
  </si>
  <si>
    <t>e035fc8a-bac4-463b-9124-43ca19999668</t>
  </si>
  <si>
    <t>1335eda3-8b5c-4dd3-b10e-7433b326f0c6</t>
  </si>
  <si>
    <t xml:space="preserve">Need pole pruners 
Partial shade </t>
  </si>
  <si>
    <t>452b2d64-552f-4081-b0b4-1732a2a30e7e</t>
  </si>
  <si>
    <t>2022-09-18 21:18:13 UTC</t>
  </si>
  <si>
    <t>SRID=4326;POINT(-82.03679208651374 39.346969407088444)</t>
  </si>
  <si>
    <t xml:space="preserve">1 Carya 
2 Red oak group 
1 Q. Alba 
3 Buckeyes </t>
  </si>
  <si>
    <t xml:space="preserve">Pawpaw 
Ulmus 
Viola 
Acer 
Carex 
American jumpseed </t>
  </si>
  <si>
    <t>38e553bd-109f-4156-ab48-9a32f1bb9ba3,95799571-e660-4133-acd5-95ab390f1360</t>
  </si>
  <si>
    <t>900b55a3-e540-4a6d-89c0-ce900779bb63</t>
  </si>
  <si>
    <t>c503e10e-485c-4a99-890e-7740247f9e6f</t>
  </si>
  <si>
    <t xml:space="preserve">Need pole pruners
Subcanopy leaves </t>
  </si>
  <si>
    <t>1404cbcd-b429-41d6-9f93-f978cc7c40b0</t>
  </si>
  <si>
    <t>2022-09-18 21:18:12 UTC</t>
  </si>
  <si>
    <t>SRID=4326;POINT(-82.0346550675396 39.34554338387626)</t>
  </si>
  <si>
    <t>1 Sassafras 
1 Q. alba 
1 Carya
1 olive 
4 tulip tree
2 unknown - see photos (Nyssa??)</t>
  </si>
  <si>
    <t>American hog peanut
Aster? 
Carya 
Shield fern 
Brambles
Ulmus
Low smartweed</t>
  </si>
  <si>
    <t xml:space="preserve">Hillside bank of a lake. Deciduous forest </t>
  </si>
  <si>
    <t>70466691-3284-4ece-8e12-2135dad42461,40acba2a-2c41-46c6-99a7-ac035d8d01d1,08d6299f-ffef-4ebe-8bc4-7ad8d1488082</t>
  </si>
  <si>
    <t>745c16e1-576a-446b-b76d-84cb1650dd2f</t>
  </si>
  <si>
    <t>090e6401-8394-4d01-96f7-a3b18d91bc37</t>
  </si>
  <si>
    <t>33329e7e-d9c8-47cf-bef7-470c41fa7ec3</t>
  </si>
  <si>
    <t>e58cf875-8d12-4f9c-977f-c23d8502936f</t>
  </si>
  <si>
    <t>2022-09-17 14:10:40 UTC</t>
  </si>
  <si>
    <t>SRID=4326;POINT(-86.52412324220549 39.168249880931654)</t>
  </si>
  <si>
    <t xml:space="preserve">Indiana University Campus </t>
  </si>
  <si>
    <t>Seeds mature</t>
  </si>
  <si>
    <t xml:space="preserve">All planted </t>
  </si>
  <si>
    <t xml:space="preserve">cultivated </t>
  </si>
  <si>
    <t xml:space="preserve">Near creek on lawn </t>
  </si>
  <si>
    <t>89dee518-3fb1-44d9-83de-79980032317f,3680b8d0-d09e-4041-aaa3-4c888badc1e2,9e345ed7-b271-4628-8ad4-a20cccc7430b</t>
  </si>
  <si>
    <t>39c69bea-8029-4fc3-8c79-77a28d4123d3</t>
  </si>
  <si>
    <t>a0a4831d-36c8-4d3f-bcf4-b4e8e8cde6b9</t>
  </si>
  <si>
    <t>35c382a9-2f26-4477-b2fa-72d69553a9e5</t>
  </si>
  <si>
    <t xml:space="preserve">Untagged and unflagged 
No need for like pruners </t>
  </si>
  <si>
    <t>c8adec0e-9c77-4b83-b416-3e477a0dcb44</t>
  </si>
  <si>
    <t>2022-09-17 14:10:39 UTC</t>
  </si>
  <si>
    <t>SRID=4326;POINT(-86.50100461215386 39.18813582047744)</t>
  </si>
  <si>
    <t xml:space="preserve">9 Acer sp
3 Red oak group 
1 Carya sp
1 Beech </t>
  </si>
  <si>
    <t xml:space="preserve">Virginia creeper 
Grasses 
Poison ivy </t>
  </si>
  <si>
    <t xml:space="preserve">Top of steep bank of dry/old river, forest with little underbrush </t>
  </si>
  <si>
    <t>ef0f157d-2398-4468-93dd-e47343b63ecc,97813f10-8ff5-4415-98df-9700cb20dab0</t>
  </si>
  <si>
    <t>ed6c366d-4f44-4d56-aaf7-b32a04008c8f</t>
  </si>
  <si>
    <t>524aea32-b68e-4f52-a978-a832b9bb9a30</t>
  </si>
  <si>
    <t>d65e1ffe-8272-45f8-9674-07d323724650</t>
  </si>
  <si>
    <t xml:space="preserve">Need pole pruners
Partial shade leaves 
Not tagged, flagged </t>
  </si>
  <si>
    <t>b50c72bc-6989-467e-bd34-0f55ce5f0da3</t>
  </si>
  <si>
    <t>2022-09-17 14:10:38 UTC</t>
  </si>
  <si>
    <t>SRID=4326;POINT(-86.49931624539802 39.188756500407294)</t>
  </si>
  <si>
    <t xml:space="preserve">1 sassafras 
1 Q. alba 
1 Carya sp
2 beech 
4 Acer </t>
  </si>
  <si>
    <t xml:space="preserve">Carex
Barberry </t>
  </si>
  <si>
    <t xml:space="preserve">Hillside forest with low and sparse underbrush </t>
  </si>
  <si>
    <t>e285930b-4fda-44b7-90ae-1f29cd18400c,219ff1ea-4156-4dc2-87ab-d32971161ec5</t>
  </si>
  <si>
    <t>2e6b0e58-6bfe-4c09-b533-2aa1d025eb90</t>
  </si>
  <si>
    <t>f4e590d2-7786-4797-a935-4c1de2d2da51</t>
  </si>
  <si>
    <t xml:space="preserve">Need pole pruners
Flagged not tagged </t>
  </si>
  <si>
    <t>a906cb1d-b944-4ce9-bd42-0a6f7baa67f7</t>
  </si>
  <si>
    <t>SRID=4326;POINT(-86.49975956425676 39.189637815616265)</t>
  </si>
  <si>
    <t>4 Acer 
1 Red oak group 
1 American beech 
1 Carya ?
1 Tilia 
2 black cherry</t>
  </si>
  <si>
    <t xml:space="preserve">Shield fern 
Carex 
American jumpseed 
Poison ivy 
Pawpaw
</t>
  </si>
  <si>
    <t xml:space="preserve">Hillside forest, minimal underbrush </t>
  </si>
  <si>
    <t>c7ab5d2c-9941-4475-bb1b-315212589fa3,3b237d3e-d28a-443b-9d5e-df1ccbc9cd86</t>
  </si>
  <si>
    <t>aa819afc-c354-44be-9be7-2db9aa7d7ea1</t>
  </si>
  <si>
    <t>39be85f1-5780-43af-8eff-c3d77d6368cc</t>
  </si>
  <si>
    <t>876e62c4-c2b5-4c58-a221-1335eb451153</t>
  </si>
  <si>
    <t>2022-09-17 14:10:37 UTC</t>
  </si>
  <si>
    <t>SRID=4326;POINT(-86.5012531355829 39.189364356025294)</t>
  </si>
  <si>
    <t xml:space="preserve">3 Quercus sect Lobatae 
4 Acer 
1 Q. muehlenbergii 
1 Q. Alba </t>
  </si>
  <si>
    <t xml:space="preserve">Carex 
Grasses? 
</t>
  </si>
  <si>
    <t xml:space="preserve">Hillside forest, low and little underbrush, near lake </t>
  </si>
  <si>
    <t>b8b9ebc4-6039-4394-aeef-6c4ff791757d,ac53c80e-cc59-4513-98c1-c2dec833492a</t>
  </si>
  <si>
    <t>8507ec8f-3a1c-45c1-99d2-ceb14dd567b7</t>
  </si>
  <si>
    <t>45f34ff3-cb88-4cf1-9139-0cd58baaba62</t>
  </si>
  <si>
    <t xml:space="preserve">Need pole pruners
Shade leaves 
Not tagged(none this day are) but flagged </t>
  </si>
  <si>
    <t>bcb441d7-a248-4d37-95e2-c8813886a636</t>
  </si>
  <si>
    <t>2022-09-17 14:10:33 UTC</t>
  </si>
  <si>
    <t>SRID=4326;POINT(-86.54141621946422 39.2159412437678)</t>
  </si>
  <si>
    <t xml:space="preserve">
1 Q. macrocarpa 
2 Juglans 
1 Platanus </t>
  </si>
  <si>
    <t xml:space="preserve">Fraxinus 
Sanicles 
Celtis 
Jewelweed 
Ulmus 
Poison ivy </t>
  </si>
  <si>
    <t>Bottom of hill forest, shrubby</t>
  </si>
  <si>
    <t>b8e9cf17-dd29-48fa-b13e-357213ff8bd8,ea3960de-873b-4c32-88c9-8d9c42f069d0</t>
  </si>
  <si>
    <t>182e83cd-ab28-44fc-ab61-1e7984d56a18</t>
  </si>
  <si>
    <t>d2699fcf-edad-4860-a5bc-328d7285dfe5</t>
  </si>
  <si>
    <t xml:space="preserve">Accessible
No flag or tag </t>
  </si>
  <si>
    <t>06e896b5-782c-4c3e-935b-3dbc991d8bbf</t>
  </si>
  <si>
    <t>2022-09-17 14:10:32 UTC</t>
  </si>
  <si>
    <t>SRID=4326;POINT(-86.54263383716953 39.22169704459535)</t>
  </si>
  <si>
    <t xml:space="preserve">2 Juglans 
1 tulip tree
1 sycamore 
1 ulmus </t>
  </si>
  <si>
    <t xml:space="preserve">Wood nettle 
Ragweed 
American hog peanut 
Sassafras 
Viola 
Wingstem 
Elders </t>
  </si>
  <si>
    <t xml:space="preserve">Edge of dense wooded area and experimental field </t>
  </si>
  <si>
    <t>52d06d78-587d-4782-a1ab-15a27392fa09,57f8c69f-04ea-4005-b17c-ca4cff2ae971</t>
  </si>
  <si>
    <t>a8654203-674d-4fdc-bf6f-bbdb17f0afb9</t>
  </si>
  <si>
    <t>c01d40f1-33d1-479e-807a-29b3c8a071cf</t>
  </si>
  <si>
    <t>23188983-a421-46db-a750-51f8da073097</t>
  </si>
  <si>
    <t xml:space="preserve">DonΓÇÖt need pole pruners 
Flagged not tagged </t>
  </si>
  <si>
    <t>a55680b0-5bb8-4da6-a5ea-1b2487ecd226</t>
  </si>
  <si>
    <t>2022-09-15 20:46:22 UTC</t>
  </si>
  <si>
    <t>SRID=4326;POINT(-85.51039961174644 40.455270702988514)</t>
  </si>
  <si>
    <t xml:space="preserve">1 Q. alba 
1 Ulmus 
2 Acer </t>
  </si>
  <si>
    <t>Northern spicebush 
Poison ivy 
Fraxinus 
Spicules
American jump seed</t>
  </si>
  <si>
    <t>7496cd85-f33e-42f6-8f6e-4fa2d070ef6d,1539af91-952e-4862-bd2a-d09ef56eb5a4</t>
  </si>
  <si>
    <t>6a173379-22b0-470f-b0ba-250bbfac74bc</t>
  </si>
  <si>
    <t>86a2a0b1-58c7-42a8-acb1-10c2244ded2e</t>
  </si>
  <si>
    <t xml:space="preserve">Can reach some leaves without pole pruners 
Partial sun </t>
  </si>
  <si>
    <t>b6c7c588-725c-44ae-ac26-bd5529993af8</t>
  </si>
  <si>
    <t>2022-09-15 20:46:21 UTC</t>
  </si>
  <si>
    <t>SRID=4326;POINT(-85.51050094895578 40.45548217840535)</t>
  </si>
  <si>
    <t xml:space="preserve">4 Q. bicolor </t>
  </si>
  <si>
    <t xml:space="preserve">Poison ivy 
Northern spice bush </t>
  </si>
  <si>
    <t xml:space="preserve">Riparian Q. bicolor stand </t>
  </si>
  <si>
    <t>ab8fdb05-adb8-47ca-bedd-73b863164d9b,ebdc6873-392c-425e-a0f0-dcf383351ebb</t>
  </si>
  <si>
    <t>19eca5b6-9c30-4079-a950-c74ba85d583a,b4aa5e74-d1e4-4724-b982-8677a086421e</t>
  </si>
  <si>
    <t>bd40328d-2a31-4b02-a987-a44691695976</t>
  </si>
  <si>
    <t>25623cb2-f529-4c84-accd-710fe500dceb</t>
  </si>
  <si>
    <t xml:space="preserve">Easy to get with pole pruners </t>
  </si>
  <si>
    <t>cf533ca3-c6b7-4a04-8def-cf50e7dc8e39</t>
  </si>
  <si>
    <t>2022-09-15 20:46:17 UTC</t>
  </si>
  <si>
    <t>SRID=4326;POINT(-85.51155924805022 40.4566610092674)</t>
  </si>
  <si>
    <t xml:space="preserve">1 Juglans 
2 Q. alba 
2 Acer 
1 Carya </t>
  </si>
  <si>
    <t>Carex sp
Sanicles 
Ribes 
Virginia creeper 
Northern spicebush 
Pawpaw</t>
  </si>
  <si>
    <t>9699352f-3567-43aa-a2bb-501df703f2e0,8831ebf3-e46a-4ce9-99e6-912b919a7f73</t>
  </si>
  <si>
    <t>a4d21573-5c33-47c1-93b5-61a8806352ee</t>
  </si>
  <si>
    <t>230d849b-32a0-4e0b-a20d-dfb6505496bc</t>
  </si>
  <si>
    <t>fee7d631-287e-4f64-8496-548eb848b12e</t>
  </si>
  <si>
    <t>2022-09-15 00:57:42 UTC</t>
  </si>
  <si>
    <t>SRID=4326;POINT(-86.92986737013509 40.43713339608203)</t>
  </si>
  <si>
    <t xml:space="preserve">5 Acer sp
1 Carya sp
1 red oak groups </t>
  </si>
  <si>
    <t xml:space="preserve">Carya 
Acer 
Virginia creeper 
Rattlesnakeroots 
Smilax sp
American jump seed </t>
  </si>
  <si>
    <t xml:space="preserve">Lots of saplings as underbrush, forest </t>
  </si>
  <si>
    <t>09b81ee2-c2e7-45bd-b2c5-965f769357d1,51684e72-c2fb-4d6e-8653-9f3fd98a2408</t>
  </si>
  <si>
    <t>1706a40c-72ab-44d6-8689-1296420ade12</t>
  </si>
  <si>
    <t>ed491154-f37e-418b-909b-c7e5544ae97c</t>
  </si>
  <si>
    <t>9b3caac4-0ce4-4adb-86a9-74922ebb95fc</t>
  </si>
  <si>
    <t>2022-09-15 00:57:41 UTC</t>
  </si>
  <si>
    <t>SRID=4326;POINT(-86.92898810849239 40.43698654513847)</t>
  </si>
  <si>
    <t xml:space="preserve">2 Q. alba 
5 Acer sp </t>
  </si>
  <si>
    <t xml:space="preserve">Rosette grasses
Wood nettle 
Garlic mustard 
Acer </t>
  </si>
  <si>
    <t xml:space="preserve">Marsh/creek bed forest with dense underbrush, </t>
  </si>
  <si>
    <t>3092498e-8081-430d-bdb2-0d14e50dc69b,d6605f4c-42f9-453b-bb94-f6ffbcc052f1</t>
  </si>
  <si>
    <t>5634b049-61a2-4398-abdb-127e77619fe1</t>
  </si>
  <si>
    <t>56c11260-7b89-4543-884e-8cae4b08d841</t>
  </si>
  <si>
    <t xml:space="preserve">Subcanopy leaves 
Need a pole pruners </t>
  </si>
  <si>
    <t>7fa759d5-3e53-47bb-b66f-3f14aa4943d0</t>
  </si>
  <si>
    <t>SRID=4326;POINT(-86.93098333672334 40.43852370236128)</t>
  </si>
  <si>
    <t xml:space="preserve">1 Celtis 
1 Ulmus 
2 Acer 
1 Juglans 
</t>
  </si>
  <si>
    <t xml:space="preserve">Wood nettle 
Virginia creeper 
Acer 
Rosette grasses 
</t>
  </si>
  <si>
    <t xml:space="preserve">Clay like souls, dense underbrush forest </t>
  </si>
  <si>
    <t>2d267ce1-d335-4be4-a4a3-57660fe6b375,e10433cd-10b5-4559-b3b4-b3b486e08416</t>
  </si>
  <si>
    <t>ddc07b3b-c131-4a8c-b2d3-f073361a657e</t>
  </si>
  <si>
    <t>cc8cf9d0-18c8-40f4-9a47-8fc06f15166d</t>
  </si>
  <si>
    <t>c0f25eb6-6920-4d0a-9a4d-142fd1164ded</t>
  </si>
  <si>
    <t>2022-09-15 00:57:40 UTC</t>
  </si>
  <si>
    <t>SRID=4326;POINT(-86.93108836197008 40.43848145756911)</t>
  </si>
  <si>
    <t xml:space="preserve">9 Acer sp 
1 Juglans 
1 Tilia </t>
  </si>
  <si>
    <t xml:space="preserve">Goldenrods 
Garlic mustard 
Acer 
Ulmus 
Carex 
Virginia creeper </t>
  </si>
  <si>
    <t xml:space="preserve">Flat forest with bushes and other ground cover plants </t>
  </si>
  <si>
    <t>b040e794-fc3d-40d5-bc9e-772a12204654,262112dd-976f-4c24-84a6-643e942e7a07</t>
  </si>
  <si>
    <t>85ab3c0e-8246-4be1-988e-1a06fb72cd6d</t>
  </si>
  <si>
    <t>8faf77d4-2875-4f48-b8e9-7496509a039d</t>
  </si>
  <si>
    <t xml:space="preserve">Not accessible 
Subcanopy leaves </t>
  </si>
  <si>
    <t>594b1b69-cd17-44e5-bce1-2eabcf015e87</t>
  </si>
  <si>
    <t>SRID=4326;POINT(-86.93358859986712 40.43703193314414)</t>
  </si>
  <si>
    <t xml:space="preserve">4 Carya sp
6 Acer sp
1 Q. alba 
1 red oak group </t>
  </si>
  <si>
    <t xml:space="preserve">Honeysuckle 
Carya 
Acer 
Grass? 
</t>
  </si>
  <si>
    <t xml:space="preserve">Little underbrush forest </t>
  </si>
  <si>
    <t>df15c6f7-f644-404e-a494-7bfde89e63c0,369dabb9-cd11-47b7-90bd-ac118a928b24,63080092-62c8-41d9-934b-179624704051</t>
  </si>
  <si>
    <t>2b487067-79b8-49fd-bcbd-bcfe2149be77</t>
  </si>
  <si>
    <t>a6f94244-91af-4dfd-abd6-27cfd957f5f0</t>
  </si>
  <si>
    <t xml:space="preserve">Hard even with pole pruners 
Shade leaves </t>
  </si>
  <si>
    <t>d4bfaa59-2c6b-475a-8279-e547c30c66dc</t>
  </si>
  <si>
    <t>2022-09-15 00:57:39 UTC</t>
  </si>
  <si>
    <t>SRID=4326;POINT(-86.93421606913854 40.43667804919224)</t>
  </si>
  <si>
    <t xml:space="preserve">5 Carya 
2 Ulmus
1 Q. alba 
1 Acer </t>
  </si>
  <si>
    <t xml:space="preserve">Virginia creeper 
Honeysuckle 
Garlic mustard 
Northern spice bush 
Running strawberry bush </t>
  </si>
  <si>
    <t xml:space="preserve">Soft soils, forest with little underbrush </t>
  </si>
  <si>
    <t>2dd2eaf6-df79-4099-afc4-96482108200f,1679d359-3d67-4718-b6ff-efb9ef15ed84</t>
  </si>
  <si>
    <t>6ef65810-41a4-4127-a929-2c354fbdf8c5</t>
  </si>
  <si>
    <t>36780bbf-5c27-4d2b-a973-28a540eca5be</t>
  </si>
  <si>
    <t xml:space="preserve">Difficult even with pole pruners to get leaves 
Shade leaves </t>
  </si>
  <si>
    <t>c32175d2-7477-45c1-9b49-52888af2a4ff</t>
  </si>
  <si>
    <t>2022-09-15 00:57:38 UTC</t>
  </si>
  <si>
    <t>SRID=4326;POINT(-86.93313606091489 40.43517710179131)</t>
  </si>
  <si>
    <t>1 Carya sp 
1 Acer sp</t>
  </si>
  <si>
    <t xml:space="preserve">Ulmus 
Honeysuckle 
American asters
Goldenrod 
Rosette grass 
Privets 
Acer 
</t>
  </si>
  <si>
    <t xml:space="preserve">Flat dense patch of forest between two trails </t>
  </si>
  <si>
    <t>741cb345-8325-456b-9d87-2c368727aa90,87dfa17f-6bec-456e-8862-e3cfd31aa7d6</t>
  </si>
  <si>
    <t>094ed865-bf17-4e19-86a8-7b3ca51b7b84,6e61082d-7dc0-408c-9612-89f25b22004f,07e6ff68-cad2-4312-9a92-1fdcac652f79</t>
  </si>
  <si>
    <t>c9715607-35ad-4835-8636-1cb52a40ea55</t>
  </si>
  <si>
    <t>82650716-db34-41ec-a005-d2df17ff7df0</t>
  </si>
  <si>
    <t>Almost accessible without pole pruners</t>
  </si>
  <si>
    <t>5a56005a-518c-450b-b34f-db01b216460c</t>
  </si>
  <si>
    <t>SRID=4326;POINT(-86.93279324107517 40.4373740824316)</t>
  </si>
  <si>
    <t xml:space="preserve">3 Q. alba 
1 Acer 
1 Ulmus </t>
  </si>
  <si>
    <t xml:space="preserve">Wood nettle
Northern spice bush 
Garlic mustard 
SolomonΓÇÖs seal </t>
  </si>
  <si>
    <t xml:space="preserve">Soft, clay soils, flat forest with shrubs and other ground cover </t>
  </si>
  <si>
    <t>64d5ba7a-6678-4135-bbb3-08078d62d4a7,0aeac231-4ea8-4a43-8d3e-c357aef00d6d</t>
  </si>
  <si>
    <t>93621e02-84e3-4d8e-bf20-9fd811945dda,835b239c-26a0-4e52-94e9-1a6e7eb2fcd8</t>
  </si>
  <si>
    <t>1fe92b73-fa05-4a08-bf74-0e31e8d02c18</t>
  </si>
  <si>
    <t>6f57788e-4a86-42e8-aad8-ea02563e5d05</t>
  </si>
  <si>
    <t>41e1a7f8-2fda-4d52-bacd-81c143f10500</t>
  </si>
  <si>
    <t>2022-09-15 00:57:37 UTC</t>
  </si>
  <si>
    <t>SRID=4326;POINT(-86.93253901795198 40.43771162167232)</t>
  </si>
  <si>
    <t xml:space="preserve">2 Carya 
2 Tilia 
</t>
  </si>
  <si>
    <t xml:space="preserve">Poison ivy 
Wood nettle 
Northern spicebush 
Virginia creeper 
Garlic mustard 
Acer 
</t>
  </si>
  <si>
    <t xml:space="preserve">Marshy, clay soils, shrubby forest </t>
  </si>
  <si>
    <t>e7506d84-f7cb-413d-8f2a-69b705901573,3d0fb32e-702e-4c1f-a641-536252fd501a</t>
  </si>
  <si>
    <t>9766ff9b-ec85-4a96-813b-da56327d8450</t>
  </si>
  <si>
    <t>03194019-5aec-4ca9-804f-f55396c86758</t>
  </si>
  <si>
    <t xml:space="preserve">Hard to reach even with pole pruners 
Shade leaves </t>
  </si>
  <si>
    <t>30b7f235-78b6-4fb4-8286-8db1a4da6d05</t>
  </si>
  <si>
    <t>2022-09-15 00:57:36 UTC</t>
  </si>
  <si>
    <t>SRID=4326;POINT(-86.93277404651691 40.43874024882953)</t>
  </si>
  <si>
    <t>7 Carya sp
6 Acer sp
1 Fraxinus sp.</t>
  </si>
  <si>
    <t xml:space="preserve">Fraxinus 
Goldenrod 
Poison ivy 
Bottlebrush grass 
Acer </t>
  </si>
  <si>
    <t xml:space="preserve">Flat forest with low underbrush </t>
  </si>
  <si>
    <t>84b65efc-efa5-4bb1-8ed4-bf782d362b37,9e1feda8-1083-4245-9904-36f85bc46013</t>
  </si>
  <si>
    <t>a6cce214-c3ac-4706-8809-7e05bfa1ac05</t>
  </si>
  <si>
    <t>05eed63e-0295-48f2-9421-eac52cf2209a</t>
  </si>
  <si>
    <t xml:space="preserve">Need pole pruners 
All trees at this site unflagged </t>
  </si>
  <si>
    <t>d1b73c26-9e7c-44e2-83ea-1cca71516ec5</t>
  </si>
  <si>
    <t>2022-09-15 00:57:27 UTC</t>
  </si>
  <si>
    <t>SRID=4326;POINT(-87.911855354987 42.18215917706693)</t>
  </si>
  <si>
    <t xml:space="preserve">2 Acer 
2 Q. macrocarpa </t>
  </si>
  <si>
    <t xml:space="preserve">Goldenrods 
American hog peanut 
Poison ivy 
Virginia creeper 
Wild geranium 
Erigeron sp
Great blue lobelia 
Carex 
Rosa sp 
Wild rye 
Common jewel weed </t>
  </si>
  <si>
    <t xml:space="preserve">Dense underbrush, forest </t>
  </si>
  <si>
    <t>89f81698-fc04-4fee-801d-deb18ef08384,d7f93120-99d9-4492-8475-a781e8462e2b,40e209da-8b50-4d34-afa7-0706a520d452</t>
  </si>
  <si>
    <t>648d4b9b-48b1-4563-a849-474a8248bac0</t>
  </si>
  <si>
    <t>8ad973a4-2d30-4468-a238-88f5898eafbd,5c20a1ec-4cc5-4747-b1f2-3fc7988fdae2</t>
  </si>
  <si>
    <t>bd9a1b74-b1c5-469c-b9e4-4d17ee707385</t>
  </si>
  <si>
    <t xml:space="preserve">Semi accessible </t>
  </si>
  <si>
    <t>5e882e1a-dbe2-4507-a4f2-1a171f04dc10</t>
  </si>
  <si>
    <t>2022-09-04 21:29:54 UTC</t>
  </si>
  <si>
    <t>SRID=4326;POINT(-96.97362240412922 32.63523717879563)</t>
  </si>
  <si>
    <t xml:space="preserve">2 Ulmus 
3 cedar elm 
1 redbud </t>
  </si>
  <si>
    <t xml:space="preserve">Grasses 
Ulmus 
Spurges 
Aster 
</t>
  </si>
  <si>
    <t xml:space="preserve">Edge of grasslands, near river, top of hill </t>
  </si>
  <si>
    <t>1d33aaff-02af-4c85-879a-831e62f517d8,5eb76d97-3f6c-4475-9f75-9010da799bea</t>
  </si>
  <si>
    <t>4b33e527-3209-4d45-8363-13ff904a91e5</t>
  </si>
  <si>
    <t>f42835da-c25e-4c7c-95e9-c690e2b29c5a</t>
  </si>
  <si>
    <t>5656a26e-b772-49a7-815c-98591cb46cfe</t>
  </si>
  <si>
    <t>2022-09-04 11:53:17 UTC</t>
  </si>
  <si>
    <t>SRID=4326;POINT(-97.5834973902419 29.589123479118186)</t>
  </si>
  <si>
    <t xml:space="preserve">4 cedar elm 
1 Juglans 
1 Fraxinus? 
</t>
  </si>
  <si>
    <t xml:space="preserve">Inland oats
Straggle daisy 
Carex 
Turks cap 
</t>
  </si>
  <si>
    <t xml:space="preserve">Forest with grasses, drier than other areas of park </t>
  </si>
  <si>
    <t>092ceb7a-af5b-46d5-ab24-0849e607db5e,c15929c8-92e3-4495-9f37-ec1b3096f582</t>
  </si>
  <si>
    <t>e25fd592-79dd-4c67-92fd-8cf1950ae270</t>
  </si>
  <si>
    <t>159be55d-aba6-45f8-9bb9-149c9f274a47</t>
  </si>
  <si>
    <t>968ea7c6-0c37-48fc-9114-b4414794d58f</t>
  </si>
  <si>
    <t>SRID=4326;POINT(-97.58277143360822 29.589588590925175)</t>
  </si>
  <si>
    <t xml:space="preserve">1 red oak group 
1 Tilia 
1 Q. sinuata 
9 ulmus </t>
  </si>
  <si>
    <t>Inland oats 
Dwarf palmetto 
Trumpet vine 
Smilax sp</t>
  </si>
  <si>
    <t>Less marshy and underbrushy than other areas. Forest</t>
  </si>
  <si>
    <t>6612c0b5-c139-4b84-bd03-fe1e72d3c842,5031f47e-e6bf-4c4e-889e-b3b25a0669da</t>
  </si>
  <si>
    <t>f0baafd5-d874-44af-b746-3e4e4c1d8230</t>
  </si>
  <si>
    <t>69a58ca1-b05f-43a0-b46b-fd84d3bc26b9</t>
  </si>
  <si>
    <t>4c56e7ef-b11d-4426-bdc5-d9a8d83455a1</t>
  </si>
  <si>
    <t>2022-09-04 11:53:16 UTC</t>
  </si>
  <si>
    <t>SRID=4326;POINT(-97.58398454645423 29.587322501493233)</t>
  </si>
  <si>
    <t>4 cedar elm 
1 Q. macrocarpa 
2 Fraxinus ??
1 Celtis 
1 Palmetto</t>
  </si>
  <si>
    <t>Dwarf palmetto 
Inland oats 
Virginia creeper 
Smilax sp</t>
  </si>
  <si>
    <t xml:space="preserve">River floodplains, clay- like soils, dense underbrush forest </t>
  </si>
  <si>
    <t>6bbbbd11-d16f-4b90-b0cd-1d27e4452123,c4d2263a-70c8-4d31-900f-93e4324125cf</t>
  </si>
  <si>
    <t>f9fdf34d-cbb5-40d2-9ab3-94b5ae4660af</t>
  </si>
  <si>
    <t>94f161d2-569c-446c-b3de-6daf568b3ff2</t>
  </si>
  <si>
    <t xml:space="preserve">Definitely need pole pruners </t>
  </si>
  <si>
    <t>953f6a12-7e53-43e6-b6d0-2d2504b6e2a5</t>
  </si>
  <si>
    <t>SRID=4326;POINT(-97.58423675792066 29.587386706871573)</t>
  </si>
  <si>
    <t xml:space="preserve">3 Fraxinus ?
1 basswood
1 Platanus ? </t>
  </si>
  <si>
    <t xml:space="preserve">Poison ivy
Inland oats 
Frost weed 
Dwarf palmetto
</t>
  </si>
  <si>
    <t xml:space="preserve">Dense underbrush forest right next to still water </t>
  </si>
  <si>
    <t>4df565a6-482d-4281-bd84-0bc99242f1cc,805323ce-8617-4994-a879-01779b8af23b</t>
  </si>
  <si>
    <t>cff1cb00-1f95-4454-85bb-4cd5b9939b77</t>
  </si>
  <si>
    <t>c53bbf1d-2a16-411e-949d-2fdac9d41838</t>
  </si>
  <si>
    <t>3b534f62-74ee-4bbf-b7f8-1652858c8d5a</t>
  </si>
  <si>
    <t>132b23b6-5d6e-4bce-8cff-a0f6e3a7292a</t>
  </si>
  <si>
    <t>2022-09-04 11:46:07 UTC</t>
  </si>
  <si>
    <t>SRID=4326;POINT(-97.58407305935172 29.586589001146738)</t>
  </si>
  <si>
    <t>5 cedar elms 
1 ulmus sp?
1 Fraxinus??
2 Box elders</t>
  </si>
  <si>
    <t xml:space="preserve">Dwarf palmetto 
Carex 
</t>
  </si>
  <si>
    <t xml:space="preserve">Clay soils, marshy, river floodplains, dense underbrush forest </t>
  </si>
  <si>
    <t>de273f32-4843-40d2-8e33-f4321083e212,05de07e3-fe13-45c6-ba7c-bff124c8f79f</t>
  </si>
  <si>
    <t>d4bee0b5-516d-4e57-a49a-66d69352a664</t>
  </si>
  <si>
    <t>077fd63f-0cf1-43b8-b67d-7c16785de62b</t>
  </si>
  <si>
    <t>d854953c-7769-47bd-8ae6-9e0dffcac7ef</t>
  </si>
  <si>
    <t>4b436c7b-3113-4780-aae5-da02f7285e06</t>
  </si>
  <si>
    <t>SRID=4326;POINT(-97.58296958179919 29.587706225020426)</t>
  </si>
  <si>
    <t xml:space="preserve">2 Celtis sp.
1 Fraxinus sp??
2 Juglans 
2 cedar elm
1 Q. macrocarpa 
</t>
  </si>
  <si>
    <t>Dwarf palmetto 
Inland oats 
Carex 
Virginia creeper</t>
  </si>
  <si>
    <t xml:space="preserve">Marshy river floodplains first with dense underbrush </t>
  </si>
  <si>
    <t>1cb529de-b9f1-4422-854e-2c1b6c573f9c,fbd3037e-5b70-433c-a9a9-103cfe56df7d</t>
  </si>
  <si>
    <t>bdf02f68-3bbf-41a4-8aa0-4f840aa8323e</t>
  </si>
  <si>
    <t>bf3e7958-6ded-442e-b454-349ed077da04</t>
  </si>
  <si>
    <t xml:space="preserve">Somewhat accessible </t>
  </si>
  <si>
    <t>c53e3db2-519b-4bab-bc49-26b0457386de</t>
  </si>
  <si>
    <t>2022-09-04 11:46:06 UTC</t>
  </si>
  <si>
    <t>SRID=4326;POINT(-97.58222694517819 29.587284238105255)</t>
  </si>
  <si>
    <t xml:space="preserve">3 Celtis (sugar hackberry) 
1 Yaupon holly
5 ulmus
1 cedar elm 
1 Fraxinus? </t>
  </si>
  <si>
    <t xml:space="preserve">Dwarf palmettos 
Yaupon holly 
Paspalum sp
Frost weed </t>
  </si>
  <si>
    <t xml:space="preserve">Marshy, river floodplains, dense underbrush forest </t>
  </si>
  <si>
    <t>5f69f386-8702-41d3-999d-c7a47cc97cef,f53f9667-72ee-42fd-9aaa-d757f44000aa</t>
  </si>
  <si>
    <t>f6649c34-158f-4f7c-a498-57d1d0ac5f25</t>
  </si>
  <si>
    <t>79bd752d-a656-4a26-8835-aba0ef18281d</t>
  </si>
  <si>
    <t>8ca15dbd-b52b-4a22-bccd-60fddc1828db</t>
  </si>
  <si>
    <t>0455e9ee-ecdd-46ce-8bcd-f4d773be52e0</t>
  </si>
  <si>
    <t>2022-09-04 11:46:04 UTC</t>
  </si>
  <si>
    <t>SRID=4326;POINT(-97.58320310162155 29.58800788971557)</t>
  </si>
  <si>
    <t>3 cedar elm 
1 Q. macrocarpa 
1 Celtis
1 Hawthorn 
1 Fraxinus ?</t>
  </si>
  <si>
    <t xml:space="preserve">Palmetto 
Smilax sp
Virginia creeper
Inland oats 
</t>
  </si>
  <si>
    <t xml:space="preserve">Dense brush forest in river floodplains near marshy area </t>
  </si>
  <si>
    <t>413df6f9-2a5b-4807-9590-6b32e5940272,fedad93a-9fd9-46b9-a394-ea549ec30164,a3425423-372d-432a-b073-766740f57e8b</t>
  </si>
  <si>
    <t>947023ed-3c38-4347-89b2-47215004460e</t>
  </si>
  <si>
    <t>d1b0933b-52a5-48f1-8eda-eee81df4028b</t>
  </si>
  <si>
    <t>2778f309-88d1-4dfe-bf79-fc7506ff1815</t>
  </si>
  <si>
    <t>2022-09-04 11:46:03 UTC</t>
  </si>
  <si>
    <t>SRID=4326;POINT(-97.58326009856312 29.58806010897233)</t>
  </si>
  <si>
    <t xml:space="preserve">9 cedar elm 
1 Q. sinuata
1 celtis
1 ulmus 
1 Q. macrocarpa </t>
  </si>
  <si>
    <t xml:space="preserve">
Palmetto 
Carex 
Inland oats 
Trumpet vine? </t>
  </si>
  <si>
    <t xml:space="preserve">River floodplains, dense underbrush forest </t>
  </si>
  <si>
    <t>842b921b-2dda-4a29-918c-a332d228addb,0cbcca76-841b-45d6-ad09-e29db4c4af79</t>
  </si>
  <si>
    <t>f46db187-c9cd-432b-acc7-db7be6a45c42</t>
  </si>
  <si>
    <t>39123793-ecb6-41bc-823b-2c55dcff580b</t>
  </si>
  <si>
    <t>5dcb4e3e-5530-436b-aa09-7f68cebfc959</t>
  </si>
  <si>
    <t>836ac043-ce1a-4b82-8dde-b781e60af674</t>
  </si>
  <si>
    <t>2022-09-02 11:43:33 UTC</t>
  </si>
  <si>
    <t>SRID=4326;POINT(-95.60805430644714 29.37308378054702)</t>
  </si>
  <si>
    <t xml:space="preserve">7 cedar elm
5 Celtis so
</t>
  </si>
  <si>
    <t xml:space="preserve">Palmetto
Carex
Grasses </t>
  </si>
  <si>
    <t xml:space="preserve">River floodplains, near lake, flat sparse forest </t>
  </si>
  <si>
    <t>6ff40a45-458a-451d-9ff4-5b1c4ad8a1d7,fb2f79d7-a5cd-4334-982c-9b5bc31e869a</t>
  </si>
  <si>
    <t>d0075aca-23d7-4d94-a8b2-dc7600e90881</t>
  </si>
  <si>
    <t>9b53379b-14a6-4d9b-90d4-c0c042cb1da4</t>
  </si>
  <si>
    <t xml:space="preserve">Barely reachable with pole pruners 
Subcanopy leaves </t>
  </si>
  <si>
    <t>99a03f55-023a-4620-bb74-963130242a70</t>
  </si>
  <si>
    <t>SRID=4326;POINT(-95.58832675754647 29.376222678935925)</t>
  </si>
  <si>
    <t xml:space="preserve">1 red oak group 
3 Juglans 
1 cedar elm 
1 holly </t>
  </si>
  <si>
    <t xml:space="preserve">Turks cap
Knotweed 
Snowberry
Carex 
Grasses 
Palmetto
Hollies </t>
  </si>
  <si>
    <t xml:space="preserve">Grassy flat area close to lake </t>
  </si>
  <si>
    <t>bbad17a2-0233-4f8c-bdbd-bd78cbde4327,c8f82082-19c1-47c7-8a6d-74bc3b21daf8,36cbeab9-7422-46f4-87a8-170ea2247a90</t>
  </si>
  <si>
    <t>dbe9be4a-4378-4235-a890-62e05aaed922</t>
  </si>
  <si>
    <t>b01db483-2e41-4fd0-a98a-f587bdb98430</t>
  </si>
  <si>
    <t>fe52176e-9f2d-45ad-8ac6-3f8ab41baee4</t>
  </si>
  <si>
    <t>2022-09-02 11:43:32 UTC</t>
  </si>
  <si>
    <t>SRID=4326;POINT(-95.58671884247622 29.37488417143875)</t>
  </si>
  <si>
    <t>3 red oak group 
2 Juglans 
1 cesar elm 
1 Fraxinus ??</t>
  </si>
  <si>
    <t xml:space="preserve">Yaupon Holly  
Carex 
Aster 
</t>
  </si>
  <si>
    <t xml:space="preserve">Uphill bank of lake, shrubby forest </t>
  </si>
  <si>
    <t>6b598e7f-5fe8-49a1-adb7-05e4d095359a,14eca24d-4563-4e07-8d70-4a8f96a63426</t>
  </si>
  <si>
    <t>2407d8ac-3168-4d4f-98c2-b169b14b2189</t>
  </si>
  <si>
    <t>4ac518a0-3620-4683-a07e-355939211e69</t>
  </si>
  <si>
    <t>9af35e18-6ac6-43ff-9935-94b8a96e111a</t>
  </si>
  <si>
    <t>SRID=4326;POINT(-95.58544269771835 29.375542611842388)</t>
  </si>
  <si>
    <t xml:space="preserve">1 Quercus michauxii
2 cedar elms </t>
  </si>
  <si>
    <t xml:space="preserve">Carex 
Grasses
Poison ivy 
Carolina snail seed 
Unlobed red oak </t>
  </si>
  <si>
    <t xml:space="preserve">River floodplains, flat grassy area near shurbby forest. Lake side </t>
  </si>
  <si>
    <t>618d9abb-2a66-4ddb-aaa1-ba55ad906d6d,3fb516c3-2700-4166-8486-b7cfb56bc445</t>
  </si>
  <si>
    <t>14bf0045-2754-4594-b336-f8406ab167fc</t>
  </si>
  <si>
    <t>f31afedf-8e57-4735-8e2f-692f620392d2</t>
  </si>
  <si>
    <t xml:space="preserve">Accessible 
Back core of tree trunk missing </t>
  </si>
  <si>
    <t>46b072de-7df2-416b-9607-27a428334abe</t>
  </si>
  <si>
    <t>2022-09-02 11:43:31 UTC</t>
  </si>
  <si>
    <t>SRID=4326;POINT(-95.57695954115648 29.37546260657662)</t>
  </si>
  <si>
    <t xml:space="preserve">2 Juglans </t>
  </si>
  <si>
    <t xml:space="preserve">Possumhaw 
Sugar hackberry 
Cedar elm 
Turks cap
Juglans 
Grasses and sedges 
Brambles </t>
  </si>
  <si>
    <t xml:space="preserve">River floodplains, open grassy area near forest </t>
  </si>
  <si>
    <t>8a32bfbc-61de-49e4-b468-c09542594ada,5bf52f43-c7f3-4875-8c9c-c152fb7249d6</t>
  </si>
  <si>
    <t>855952df-3dea-477d-997b-828e55f6b616</t>
  </si>
  <si>
    <t>be7d5a1e-0f94-4b0b-a95a-08943e6d69ad</t>
  </si>
  <si>
    <t xml:space="preserve">Accessible branches 
Subcanopy levas </t>
  </si>
  <si>
    <t>540e8e64-5551-4142-bc35-e161def1ee5f</t>
  </si>
  <si>
    <t>SRID=4326;POINT(-95.57665712209005 29.374166303341624)</t>
  </si>
  <si>
    <t xml:space="preserve">3 Juglans 
2 hackberries 
3 possimhaws </t>
  </si>
  <si>
    <t xml:space="preserve">Possumhaws
Carex 
Turks cap
</t>
  </si>
  <si>
    <t>River floodplains, flat forest with dense shrubs</t>
  </si>
  <si>
    <t>0f246bf0-3651-433f-9227-81be8cdb6855,de367e97-6c2a-484a-9bfe-8bdad66b3e40</t>
  </si>
  <si>
    <t>fdec9deb-abba-48f0-8680-6fab3eab8aaa</t>
  </si>
  <si>
    <t>8146b2f3-fbe6-49f6-b507-b63ebf488875</t>
  </si>
  <si>
    <t>df07804b-943b-49b9-83d0-65af4501b99a</t>
  </si>
  <si>
    <t>2022-08-30 22:21:18 UTC</t>
  </si>
  <si>
    <t>SRID=4326;POINT(-92.32657505496356 34.80435200067674)</t>
  </si>
  <si>
    <t>1 Ulmus 
2 Pinus (echinata?)</t>
  </si>
  <si>
    <t xml:space="preserve">poaceae </t>
  </si>
  <si>
    <t xml:space="preserve">Lawn near creek </t>
  </si>
  <si>
    <t>fb399d45-8d48-44e0-8b4f-282de7d0ff25,7fd17e69-a624-41e2-8fcc-e7d717d4c300,dbb8bba1-10a3-4c33-8d4f-dbb8dae0dddf</t>
  </si>
  <si>
    <t>d8d08d7e-8523-4df8-8175-3d9d6ce95953</t>
  </si>
  <si>
    <t>6a8c38cb-057e-49bb-bbc0-29bb93d1f181</t>
  </si>
  <si>
    <t xml:space="preserve">Might not need pole pruners for some 
Not tagged </t>
  </si>
  <si>
    <t>f7ea8c5a-07ec-4883-9b9b-d52650d10e60</t>
  </si>
  <si>
    <t>2022-08-22 17:45:13 UTC</t>
  </si>
  <si>
    <t>SRID=4326;POINT(-73.37121404714264 42.07927538085922)</t>
  </si>
  <si>
    <t xml:space="preserve">6 Pinus 
2 black cherry
</t>
  </si>
  <si>
    <t xml:space="preserve">Elm, poison ivy, striped maple, Christmas fern </t>
  </si>
  <si>
    <t xml:space="preserve">Limestone deciduous/coniferous forest </t>
  </si>
  <si>
    <t>c2d414f9-085c-4780-b8c9-aaad5c20b3a7,b300a7e8-5aea-4860-9ce5-17a7050d33a3</t>
  </si>
  <si>
    <t>39fd2d5c-80e1-427c-9176-fdb82e20cbe7</t>
  </si>
  <si>
    <t>697401f5-77c7-47cf-beb3-69e9a01f3c23</t>
  </si>
  <si>
    <t>2dd1c70c-b4e9-4027-9a14-aaf0a28a2e86</t>
  </si>
  <si>
    <t>2022-08-22 17:45:12 UTC</t>
  </si>
  <si>
    <t>SRID=4326;POINT(-73.36731445051112 42.084577647077)</t>
  </si>
  <si>
    <t xml:space="preserve">1 Juniperus sp. 
2 beech 
1 Celtis occidnetlIs </t>
  </si>
  <si>
    <t>Burberry, prickly ash, Carya, fern</t>
  </si>
  <si>
    <t xml:space="preserve">Hillside forest on limestone and marble bedrock, alkaline soils </t>
  </si>
  <si>
    <t>36cbd272-7983-4477-b51c-d56d6c39c863,acf1facd-a556-448f-ad14-7f4616f2e8c0</t>
  </si>
  <si>
    <t>f8ac6ae1-5070-4c32-92b6-3a419a930ed1</t>
  </si>
  <si>
    <t>cc7458dc-8c95-4b61-be83-463bcc9ccdb2</t>
  </si>
  <si>
    <t>4e530dd9-fe56-45e3-a5b9-5891898b7331</t>
  </si>
  <si>
    <t>2022-08-22 17:45:09 UTC</t>
  </si>
  <si>
    <t>SRID=4326;POINT(-73.3159044665036 42.28753428444479)</t>
  </si>
  <si>
    <t xml:space="preserve">1 Acer </t>
  </si>
  <si>
    <t xml:space="preserve">Yarrow, dandelion, Vitus, aster, mint family, buckthorn, grasses, clover, scirpus pendulus, </t>
  </si>
  <si>
    <t>6e26d29b-48e8-428a-b44d-1223cf5a0219,3bbb286d-01c6-49e0-9999-29fd2c1b8157</t>
  </si>
  <si>
    <t>ad5e5f20-5edd-4965-ba3d-9e82d3afe903</t>
  </si>
  <si>
    <t>55aebf28-05e6-4a3d-9892-5e45086808c8</t>
  </si>
  <si>
    <t xml:space="preserve">Need one section of pole pruners </t>
  </si>
  <si>
    <t>37d4f712-03b3-46ce-b987-4d7740c6d23f</t>
  </si>
  <si>
    <t>2022-08-22 17:45:06 UTC</t>
  </si>
  <si>
    <t>SRID=4326;POINT(-73.35036867305017 42.05576489683432)</t>
  </si>
  <si>
    <t xml:space="preserve">2 Ulmus 
1 red oak 
6 Juniper </t>
  </si>
  <si>
    <t xml:space="preserve">Carya, buckthorn, Canada mayflower, prickly gooseberry , SolomonΓÇÖs seal </t>
  </si>
  <si>
    <t xml:space="preserve">Deciduous forest south cobble </t>
  </si>
  <si>
    <t>091c7b10-b93a-4738-ab83-11a56c8c34a6,6a7fb27e-ccd7-4e1c-9bc5-3781cb49cea8</t>
  </si>
  <si>
    <t>19ce96e9-c865-4a53-84dd-f7198c0450d7</t>
  </si>
  <si>
    <t>b6ee3a80-0892-4a94-a023-3ee1148cb2f2</t>
  </si>
  <si>
    <t xml:space="preserve">By trail, low leaves </t>
  </si>
  <si>
    <t>c0da5663-6f74-4405-8443-3ca810159aed</t>
  </si>
  <si>
    <t>2022-08-20 02:29:55 UTC</t>
  </si>
  <si>
    <t>SRID=4326;POINT(-73.29508842907221 43.07587159801561)</t>
  </si>
  <si>
    <t xml:space="preserve">1 Acer sp
1 Q. montana 
6 striped maple 
</t>
  </si>
  <si>
    <t>Striped maple, ulmus, fern? Grass? Acer sp</t>
  </si>
  <si>
    <t xml:space="preserve">Ridge line deciduous forest </t>
  </si>
  <si>
    <t>59b6929f-fd00-45bd-9b25-511ec82e3c78,609b039c-bc05-4128-acdb-e8536f3d2fbd,8d42aee0-cbd1-4918-8a81-fbb5c9ebd4fa</t>
  </si>
  <si>
    <t>c1716cf1-d70e-4b99-9f5a-0d6440feef21</t>
  </si>
  <si>
    <t>96acd836-0b42-46be-8404-c7f45469e8b3</t>
  </si>
  <si>
    <t>6bb79030-2287-4e75-9243-0ea66b3f6bab</t>
  </si>
  <si>
    <t xml:space="preserve">No accessible branches </t>
  </si>
  <si>
    <t>dd6541b7-cf1f-4fc2-b28a-d1942cbf0564</t>
  </si>
  <si>
    <t>SRID=4326;POINT(-73.85360036983514 42.71595376547679)</t>
  </si>
  <si>
    <t xml:space="preserve">1 Q alba 
1 Quercus sect Lobatae </t>
  </si>
  <si>
    <t xml:space="preserve">Q. Prinoides, bear oak, blueberry, horse weed, fireweed, </t>
  </si>
  <si>
    <t xml:space="preserve">Sandy oak brush barrens </t>
  </si>
  <si>
    <t>16deb365-e675-4586-8365-7912b18a9b02,76d347ed-c4a2-4247-995c-6d3bb07f42dd,d85169a4-c76f-492f-8104-2e46257f98e7</t>
  </si>
  <si>
    <t>f477b434-82a0-44c3-b3bb-c1464da3de59</t>
  </si>
  <si>
    <t>00a33fcc-e5f6-47c5-8f01-6e2b48c92ae8</t>
  </si>
  <si>
    <t>7e382202-9e9c-425e-814a-9953faef6a57</t>
  </si>
  <si>
    <t>2022-08-20 02:29:54 UTC</t>
  </si>
  <si>
    <t>SRID=4326;POINT(-73.85383196181976 42.71588821899399)</t>
  </si>
  <si>
    <t xml:space="preserve">2 Q. alba 
1 Quercus sect Lobatae </t>
  </si>
  <si>
    <t xml:space="preserve">Blueberry, Q. Prinoides, Allegheny BlackBerry, dogwood, red oak, </t>
  </si>
  <si>
    <t xml:space="preserve">Sandy oak shrub pine barrens </t>
  </si>
  <si>
    <t>512425a7-a2ee-4b95-a255-9ca9d8de7a96,6fc08a33-951b-4340-8c2c-12090e7480f1,34d5b6b6-37cb-451e-85b8-136f4a279209</t>
  </si>
  <si>
    <t>1be6c342-32ee-4337-aa07-af547745bd9f</t>
  </si>
  <si>
    <t>85284f12-d19e-48ca-a87d-3b83874ab2cc</t>
  </si>
  <si>
    <t>Accessible branches 
Two stems- 44.7, 42.1</t>
  </si>
  <si>
    <t>d0a548e8-570b-4244-a4c6-0c6a1c86d5a1</t>
  </si>
  <si>
    <t>2022-08-20 02:29:53 UTC</t>
  </si>
  <si>
    <t>SRID=4326;POINT(-73.855383955011 42.71747432653113)</t>
  </si>
  <si>
    <t xml:space="preserve">4 Q. alba 
1 Quercus sect Lobatae </t>
  </si>
  <si>
    <t xml:space="preserve">Q. Prinoides, common bracken, blueberry, bear oak, </t>
  </si>
  <si>
    <t xml:space="preserve">Oak brush barrens sandy </t>
  </si>
  <si>
    <t>3ceaf8a3-35d8-42f1-baaa-8561df9dd523,271e5d45-6de7-454d-9648-4e4fcb40d526,0572c0ea-cb7a-40e2-ba1b-9d46507838bf</t>
  </si>
  <si>
    <t>f5cf2c4b-e7ea-465f-9c48-b99952f246db</t>
  </si>
  <si>
    <t>ebc4ba07-047a-4a22-b23f-6e692e542395</t>
  </si>
  <si>
    <t>Accessible leaves 
Two stems - 37.7, 36.3</t>
  </si>
  <si>
    <t>e8b75991-8727-4bca-82de-4ae7c277d48b</t>
  </si>
  <si>
    <t>SRID=4326;POINT(-73.85598879314387 42.71725547503933)</t>
  </si>
  <si>
    <t xml:space="preserve">Q. Prinoides, blueberry, sweet fern, </t>
  </si>
  <si>
    <t>Oak shrub barrens</t>
  </si>
  <si>
    <t>ae625db2-8915-4e7c-a937-a7e01bd9588a,51293b35-d4e3-4688-ab3b-99ece7a101b4,79dba4e5-ca5c-448e-8c1e-419f4f6fac50</t>
  </si>
  <si>
    <t>959ba57d-51f7-4432-a42a-5d5e04597ea7,c9397e1a-ad38-4e1d-874f-453da89cc239</t>
  </si>
  <si>
    <t>463f518d-e6f2-41f1-88b8-8e793eb55e0b</t>
  </si>
  <si>
    <t>7c9b0b75-60a8-495e-8422-958ce57b2e77</t>
  </si>
  <si>
    <t xml:space="preserve">Accessible 
Flagged not tagged </t>
  </si>
  <si>
    <t>99407150-ebaf-4a81-8e78-a602592aa854</t>
  </si>
  <si>
    <t>2022-08-20 02:29:52 UTC</t>
  </si>
  <si>
    <t>SRID=4326;POINT(-73.85581713176691 42.71842554681256)</t>
  </si>
  <si>
    <t xml:space="preserve">1 Quercus sect Lobatae 
1 black cherry </t>
  </si>
  <si>
    <t>Q. prinoides, dogwood, Acer, blueberry,</t>
  </si>
  <si>
    <t xml:space="preserve">Sand pine barrens, oak shrub </t>
  </si>
  <si>
    <t>cc772a76-b663-477a-8cea-984bac238b38,d5fdff00-2b6c-43f0-b42c-156c47bc4c58,ae8d47e3-44e5-4ad2-b0c5-f15965af6837</t>
  </si>
  <si>
    <t>781c3845-0d73-4d62-bda1-28f32ef5df08</t>
  </si>
  <si>
    <t>7e97fce5-b723-4aa1-a3ce-a6f16daac102</t>
  </si>
  <si>
    <t>cdcf5d39-e981-4dd4-b63c-bcdd5077616f</t>
  </si>
  <si>
    <t>2022-08-20 02:29:51 UTC</t>
  </si>
  <si>
    <t>SRID=4326;POINT(-73.85904391303086 42.720396802800664)</t>
  </si>
  <si>
    <t xml:space="preserve">1 black cherry
3 Quercus sect Lobatae 
2 Acer </t>
  </si>
  <si>
    <t xml:space="preserve">Chokeberries, blueberries, Quercus sect Lobatae shrubs, Acer </t>
  </si>
  <si>
    <t xml:space="preserve">Sandy pine barrens, oak brush </t>
  </si>
  <si>
    <t>1e2f79f0-5eb9-4b3f-ae33-58e7425b1168,14a5d8dd-9295-40da-adad-02cb9b1a5576,5f73c9ad-80c8-43fa-9da9-6c174479ddf5</t>
  </si>
  <si>
    <t>157a74f2-591c-4b50-ae70-323078e2402e</t>
  </si>
  <si>
    <t>1c9840b1-9c44-4e9d-92ae-1114758f3757</t>
  </si>
  <si>
    <t xml:space="preserve">Branches accessible </t>
  </si>
  <si>
    <t>8e6c0b77-fc98-4556-bd4a-73f49c00f400</t>
  </si>
  <si>
    <t>SRID=4326;POINT(-73.85912840261483 42.72020753942683)</t>
  </si>
  <si>
    <t xml:space="preserve">2 Q. alba 
9 Quercus sect Lobatae </t>
  </si>
  <si>
    <t>American hazelnut, Virginia creeper, blueberry, black cherry, Acer</t>
  </si>
  <si>
    <t xml:space="preserve">Oak brush pibe barrens, sandy soil </t>
  </si>
  <si>
    <t>fdb64d1e-3130-4d09-a259-245a63a39c2b,81346932-dbb2-4f96-8254-7a31a821e576</t>
  </si>
  <si>
    <t>b1bb12c2-034f-4f40-9032-0b14b547b260</t>
  </si>
  <si>
    <t>a32c86ca-a7cb-4fe5-a270-0a9d92c19325</t>
  </si>
  <si>
    <t xml:space="preserve">Branches accessible without pole pruners </t>
  </si>
  <si>
    <t>cfcd2bb5-4701-4b51-b720-d22a9d16e90e</t>
  </si>
  <si>
    <t>2022-08-19 00:03:24 UTC</t>
  </si>
  <si>
    <t>SRID=4326;POINT(-73.29269254586966 43.08200476229478)</t>
  </si>
  <si>
    <t xml:space="preserve">2 Beech 
1 Acer 
2 Quercus sect Lobatae </t>
  </si>
  <si>
    <t>Blueberry, Q. Montana, Acer</t>
  </si>
  <si>
    <t xml:space="preserve">Hillside forest with very little underbrush </t>
  </si>
  <si>
    <t>5a58a118-c861-41b7-a52f-2c43f224b7a2,0357e79e-4362-4a6f-a29e-5681de679eb9</t>
  </si>
  <si>
    <t>42ab4fef-d689-4adb-ba13-50c47fdacd44</t>
  </si>
  <si>
    <t>6cd7761c-6ad7-44fc-a98b-31e42f845416</t>
  </si>
  <si>
    <t xml:space="preserve">No leaves accessible except with pole pruners </t>
  </si>
  <si>
    <t>ffb5e1b9-2eb6-4686-9103-e6c9be3d2c65</t>
  </si>
  <si>
    <t>2022-08-19 00:03:23 UTC</t>
  </si>
  <si>
    <t>SRID=4326;POINT(-73.29348798848063 43.08132100854356)</t>
  </si>
  <si>
    <t xml:space="preserve">4 Q. montana 
1 U├▒mus 
2 Acer 
1 Quercus sect Lobatae 
</t>
  </si>
  <si>
    <t xml:space="preserve">American beech, Q. Montana, ulmus, blueberry, striped maple </t>
  </si>
  <si>
    <t xml:space="preserve">Low foliage forest on hillside </t>
  </si>
  <si>
    <t>5a5c4f1a-14d4-4d19-a323-b1e600190a2a,690ed897-8689-41a5-ac9e-c452409909fa</t>
  </si>
  <si>
    <t>3bc6d856-4a45-4b5c-8f1d-5a81bd431149</t>
  </si>
  <si>
    <t>cca3d001-b514-4b66-b243-5ea8c68cd593</t>
  </si>
  <si>
    <t xml:space="preserve">Need pole pruners for branches 
3 stems </t>
  </si>
  <si>
    <t>c7845318-5bed-4379-a43b-35b6b462c093</t>
  </si>
  <si>
    <t>SRID=4326;POINT(-73.29496580182881 43.08126648426343)</t>
  </si>
  <si>
    <t xml:space="preserve">7 Q. Montana 
1 Acer 
2 Pinus </t>
  </si>
  <si>
    <t xml:space="preserve">Ulmus, striped maple, American beech, blueberry, </t>
  </si>
  <si>
    <t xml:space="preserve">Low foliage hillside forest </t>
  </si>
  <si>
    <t>56b49c70-dd23-495c-8179-8ad99324b4c3,5520c69d-a3d7-4d1f-b473-edb3271244f1</t>
  </si>
  <si>
    <t>d0bb95db-ed6b-43b9-ad42-a27cf0d46ba4</t>
  </si>
  <si>
    <t>d73eb99e-a632-4dc1-bc90-3d1cd298317b</t>
  </si>
  <si>
    <t xml:space="preserve">No leaves accessible without a pole pruners </t>
  </si>
  <si>
    <t>1227ecf9-6470-49dc-8776-901766166c9d</t>
  </si>
  <si>
    <t>2022-08-19 00:03:22 UTC</t>
  </si>
  <si>
    <t>SRID=4326;POINT(-73.2958987076518 43.08110882066499)</t>
  </si>
  <si>
    <t xml:space="preserve">7 Q. Montana 
2 Pinus 
2 American beech </t>
  </si>
  <si>
    <t xml:space="preserve">Q montana saplings, striped maple, blue ridge blueberry, Rosaceae </t>
  </si>
  <si>
    <t xml:space="preserve">Open hillside forest, little foliage </t>
  </si>
  <si>
    <t>88ab8cdc-9202-4488-b963-6329aa576cf3,4eac5102-5526-4b53-aacc-5a23df924080</t>
  </si>
  <si>
    <t>fd939971-8d64-4c8b-b51b-6f641dc86126</t>
  </si>
  <si>
    <t>545d9aba-46c1-4e6a-82a4-d1299f57204e</t>
  </si>
  <si>
    <t xml:space="preserve">Some small branches may be accessible without pole pruners </t>
  </si>
  <si>
    <t>11ab859e-5467-48ee-8bb1-16f1d1dda631</t>
  </si>
  <si>
    <t>SRID=4326;POINT(-73.2966828346935 43.081260365474115)</t>
  </si>
  <si>
    <t>5 Ulmus 
1 Pinus 
1 Acer 
4 American beech</t>
  </si>
  <si>
    <t xml:space="preserve">Striped maple, hobble bush, ulmus, Fraxinus, </t>
  </si>
  <si>
    <t xml:space="preserve">Forest with little foliage in watershed </t>
  </si>
  <si>
    <t>604c51fb-cb63-48b9-ae0d-54f568bca5f2,e722547c-366c-4f9e-9298-a14197185303</t>
  </si>
  <si>
    <t>748df330-6a4c-450d-932c-3a8d5f5a83dd,1328bbbb-99f1-49bd-8eb5-c4c544d73f7c</t>
  </si>
  <si>
    <t>ae8ee142-379b-4353-a702-8b5671af21c4</t>
  </si>
  <si>
    <t>bd2a1152-7837-457b-82b2-4307da0336fc</t>
  </si>
  <si>
    <t xml:space="preserve">No leaves accessible, barely any with pole pruners </t>
  </si>
  <si>
    <t>1d0c2c9e-1aa3-4c36-a554-3bb98e4a4f96</t>
  </si>
  <si>
    <t>2022-08-16 23:51:04 UTC</t>
  </si>
  <si>
    <t>SRID=4326;POINT(-76.90299726098488 42.735050926024776)</t>
  </si>
  <si>
    <t xml:space="preserve">1 Q. macrocarpa 
2 Fraxinus sp </t>
  </si>
  <si>
    <t xml:space="preserve">Autumn olive, Vitus sp., common lilac, American aster </t>
  </si>
  <si>
    <t xml:space="preserve">Edge of dense woods with lots of shrubs and road </t>
  </si>
  <si>
    <t>fc3d30fa-f496-4270-97c9-954b84d684fd,9a1f1b06-8954-4543-a1f0-38360f433399</t>
  </si>
  <si>
    <t>1e42a011-3817-4e9d-8ab5-35f4b4dce9bc</t>
  </si>
  <si>
    <t>338f353c-a45e-462d-8216-35216411bdef</t>
  </si>
  <si>
    <t xml:space="preserve">Some branches may be accessible without pole pruners </t>
  </si>
  <si>
    <t>3759b0a1-ee36-4300-90e4-7a8f9afa3112</t>
  </si>
  <si>
    <t>SRID=4326;POINT(-76.90110680654357 42.74153814189391)</t>
  </si>
  <si>
    <t xml:space="preserve">3 Basswood 
1 Juglans 
1 common buckthorn 
1 Juniperus so. </t>
  </si>
  <si>
    <t xml:space="preserve">Dogwood, poison ivy, Vitus, buckthorn, white avens, moss, </t>
  </si>
  <si>
    <t xml:space="preserve">Roadside dense shrubby deciduous forest </t>
  </si>
  <si>
    <t>cee150d8-c8fb-43a0-9e0a-2a76578ab7f0,bc539b9f-4105-4de1-8ebd-cbdbe71afb18,408f6577-058c-4dce-a07a-7fd87d42779c</t>
  </si>
  <si>
    <t>df05a4c9-a41f-4a73-85d5-d68581f882cb</t>
  </si>
  <si>
    <t>a26ab5a8-f6ca-479e-9c2f-06f453a828f0</t>
  </si>
  <si>
    <t>12d3bd7d-9fbb-45ca-b704-70d9738cb381</t>
  </si>
  <si>
    <t>2022-08-16 23:51:03 UTC</t>
  </si>
  <si>
    <t>SRID=4326;POINT(-76.90484677850397 42.740661001710684)</t>
  </si>
  <si>
    <t xml:space="preserve">6 Pinus strobis 
3 Juniperus 
2 Fraxinus </t>
  </si>
  <si>
    <t xml:space="preserve">Vitus, dogwood, autumn olive </t>
  </si>
  <si>
    <t xml:space="preserve">Roadside, dense shrubby forest </t>
  </si>
  <si>
    <t>f76b7dc8-4d74-48e1-b515-21aac357ea62,ed26fda2-91fa-4792-852c-bc1019cc2cd0</t>
  </si>
  <si>
    <t>24105602-ee67-4f94-8921-c516db2393f3</t>
  </si>
  <si>
    <t>13764651-35c6-4842-b0af-b4f205bee76c</t>
  </si>
  <si>
    <t xml:space="preserve">No accessible branches without pole pruners
Acorns found on ground had no fringe </t>
  </si>
  <si>
    <t>f43a2a16-1ab4-4972-bec1-627d210aa761</t>
  </si>
  <si>
    <t>2022-08-16 23:51:02 UTC</t>
  </si>
  <si>
    <t>SRID=4326;POINT(-76.90587552271495 42.74060389496641)</t>
  </si>
  <si>
    <t xml:space="preserve">1 basswood 
2 Juglans 
2 Juniperus sp.
</t>
  </si>
  <si>
    <t xml:space="preserve">Vitus sp, Fraxinus sp., autumn olive, Virginia creeper, honeysuckles, white avens, Tall hairy agrimony, common buckthorn, </t>
  </si>
  <si>
    <t xml:space="preserve">Dense wooded deciduous forest </t>
  </si>
  <si>
    <t>2a0f3a4a-51b9-48fc-9860-f8d804b98ffd,fc167744-950d-4777-9d5a-db222041d6c4,b0595590-f30d-496c-a059-2e28930e5020</t>
  </si>
  <si>
    <t>fa9a2e27-ef7d-4650-a28f-dfb99a9874e0,8870bc04-13f6-42a4-aa29-f2d4a47a5fcc</t>
  </si>
  <si>
    <t>8b2c629c-0f8d-46f1-bea9-24e2fdc15454</t>
  </si>
  <si>
    <t>897cfdef-7c33-408d-b13a-f502f162ba65</t>
  </si>
  <si>
    <t>SRID=4326;POINT(-76.89515582292982 42.69855683207763)</t>
  </si>
  <si>
    <t xml:space="preserve">4 Q. alba 
1 buckeye 
1 common buckthorn 
1 ironwood </t>
  </si>
  <si>
    <t xml:space="preserve">Carex, Dogwood, roses, Fraxinus, common buckthorn </t>
  </si>
  <si>
    <t xml:space="preserve">Edge of slope going to lake, shrubby deciduous woodlands strip </t>
  </si>
  <si>
    <t>77d9bd19-3824-4a05-a2ee-65ba510018b2,a385e943-25c5-4861-a792-6ff02f9c2abc,378cf3f7-fc00-4337-b5d8-0dcc77f94c77</t>
  </si>
  <si>
    <t>a4d70f9e-222a-4ffe-902a-7e8e3cf9cf48</t>
  </si>
  <si>
    <t>2d2084c0-be3e-4b6a-9286-a558e722be7a</t>
  </si>
  <si>
    <t>Some branches accessible without pole pruners 
Two stems - 45.4, 25.4</t>
  </si>
  <si>
    <t>fc5c06bb-9f27-4924-9c54-d684608d862a</t>
  </si>
  <si>
    <t>2022-08-16 23:51:01 UTC</t>
  </si>
  <si>
    <t>SRID=4326;POINT(-76.90096875659833 42.706530913750576)</t>
  </si>
  <si>
    <t xml:space="preserve">1 Q. alba 
1 Acer sp. (Platanoides?) 
3 common buckthorn </t>
  </si>
  <si>
    <t>Common buckthorn, birch, prunus, basswood,</t>
  </si>
  <si>
    <t xml:space="preserve">Edge of lake and in shrubby deciduous woods </t>
  </si>
  <si>
    <t>6374b69e-de0a-450a-8a3d-ba20247a8a5b,08ef9766-6f51-4e78-a913-91f9c74741b1</t>
  </si>
  <si>
    <t>9394df79-033e-4ec4-a09b-af2c33ebc06c</t>
  </si>
  <si>
    <t>e96faedd-2904-472d-965a-9bdedb577f10</t>
  </si>
  <si>
    <t xml:space="preserve">One branch could pull down and look at without pole pruners 
Trees along gravel path - hard to do soils maybe </t>
  </si>
  <si>
    <t>f4e87014-1dc2-4866-a66f-b2b407a7d6b8</t>
  </si>
  <si>
    <t>2022-08-16 23:51:00 UTC</t>
  </si>
  <si>
    <t>SRID=4326;POINT(-76.89664201818117 42.70038739782078)</t>
  </si>
  <si>
    <t xml:space="preserve">2 common buckthorn </t>
  </si>
  <si>
    <t xml:space="preserve">Common buckthorn, Acer sp., autumn olive, downy arrow wood, </t>
  </si>
  <si>
    <t>Lakeside shrubby forest</t>
  </si>
  <si>
    <t>6cb07709-f7d9-4516-93c5-ab95c4999644,8e95a07a-331f-4071-878b-d2359fe01bcc</t>
  </si>
  <si>
    <t>d6103c14-5ff9-4438-b704-c4a5e0dd1f46</t>
  </si>
  <si>
    <t>c6faf101-8b42-421b-921a-63cb394bd131</t>
  </si>
  <si>
    <t>1e0fb052-6971-40d0-86e5-e53c07faa8bf</t>
  </si>
  <si>
    <t xml:space="preserve">Branches only with pole pruners </t>
  </si>
  <si>
    <t>3d76fc95-4b6a-4e27-bf4a-5acf1dab7b54</t>
  </si>
  <si>
    <t>SRID=4326;POINT(-76.8971048668743 42.700942740815414)</t>
  </si>
  <si>
    <t xml:space="preserve">2 Quercus sect Lobatae 
2 Carya
1 Juglans 
1 Q. alba </t>
  </si>
  <si>
    <t xml:space="preserve">Carex, 
Carya
Fraxinus 
Eves necklace </t>
  </si>
  <si>
    <t xml:space="preserve">Shrubby deciduous wood by lake </t>
  </si>
  <si>
    <t>800cad0e-c544-4384-83a8-c1ecdbc46b4f,4ac3860f-de6a-4fe1-b695-c6cf48c154e3</t>
  </si>
  <si>
    <t>7eb1bbad-5d13-4969-a26b-52d39373c716</t>
  </si>
  <si>
    <t>06d01934-5b23-446c-93df-a99b86130f68</t>
  </si>
  <si>
    <t xml:space="preserve">Only accessible with pole pruners </t>
  </si>
  <si>
    <t>6acd6a5e-a2c7-48f7-ba42-8bcf10268740</t>
  </si>
  <si>
    <t>2022-08-15 20:50:42 UTC</t>
  </si>
  <si>
    <t>SRID=4326;POINT(-78.97230684764587 43.059450401964654)</t>
  </si>
  <si>
    <t xml:space="preserve">5 Crataegus crusgalli (cockspur) 
3 black hawthorn 
</t>
  </si>
  <si>
    <t xml:space="preserve">Common buckthorn, poison ivy, dogwood, </t>
  </si>
  <si>
    <t xml:space="preserve">Deciduous forest near stream </t>
  </si>
  <si>
    <t>2b715742-544f-42bd-962a-d3c2f1a45019,6a9ff25a-2184-4528-9831-7a723c296643</t>
  </si>
  <si>
    <t>cb51dc5b-0fea-4c55-b2b8-03e61448b541</t>
  </si>
  <si>
    <t>bf74c7dd-d62e-488f-83fb-c957c315c7ee</t>
  </si>
  <si>
    <t xml:space="preserve">Some lower hanging branches still not accessible without pole pruners </t>
  </si>
  <si>
    <t>bcf19ec2-2e69-4b21-9531-0dbacf1d9aeb</t>
  </si>
  <si>
    <t>2022-08-09 20:57:27 UTC</t>
  </si>
  <si>
    <t>SRID=4326;POINT(-96.60416588196215 39.10682268444366)</t>
  </si>
  <si>
    <t xml:space="preserve">2 Q. muehlenbergii 
2 Q. macrocarpa 
2 Ulmus sp. 
2 honey locust </t>
  </si>
  <si>
    <t xml:space="preserve">Poison ivy, heart leaf pepper vine, snowberriez??? Hickory, dogwood, smilax </t>
  </si>
  <si>
    <t xml:space="preserve">Thick woodlands near prairie, limestone </t>
  </si>
  <si>
    <t>d52ad97e-fb0c-436a-8867-a89c8a7c2ce0,dc3384d8-b84e-43ec-9849-70e7ffba859c</t>
  </si>
  <si>
    <t>4bbbcac7-2753-4f77-8054-2dd3a185bdb6</t>
  </si>
  <si>
    <t>98aa6b49-178e-45f7-88a7-2d99350f6f95</t>
  </si>
  <si>
    <t xml:space="preserve">Branches semi accessible, low hanging but not super reachable without equipment 
DBH estimated due to poison ivy </t>
  </si>
  <si>
    <t>1a60d9fa-a647-40b7-a7dd-f051377c1125</t>
  </si>
  <si>
    <t>SRID=4326;POINT(-96.60221097068545 39.108099835029904)</t>
  </si>
  <si>
    <t>1 Q. macrocarpa 
4 Q. muehlenbergii 
1 Ulmus sp</t>
  </si>
  <si>
    <t>Red bud, fragrant sumac, brome, dogwood, poison ivy, iron weeds, leadplant</t>
  </si>
  <si>
    <t xml:space="preserve">Strip of rocky woodlands between two prairies </t>
  </si>
  <si>
    <t>1f7d484a-3c4c-4084-8b2d-48c02216a42d,ab0813fd-9b8f-44b1-90d3-57aa667e2aee,5a2ac11b-4516-421a-9bbc-8c7fdea786c4</t>
  </si>
  <si>
    <t>0e6b688c-aada-4966-8db8-ecca1233a318</t>
  </si>
  <si>
    <t>ec99b25d-b854-44f6-95c4-9408be43cf2b</t>
  </si>
  <si>
    <t>a22824cb-960d-4b71-95cf-31e6bd78b325</t>
  </si>
  <si>
    <t>2022-08-09 20:57:26 UTC</t>
  </si>
  <si>
    <t>SRID=4326;POINT(-96.6023345199382 39.10791409205562)</t>
  </si>
  <si>
    <t xml:space="preserve">6 Q. muehlenbergii 
4 Ulmus sp
</t>
  </si>
  <si>
    <t xml:space="preserve">Red bud, poison ivy, coralberry, dogwood, Fragrant sumac, asters, wingstem </t>
  </si>
  <si>
    <t xml:space="preserve">Edge of prairie and woodlands, edge of hill, limestone </t>
  </si>
  <si>
    <t>051b14af-3b2f-477d-a81d-462ea1be19d8,66041c8a-cec4-4eb9-b39d-d8da898715ae,ea8ab780-dab7-488c-978d-c6ab3dac7646</t>
  </si>
  <si>
    <t>521ba2d6-c667-4780-a96f-9281708c228e</t>
  </si>
  <si>
    <t>d46deb18-69b9-4cbb-81d5-b624cda97645</t>
  </si>
  <si>
    <t>Accessible leaves without pole pruners 
Two stems - 15.6, 18.3</t>
  </si>
  <si>
    <t>fa5b6589-21d1-4c07-8e8f-4daea4dcf5a3</t>
  </si>
  <si>
    <t>2022-08-09 20:57:24 UTC</t>
  </si>
  <si>
    <t>SRID=4326;POINT(-96.60419790083226 39.10783446397549)</t>
  </si>
  <si>
    <t>3 Juniperus sp
2 Q. macrocarpa 
2 Q. muehlenbergii 
2 Juglans sp</t>
  </si>
  <si>
    <t xml:space="preserve">Redbud, Virginia creeper, wingstem, common ragweed, dogwood, false daisy </t>
  </si>
  <si>
    <t xml:space="preserve">Near prairie, dense woodland, rocky/limestone soil </t>
  </si>
  <si>
    <t>d4cb38a6-1042-4eea-b52e-9d35d46d562d,dcc58597-1654-427f-85a5-c6be2567356f</t>
  </si>
  <si>
    <t>64c3f1f3-ea0f-4664-b0b9-42ec1d32ebe5</t>
  </si>
  <si>
    <t>ab59bff0-1140-4083-92e6-1c0579a016ee</t>
  </si>
  <si>
    <t xml:space="preserve">Very acccessible branches without pole pruners </t>
  </si>
  <si>
    <t>bdae8fb8-2a32-497f-969e-be3216c21ce9</t>
  </si>
  <si>
    <t>2022-08-09 20:57:21 UTC</t>
  </si>
  <si>
    <t>SRID=4326;POINT(-96.60573765644487 39.107817951626245)</t>
  </si>
  <si>
    <t>1 Q. muehlenbergii 
2 Q. macrocarpa 
2 Carya sp</t>
  </si>
  <si>
    <t xml:space="preserve">Coralberry, Juniperus sp., Virginia creeper, </t>
  </si>
  <si>
    <t xml:space="preserve">Limestone, edge of prairie and woodlands </t>
  </si>
  <si>
    <t>1eee7e11-4537-432f-b6ca-a39b1a99598b,999b4bdd-9fc9-477f-9ab0-619f5a339de6,bb919265-3afe-4668-a24c-d66acd1797f4</t>
  </si>
  <si>
    <t>a5eeb375-7c53-4714-9a0e-241fad83a9fe</t>
  </si>
  <si>
    <t>028e83ac-0c6a-4834-bd62-d3430b81ed49</t>
  </si>
  <si>
    <t xml:space="preserve">Accessible branches without pole pruners </t>
  </si>
  <si>
    <t>f607b505-e9b6-4dc0-9ae6-c35b9c1f6f85</t>
  </si>
  <si>
    <t>2022-08-03 20:35:24 UTC</t>
  </si>
  <si>
    <t>SRID=4326;POINT(-94.97363727548623 38.91740696973998)</t>
  </si>
  <si>
    <t>Celtis 7, Ulmus 4, honey locust 5,</t>
  </si>
  <si>
    <t xml:space="preserve">Smilax, redbud, cornus, poison ivy, sassafras, ragweed, coralberry, goldenrod, brome(?), aster, </t>
  </si>
  <si>
    <t>b6df0eb0-37d0-4152-a503-06247602b6fb,63bef339-c6b0-47d2-a89a-798d3e8cafc8,1bf2714e-f563-4d3b-8c3e-54ced2ecc931</t>
  </si>
  <si>
    <t>81314293-61f9-4d2d-a082-aedc8f9eb349</t>
  </si>
  <si>
    <t>04563f39-1f61-4b10-b136-8d18f3d6e18b</t>
  </si>
  <si>
    <t xml:space="preserve">Near large muehlenbergii but told there are Prinoides in the area </t>
  </si>
  <si>
    <t>dc4cbd64-78b0-4ad8-a2ab-1819ed61317a</t>
  </si>
  <si>
    <t>2022-08-03 20:35:23 UTC</t>
  </si>
  <si>
    <t>SRID=4326;POINT(-94.80830926456936 38.979705129786375)</t>
  </si>
  <si>
    <t>1 Q. alba 
1 Carya  (ovata
1 Celtis sp.
1 Carya sp
1 unknown - see photo, looks like simple alternate unserrated leave</t>
  </si>
  <si>
    <t xml:space="preserve">Honeysuckle, Fraxinus, Sanicula, Virginia creeper, Vitus sp, </t>
  </si>
  <si>
    <t>Uphill from lake, dense forest</t>
  </si>
  <si>
    <t>28965225-1ae1-4464-9c80-bb8f9d7e5369,832fb507-ae68-4082-b8db-aaeb75f35f9f</t>
  </si>
  <si>
    <t>f6c4f7e1-f1bf-4d82-9569-9819ce48c2e4</t>
  </si>
  <si>
    <t>fbea2c8e-d405-4185-822f-bca2b9347ef4,0fbcce7c-5135-4a1b-b582-1107cfbc36b9</t>
  </si>
  <si>
    <t>ecb5c264-6836-4735-b4b9-79c49e9cafe4</t>
  </si>
  <si>
    <t xml:space="preserve">Three stems- 32.6,39.1, 38 DBH </t>
  </si>
  <si>
    <t>4a6f7e8c-37b2-4a8a-96cb-d15a5ff85fbb</t>
  </si>
  <si>
    <t>2022-08-01 18:22:17 UTC</t>
  </si>
  <si>
    <t>SRID=4326;POINT(-84.38900297515502 42.76514258705337)</t>
  </si>
  <si>
    <t xml:space="preserve">2 black cherrie (1 is questionable - covered in poison ivy, difficult to tell) 
1 Fraxinus sp. </t>
  </si>
  <si>
    <t xml:space="preserve">Fern, Fraxinus so., poison ivy, Virginia creeper, dogwood, brackens, </t>
  </si>
  <si>
    <t xml:space="preserve">Edge of woodlands and marsh </t>
  </si>
  <si>
    <t>dc81509b-5926-4d0a-b432-0f0598592a3d,ab4e3414-ad7c-417f-9b40-385588cdc8a0,d9a3d7a7-a584-44eb-b92c-41e84c98b84f,8f49fcde-3dee-4502-a14a-5b0a7bf99e5f</t>
  </si>
  <si>
    <t>b1cf330f-33c6-4eb7-9fd0-0fa9cbfc380b</t>
  </si>
  <si>
    <t>150f7a0b-c7d7-4915-aad5-b551f5a3d830</t>
  </si>
  <si>
    <t>ebc77652-7811-4e68-a59e-4b889db02916</t>
  </si>
  <si>
    <t>2022-08-01 18:22:16 UTC</t>
  </si>
  <si>
    <t>SRID=4326;POINT(-84.38245301201812 42.765253619835036)</t>
  </si>
  <si>
    <t>1 Acer sp. 
2 Red oak 
1 Q. Alba 
7 black cherry</t>
  </si>
  <si>
    <t>Dogwood, Carex sp., Q. alba, Virginia creeper</t>
  </si>
  <si>
    <t xml:space="preserve">Forest, minimal/ low foliage, sandy soils </t>
  </si>
  <si>
    <t>1c7ed222-c127-401c-86c5-cab1c0067452,b2d7cc4f-98da-485d-8bfe-90468ac65c97</t>
  </si>
  <si>
    <t>d8a0d027-a691-41d2-8af0-ad36a48fc2b6</t>
  </si>
  <si>
    <t>e7a81b0c-55df-4d71-9f97-625981e6d854</t>
  </si>
  <si>
    <t xml:space="preserve">Tagged but unflagged 
Some sun but not total sun </t>
  </si>
  <si>
    <t>688be539-1fd6-4465-b306-b8d8bb212be5</t>
  </si>
  <si>
    <t>2022-08-01 18:22:15 UTC</t>
  </si>
  <si>
    <t>SRID=4326;POINT(-84.37809459872952 42.765599736052565)</t>
  </si>
  <si>
    <t xml:space="preserve">1 Q. Alba 
1 Ulmus sp. 
1 black cherry </t>
  </si>
  <si>
    <t>American hornbeam, skunk cabbage, Virginia creeper, sensitive fern, poaceae, wood cranes bill</t>
  </si>
  <si>
    <t xml:space="preserve">Edge of woodlands and marshy area </t>
  </si>
  <si>
    <t>819113ec-456c-4088-938b-d3053dff7390,35ad6ed8-8c05-45f9-bbc3-21bf129c7829,cb2b5427-95ec-41bc-b660-d4a064708a44</t>
  </si>
  <si>
    <t>234c1fd5-deb9-47d2-8832-794e6c616f89</t>
  </si>
  <si>
    <t>b26c5e61-76d3-4334-8cfd-4fdd52c9c221</t>
  </si>
  <si>
    <t xml:space="preserve">Sun leaves </t>
  </si>
  <si>
    <t>b51f1eed-8454-4df0-ad6d-ed7c3fcf6260</t>
  </si>
  <si>
    <t>2022-08-01 18:22:14 UTC</t>
  </si>
  <si>
    <t>SRID=4326;POINT(-84.38132548712602 42.765930150675366)</t>
  </si>
  <si>
    <t xml:space="preserve">3 Q. bicolor 
9 Acer sp.
</t>
  </si>
  <si>
    <t xml:space="preserve">Skunk cabbage, Fraxinus sp., Poaceae, American hornbeam </t>
  </si>
  <si>
    <t>Swampy area of woodlands</t>
  </si>
  <si>
    <t>b90b09db-092c-4426-9d96-1494c4d9d4bb,f63cb45b-7482-409f-bbd1-64d7a5e9c275</t>
  </si>
  <si>
    <t>4d69c818-fd4f-440a-ae02-3509657252c0</t>
  </si>
  <si>
    <t>53d79c4d-3cac-450e-96b1-62f46810557c</t>
  </si>
  <si>
    <t>c7322302-decb-4e94-a6cb-da72f278c04c</t>
  </si>
  <si>
    <t>2022-08-01 18:22:13 UTC</t>
  </si>
  <si>
    <t>SRID=4326;POINT(-84.38235704794934 42.76607255921047)</t>
  </si>
  <si>
    <t xml:space="preserve">4 Acer sp. 
1 Carya sp. 
3 red oak </t>
  </si>
  <si>
    <t xml:space="preserve">Virginia creeper, brambles, Fraxinus sp., rattlesnake roots, big leafed aster </t>
  </si>
  <si>
    <t xml:space="preserve">Wooded area near marshy opening </t>
  </si>
  <si>
    <t>d3fe8deb-8ac0-4224-a9d3-91ab98573b83,ff31d293-7ecd-4fe4-9ffd-8e3eea5496b0</t>
  </si>
  <si>
    <t>579c7653-2011-4857-8f6f-bc5bc885a140</t>
  </si>
  <si>
    <t>c6a1cb41-00ee-47fa-bd90-700d483f1b56</t>
  </si>
  <si>
    <t>Slightly sun exposed 
Tagged but not flagged, tagged near base</t>
  </si>
  <si>
    <t>0d6b685c-270a-4d59-9e3f-f81034096680</t>
  </si>
  <si>
    <t>2022-08-01 18:22:11 UTC</t>
  </si>
  <si>
    <t>SRID=4326;POINT(-84.38448699913178 42.76749641689632)</t>
  </si>
  <si>
    <t xml:space="preserve">1 Q. Alba 
7 Acer sp. 
1 red oak 
2 Populus sp.
2 Carya sp. </t>
  </si>
  <si>
    <t xml:space="preserve">Hylodesmum glutinosum, poaceae, large leaves aster, Fraxinus sp., Canada mayflower </t>
  </si>
  <si>
    <t xml:space="preserve">Sparse forest </t>
  </si>
  <si>
    <t>ba8f41ca-1418-4766-a9cd-d5e2adf2a49c,14bdfabc-748e-43a3-ae3b-da91a27077b2</t>
  </si>
  <si>
    <t>86234afc-ea59-4110-b367-8e6cf7f84058</t>
  </si>
  <si>
    <t>68288a32-161b-493a-b03d-27ea560a4d6b</t>
  </si>
  <si>
    <t xml:space="preserve">Low not sun exposed leaves </t>
  </si>
  <si>
    <t>05cd4748-aa92-44e7-96f8-4967bc015c3f</t>
  </si>
  <si>
    <t>2022-08-01 18:22:10 UTC</t>
  </si>
  <si>
    <t>SRID=4326;POINT(-84.38476969495824 42.76724032596011)</t>
  </si>
  <si>
    <t xml:space="preserve">3 Q. bicolor </t>
  </si>
  <si>
    <t>Skunk cabbage, false nettle, side flowering skullcap, Virginia creeper, reed canary grass</t>
  </si>
  <si>
    <t xml:space="preserve">Marsh near sparse woodlands </t>
  </si>
  <si>
    <t>ab65ff28-1108-44bc-8ac5-38d945126f61,4e65abd3-da49-47d0-a224-28ac78a8e73c</t>
  </si>
  <si>
    <t>05bf2010-fd29-480b-ad92-51a8acdc5aae</t>
  </si>
  <si>
    <t>c06517c9-3771-4a40-83c5-a5655657df3d</t>
  </si>
  <si>
    <t>056903c9-4ff4-45d3-a8c7-02ee173eef3c</t>
  </si>
  <si>
    <t>2022-08-01 18:22:09 UTC</t>
  </si>
  <si>
    <t>SRID=4326;POINT(-84.38540585946603 42.76665931004779)</t>
  </si>
  <si>
    <t>4 red oaks 
4 Acer sp.
1 Quercus Alba 
1 black cherry</t>
  </si>
  <si>
    <t xml:space="preserve">Poaceae, large leafed aster </t>
  </si>
  <si>
    <t xml:space="preserve">Woodlands near marsh, little foliage </t>
  </si>
  <si>
    <t>928575fd-63c2-4bac-9a0b-20cc84e555c0,09370d22-cdff-4a77-91cd-3d04e863fe62</t>
  </si>
  <si>
    <t>5d1de9a1-fc6a-4c70-814b-f5481fb7c50a</t>
  </si>
  <si>
    <t>93cfad5e-8fed-4655-8b7e-8cbe46bdcd66</t>
  </si>
  <si>
    <t>47203d22-895a-49e6-b6af-b48b33cc9e9c</t>
  </si>
  <si>
    <t xml:space="preserve">Low leaves </t>
  </si>
  <si>
    <t>8e85d693-a119-42d4-b3fa-f956965f2cdd</t>
  </si>
  <si>
    <t>2022-08-01 18:22:08 UTC</t>
  </si>
  <si>
    <t>SRID=4326;POINT(-84.38542189084401 42.76675379839052)</t>
  </si>
  <si>
    <t>1 Acer sp.</t>
  </si>
  <si>
    <t xml:space="preserve">Poison ivy, Virginia creeper, skunk cabbage, false nettle, sensitive fern, ash, sassafras </t>
  </si>
  <si>
    <t xml:space="preserve">Edge of marsh and forest (with little underbrush) </t>
  </si>
  <si>
    <t>572ad3b1-12e3-4b0f-a048-6195ccafe27d,42f22069-74d2-4bb7-b54e-5a4d9cbc0bb1</t>
  </si>
  <si>
    <t>5c500c10-6e55-47b9-a7a8-30d16ceeffb7</t>
  </si>
  <si>
    <t>e9bd4eb5-3246-4c9d-8042-ee3f24619dc6</t>
  </si>
  <si>
    <t>9a30dd8f-51f2-4630-8175-683b93e4877b</t>
  </si>
  <si>
    <t>2022-08-01 18:22:07 UTC</t>
  </si>
  <si>
    <t>SRID=4326;POINT(-83.99774956524745 42.44626955133159)</t>
  </si>
  <si>
    <t xml:space="preserve">3 Carya (2 ovata) </t>
  </si>
  <si>
    <t xml:space="preserve">Carex sp., wild yam, large leafed aster, Rubus sp., wild geranium </t>
  </si>
  <si>
    <t>Marshlands/ swampy</t>
  </si>
  <si>
    <t>8db6c444-af16-4e56-9868-7034f05c6949,6f89e9c5-5697-4696-9187-67d85fd128ba</t>
  </si>
  <si>
    <t>041ec54f-35a8-45e5-910e-d66052dd08dd</t>
  </si>
  <si>
    <t>a973788f-7476-4cd8-a669-8c762455db1f</t>
  </si>
  <si>
    <t>b2f6c271-512e-4ab7-9da9-6d52006a0bba</t>
  </si>
  <si>
    <t>SRID=4326;POINT(-83.99840209640935 42.44624666873593)</t>
  </si>
  <si>
    <t xml:space="preserve">1 red oak </t>
  </si>
  <si>
    <t xml:space="preserve">Virginia creeper, service berry, poison ivy, honeysuckle, Ribes sp., Hylodesmum glutinosum </t>
  </si>
  <si>
    <t xml:space="preserve">Edge of dense, wet forest </t>
  </si>
  <si>
    <t>30d275eb-64f7-41b0-b629-d51581d62e69,adcef091-1b6c-4e71-ac8b-43b2937c147d</t>
  </si>
  <si>
    <t>c2f79ec2-cbfa-4ed6-b5ea-407dec396fb7</t>
  </si>
  <si>
    <t>a0a64ad3-243a-493f-876d-f911f0763db3</t>
  </si>
  <si>
    <t>007d1aa1-5d08-4f0c-a65b-2729d41082c3</t>
  </si>
  <si>
    <t>2022-08-01 18:22:06 UTC</t>
  </si>
  <si>
    <t>SRID=4326;POINT(-83.99949645 42.44633865)</t>
  </si>
  <si>
    <t xml:space="preserve">1 Juniperus sp. 
1 red oak 
1 black cherry </t>
  </si>
  <si>
    <t xml:space="preserve">Sensitive fern, Ribes sp., honeysuckle, Fraxinus sp., </t>
  </si>
  <si>
    <t xml:space="preserve">Edge of wet, dense forest </t>
  </si>
  <si>
    <t>24261e59-c6dd-4e2f-80b2-b8ad5fe8ac0f,ffe33839-94f0-4852-9feb-801d76f66446</t>
  </si>
  <si>
    <t>2b9d887e-7591-4a95-b458-7b4d71aebce6</t>
  </si>
  <si>
    <t>b085231f-ccbb-4e90-9371-66e681564411</t>
  </si>
  <si>
    <t>78b0c417-173c-4d32-b0c0-041258425ccf</t>
  </si>
  <si>
    <t>2022-08-01 18:22:05 UTC</t>
  </si>
  <si>
    <t>SRID=4326;POINT(-84.00148076944426 42.44652628902573)</t>
  </si>
  <si>
    <t xml:space="preserve">1 Quercus Alba 
1 Quercus macrocarpa </t>
  </si>
  <si>
    <t>Brambles, Ribes sp., honeysuckles, thistles, Ulmus sp.</t>
  </si>
  <si>
    <t xml:space="preserve">Edge of wet dense woodlands </t>
  </si>
  <si>
    <t>55150b62-5f10-4bb3-9853-d876a203540b,d70437c3-38d6-4081-814b-5d7a569cd0d1</t>
  </si>
  <si>
    <t>4b31a3e5-3d3b-4336-9744-40b196077761</t>
  </si>
  <si>
    <t>b38dfd49-548c-4598-994e-eee4af6b0afc</t>
  </si>
  <si>
    <t>2022-08-01 18:22:04 UTC</t>
  </si>
  <si>
    <t>SRID=4326;POINT(-84.0022951551564 42.446496826636086)</t>
  </si>
  <si>
    <t>1 Q. macrocarpa 
1 Fraxinus???</t>
  </si>
  <si>
    <t xml:space="preserve">Virginia creeper, Ribes sp., stickseed, autumn olive, Fraxinus sp. Poaceae </t>
  </si>
  <si>
    <t>Edge of wet woodlands</t>
  </si>
  <si>
    <t>84541583-8419-415d-9303-27c915546458,b0dd82f1-24a0-4624-a7b1-0fc60e61b3bc</t>
  </si>
  <si>
    <t>953f2c9d-cdf2-4a1d-a708-c4a91edc7a4a</t>
  </si>
  <si>
    <t>ade067e1-2d64-41db-aa75-788fda4e55d7</t>
  </si>
  <si>
    <t>654bbc90-5af7-4a72-9cbf-7d22970156fa</t>
  </si>
  <si>
    <t xml:space="preserve">Quercus macrocarpa aff. Q. alba </t>
  </si>
  <si>
    <t>SRID=4326;POINT(-83.98628337020988 42.40750230572612)</t>
  </si>
  <si>
    <t>Quercus macrocarpa aff. Q. alba</t>
  </si>
  <si>
    <t xml:space="preserve">2 Acer sp. 
1 red oak 
1 Carya sp.
1 cherry (black) </t>
  </si>
  <si>
    <t xml:space="preserve">Virginia creeper, poison ivy, woodland sunflower?, Hylodesmum glutinosum, broadleaf enchanters nightshade </t>
  </si>
  <si>
    <t xml:space="preserve">Woodlands, dense, near road </t>
  </si>
  <si>
    <t>ad260855-e78d-4fb7-a508-43651d3e9834,07a302ef-47b0-47bb-b6cf-5ccca66bd4f3</t>
  </si>
  <si>
    <t>26e72380-91f4-4f99-b6f4-4c6b36b26a1d</t>
  </si>
  <si>
    <t>a97f8f7d-8774-40ec-9b70-7794cb88195e</t>
  </si>
  <si>
    <t>Two stems - 8.9, 14</t>
  </si>
  <si>
    <t>671af421-7abb-4377-9f47-82414fe38788</t>
  </si>
  <si>
    <t>2022-08-01 18:22:03 UTC</t>
  </si>
  <si>
    <t>SRID=4326;POINT(-84.00390381001309 42.416120348537724)</t>
  </si>
  <si>
    <t xml:space="preserve">5 Acer (saccharum??) 
1 Q. Bicolor 
</t>
  </si>
  <si>
    <t>Poison ivy, horsetail, asteraceae (woodland sunflower??), Carex sp., Dioscorea villosa, Oxalis stricta</t>
  </si>
  <si>
    <t xml:space="preserve">Marshy/swampy woodlands, near lake </t>
  </si>
  <si>
    <t>3413d937-320a-43ae-9e0e-41e99f1ec63a,734e82fa-8938-4464-a4e0-a1dc98e6d710,9249b8f4-fb2a-4b8e-ac6d-a2e2ed4444e7,9a2a8782-4bf2-4d2f-a5b6-88d7effa697c</t>
  </si>
  <si>
    <t>af68a16d-a546-490d-b1af-321937013012</t>
  </si>
  <si>
    <t>39f1a830-24a8-4d1e-a33f-86a51abbebd9</t>
  </si>
  <si>
    <t>DBH estimated due to poison ivy</t>
  </si>
  <si>
    <t>38006bb5-a0da-49e9-a519-56775fad6d78</t>
  </si>
  <si>
    <t>2022-08-01 18:22:02 UTC</t>
  </si>
  <si>
    <t>SRID=4326;POINT(-84.00213589899614 42.4182268884428)</t>
  </si>
  <si>
    <t xml:space="preserve">2 Acer sp. 
3 Cottonwoods
1 willow </t>
  </si>
  <si>
    <t xml:space="preserve">Skunk cabbage, poison ivy, Virginia creeper, matrimony vine??? Rosaceae, </t>
  </si>
  <si>
    <t xml:space="preserve">Swampy/marshy woodlands </t>
  </si>
  <si>
    <t>4d644fe4-cb55-4866-8276-219dcf5e1419,5289902f-9d25-4145-901c-af35afd34751</t>
  </si>
  <si>
    <t>b9edf9f6-2362-40c2-b809-89417bc8303a</t>
  </si>
  <si>
    <t>ab7e512d-b6ae-48cd-859a-a564076a40b0</t>
  </si>
  <si>
    <t xml:space="preserve">Shade leaves </t>
  </si>
  <si>
    <t>e7aa6a16-85ec-4f11-9057-7b8e2806ca40</t>
  </si>
  <si>
    <t>2022-08-01 18:22:01 UTC</t>
  </si>
  <si>
    <t>SRID=4326;POINT(-83.9949560678159 42.414209454560044)</t>
  </si>
  <si>
    <t xml:space="preserve">2 Ulmus sp.
2 Q. bicolor </t>
  </si>
  <si>
    <t xml:space="preserve">Wild carrot, hemp dogbane, poison ivy, cattails, Carex sp., </t>
  </si>
  <si>
    <t xml:space="preserve">Dense forest, marshy </t>
  </si>
  <si>
    <t>16a63e62-e829-4036-956e-b1527af31851,8e755b8e-583e-4e1b-97b6-b112f7c083ae,a58da935-8f48-414f-8845-c62c57c558da</t>
  </si>
  <si>
    <t>d3d8ec5b-5316-4994-ba71-836acd73e899</t>
  </si>
  <si>
    <t>9f1f298c-e776-42f8-986b-f5401fd028e4</t>
  </si>
  <si>
    <t xml:space="preserve">DBH estimated due to Poison ivy 
No tagging tape </t>
  </si>
  <si>
    <t>a4cd5d1e-5ee3-4376-a6c9-e285368f4b1c</t>
  </si>
  <si>
    <t>2022-08-01 18:22:00 UTC</t>
  </si>
  <si>
    <t>SRID=4326;POINT(-83.98258938461913 42.41129434205816)</t>
  </si>
  <si>
    <t xml:space="preserve">5 Q. Alba 
1 ?? Look at photos ( simple leaves, alternate, not visibly serrated) </t>
  </si>
  <si>
    <t xml:space="preserve">Q. Alba, lespedeza, fern, bluestem goldenrod, poison ivy, Anntenaria sp., garlic mustard </t>
  </si>
  <si>
    <t xml:space="preserve">Hillside, woodlands, close to lake </t>
  </si>
  <si>
    <t>40a19d6d-e2b6-49dc-9807-fb42b977e404,de62171d-4163-4976-a139-b432e46534b4</t>
  </si>
  <si>
    <t>3bebac9c-c29a-48b7-b8f3-494c7ff3d6bb</t>
  </si>
  <si>
    <t>ca1613bf-3183-4e01-aaec-340000d41a0a</t>
  </si>
  <si>
    <t>b62f70ab-63bf-47eb-8032-e06ce85961e3,6ca6a4c2-a8e4-4e3c-a30a-6153e0145379</t>
  </si>
  <si>
    <t>703ee1c7-34a2-44d0-a661-19c54058b461</t>
  </si>
  <si>
    <t>2022-08-01 18:21:59 UTC</t>
  </si>
  <si>
    <t>SRID=4326;POINT(-83.98374172866716 42.411386081988375)</t>
  </si>
  <si>
    <t xml:space="preserve">4 Q. Alba 
3 Carya sp. 
</t>
  </si>
  <si>
    <t xml:space="preserve">Hylodesmum glutinosum, dogwood, asteraceae, poison ivy, Virginia creeper, poaceae </t>
  </si>
  <si>
    <t xml:space="preserve">Woodlands on edge of lake </t>
  </si>
  <si>
    <t>ae4613c5-d2e2-43b9-8429-15577c391de9,a0f56894-0672-4e32-8ff5-f2d99b31a5bf</t>
  </si>
  <si>
    <t>3d85ee39-e1b8-408b-8b93-d6809bc6c86c</t>
  </si>
  <si>
    <t>54b2dbdc-c235-4b6a-84dd-e0932f4a47c6</t>
  </si>
  <si>
    <t>16a5a183-9199-4edd-b4ad-5b343278b886</t>
  </si>
  <si>
    <t>Two stems, one dead. Alive one is DBH</t>
  </si>
  <si>
    <t>65f8bec7-3d2d-43cd-99a5-82005a0701d6</t>
  </si>
  <si>
    <t>2022-08-01 18:21:58 UTC</t>
  </si>
  <si>
    <t>SRID=4326;POINT(-83.98534193630445 42.41168154051501)</t>
  </si>
  <si>
    <t xml:space="preserve">4 Carya sp. 
1 red oak </t>
  </si>
  <si>
    <t xml:space="preserve">Hylodesmum glutinosum, Virginia creeper, Q. alba, Ribes sp., Asteraceae (woodland sunflower??) </t>
  </si>
  <si>
    <t xml:space="preserve">Dense woodlands near lake </t>
  </si>
  <si>
    <t>e3f2363a-a6e4-48c7-aa6a-b60fdccfaba0,bff47e81-a866-4cf5-a31c-7472823d4fe5</t>
  </si>
  <si>
    <t>893496e8-c818-4ca0-9296-28c8cd8a6be7</t>
  </si>
  <si>
    <t>4be97b5f-3b22-40ee-9e05-018f4ae9a7c6</t>
  </si>
  <si>
    <t>6609de1e-0a89-492a-9370-6bc15892e33d</t>
  </si>
  <si>
    <t>2022-08-01 18:21:57 UTC</t>
  </si>
  <si>
    <t>SRID=4326;POINT(-83.98727461695671 42.41172544862371)</t>
  </si>
  <si>
    <t xml:space="preserve">2 Acer sp. 
3 red oaks </t>
  </si>
  <si>
    <t>Q. alba, red oak, ferns, woodland sunflower, black huckleberry, Virginia creeper, Hylodesmum glutinosum</t>
  </si>
  <si>
    <t xml:space="preserve">Near sand prairie and in dense woodlands near lake </t>
  </si>
  <si>
    <t>d95aa0f2-089b-41bf-aabc-e1968c862c4a,f8144add-1257-4900-8f17-c773a54b2bc3</t>
  </si>
  <si>
    <t>18f9e948-4fc0-45f6-bf5d-c875d7da41ed</t>
  </si>
  <si>
    <t>01c63e35-e1a1-4adb-ba1f-245cbf3923f8</t>
  </si>
  <si>
    <t>dfb88a33-0045-46b3-855a-27a74b787dbc</t>
  </si>
  <si>
    <t>2022-08-01 18:21:56 UTC</t>
  </si>
  <si>
    <t>SRID=4326;POINT(-83.98723756902291 42.411852995904546)</t>
  </si>
  <si>
    <t xml:space="preserve">1 Acer sp.
2 red oaks </t>
  </si>
  <si>
    <t xml:space="preserve">Sassafras, Q. Prinoides, Carya sp., Vitis aestivalis, brambles, </t>
  </si>
  <si>
    <t xml:space="preserve">Sand prairie, edge of woodlands </t>
  </si>
  <si>
    <t>7d113d57-952c-492d-bfd5-807a9e4c73e3,a00bb7fa-d612-47e3-b8ad-35a5542a34b9,4eac3c7f-8509-4506-a0e9-db5f3066ca88,a8dcfa5d-3f94-4c8f-ac30-ab60e9c0f259</t>
  </si>
  <si>
    <t>18938baa-57e5-474e-8e64-bf3077089919</t>
  </si>
  <si>
    <t>55e00608-89b4-4c9c-97c6-442071880800</t>
  </si>
  <si>
    <t>f70f2e4e-ed5d-4930-994b-f36447a3f72c</t>
  </si>
  <si>
    <t>04d46283-23a1-42dc-bbba-3ea8de46947a</t>
  </si>
  <si>
    <t>2022-08-01 18:21:55 UTC</t>
  </si>
  <si>
    <t>SRID=4326;POINT(-83.98880808622016 42.41337158721186)</t>
  </si>
  <si>
    <t xml:space="preserve">3 red oak </t>
  </si>
  <si>
    <t xml:space="preserve">Lespedeza, shining sumac, Acer sp., American witch hazel, Q. Prinoides </t>
  </si>
  <si>
    <t xml:space="preserve">Dense wooded area, near lake edge of sand prairie </t>
  </si>
  <si>
    <t>36753b42-6ff5-47c1-bde6-ae05931c6f1e,333905e5-1838-4917-8eef-3566b7db2649,f922c9bc-b737-4a38-8f25-ab704dc54676</t>
  </si>
  <si>
    <t>cea44913-0277-4379-a15a-4df8817fe696</t>
  </si>
  <si>
    <t>4ed18b6e-bbeb-46c8-a350-70b03727a209</t>
  </si>
  <si>
    <t>6523c7dd-cff0-407f-b6d5-78c0f9c5c005</t>
  </si>
  <si>
    <t>154ac5e8-0c5a-4a80-82f0-221ed7af1946</t>
  </si>
  <si>
    <t>2022-08-01 18:21:53 UTC</t>
  </si>
  <si>
    <t>SRID=4326;POINT(-83.98850341343929 42.41263433025315)</t>
  </si>
  <si>
    <t xml:space="preserve">4 red oaks </t>
  </si>
  <si>
    <t xml:space="preserve">Lespedeza, American witch hazel, red oak, New Jersey tea, Q. Prinoides </t>
  </si>
  <si>
    <t xml:space="preserve">Sandy soil, dense woodlands, near lakes </t>
  </si>
  <si>
    <t>2203aeee-2f5b-46f2-a9cb-1304f65f6768,db729a8c-67f0-422a-9ef6-d761023b2161,46dba0c6-1639-4616-9d06-c7ea02df2157,f4be3eb5-c5ee-4173-9a00-3f671f94b448</t>
  </si>
  <si>
    <t>0cfc026f-3548-4bc6-b9f9-e4e0ffa02479</t>
  </si>
  <si>
    <t>684e10b7-ced7-472c-8ab8-6fdaa480e9a7</t>
  </si>
  <si>
    <t>8dbe547f-0d7a-4def-9aa8-71843f795db6</t>
  </si>
  <si>
    <t>3f24860b-e285-42b7-9e04-bcb634559976</t>
  </si>
  <si>
    <t>2022-08-01 18:21:51 UTC</t>
  </si>
  <si>
    <t>SRID=4326;POINT(-84.35799068779158 41.55148944355692)</t>
  </si>
  <si>
    <t xml:space="preserve">6 Ulmus sp. 
</t>
  </si>
  <si>
    <t xml:space="preserve">Ribes, paw paw, wood nettle, Virginia creeper, American hornbeam </t>
  </si>
  <si>
    <t xml:space="preserve">Dense woodlands in river floodplain </t>
  </si>
  <si>
    <t>d7bb9f5c-1e7c-4aac-9b65-92103b7ff636,706ac4f1-5713-496e-9d19-5e487d673874</t>
  </si>
  <si>
    <t>b1514760-1064-4057-9f8b-3fc6ff0b4a07</t>
  </si>
  <si>
    <t>85d7aaff-24e5-4cae-ba3f-7ab0867dc47f</t>
  </si>
  <si>
    <t>3325a75c-de50-4851-9d2c-291324aec89b</t>
  </si>
  <si>
    <t>SRID=4326;POINT(-84.3564734794985 41.55423942025895)</t>
  </si>
  <si>
    <t>1 basswood 
1 tuliptree
1 Acer sp.</t>
  </si>
  <si>
    <t>Poison ivy, hickory, asteraceae, Virginia creepr, hawthorns, American hornbeam</t>
  </si>
  <si>
    <t xml:space="preserve">Dense woodlands in river floodplains </t>
  </si>
  <si>
    <t>c8ba86d5-3cdc-4750-a511-d34ceec7cce2,3414a0f1-459c-4ecd-856a-79bbc345038c</t>
  </si>
  <si>
    <t>1c158aba-37b7-44c6-b66c-3206aaa5e006</t>
  </si>
  <si>
    <t>7dd54a2d-d380-4a59-9031-7aad842e0ddd</t>
  </si>
  <si>
    <t>c25c926d-aeb1-47b2-baaa-73ac6c2672f1</t>
  </si>
  <si>
    <t>2022-08-01 18:21:50 UTC</t>
  </si>
  <si>
    <t>SRID=4326;POINT(-84.35245754131796 41.55263453391725)</t>
  </si>
  <si>
    <t xml:space="preserve">3 basswood 
1 Quercus macrocarpa 
1 Ulmus 
2 Carya ovata 
1 Acer sp. 
</t>
  </si>
  <si>
    <t xml:space="preserve">Ash, wood nettle, northern spicebush, water leaves, moonseed </t>
  </si>
  <si>
    <t>Dense woodlands, river flood plain</t>
  </si>
  <si>
    <t>7dd72405-3734-4edf-bed9-b4777b20490d,fc686f9d-8674-4d7a-914f-23c73ce3ce00</t>
  </si>
  <si>
    <t>45ecaf68-3f9c-4641-b501-b620840e0041</t>
  </si>
  <si>
    <t>6dfa39f0-6328-428a-817c-af583cc5c6c6</t>
  </si>
  <si>
    <t>7daf842e-64a6-441e-b753-5702d6c11b62</t>
  </si>
  <si>
    <t>SRID=4326;POINT(-84.35349907733905 41.55256287198658)</t>
  </si>
  <si>
    <t xml:space="preserve">1 basswood 
1 maple </t>
  </si>
  <si>
    <t xml:space="preserve">Wood nettle, hornbeams, ash </t>
  </si>
  <si>
    <t>cc91c8e8-5a90-4b85-acb0-8c0b4ca157c8,88c6c7e0-9189-4fd0-9560-31bde1de9497</t>
  </si>
  <si>
    <t>6244e9bd-5539-47de-a1fa-39f14334053b</t>
  </si>
  <si>
    <t>912345f8-8508-45af-b27c-922cbf0032c8</t>
  </si>
  <si>
    <t>c5cfabf8-ca29-4009-a2b4-0fd94cfdf201</t>
  </si>
  <si>
    <t>2022-08-01 18:21:49 UTC</t>
  </si>
  <si>
    <t>SRID=4326;POINT(-84.35423961848426 41.55182463586475)</t>
  </si>
  <si>
    <t>1 Ulmus sp.
6 Basswoods</t>
  </si>
  <si>
    <t xml:space="preserve">Moonseed, ash, wood nettle, poaceae, white avens </t>
  </si>
  <si>
    <t>Dense woodlands in river floodplains</t>
  </si>
  <si>
    <t>d02be962-3062-438a-a2b8-effb42a33e27,a7af775b-badc-4fab-a788-dcb50dad0893</t>
  </si>
  <si>
    <t>c9f5d00b-eaea-4e32-977b-d6fca84ef172</t>
  </si>
  <si>
    <t>ffcfcfc2-833b-4980-ade8-56d854498fb0</t>
  </si>
  <si>
    <t xml:space="preserve">Not totally sun exposed </t>
  </si>
  <si>
    <t>d5dca68a-b03b-4a77-a158-cca1d40278e0</t>
  </si>
  <si>
    <t>2022-08-01 18:21:48 UTC</t>
  </si>
  <si>
    <t>SRID=4326;POINT(-84.35472392484951 41.55233039990212)</t>
  </si>
  <si>
    <t xml:space="preserve">1 Quercus Alba 
1 basswood </t>
  </si>
  <si>
    <t xml:space="preserve">Basswood, wood nettle, poison ivy, Virginia creeper, beech, </t>
  </si>
  <si>
    <t>a10c155f-e316-4e97-b406-2543f202ac47,7090cdb9-23d1-4bd6-ab36-dbb5b13b321f</t>
  </si>
  <si>
    <t>eb9f7bb5-5c2c-421e-8d18-f2babf8c68a2</t>
  </si>
  <si>
    <t>ce6c5527-93bc-46c7-a6e4-d8b58b46e19a</t>
  </si>
  <si>
    <t>46475a22-340a-423d-ab03-97e178b87e22</t>
  </si>
  <si>
    <t>d04cb536-f8d0-410d-b022-81457b7b4063</t>
  </si>
  <si>
    <t>2022-08-01 18:21:47 UTC</t>
  </si>
  <si>
    <t>SRID=4326;POINT(-84.35485099450159 41.55156542550917)</t>
  </si>
  <si>
    <t xml:space="preserve">2 basswood 
2 Carya ovata </t>
  </si>
  <si>
    <t>Fraxinus sp., wood nettle, moonseed, Euonymus, Carex sp.</t>
  </si>
  <si>
    <t xml:space="preserve">Dense woodlands in river floodplain/ wetlands </t>
  </si>
  <si>
    <t>3ab2bbfb-8b5f-4700-95bf-e9dff67c4913,0991a27e-4774-4c0a-a5b9-ec4229e5683c</t>
  </si>
  <si>
    <t>cc6ae079-4199-4561-9ae0-45c5cfe1efe4</t>
  </si>
  <si>
    <t>1dbd9844-6aaa-4e3b-9740-7bfd7d2b25fe</t>
  </si>
  <si>
    <t xml:space="preserve">Understory </t>
  </si>
  <si>
    <t>a06768ee-d45b-4c48-9c0c-7a5d838d7343</t>
  </si>
  <si>
    <t>2022-08-01 18:21:46 UTC</t>
  </si>
  <si>
    <t>SRID=4326;POINT(-84.35556970538833 41.551417668639594)</t>
  </si>
  <si>
    <t>Black ash, ribes, poison ivy, Virginia creeper, wood nettle</t>
  </si>
  <si>
    <t>818b835a-7a17-4320-b720-1486ad7cdbc7,07ff0b64-b484-44b2-bff6-2507b0b416a0</t>
  </si>
  <si>
    <t>2f135e6c-f4e2-41f2-8b4b-101b7b325eff</t>
  </si>
  <si>
    <t>e7e7ad0c-b290-48f2-bd0f-c396e34e76f0</t>
  </si>
  <si>
    <t>d97d8462-b7d0-4800-8cd5-41ee5a455463</t>
  </si>
  <si>
    <t>2022-08-01 18:21:45 UTC</t>
  </si>
  <si>
    <t>SRID=4326;POINT(-84.35554618955064 41.55117495454992)</t>
  </si>
  <si>
    <t xml:space="preserve">1 basswood
1 beech 
1 Carya sp. </t>
  </si>
  <si>
    <t>Wood nettle, poison ivy, Virginia creeper</t>
  </si>
  <si>
    <t xml:space="preserve">Dense woodlands - wetlands/ river floodplain </t>
  </si>
  <si>
    <t>a57d7cf0-1954-4642-8b6f-70edf5ab3dae,7488708c-d7af-48bc-a39b-f0707788fc35</t>
  </si>
  <si>
    <t>28af29aa-624b-4ea9-8f9e-a51e94d8f1b3</t>
  </si>
  <si>
    <t>7e2d1737-bcb9-46c0-baf4-3fd960620065</t>
  </si>
  <si>
    <t>49ba8676-4232-431e-8a10-40876e1eea3d</t>
  </si>
  <si>
    <t>2022-08-01 18:21:44 UTC</t>
  </si>
  <si>
    <t>SRID=4326;POINT(-84.35702811003137 41.55085518494393)</t>
  </si>
  <si>
    <t>2 Acer sp.</t>
  </si>
  <si>
    <t>Honewort, Oregon ash, Virginia creeper, rosaceae</t>
  </si>
  <si>
    <t>f6ab34b5-fccf-40f5-82ef-d87190f6831d,02ef1e02-8f8b-4f5b-b182-510868ba2c3f</t>
  </si>
  <si>
    <t>0a753588-8d06-4894-8a52-f09979eb32e4</t>
  </si>
  <si>
    <t>Soils at this site are clay</t>
  </si>
  <si>
    <t>a7aa0c12-b436-4ced-baad-59406ca68153</t>
  </si>
  <si>
    <t>2022-08-01 18:21:43 UTC</t>
  </si>
  <si>
    <t>SRID=4326;POINT(-84.3586305622797 41.55115789737697)</t>
  </si>
  <si>
    <t xml:space="preserve">1 Carya sp.
3 Basswoods </t>
  </si>
  <si>
    <t xml:space="preserve">Poison ivy, Virginia creeper, Fraxinus, maple, poaceae, </t>
  </si>
  <si>
    <t xml:space="preserve">Dense forest wetlands </t>
  </si>
  <si>
    <t>bef1be25-a638-4993-9671-8b470b49759d,1f8328a3-7677-411b-a378-97b5f9a2aa44</t>
  </si>
  <si>
    <t>22808c77-02ae-40e0-b6bb-25b4430a890f</t>
  </si>
  <si>
    <t>35a31c67-482a-40a0-98a1-7c0267a7b77e</t>
  </si>
  <si>
    <t>29b2b98a-dd92-4a05-a5b1-49aa2425867f</t>
  </si>
  <si>
    <t>SRID=4326;POINT(-84.36123163447189 41.55316113032565)</t>
  </si>
  <si>
    <t xml:space="preserve">1 Ulmus sp.
1 Carya ovata 
1 Quercus rubra (?)
1 Carya sp. </t>
  </si>
  <si>
    <t>False nettle, poaceae, acer sp., American bladdernut</t>
  </si>
  <si>
    <t xml:space="preserve">Dense forest in river floodplains - wetlands </t>
  </si>
  <si>
    <t>c3c6cc3f-8bd6-4770-9f7e-c63667fdf77e,335d2142-85ce-4300-aa77-d623af0ee0c6</t>
  </si>
  <si>
    <t>ca40ef3f-aae2-4f86-ad72-6fcaad804161</t>
  </si>
  <si>
    <t>3c51feb2-8b7d-4f38-be68-0e483ebc43ca</t>
  </si>
  <si>
    <t>2022-08-01 18:21:25 UTC</t>
  </si>
  <si>
    <t>SRID=4326;POINT(-91.50726148867189 46.3316073921012)</t>
  </si>
  <si>
    <t xml:space="preserve">1 Q. Macrocarpa 
2 Red oak group 
2 Red maple </t>
  </si>
  <si>
    <t>Wood aster, American hazelenut, red maple</t>
  </si>
  <si>
    <t>cc5f02fa-1770-4cb8-8316-b807d20a054f,4648adb5-a36f-443c-b0b0-9ef41910f0ff,ce3f14f8-7fbb-4138-aaf5-1d2dd53022d9,07ce8fe2-c089-41c8-a9dd-c5f33207dfb0</t>
  </si>
  <si>
    <t>dc251441-8de3-4244-8351-71e17a678666</t>
  </si>
  <si>
    <t>28d23dd1-bc37-4139-91d1-98852c35ae4b</t>
  </si>
  <si>
    <t>466b58fd-7a11-428f-984a-df2fae8901bf</t>
  </si>
  <si>
    <t>2022-08-01 18:21:23 UTC</t>
  </si>
  <si>
    <t>SRID=4326;POINT(-91.50749760688423 46.332276309883525)</t>
  </si>
  <si>
    <t xml:space="preserve">3 Quercus red oak group </t>
  </si>
  <si>
    <t xml:space="preserve">Quercus red oak group, Q. macrocarpa ,
Fern, red maple, poaceae, star flower or Indian cucumber root </t>
  </si>
  <si>
    <t>0249cb1e-69ad-47b8-9a34-7b963f3d58d6,d35a71f4-f854-4a86-878f-fd8e765ed386,64ad7df1-d5db-43bb-b935-c1b6608fe5a4</t>
  </si>
  <si>
    <t>db354a9a-d67a-4aa2-8b17-f31795c376ba</t>
  </si>
  <si>
    <t>d8638ec9-c7ce-4020-a765-c3d752459a68</t>
  </si>
  <si>
    <t>c885b72a-0af9-44b8-bd54-5ce2dd79e239</t>
  </si>
  <si>
    <t>2022-08-01 18:21:17 UTC</t>
  </si>
  <si>
    <t>SRID=4326;POINT(-91.63898143259777 43.90241202708712)</t>
  </si>
  <si>
    <t xml:space="preserve">2 Carya ovata 
2 Quercus sect Lobatae
1 Carya sp.
1 Celtis occidentalis 
</t>
  </si>
  <si>
    <t>Ribes, Rubus sp., Rosaceae family, Sanicula sp.</t>
  </si>
  <si>
    <t>Riparian woodland edge, near prairie</t>
  </si>
  <si>
    <t>0eacdaac-c85e-4737-90fe-bba2099021e5,da1598af-5b0c-4639-9cb1-9275252e5539,86cef044-662e-4aec-9799-413f076332a0</t>
  </si>
  <si>
    <t>1014c088-e0fb-4e9e-91c3-8257cacabe1f</t>
  </si>
  <si>
    <t>bdd799c3-7cce-4c3c-bb93-83418a406044</t>
  </si>
  <si>
    <t>315c1902-6bb8-444a-bd56-1b2282f0fb6d</t>
  </si>
  <si>
    <t>2022-06-29 14:22:51 UTC</t>
  </si>
  <si>
    <t>SRID=4326;POINT(-90.55730779663706 38.51298253055522)</t>
  </si>
  <si>
    <t xml:space="preserve">2 hickory
3 red oak 
</t>
  </si>
  <si>
    <t xml:space="preserve">Fragrant sumac, poison Ivy, serviceberries, dogwood </t>
  </si>
  <si>
    <t xml:space="preserve">Wooded area, foliage, rocky ground </t>
  </si>
  <si>
    <t>d02af411-91ab-46e9-9618-caee53e42a44,abe236dd-6400-43b0-ab76-b45b29067a0e</t>
  </si>
  <si>
    <t>b3298852-e5fc-40b7-b7e8-a92bcebefe9b</t>
  </si>
  <si>
    <t>8161fc96-eae5-4aa9-8461-c592826b514a</t>
  </si>
  <si>
    <t>4039175f-2ac9-408f-a222-974425ecda93</t>
  </si>
  <si>
    <t>2022-06-29 14:22:50 UTC</t>
  </si>
  <si>
    <t>SRID=4326;POINT(-90.55748785685874 38.51335259635016)</t>
  </si>
  <si>
    <t xml:space="preserve">2 red oak
2 black oak 
1 hickory </t>
  </si>
  <si>
    <t xml:space="preserve">Virginia creeper, honeysuckle, sassafras, ash, black or red oak </t>
  </si>
  <si>
    <t xml:space="preserve">Wooded area, sparse foliage, gravelly </t>
  </si>
  <si>
    <t>6824e028-ac17-459b-b763-727cedd59afd,4352636c-057d-42e3-9d90-0c1b792f7513</t>
  </si>
  <si>
    <t>dae033e1-64d0-40f7-895a-55f54bad8007</t>
  </si>
  <si>
    <t>c052b2bd-0be4-4bf0-a1fa-b4c0ef08eb5a,9b4af52b-7e78-4bfa-8ba0-0876a3c8ac26</t>
  </si>
  <si>
    <t>Two trunks-28.8,15.4</t>
  </si>
  <si>
    <t>ccdde089-88d5-47a1-bcfe-b181ca204081</t>
  </si>
  <si>
    <t>2022-06-29 14:22:45 UTC</t>
  </si>
  <si>
    <t>SRID=4326;POINT(-90.57638831410713 38.512257752961986)</t>
  </si>
  <si>
    <t xml:space="preserve">1 black oak 
1 Q alba 
1 sugar maple
2 hickory (mockernut)
</t>
  </si>
  <si>
    <t xml:space="preserve">American hog peanut, Virginia creeper, Carolina buckthorn, trailing lespedeza, ash, honeysuckle, elm </t>
  </si>
  <si>
    <t xml:space="preserve">Hillside, rocky, low foliage, wooded area </t>
  </si>
  <si>
    <t>8b8cced3-37ae-48c2-8235-26edccfa88b7,4a83350c-5da8-4c84-a6f9-d6e05ab8e7d4</t>
  </si>
  <si>
    <t>31490dfc-cda3-43f3-aeed-ab8bd9fdc108</t>
  </si>
  <si>
    <t>610676db-7357-40a7-8955-fb9097e179a9</t>
  </si>
  <si>
    <t>f63c758c-5360-44c8-a2b6-a0b5c9af36fe</t>
  </si>
  <si>
    <t>2022-06-29 14:22:42 UTC</t>
  </si>
  <si>
    <t>SRID=4326;POINT(-90.57595761501284 38.51228687450151)</t>
  </si>
  <si>
    <t xml:space="preserve">1 red cedar 
2 red oak 
3 black oak 
1 Q stellata </t>
  </si>
  <si>
    <t xml:space="preserve">Redbud, Virginia creeper, American hog peanut, raspberry, buckthorn, flowering dogwood, ash, fragrant sumac </t>
  </si>
  <si>
    <t xml:space="preserve">On side of hill, low foliage, wooded </t>
  </si>
  <si>
    <t>245626ff-4ada-4af2-8b83-890c0379f39f,c231f3b0-6b94-4b7a-ae3a-abb31eb89f08</t>
  </si>
  <si>
    <t>d5fd8f73-0a4e-431d-8218-36eed07ee3af</t>
  </si>
  <si>
    <t>997792a2-22c8-4360-98cc-bde1c8151a5e</t>
  </si>
  <si>
    <t xml:space="preserve">Tagged SPFD- 01-0662 
Subcanopy leaves </t>
  </si>
  <si>
    <t>d2fd4ace-a5ed-44f7-8d61-36fc5d09fe15</t>
  </si>
  <si>
    <t>2022-06-29 14:22:41 UTC</t>
  </si>
  <si>
    <t>SRID=4326;POINT(-90.57564080661393 38.512225177589386)</t>
  </si>
  <si>
    <t xml:space="preserve">2 Q muehlenbergii 
1 black oak
1 red oak 
1 hickory 
1 black walnut </t>
  </si>
  <si>
    <t xml:space="preserve">Redbud, American hog peanut, Virginia creeper, sassafras, </t>
  </si>
  <si>
    <t xml:space="preserve">Side of hill, low foliage, wooded area </t>
  </si>
  <si>
    <t>dd02a11b-ede6-4430-aac0-2dd1e3de9bd1,ff718815-b71c-4255-a3c5-2cd9d393a22d</t>
  </si>
  <si>
    <t>27c5a66d-ea1c-4be1-92a6-90af2b900816</t>
  </si>
  <si>
    <t>28e3640b-85fd-48e3-9003-e5dd0242b59a</t>
  </si>
  <si>
    <t>Subcanopy leaves, 
Tagged SPFD, 01-0961</t>
  </si>
  <si>
    <t>fb729947-8d08-4384-8cb8-13b46f493805</t>
  </si>
  <si>
    <t>SRID=4326;POINT(-90.57571219288798 38.51235455836962)</t>
  </si>
  <si>
    <t>4 red oak
2 hickory (Carya) 
1 white ash 
1 black oak</t>
  </si>
  <si>
    <t>American hog peanut, Virginia creeper, redbud, grapevine, raspberry, sumac, black oak</t>
  </si>
  <si>
    <t xml:space="preserve">Side of hill, low foliage, wooded </t>
  </si>
  <si>
    <t>ae51dcf4-e223-450e-8f56-b17bfe9d31b1,dc66e882-1375-49b6-98b5-d52e823e634a</t>
  </si>
  <si>
    <t>ac7f13c7-a4a7-4363-831f-ff775b1b8686</t>
  </si>
  <si>
    <t>b7c4d59d-22d3-494c-b8e1-d979315fe034</t>
  </si>
  <si>
    <t>Labeled SPFD 01-1258 (through TRC)</t>
  </si>
  <si>
    <t>427e4aee-93c2-44d9-a99e-9eeafc54c8a0</t>
  </si>
  <si>
    <t>2022-06-29 14:22:39 UTC</t>
  </si>
  <si>
    <t>SRID=4326;POINT(-90.53680356600371 38.546848814039066)</t>
  </si>
  <si>
    <t xml:space="preserve">1 hackberry 
1 American elm 
</t>
  </si>
  <si>
    <t>Poison ivy, Virginia creeper, sunflower, wheatgrass, paw paws</t>
  </si>
  <si>
    <t xml:space="preserve">Shrubby woods, tall foliage </t>
  </si>
  <si>
    <t>5f320196-ed06-4152-b5a1-8486a5448048,3539cf1a-b15d-403f-8692-f31fcb4ec5f9</t>
  </si>
  <si>
    <t>97abb982-2ee7-431b-b67f-a844a5309460</t>
  </si>
  <si>
    <t>dd0b695e-6a75-41d3-b268-425217990cc2</t>
  </si>
  <si>
    <t xml:space="preserve">Subcanopy leaves. DBH estimated bc poison ivy </t>
  </si>
  <si>
    <t>ca26c7ca-ab17-4dab-85ff-d4a3d7995af9</t>
  </si>
  <si>
    <t>2022-06-29 14:22:38 UTC</t>
  </si>
  <si>
    <t>SRID=4326;POINT(-90.53572438979042 38.5455895028033)</t>
  </si>
  <si>
    <t xml:space="preserve">4 American elm </t>
  </si>
  <si>
    <t xml:space="preserve">Sunflowers, American hog peanut, wheat, Virginia creeper </t>
  </si>
  <si>
    <t xml:space="preserve">Dense shrubby wood </t>
  </si>
  <si>
    <t>f3f191d3-37a2-4cf0-852d-e9927c67e27f,e20a94f8-34af-4363-a57a-1340810ab95f</t>
  </si>
  <si>
    <t>d5682897-6fca-4728-ad59-a85dc65c080e,4ce2366e-f3a5-4c2a-a616-b71b6fc656ad</t>
  </si>
  <si>
    <t>a022ba8c-f0ed-40d4-a0de-3bde55c68769</t>
  </si>
  <si>
    <t>lat_fixed</t>
  </si>
  <si>
    <t>long_fixed</t>
  </si>
  <si>
    <t>long_difference</t>
  </si>
  <si>
    <t>lat_difference</t>
  </si>
  <si>
    <t>Quercus lyrata Walt. x Quercus macrocarpa Michx.</t>
  </si>
  <si>
    <t>Quercus bicolor Willd. X Quercus macrocarpa Michx.</t>
  </si>
  <si>
    <t>Quercus alba L. x Quercus muehlenbergii Engelm.</t>
  </si>
  <si>
    <t>Quercus lyrata Walt. x Quercus michauxii Nutt.</t>
  </si>
  <si>
    <t>Quercus alba L. x Quercus michauxii Nutt.</t>
  </si>
  <si>
    <t>Quercus alba L. x Quercus macrocarpa Michx.</t>
  </si>
  <si>
    <t>Quercus bicolor Willd. x Quercus macrocarpa Michx.</t>
  </si>
  <si>
    <t>Quercus macrocarpa Michx. X Quercus muehlenbergii Engelm.</t>
  </si>
  <si>
    <t>ADMIX_SS</t>
  </si>
  <si>
    <t>ADMIX_ALL_K8</t>
  </si>
  <si>
    <t>MONG_PHYLO</t>
  </si>
  <si>
    <t>MAC_PHYLO</t>
  </si>
  <si>
    <t>CONSTRUCT</t>
  </si>
  <si>
    <t>GEA</t>
  </si>
  <si>
    <t>Group.1</t>
  </si>
  <si>
    <t>USE</t>
  </si>
  <si>
    <t>SubSample</t>
  </si>
  <si>
    <t>SYST-MOR-0007212.bam</t>
  </si>
  <si>
    <t>SYST-MOR-0007185.bam</t>
  </si>
  <si>
    <t>SYST-MOR-0006994.bam</t>
  </si>
  <si>
    <t>SYST-MOR-0006970.bam</t>
  </si>
  <si>
    <t>SYST-MOR-0007196.bam</t>
  </si>
  <si>
    <t>SYST-MOR-0006925.bam</t>
  </si>
  <si>
    <t>SYST-MOR-0007134.bam</t>
  </si>
  <si>
    <t>SYST-MOR-0006768.bam</t>
  </si>
  <si>
    <t>SYST-MOR-0006754.bam</t>
  </si>
  <si>
    <t>SYST-MOR-0006760.bam</t>
  </si>
  <si>
    <t>SRR14632961.bam</t>
  </si>
  <si>
    <t>SRR14632950.bam</t>
  </si>
  <si>
    <t>SRR14632932.bam</t>
  </si>
  <si>
    <t>SRR14632928.bam</t>
  </si>
  <si>
    <t>SRR14632968.bam</t>
  </si>
  <si>
    <t>SYST-MOR-0007046.bam</t>
  </si>
  <si>
    <t>SYST-MOR-0007215.bam</t>
  </si>
  <si>
    <t>SYST-MOR-0006787.bam</t>
  </si>
  <si>
    <t>SYST-MOR-0007205.bam</t>
  </si>
  <si>
    <t>SYST-MOR-0007015.bam</t>
  </si>
  <si>
    <t>SYST-MOR-0006717.bam</t>
  </si>
  <si>
    <t>SYST-MOR-0007154.bam</t>
  </si>
  <si>
    <t>SYST-MOR-0006924.bam</t>
  </si>
  <si>
    <t>SYST-MOR-0006718.bam</t>
  </si>
  <si>
    <t>SYST-MOR-0006773.bam</t>
  </si>
  <si>
    <t>SYST-MOR-0007080.bam</t>
  </si>
  <si>
    <t>SYST-MOR-0007061.bam</t>
  </si>
  <si>
    <t>SYST-MOR-0006751.bam</t>
  </si>
  <si>
    <t>SYST-MOR-0007120.bam</t>
  </si>
  <si>
    <t>SYST-MOR-0006984.bam</t>
  </si>
  <si>
    <t>SYST-MOR-0007094.bam</t>
  </si>
  <si>
    <t>SYST-MOR-0007240.bam</t>
  </si>
  <si>
    <t>SYST-MOR-0007239.bam</t>
  </si>
  <si>
    <t>SYST-MOR-0007090.bam</t>
  </si>
  <si>
    <t>SYST-MOR-0007092.bam</t>
  </si>
  <si>
    <t>SYST-MOR-0006865.bam</t>
  </si>
  <si>
    <t>SYST-MOR-0006742.bam</t>
  </si>
  <si>
    <t>SYST-MOR-0006886.bam</t>
  </si>
  <si>
    <t>SYST-MOR-0006749.bam</t>
  </si>
  <si>
    <t>SYST-MOR-0007173.bam</t>
  </si>
  <si>
    <t>SYST-MOR-0007166.bam</t>
  </si>
  <si>
    <t>SYST-MOR-0007167.bam</t>
  </si>
  <si>
    <t>SYST-MOR-0007160.bam</t>
  </si>
  <si>
    <t>SYST-MOR-0007162.bam</t>
  </si>
  <si>
    <t>SYST-MOR-0007178.bam</t>
  </si>
  <si>
    <t>Constant</t>
  </si>
  <si>
    <t>sample</t>
  </si>
  <si>
    <t>K</t>
  </si>
  <si>
    <t>K6-18</t>
  </si>
  <si>
    <t>SRR14632920.bam</t>
  </si>
  <si>
    <t>SRR24768716.bam</t>
  </si>
  <si>
    <t>Outgroup</t>
  </si>
  <si>
    <t>SRR24768723.bam</t>
  </si>
  <si>
    <t>SRR24768736.bam</t>
  </si>
  <si>
    <t>SRR24768754.bam</t>
  </si>
  <si>
    <t>SRR24768763.bam</t>
  </si>
  <si>
    <t>SYST-MOR-0006719.bam</t>
  </si>
  <si>
    <t>SYST-MOR-0006721.bam</t>
  </si>
  <si>
    <t>SYST-MOR-0006722.bam</t>
  </si>
  <si>
    <t>SYST-MOR-0006723.bam</t>
  </si>
  <si>
    <t>SYST-MOR-0006724.bam</t>
  </si>
  <si>
    <t>SYST-MOR-0006725.bam</t>
  </si>
  <si>
    <t>SYST-MOR-0006729.bam</t>
  </si>
  <si>
    <t>SYST-MOR-0006731.bam</t>
  </si>
  <si>
    <t>SYST-MOR-0006735.bam</t>
  </si>
  <si>
    <t>SYST-MOR-0006737.bam</t>
  </si>
  <si>
    <t>SYST-MOR-0006738.bam</t>
  </si>
  <si>
    <t>SYST-MOR-0006740.bam</t>
  </si>
  <si>
    <t>SYST-MOR-0006752.bam</t>
  </si>
  <si>
    <t>SYST-MOR-0006753.bam</t>
  </si>
  <si>
    <t>SYST-MOR-0006755.bam</t>
  </si>
  <si>
    <t>SYST-MOR-0006756.bam</t>
  </si>
  <si>
    <t>SYST-MOR-0006758.bam</t>
  </si>
  <si>
    <t>SYST-MOR-0006759.bam</t>
  </si>
  <si>
    <t>SYST-MOR-0006761.bam</t>
  </si>
  <si>
    <t>SYST-MOR-0006763.bam</t>
  </si>
  <si>
    <t>SYST-MOR-0006764.bam</t>
  </si>
  <si>
    <t>SYST-MOR-0006765.bam</t>
  </si>
  <si>
    <t>SYST-MOR-0006766.bam</t>
  </si>
  <si>
    <t>SYST-MOR-0006767.bam</t>
  </si>
  <si>
    <t>SYST-MOR-0006770.bam</t>
  </si>
  <si>
    <t>SYST-MOR-0006772.bam</t>
  </si>
  <si>
    <t>SYST-MOR-0006775.bam</t>
  </si>
  <si>
    <t>xxx</t>
  </si>
  <si>
    <t>SYST-MOR-0006778.bam</t>
  </si>
  <si>
    <t>SYST-MOR-0006779.bam</t>
  </si>
  <si>
    <t>SYST-MOR-0006780.bam</t>
  </si>
  <si>
    <t>SYST-MOR-0006781.bam</t>
  </si>
  <si>
    <t>SYST-MOR-0006782.bam</t>
  </si>
  <si>
    <t>SYST-MOR-0006791.bam</t>
  </si>
  <si>
    <t>SYST-MOR-0006792.bam</t>
  </si>
  <si>
    <t>SYST-MOR-0006798.bam</t>
  </si>
  <si>
    <t>SYST-MOR-0006799.bam</t>
  </si>
  <si>
    <t>SYST-MOR-0006801.bam</t>
  </si>
  <si>
    <t>SYST-MOR-0006802.bam</t>
  </si>
  <si>
    <t>SYST-MOR-0006803.bam</t>
  </si>
  <si>
    <t>SYST-MOR-0006804.bam</t>
  </si>
  <si>
    <t>SYST-MOR-0006805.bam</t>
  </si>
  <si>
    <t>SYST-MOR-0006813.bam</t>
  </si>
  <si>
    <t>SYST-MOR-0006814.bam</t>
  </si>
  <si>
    <t>SYST-MOR-0006821.bam</t>
  </si>
  <si>
    <t>SYST-MOR-0006841.bam</t>
  </si>
  <si>
    <t>SYST-MOR-0006844.bam</t>
  </si>
  <si>
    <t>SYST-MOR-0006845.bam</t>
  </si>
  <si>
    <t>SYST-MOR-0006846.bam</t>
  </si>
  <si>
    <t>SYST-MOR-0006852.bam</t>
  </si>
  <si>
    <t>SYST-MOR-0006853.bam</t>
  </si>
  <si>
    <t>SYST-MOR-0006854.bam</t>
  </si>
  <si>
    <t>SYST-MOR-0006856.bam</t>
  </si>
  <si>
    <t>SYST-MOR-0006857.bam</t>
  </si>
  <si>
    <t>SYST-MOR-0006858.bam</t>
  </si>
  <si>
    <t>SYST-MOR-0006861.bam</t>
  </si>
  <si>
    <t>SYST-MOR-0006862.bam</t>
  </si>
  <si>
    <t>SYST-MOR-0006864.bam</t>
  </si>
  <si>
    <t>SYST-MOR-0006866.bam</t>
  </si>
  <si>
    <t>SYST-MOR-0006867.bam</t>
  </si>
  <si>
    <t>SYST-MOR-0006868.bam</t>
  </si>
  <si>
    <t>SYST-MOR-0006870.bam</t>
  </si>
  <si>
    <t>SYST-MOR-0006872.bam</t>
  </si>
  <si>
    <t>SYST-MOR-0006873.bam</t>
  </si>
  <si>
    <t>SYST-MOR-0006875.bam</t>
  </si>
  <si>
    <t>SYST-MOR-0006878.bam</t>
  </si>
  <si>
    <t>SYST-MOR-0006880.bam</t>
  </si>
  <si>
    <t>SYST-MOR-0006890.bam</t>
  </si>
  <si>
    <t>SYST-MOR-0006891.bam</t>
  </si>
  <si>
    <t>SYST-MOR-0006892.bam</t>
  </si>
  <si>
    <t>SYST-MOR-0006893.bam</t>
  </si>
  <si>
    <t>SYST-MOR-0006894.bam</t>
  </si>
  <si>
    <t>SYST-MOR-0006897.bam</t>
  </si>
  <si>
    <t>SYST-MOR-0006898.bam</t>
  </si>
  <si>
    <t>SYST-MOR-0006899.bam</t>
  </si>
  <si>
    <t>SYST-MOR-0006903.bam</t>
  </si>
  <si>
    <t>SYST-MOR-0006904.bam</t>
  </si>
  <si>
    <t>SYST-MOR-0006906.bam</t>
  </si>
  <si>
    <t>SYST-MOR-0006907.bam</t>
  </si>
  <si>
    <t>SYST-MOR-0006908.bam</t>
  </si>
  <si>
    <t>SYST-MOR-0006909.bam</t>
  </si>
  <si>
    <t>SYST-MOR-0006911.bam</t>
  </si>
  <si>
    <t>SYST-MOR-0006912.bam</t>
  </si>
  <si>
    <t>SYST-MOR-0006921.bam</t>
  </si>
  <si>
    <t>SYST-MOR-0006932.bam</t>
  </si>
  <si>
    <t>SYST-MOR-0006933.bam</t>
  </si>
  <si>
    <t>SYST-MOR-0006934.bam</t>
  </si>
  <si>
    <t>SYST-MOR-0006935.bam</t>
  </si>
  <si>
    <t>SYST-MOR-0006936.bam</t>
  </si>
  <si>
    <t>SYST-MOR-0006937.bam</t>
  </si>
  <si>
    <t>SYST-MOR-0006940.bam</t>
  </si>
  <si>
    <t>SYST-MOR-0006942.bam</t>
  </si>
  <si>
    <t>SYST-MOR-0006943.bam</t>
  </si>
  <si>
    <t>SYST-MOR-0006944.bam</t>
  </si>
  <si>
    <t>SYST-MOR-0006945.bam</t>
  </si>
  <si>
    <t>SYST-MOR-0006947.bam</t>
  </si>
  <si>
    <t>SYST-MOR-0006948.bam</t>
  </si>
  <si>
    <t>SYST-MOR-0006955.bam</t>
  </si>
  <si>
    <t>SYST-MOR-0006956.bam</t>
  </si>
  <si>
    <t>SYST-MOR-0006957.bam</t>
  </si>
  <si>
    <t>SYST-MOR-0006958.bam</t>
  </si>
  <si>
    <t>SYST-MOR-0006959.bam</t>
  </si>
  <si>
    <t>SYST-MOR-0006960.bam</t>
  </si>
  <si>
    <t>SYST-MOR-0006961.bam</t>
  </si>
  <si>
    <t>SYST-MOR-0006962.bam</t>
  </si>
  <si>
    <t>SYST-MOR-0006963.bam</t>
  </si>
  <si>
    <t>SYST-MOR-0006968.bam</t>
  </si>
  <si>
    <t>SYST-MOR-0006973.bam</t>
  </si>
  <si>
    <t>SYST-MOR-0006975.bam</t>
  </si>
  <si>
    <t>SYST-MOR-0006977.bam</t>
  </si>
  <si>
    <t>SYST-MOR-0006979.bam</t>
  </si>
  <si>
    <t>SYST-MOR-0006980.bam</t>
  </si>
  <si>
    <t>SYST-MOR-0006985.bam</t>
  </si>
  <si>
    <t>SYST-MOR-0006986.bam</t>
  </si>
  <si>
    <t>SYST-MOR-0006988.bam</t>
  </si>
  <si>
    <t>SYST-MOR-0006999.bam</t>
  </si>
  <si>
    <t>SYST-MOR-0007001.bam</t>
  </si>
  <si>
    <t>SYST-MOR-0007002.bam</t>
  </si>
  <si>
    <t>SYST-MOR-0007003.bam</t>
  </si>
  <si>
    <t>SYST-MOR-0007004.bam</t>
  </si>
  <si>
    <t>SYST-MOR-0007008.bam</t>
  </si>
  <si>
    <t>SYST-MOR-0007014.bam</t>
  </si>
  <si>
    <t>SYST-MOR-0007016.bam</t>
  </si>
  <si>
    <t>SYST-MOR-0007018.bam</t>
  </si>
  <si>
    <t>SYST-MOR-0007020.bam</t>
  </si>
  <si>
    <t>SYST-MOR-0007021.bam</t>
  </si>
  <si>
    <t>SYST-MOR-0007022.bam</t>
  </si>
  <si>
    <t>SYST-MOR-0007024.bam</t>
  </si>
  <si>
    <t>SYST-MOR-0007029.bam</t>
  </si>
  <si>
    <t>SYST-MOR-0007037.bam</t>
  </si>
  <si>
    <t>SYST-MOR-0007038.bam</t>
  </si>
  <si>
    <t>SYST-MOR-0007040.bam</t>
  </si>
  <si>
    <t>SYST-MOR-0007042.bam</t>
  </si>
  <si>
    <t>SYST-MOR-0007045.bam</t>
  </si>
  <si>
    <t>SYST-MOR-0007049.bam</t>
  </si>
  <si>
    <t>SYST-MOR-0007066.bam</t>
  </si>
  <si>
    <t>SYST-MOR-0007069.bam</t>
  </si>
  <si>
    <t>SYST-MOR-0007070.bam</t>
  </si>
  <si>
    <t>SYST-MOR-0007071.bam</t>
  </si>
  <si>
    <t>SYST-MOR-0007072.bam</t>
  </si>
  <si>
    <t>SYST-MOR-0007073.bam</t>
  </si>
  <si>
    <t>SYST-MOR-0007076.bam</t>
  </si>
  <si>
    <t>SYST-MOR-0007085.bam</t>
  </si>
  <si>
    <t>SYST-MOR-0007086.bam</t>
  </si>
  <si>
    <t>SYST-MOR-0007098.bam</t>
  </si>
  <si>
    <t>SYST-MOR-0007106.bam</t>
  </si>
  <si>
    <t>SYST-MOR-0007109.bam</t>
  </si>
  <si>
    <t>SYST-MOR-0007112.bam</t>
  </si>
  <si>
    <t>SYST-MOR-0007115.bam</t>
  </si>
  <si>
    <t>SYST-MOR-0007116.bam</t>
  </si>
  <si>
    <t>SYST-MOR-0007117.bam</t>
  </si>
  <si>
    <t>SYST-MOR-0007118.bam</t>
  </si>
  <si>
    <t>SYST-MOR-0007123.bam</t>
  </si>
  <si>
    <t>SYST-MOR-0007126.bam</t>
  </si>
  <si>
    <t>SYST-MOR-0007130.bam</t>
  </si>
  <si>
    <t>SYST-MOR-0007132.bam</t>
  </si>
  <si>
    <t>SYST-MOR-0007137.bam</t>
  </si>
  <si>
    <t>SYST-MOR-0007143.bam</t>
  </si>
  <si>
    <t>SYST-MOR-0007146.bam</t>
  </si>
  <si>
    <t>SYST-MOR-0007147.bam</t>
  </si>
  <si>
    <t>SYST-MOR-0007150.bam</t>
  </si>
  <si>
    <t>SYST-MOR-0007151.bam</t>
  </si>
  <si>
    <t>SYST-MOR-0007152.bam</t>
  </si>
  <si>
    <t>SYST-MOR-0007153.bam</t>
  </si>
  <si>
    <t>SYST-MOR-0007156.bam</t>
  </si>
  <si>
    <t>SYST-MOR-0007159.bam</t>
  </si>
  <si>
    <t>SYST-MOR-0007161.bam</t>
  </si>
  <si>
    <t>SYST-MOR-0007163.bam</t>
  </si>
  <si>
    <t>SYST-MOR-0007164.bam</t>
  </si>
  <si>
    <t>SYST-MOR-0007165.bam</t>
  </si>
  <si>
    <t>SYST-MOR-0007168.bam</t>
  </si>
  <si>
    <t>SYST-MOR-0007171.bam</t>
  </si>
  <si>
    <t>SYST-MOR-0007174.bam</t>
  </si>
  <si>
    <t>SYST-MOR-0007176.bam</t>
  </si>
  <si>
    <t>SYST-MOR-0007177.bam</t>
  </si>
  <si>
    <t>SYST-MOR-0007179.bam</t>
  </si>
  <si>
    <t>SYST-MOR-0007181.bam</t>
  </si>
  <si>
    <t>SYST-MOR-0007183.bam</t>
  </si>
  <si>
    <t>SYST-MOR-0007184.bam</t>
  </si>
  <si>
    <t>SYST-MOR-0007188.bam</t>
  </si>
  <si>
    <t>SYST-MOR-0007190.bam</t>
  </si>
  <si>
    <t>SYST-MOR-0007193.bam</t>
  </si>
  <si>
    <t>SYST-MOR-0007195.bam</t>
  </si>
  <si>
    <t>SYST-MOR-0007200.bam</t>
  </si>
  <si>
    <t>SYST-MOR-0007206.bam</t>
  </si>
  <si>
    <t>SYST-MOR-0007207.bam</t>
  </si>
  <si>
    <t>SYST-MOR-0007208.bam</t>
  </si>
  <si>
    <t>SYST-MOR-0007209.bam</t>
  </si>
  <si>
    <t>SYST-MOR-0007219.bam</t>
  </si>
  <si>
    <t>SYST-MOR-0007220.bam</t>
  </si>
  <si>
    <t>SYST-MOR-0007221.bam</t>
  </si>
  <si>
    <t>SYST-MOR-0007222.bam</t>
  </si>
  <si>
    <t>SYST-MOR-0007233.bam</t>
  </si>
  <si>
    <t>SYST-MOR-0007238.bam</t>
  </si>
  <si>
    <t>SYST-MOR-0007241.bam</t>
  </si>
  <si>
    <t>SYST-MOR-0007242.bam</t>
  </si>
  <si>
    <t>SYST-MOR-0007243.bam</t>
  </si>
  <si>
    <t>SYST-MOR-0007246.bam</t>
  </si>
  <si>
    <t>SYST-MOR-0007247.bam</t>
  </si>
  <si>
    <t>SYST-MOR-0007251.bam</t>
  </si>
  <si>
    <t>SYST-MOR-0007252.bam</t>
  </si>
  <si>
    <t>SYST-MOR-0007253.bam</t>
  </si>
  <si>
    <t>SYST-MOR-0007254.bam</t>
  </si>
  <si>
    <t>SYST-MOR-0007255.bam</t>
  </si>
  <si>
    <t>SYST-MOR-0007357.bam</t>
  </si>
  <si>
    <t>SYST-MOR-0007358.bam</t>
  </si>
  <si>
    <t>SYST-MOR-0007359.bam</t>
  </si>
  <si>
    <t>SYST-MOR-0007360.bam</t>
  </si>
  <si>
    <t>SYST-MOR-0007361.bam</t>
  </si>
  <si>
    <t>SYST-MOR-0007362.bam</t>
  </si>
  <si>
    <t>SYST-MOR-0007363.bam</t>
  </si>
  <si>
    <t>SYST-MOR-0007364.bam</t>
  </si>
  <si>
    <t>SYST-MOR-0007365.bam</t>
  </si>
  <si>
    <t>SYST-MOR-0007366.bam</t>
  </si>
  <si>
    <t>SYST-MOR-0007367.bam</t>
  </si>
  <si>
    <t>SYST-MOR-0007368.bam</t>
  </si>
  <si>
    <t>SYST-MOR-0007369.bam</t>
  </si>
  <si>
    <t>SYST-MOR-0007370.bam</t>
  </si>
  <si>
    <t>SYST-MOR-0007371.bam</t>
  </si>
  <si>
    <t>SYST-MOR-0007372.bam</t>
  </si>
  <si>
    <t>SYST-MOR-0007373.bam</t>
  </si>
  <si>
    <t>SYST-MOR-0007374.bam</t>
  </si>
  <si>
    <t>SYST-MOR-0007375.bam</t>
  </si>
  <si>
    <t>SYST-MOR-0007376.bam</t>
  </si>
  <si>
    <t>SYST-MOR-0007377.bam</t>
  </si>
  <si>
    <t>SYST-MOR-0007378.bam</t>
  </si>
  <si>
    <t>SYST-MOR-0007379.bam</t>
  </si>
  <si>
    <t>SYST-MOR-0007380.bam</t>
  </si>
  <si>
    <t>SYST-MOR-0007381.bam</t>
  </si>
  <si>
    <t>SYST-MOR-0007382.bam</t>
  </si>
  <si>
    <t>SYST-MOR-0007383.bam</t>
  </si>
  <si>
    <t>SYST-MOR-0007384.bam</t>
  </si>
  <si>
    <t>SYST-MOR-0007385.bam</t>
  </si>
  <si>
    <t>SYST-MOR-0007386.bam</t>
  </si>
  <si>
    <t>SYST-MOR-0007387.bam</t>
  </si>
  <si>
    <t>SYST-MOR-0007388.bam</t>
  </si>
  <si>
    <t>SYST-MOR-0007389.bam</t>
  </si>
  <si>
    <t>SYST-MOR-0007390.bam</t>
  </si>
  <si>
    <t>SYST-MOR-0007391.bam</t>
  </si>
  <si>
    <t>SYST-MOR-0007392.bam</t>
  </si>
  <si>
    <t>SYST-MOR-0007409.bam</t>
  </si>
  <si>
    <t>SYST-MOR-0007410.bam</t>
  </si>
  <si>
    <t>SYST-MOR-0007411.bam</t>
  </si>
  <si>
    <t>SYST-MOR-0007412.bam</t>
  </si>
  <si>
    <t>SYST-MOR-0007413.bam</t>
  </si>
  <si>
    <t>SYST-MOR-0007414.bam</t>
  </si>
  <si>
    <t>SYST-MOR-0007415.bam</t>
  </si>
  <si>
    <t>SYST-MOR-0007416.bam</t>
  </si>
  <si>
    <t>SYST-MOR-0007417.bam</t>
  </si>
  <si>
    <t>SYST-MOR-0007418.bam</t>
  </si>
  <si>
    <t>SYST-MOR-0007419.bam</t>
  </si>
  <si>
    <t>SYST-MOR-0007420.bam</t>
  </si>
  <si>
    <t>SYST-MOR-0007421.bam</t>
  </si>
  <si>
    <t>SYST-MOR-0007422.bam</t>
  </si>
  <si>
    <t>SYST-MOR-0007423.bam</t>
  </si>
  <si>
    <t>SYST-MOR-0007424.bam</t>
  </si>
  <si>
    <t>SYST-MOR-0007425.bam</t>
  </si>
  <si>
    <t>SYST-MOR-0007426.bam</t>
  </si>
  <si>
    <t>SYST-MOR-0007427.bam</t>
  </si>
  <si>
    <t>SYST-MOR-0007428.bam</t>
  </si>
  <si>
    <t>SYST-MOR-0007429.bam</t>
  </si>
  <si>
    <t>SYST-MOR-0007430.bam</t>
  </si>
  <si>
    <t>SYST-MOR-0007431.bam</t>
  </si>
  <si>
    <t>SYST-MOR-0007432.bam</t>
  </si>
  <si>
    <t>SYST-MOR-0007433.bam</t>
  </si>
  <si>
    <t>SYST-MOR-0007434.bam</t>
  </si>
  <si>
    <t>SYST-MOR-0007437.bam</t>
  </si>
  <si>
    <t>SYST-MOR-0007440.bam</t>
  </si>
  <si>
    <t>SYST-MOR-0007441.bam</t>
  </si>
  <si>
    <t>SYST-MOR-0007444.bam</t>
  </si>
  <si>
    <t>SYST-MOR-0007446.bam</t>
  </si>
  <si>
    <t>SYST-MOR-0007447.bam</t>
  </si>
  <si>
    <t>SYST-MOR-0007448.bam</t>
  </si>
  <si>
    <t>SYST-MOR-0007449.bam</t>
  </si>
  <si>
    <t>SYST-MOR-0007450.bam</t>
  </si>
  <si>
    <t>SYST-MOR-0007451.bam</t>
  </si>
  <si>
    <t>SYST-MOR-0007452.bam</t>
  </si>
  <si>
    <t>SYST-MOR-0007453.bam</t>
  </si>
  <si>
    <t>SYST-MOR-0007454.bam</t>
  </si>
  <si>
    <t>SYST-MOR-0007455.bam</t>
  </si>
  <si>
    <t>SYST-MOR-0007456.bam</t>
  </si>
  <si>
    <t>SYST-MOR-0007457.bam</t>
  </si>
  <si>
    <t>SYST-MOR-0007458.bam</t>
  </si>
  <si>
    <t>SYST-MOR-0007459.bam</t>
  </si>
  <si>
    <t>SYST-MOR-0007460.bam</t>
  </si>
  <si>
    <t>SYST-MOR-0007461.bam</t>
  </si>
  <si>
    <t>SYST-MOR-0007462.bam</t>
  </si>
  <si>
    <t>SYST-MOR-0007463.bam</t>
  </si>
  <si>
    <t>SYST-MOR-0007464.bam</t>
  </si>
  <si>
    <t>SYST-MOR-0007465.bam</t>
  </si>
  <si>
    <t>SYST-MOR-0007466.bam</t>
  </si>
  <si>
    <t>SYST-MOR-0007467.bam</t>
  </si>
  <si>
    <t>SYST-MOR-0007468.bam</t>
  </si>
  <si>
    <t>SYST-MOR-0007469.bam</t>
  </si>
  <si>
    <t>SYST-MOR-0007470.bam</t>
  </si>
  <si>
    <t>SYST-MOR-0007472.bam</t>
  </si>
  <si>
    <t>SYST-MOR-0007473.bam</t>
  </si>
  <si>
    <t>SYST-MOR-0007474.bam</t>
  </si>
  <si>
    <t>SYST-MOR-0007475.bam</t>
  </si>
  <si>
    <t>SYST-MOR-0007476.bam</t>
  </si>
  <si>
    <t>SYST-MOR-0007477.bam</t>
  </si>
  <si>
    <t>SYST-MOR-0007478.bam</t>
  </si>
  <si>
    <t>SYST-MOR-0007479.bam</t>
  </si>
  <si>
    <t>SYST-MOR-0007480.bam</t>
  </si>
  <si>
    <t>SYST-MOR-0007481.bam</t>
  </si>
  <si>
    <t>SYST-MOR-0007482.bam</t>
  </si>
  <si>
    <t>SYST-MOR-0007483.bam</t>
  </si>
  <si>
    <t>SYST-MOR-0007484.bam</t>
  </si>
  <si>
    <t>SYST-MOR-0007485.bam</t>
  </si>
  <si>
    <t>SYST-MOR-0007486.bam</t>
  </si>
  <si>
    <t>SYST-MOR-0007487.bam</t>
  </si>
  <si>
    <t>SYST-MOR-0007488.bam</t>
  </si>
  <si>
    <t>SYST-MOR-0007489.bam</t>
  </si>
  <si>
    <t>SYST-MOR-0007490.bam</t>
  </si>
  <si>
    <t>SYST-MOR-0007491.bam</t>
  </si>
  <si>
    <t>SYST-MOR-0007492.bam</t>
  </si>
  <si>
    <t>SYST-MOR-0007493.bam</t>
  </si>
  <si>
    <t>SYST-MOR-0007494.bam</t>
  </si>
  <si>
    <t>SYST-MOR-0007495.bam</t>
  </si>
  <si>
    <t>SYST-MOR-0007496.bam</t>
  </si>
  <si>
    <t>SYST-MOR-0007500.bam</t>
  </si>
  <si>
    <t>bam</t>
  </si>
  <si>
    <t>mac_MO_SH</t>
  </si>
  <si>
    <t>mac_IL_MOR</t>
  </si>
  <si>
    <t>mac_IL_OB</t>
  </si>
  <si>
    <t>mac_MO_BOT</t>
  </si>
  <si>
    <t>mac_IA_BSP</t>
  </si>
  <si>
    <t>mac_IA_LNW</t>
  </si>
  <si>
    <t>mac_IA_CHP</t>
  </si>
  <si>
    <t>mac_MO_CSW</t>
  </si>
  <si>
    <t>mac_OK_RRC</t>
  </si>
  <si>
    <t>mac_OK_TGP</t>
  </si>
  <si>
    <t>mac_TN_BCP</t>
  </si>
  <si>
    <t>mac_KY_LXC</t>
  </si>
  <si>
    <t>mac_KY_BBF</t>
  </si>
  <si>
    <t>mac_KY_ASF</t>
  </si>
  <si>
    <t>mac_KY_GRF</t>
  </si>
  <si>
    <t>mac_WI_THB</t>
  </si>
  <si>
    <t>mac_MN_PMN</t>
  </si>
  <si>
    <t>mac_WI_PKL</t>
  </si>
  <si>
    <t>mac_WI_WFS</t>
  </si>
  <si>
    <t>mac_OH_GLW</t>
  </si>
  <si>
    <t>mac_MI_PRA</t>
  </si>
  <si>
    <t>mac_KS_SMP</t>
  </si>
  <si>
    <t>mac_KS_KZP</t>
  </si>
  <si>
    <t>mac_NY_SSP</t>
  </si>
  <si>
    <t>mac_NY_CMB</t>
  </si>
  <si>
    <t>mac_VT_DHT</t>
  </si>
  <si>
    <t>mac_MA_NMK</t>
  </si>
  <si>
    <t>mac_MA_SBF</t>
  </si>
  <si>
    <t>mac_AR_BRP</t>
  </si>
  <si>
    <t>mac_TX_BRZ</t>
  </si>
  <si>
    <t>mac_TX_PLM</t>
  </si>
  <si>
    <t>mac_TX_CHP</t>
  </si>
  <si>
    <t>mac_IL_RCA</t>
  </si>
  <si>
    <t>mac_IN_TYL</t>
  </si>
  <si>
    <t>mac_IN_BLR</t>
  </si>
  <si>
    <t>mac_IN_LCP</t>
  </si>
  <si>
    <t>mac_IL_CHB</t>
  </si>
  <si>
    <t>mac_MN_CDR</t>
  </si>
  <si>
    <t>mac_MB_WPP</t>
  </si>
  <si>
    <t>mac_MB_SWP</t>
  </si>
  <si>
    <t>mac_MB_ASF</t>
  </si>
  <si>
    <t>mac_WI_RLF</t>
  </si>
  <si>
    <t>mac_OK_NOW</t>
  </si>
  <si>
    <t>mac_MO_BRA</t>
  </si>
  <si>
    <t>mac_IN_BOW</t>
  </si>
  <si>
    <t>mac_MI_PCP</t>
  </si>
  <si>
    <t>mac_MN_OTB</t>
  </si>
  <si>
    <t>mac_OH_PKS</t>
  </si>
  <si>
    <t>mac_OH_DPS</t>
  </si>
  <si>
    <t>mac_SD_CSP</t>
  </si>
  <si>
    <t>mac_SD_SPF</t>
  </si>
  <si>
    <t>samp</t>
  </si>
  <si>
    <t>pop</t>
  </si>
  <si>
    <t>SYST-MOR-0006769.bam</t>
  </si>
  <si>
    <t>SYST-MOR-0006777.bam</t>
  </si>
  <si>
    <t>SYST-MOR-0006855.bam</t>
  </si>
  <si>
    <t>SYST-MOR-0006954.bam</t>
  </si>
  <si>
    <t>SYST-MOR-0006998.bam</t>
  </si>
  <si>
    <t>SYST-MOR-0007047.bam</t>
  </si>
  <si>
    <t>SYST-MOR-0007048.bam</t>
  </si>
  <si>
    <t>SYST-MOR-0007050.bam</t>
  </si>
  <si>
    <t>SYST-MOR-0007056.bam</t>
  </si>
  <si>
    <t>SYST-MOR-0007067.bam</t>
  </si>
  <si>
    <t>SYST-MOR-0007068.bam</t>
  </si>
  <si>
    <t>SYST-MOR-0007074.bam</t>
  </si>
  <si>
    <t>SYST-MOR-0007082.bam</t>
  </si>
  <si>
    <t>SYST-MOR-0007083.bam</t>
  </si>
  <si>
    <t>SYST-MOR-0007088.bam</t>
  </si>
  <si>
    <t>SYST-MOR-0007114.bam</t>
  </si>
  <si>
    <t>SYST-MOR-0007119.bam</t>
  </si>
  <si>
    <t>SYST-MOR-0007124.bam</t>
  </si>
  <si>
    <t>SYST-MOR-0007127.bam</t>
  </si>
  <si>
    <t>SYST-MOR-0007393.bam</t>
  </si>
  <si>
    <t>SYST-MOR-0007394.bam</t>
  </si>
  <si>
    <t>SYST-MOR-0007395.bam</t>
  </si>
  <si>
    <t>SYST-MOR-0007396.bam</t>
  </si>
  <si>
    <t>SYST-MOR-0007397.bam</t>
  </si>
  <si>
    <t>SYST-MOR-0007398.bam</t>
  </si>
  <si>
    <t>SYST-MOR-0007399.bam</t>
  </si>
  <si>
    <t>SYST-MOR-0007400.bam</t>
  </si>
  <si>
    <t>SYST-MOR-0007401.bam</t>
  </si>
  <si>
    <t>SYST-MOR-0007402.bam</t>
  </si>
  <si>
    <t>SYST-MOR-0007403.bam</t>
  </si>
  <si>
    <t>SYST-MOR-0007404.bam</t>
  </si>
  <si>
    <t>SYST-MOR-0007405.bam</t>
  </si>
  <si>
    <t>SYST-MOR-0007406.bam</t>
  </si>
  <si>
    <t>SYST-MOR-0007407.bam</t>
  </si>
  <si>
    <t>SYST-MOR-0007408.bam</t>
  </si>
  <si>
    <t>SYST-MOR-0007435.bam</t>
  </si>
  <si>
    <t>SYST-MOR-0007436.bam</t>
  </si>
  <si>
    <t>SYST-MOR-0007438.bam</t>
  </si>
  <si>
    <t>SYST-MOR-0007439.bam</t>
  </si>
  <si>
    <t>SYST-MOR-0007442.bam</t>
  </si>
  <si>
    <t>SYST-MOR-0007443.bam</t>
  </si>
  <si>
    <t>SYST-MOR-0007445.bam</t>
  </si>
  <si>
    <t>SYST-MOR-0007497.bam</t>
  </si>
  <si>
    <t>SYST-MOR-0007498.bam</t>
  </si>
  <si>
    <t>SYST-MOR-0007499.bam</t>
  </si>
  <si>
    <t>SYST-MOR-0007501.bam</t>
  </si>
  <si>
    <t>SYST-MOR-0007502.bam</t>
  </si>
  <si>
    <t>SYST-MOR-0007503.bam</t>
  </si>
  <si>
    <t>SYST-MOR-0007504.bam</t>
  </si>
  <si>
    <t>SYST-MOR-0007505.bam</t>
  </si>
  <si>
    <t>ConStruct</t>
  </si>
  <si>
    <t>MAC_DSTATS</t>
  </si>
  <si>
    <t>MONG_DSTATS</t>
  </si>
  <si>
    <t>taxon</t>
  </si>
  <si>
    <t>samples</t>
  </si>
  <si>
    <t>macN</t>
  </si>
  <si>
    <t>macS</t>
  </si>
  <si>
    <t>SYST-MOR-0006835.bam</t>
  </si>
  <si>
    <t>SYST-MOR-0007104.bam</t>
  </si>
  <si>
    <t>SYST-MOR-0007100.bam</t>
  </si>
  <si>
    <t>macrocarpa_SH</t>
  </si>
  <si>
    <t>macrocarpa_MOR</t>
  </si>
  <si>
    <t>macrocarpa_OB</t>
  </si>
  <si>
    <t>macrocarpa_BOT</t>
  </si>
  <si>
    <t>macrocarpa_BSP</t>
  </si>
  <si>
    <t>macrocarpa_LNW</t>
  </si>
  <si>
    <t>macrocarpa_CHP</t>
  </si>
  <si>
    <t>macrocarpa_CSW</t>
  </si>
  <si>
    <t>macrocarpa_RRC</t>
  </si>
  <si>
    <t>macrocarpa_TGP</t>
  </si>
  <si>
    <t>macrocarpa_BCP</t>
  </si>
  <si>
    <t>macrocarpa_LXC</t>
  </si>
  <si>
    <t>macrocarpa_BBF</t>
  </si>
  <si>
    <t>macrocarpa_ASF</t>
  </si>
  <si>
    <t>macrocarpa_GRF</t>
  </si>
  <si>
    <t>macrocarpa_THB</t>
  </si>
  <si>
    <t>macrocarpa_PMN</t>
  </si>
  <si>
    <t>macrocarpa_PKL</t>
  </si>
  <si>
    <t>macrocarpa_WFS</t>
  </si>
  <si>
    <t>macrocarpa_GLW</t>
  </si>
  <si>
    <t>macrocarpa_PRA</t>
  </si>
  <si>
    <t>macrocarpa_SMP</t>
  </si>
  <si>
    <t>macrocarpa_KZP</t>
  </si>
  <si>
    <t>macrocarpa_BIP</t>
  </si>
  <si>
    <t>macrocarpa_SSP</t>
  </si>
  <si>
    <t>macrocarpa_CMB</t>
  </si>
  <si>
    <t>macrocarpa_DHT</t>
  </si>
  <si>
    <t>macrocarpa_NMK</t>
  </si>
  <si>
    <t>macrocarpa_SBF</t>
  </si>
  <si>
    <t>macrocarpa_BRP</t>
  </si>
  <si>
    <t>macrocarpa_BRZ</t>
  </si>
  <si>
    <t>macrocarpa_PLM</t>
  </si>
  <si>
    <t>macrocarpa_CHS</t>
  </si>
  <si>
    <t>macrocarpa_RCA</t>
  </si>
  <si>
    <t>macrocarpa_TYL</t>
  </si>
  <si>
    <t>macrocarpa_BLR</t>
  </si>
  <si>
    <t>macrocarpa_LCP</t>
  </si>
  <si>
    <t>macrocarpa_CHB</t>
  </si>
  <si>
    <t>macrocarpa_CDR</t>
  </si>
  <si>
    <t>macrocarpa_WPP</t>
  </si>
  <si>
    <t>macrocarpa_SWP</t>
  </si>
  <si>
    <t>macrocarpa_ABF</t>
  </si>
  <si>
    <t>macrocarpa_RLF</t>
  </si>
  <si>
    <t>macrocarpa_NOW</t>
  </si>
  <si>
    <t>macrocarpa_BRA</t>
  </si>
  <si>
    <t>macrocarpa_BOW</t>
  </si>
  <si>
    <t>macrocarpa_PCP</t>
  </si>
  <si>
    <t>macrocarpa_OTB</t>
  </si>
  <si>
    <t>macrocarpa_QPA</t>
  </si>
  <si>
    <t>macrocarpa_PKS</t>
  </si>
  <si>
    <t>macrocarpa_DPS</t>
  </si>
  <si>
    <t>macrocarpa_CSP</t>
  </si>
  <si>
    <t>macrocarpa_SF</t>
  </si>
  <si>
    <t>Q. muehlenbergii TN_BCP_158_MG</t>
  </si>
  <si>
    <t>Q. muehlenbergii IN_TYL_489_MG</t>
  </si>
  <si>
    <t>Q. muehlenbergii KS_SMP_301_MG</t>
  </si>
  <si>
    <t>Q. muehlenbergii KY_BBF_176_MG</t>
  </si>
  <si>
    <t>Q. muehlenbergii MO_TRC_081_MG</t>
  </si>
  <si>
    <t>Q. alba IN_MWT_475_MG</t>
  </si>
  <si>
    <t>Q. alba IL_RCA_464_MG</t>
  </si>
  <si>
    <t>Q. alba MA_BTC_389_MG</t>
  </si>
  <si>
    <t>Q. alba MO_SH_020_All</t>
  </si>
  <si>
    <t>Q. alba WI_THB_218_MG</t>
  </si>
  <si>
    <t>Q. bicolor OH_GLW_250_MG</t>
  </si>
  <si>
    <t>Q. bicolor MI_LLP_288_MG</t>
  </si>
  <si>
    <t>Q. bicolor IN_TYL_492_MG</t>
  </si>
  <si>
    <t>Q. bicolor IN_MWT_476_MG</t>
  </si>
  <si>
    <t>Q. bicolor MI_LLP_284_MG</t>
  </si>
  <si>
    <t>Q. lyrata IL_OB_024_All</t>
  </si>
  <si>
    <t>Q. lyrata MO_BOT_034_All</t>
  </si>
  <si>
    <t>Q. lyrata KY_JJA_203_MG</t>
  </si>
  <si>
    <t>Q. lyrata AR_BRP_427_MG</t>
  </si>
  <si>
    <t>Q. lyrata KY_JJA_199_MG</t>
  </si>
  <si>
    <t>Q. lobata SRR14632920</t>
  </si>
  <si>
    <t>Q. lobata SRR14632961</t>
  </si>
  <si>
    <t>Q. lobata SRR14632928</t>
  </si>
  <si>
    <t>Q. lobata SRR14632932</t>
  </si>
  <si>
    <t>Q. lobata SRR14632950</t>
  </si>
  <si>
    <t>Q. macrocarpa MN-MG765</t>
  </si>
  <si>
    <t>Q. macrocarpa Minooka 2</t>
  </si>
  <si>
    <t>Q. macrocarpa MN-MG775</t>
  </si>
  <si>
    <t>Q. macrocarpa MB-MG526</t>
  </si>
  <si>
    <t>Q. macrocarpa MN-MG772</t>
  </si>
  <si>
    <t>Q. macrocarpa TX_BRZ_433_MG</t>
  </si>
  <si>
    <t>Q. macrocarpa MO_BOT_040_All</t>
  </si>
  <si>
    <t>Q. macrocarpa TX_PLM_443_MG</t>
  </si>
  <si>
    <t>Q. macrocarpa TX_BRZ_436_MG</t>
  </si>
  <si>
    <t>Q. macrocarpa TX_BRZ_431_MG</t>
  </si>
  <si>
    <t>Q. margaretiae OK_RRC_110_MG</t>
  </si>
  <si>
    <t>Q. margaretiae OK_TGP_132_MG</t>
  </si>
  <si>
    <t>Q. margaretiae OK_RRC_111_MG</t>
  </si>
  <si>
    <t>Q. margaretiae OK_RRC_121_MG</t>
  </si>
  <si>
    <t>Q. margaretiae OK_RRC_107_MG</t>
  </si>
  <si>
    <t>Q. michauxii IL_HP_MG921_MG</t>
  </si>
  <si>
    <t>Q. michauxii MO_BOT_041_All</t>
  </si>
  <si>
    <t>Q. michauxii TX_BRZ_434_MG</t>
  </si>
  <si>
    <t>Q. michauxii IL_HP_MG919_MG</t>
  </si>
  <si>
    <t>Q. michauxii KY_JJA_202_MG</t>
  </si>
  <si>
    <t>Q. montana NY_BKF_370_MG</t>
  </si>
  <si>
    <t>Q. montana NY_BKF_372_MG</t>
  </si>
  <si>
    <t>Q. montana NY_BKF_374_MG</t>
  </si>
  <si>
    <t>Q. montana OH_STR_520_MG</t>
  </si>
  <si>
    <t>Q. montana OH_STR_518_MG</t>
  </si>
  <si>
    <t>Q. prinoides MA_BTC_386_MG</t>
  </si>
  <si>
    <t>Q. prinoides MI_PRA_266_MG</t>
  </si>
  <si>
    <t>Q. prinoides MI_PRA_268_MG</t>
  </si>
  <si>
    <t>Q. prinoides NY_APB_378_MG</t>
  </si>
  <si>
    <t>Q. prinoides MI_PRA_265_MG</t>
  </si>
  <si>
    <t>Q. sinuata TX_PLM_442_MG</t>
  </si>
  <si>
    <t>Q. sinuata TX_PLM_440_MG</t>
  </si>
  <si>
    <t>Q. sinuata TX_PLM_445_MG</t>
  </si>
  <si>
    <t>Q. sinuata TX_PLM_446_MG</t>
  </si>
  <si>
    <t>Q. sinuata TX_CHP_458_MG</t>
  </si>
  <si>
    <t>Q. stellata OK_TGP_129_MG</t>
  </si>
  <si>
    <t>Q. stellata MO_TRC_082_MG</t>
  </si>
  <si>
    <t>Q. stellata KS_SMP_309_MG</t>
  </si>
  <si>
    <t>Q. stellata OK_TGP_133_MG</t>
  </si>
  <si>
    <t>Q. stellata TN_CLP_164_MG</t>
  </si>
  <si>
    <t>Q. rubra SRR24768763</t>
  </si>
  <si>
    <t>Q. rubra SRR24768723</t>
  </si>
  <si>
    <t>Q. rubra SRR24768754</t>
  </si>
  <si>
    <t>Q. rubra SRR24768716</t>
  </si>
  <si>
    <t>Q. rubra SRR24768736</t>
  </si>
  <si>
    <t>MAC_PAINT</t>
  </si>
  <si>
    <t>macpaint</t>
  </si>
  <si>
    <t>lob-macpaint</t>
  </si>
  <si>
    <t>mue-macpaint</t>
  </si>
  <si>
    <t>alb-macpaint</t>
  </si>
  <si>
    <t>lyr-macpaint</t>
  </si>
  <si>
    <t>ste-macpaint</t>
  </si>
  <si>
    <t>bic-macpaint</t>
  </si>
  <si>
    <t>K8</t>
  </si>
  <si>
    <t>K12</t>
  </si>
  <si>
    <t>Q &gt; .99</t>
  </si>
  <si>
    <t>Q &lt; .90</t>
  </si>
  <si>
    <t>Q &gt;.90 but Q &lt; .99</t>
  </si>
  <si>
    <t>Q &lt; .99</t>
  </si>
  <si>
    <t>Q &gt; .90 and Q &lt;.99</t>
  </si>
  <si>
    <t>Q &lt;.99</t>
  </si>
  <si>
    <t>Q &gt; .90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</si>
</sst>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8"/>
      <name val="Calibri"/>
      <family val="2"/>
      <scheme val="minor"/>
    </font>
    <font>
      <sz val="6"/>
      <color rgb="FF6A9955"/>
      <name val="Consolas"/>
      <family val="3"/>
    </font>
    <font>
      <sz val="6"/>
      <color rgb="FFCE9178"/>
      <name val="Consolas"/>
      <family val="3"/>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bgColor indexed="64"/>
      </patternFill>
    </fill>
    <fill>
      <patternFill patternType="solid">
        <fgColor theme="5"/>
        <bgColor indexed="64"/>
      </patternFill>
    </fill>
    <fill>
      <patternFill patternType="solid">
        <fgColor rgb="FFFF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17" fontId="0" fillId="0" borderId="0" xfId="0" applyNumberFormat="1"/>
    <xf numFmtId="0" fontId="0" fillId="33" borderId="0" xfId="0" applyFill="1"/>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NumberFormat="1" applyBorder="1"/>
    <xf numFmtId="0" fontId="14" fillId="0" borderId="0" xfId="0" applyFont="1"/>
    <xf numFmtId="11" fontId="0" fillId="0" borderId="0" xfId="0" applyNumberFormat="1"/>
    <xf numFmtId="0" fontId="0" fillId="0" borderId="0" xfId="0" applyAlignment="1">
      <alignment wrapText="1"/>
    </xf>
    <xf numFmtId="0" fontId="18" fillId="0" borderId="0" xfId="0" applyFont="1"/>
    <xf numFmtId="16" fontId="0" fillId="0" borderId="0" xfId="0" applyNumberFormat="1"/>
    <xf numFmtId="0" fontId="0" fillId="34" borderId="0" xfId="0" applyFill="1"/>
    <xf numFmtId="0" fontId="20" fillId="0" borderId="0" xfId="0" applyFont="1" applyAlignment="1">
      <alignment vertical="center"/>
    </xf>
    <xf numFmtId="0" fontId="21" fillId="0" borderId="0" xfId="0" applyFont="1" applyAlignment="1">
      <alignment vertical="center"/>
    </xf>
    <xf numFmtId="0" fontId="0" fillId="35" borderId="0" xfId="0" applyFill="1"/>
    <xf numFmtId="14" fontId="0" fillId="35" borderId="0" xfId="0" applyNumberFormat="1" applyFill="1"/>
    <xf numFmtId="0" fontId="0" fillId="0" borderId="0" xfId="0" applyFill="1"/>
    <xf numFmtId="14" fontId="0" fillId="0" borderId="0" xfId="0" applyNumberFormat="1" applyFill="1"/>
    <xf numFmtId="0" fontId="0" fillId="36" borderId="0" xfId="0" applyFill="1"/>
    <xf numFmtId="14" fontId="0" fillId="36"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bekah Mohn" refreshedDate="46143.528964004632" createdVersion="7" refreshedVersion="7" minRefreshableVersion="3" recordCount="721" xr:uid="{7B2B0F04-4214-4D7C-ACED-3A283424019C}">
  <cacheSource type="worksheet">
    <worksheetSource ref="A1:I1048576" sheet="Sheet4"/>
  </cacheSource>
  <cacheFields count="9">
    <cacheField name="Seq" numFmtId="0">
      <sharedItems containsBlank="1"/>
    </cacheField>
    <cacheField name="Bam" numFmtId="0">
      <sharedItems containsBlank="1"/>
    </cacheField>
    <cacheField name="collectionNumber" numFmtId="0">
      <sharedItems containsBlank="1"/>
    </cacheField>
    <cacheField name="State" numFmtId="0">
      <sharedItems containsBlank="1"/>
    </cacheField>
    <cacheField name="siteABB" numFmtId="0">
      <sharedItems containsBlank="1"/>
    </cacheField>
    <cacheField name="Pop" numFmtId="0">
      <sharedItems containsBlank="1" count="73">
        <s v="AR_BRP"/>
        <s v="IA_BSP"/>
        <s v="IA_CHP"/>
        <s v="IA_LNW"/>
        <s v="IL_CHB"/>
        <s v="IL_HP"/>
        <s v="IL_MOR"/>
        <s v="IL_OB"/>
        <s v="IL_RCA"/>
        <s v="IN_BLR"/>
        <s v="IN_GRL"/>
        <s v="IN_IUC"/>
        <s v="IN_LCP"/>
        <s v="IN_MWT"/>
        <s v="IN_TYL"/>
        <s v="IN_BOW"/>
        <s v="KS_KCP"/>
        <s v="KS_KZP"/>
        <s v="KS_SMP"/>
        <s v="KS_MPR"/>
        <s v="KS_LWP"/>
        <s v="KY_ASF"/>
        <s v="KY_BBF"/>
        <s v="KY_CSW"/>
        <s v="KY_GRF"/>
        <s v="KY_JJA"/>
        <s v="KY_LXC"/>
        <s v="MA_BTC"/>
        <s v="MA_LKN"/>
        <s v="MA_NMK"/>
        <s v="MA_SBF"/>
        <s v="MB_WPP"/>
        <s v="MB_SWP"/>
        <s v="MB_ASF"/>
        <s v="MI_LLP"/>
        <s v="MI_PRA"/>
        <s v="MI_PCP"/>
        <s v="MN_CDR"/>
        <s v="MN_PMN"/>
        <s v="MN_OTB"/>
        <s v="MN_QPA"/>
        <s v="MO_BOT"/>
        <s v="MO_CSW"/>
        <s v="MO_HHT"/>
        <s v="MO_PSP"/>
        <s v="MO_SH"/>
        <s v="MO_TRC"/>
        <s v="MO_BRA"/>
        <s v="NY_APB"/>
        <s v="NY_BIP"/>
        <s v="NY_BKF"/>
        <s v="NY_CMB"/>
        <s v="NY_SSP"/>
        <s v="OH_GLW"/>
        <s v="OH_STR"/>
        <s v="OH_PKS"/>
        <s v="OH_DPS"/>
        <s v="OK_RRC"/>
        <s v="OK_TGP"/>
        <s v="OK_NOW"/>
        <s v="SD_CSP"/>
        <s v="SD_SPF"/>
        <s v="TN_BCP"/>
        <s v="TN_CLP"/>
        <s v="TX_BRZ"/>
        <s v="TX_CHP"/>
        <s v="TX_PLM"/>
        <s v="VT_DHT"/>
        <s v="WI_PKL"/>
        <s v="WI_THB"/>
        <s v="WI_WFS"/>
        <s v="WI_RLF"/>
        <m/>
      </sharedItems>
    </cacheField>
    <cacheField name="GenomicVoucherID_USE_THIS" numFmtId="0">
      <sharedItems containsBlank="1"/>
    </cacheField>
    <cacheField name="Sp" numFmtId="0">
      <sharedItems containsBlank="1" count="21">
        <s v="lyr"/>
        <s v="mac"/>
        <s v="ste"/>
        <s v="alb"/>
        <s v="mue"/>
        <s v="bic"/>
        <s v="mic"/>
        <s v="lyr x mac"/>
        <s v="bic x mac"/>
        <s v="alb x mue"/>
        <s v="pri"/>
        <s v="lyr x mic"/>
        <s v="alb x mic"/>
        <s v="alb x mac"/>
        <s v="mon"/>
        <s v="mar"/>
        <s v="mac x mue"/>
        <s v="sin"/>
        <s v="lob"/>
        <s v="rub"/>
        <m/>
      </sharedItems>
    </cacheField>
    <cacheField name="count"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1">
  <r>
    <s v="SYST-MOR-0007129"/>
    <s v="SYST-MOR-0007129.bam"/>
    <s v="AR_BRP_409_MG"/>
    <s v="AR"/>
    <s v="BRP"/>
    <x v="0"/>
    <s v="Quercus lyrata Walt."/>
    <x v="0"/>
    <n v="1"/>
  </r>
  <r>
    <s v="SYST-MOR-0007130"/>
    <s v="SYST-MOR-0007130.bam"/>
    <s v="AR_BRP_410_MG"/>
    <s v="AR"/>
    <s v="BRP"/>
    <x v="0"/>
    <s v="Quercus macrocarpa Michx."/>
    <x v="1"/>
    <n v="1"/>
  </r>
  <r>
    <s v="SYST-MOR-0007131"/>
    <s v="SYST-MOR-0007131.bam"/>
    <s v="AR_BRP_411_MG"/>
    <s v="AR"/>
    <s v="BRP"/>
    <x v="0"/>
    <s v="Quercus stellata Wangenh."/>
    <x v="2"/>
    <n v="1"/>
  </r>
  <r>
    <s v="SYST-MOR-0007132"/>
    <s v="SYST-MOR-0007132.bam"/>
    <s v="AR_BRP_412_MG"/>
    <s v="AR"/>
    <s v="BRP"/>
    <x v="0"/>
    <s v="Quercus macrocarpa Michx."/>
    <x v="1"/>
    <n v="1"/>
  </r>
  <r>
    <s v="SYST-MOR-0007133"/>
    <s v="SYST-MOR-0007133.bam"/>
    <s v="AR_BRP_413_MG"/>
    <s v="AR"/>
    <s v="BRP"/>
    <x v="0"/>
    <s v="Quercus stellata Wangenh."/>
    <x v="2"/>
    <n v="1"/>
  </r>
  <r>
    <s v="SYST-MOR-0007134"/>
    <s v="SYST-MOR-0007134.bam"/>
    <s v="AR_BRP_414_MG"/>
    <s v="AR"/>
    <s v="BRP"/>
    <x v="0"/>
    <s v="Quercus lyrata Walt."/>
    <x v="0"/>
    <n v="1"/>
  </r>
  <r>
    <s v="SYST-MOR-0007135"/>
    <s v="SYST-MOR-0007135.bam"/>
    <s v="AR_BRP_415_MG"/>
    <s v="AR"/>
    <s v="BRP"/>
    <x v="0"/>
    <s v="Quercus alba L."/>
    <x v="3"/>
    <n v="1"/>
  </r>
  <r>
    <s v="SYST-MOR-0007136"/>
    <s v="SYST-MOR-0007136.bam"/>
    <s v="AR_BRP_416_MG"/>
    <s v="AR"/>
    <s v="BRP"/>
    <x v="0"/>
    <s v="Quercus stellata Wangenh."/>
    <x v="2"/>
    <n v="1"/>
  </r>
  <r>
    <s v="SYST-MOR-0007137"/>
    <s v="SYST-MOR-0007137.bam"/>
    <s v="AR_BRP_417_MG"/>
    <s v="AR"/>
    <s v="BRP"/>
    <x v="0"/>
    <s v="Quercus macrocarpa Michx."/>
    <x v="1"/>
    <n v="1"/>
  </r>
  <r>
    <s v="SYST-MOR-0007138"/>
    <s v="SYST-MOR-0007138.bam"/>
    <s v="AR_BRP_418_MG"/>
    <s v="AR"/>
    <s v="BRP"/>
    <x v="0"/>
    <s v="Quercus lyrata Walt."/>
    <x v="0"/>
    <n v="1"/>
  </r>
  <r>
    <s v="SYST-MOR-0007139"/>
    <s v="SYST-MOR-0007139.bam"/>
    <s v="AR_BRP_419_MG"/>
    <s v="AR"/>
    <s v="BRP"/>
    <x v="0"/>
    <s v="Quercus stellata Wangenh."/>
    <x v="2"/>
    <n v="1"/>
  </r>
  <r>
    <s v="SYST-MOR-0007140"/>
    <s v="SYST-MOR-0007140.bam"/>
    <s v="AR_BRP_420_MG"/>
    <s v="AR"/>
    <s v="BRP"/>
    <x v="0"/>
    <s v="Quercus alba L."/>
    <x v="3"/>
    <n v="1"/>
  </r>
  <r>
    <s v="SYST-MOR-0007141"/>
    <s v="SYST-MOR-0007141.bam"/>
    <s v="AR_BRP_421_MG"/>
    <s v="AR"/>
    <s v="BRP"/>
    <x v="0"/>
    <s v="Quercus muehlenbergii Engelm."/>
    <x v="4"/>
    <n v="1"/>
  </r>
  <r>
    <s v="SYST-MOR-0007142"/>
    <s v="SYST-MOR-0007142.bam"/>
    <s v="AR_BRP_422_MG"/>
    <s v="AR"/>
    <s v="BRP"/>
    <x v="0"/>
    <s v="Quercus muehlenbergii Engelm."/>
    <x v="4"/>
    <n v="1"/>
  </r>
  <r>
    <s v="SYST-MOR-0007143"/>
    <s v="SYST-MOR-0007143.bam"/>
    <s v="AR_BRP_423_MG"/>
    <s v="AR"/>
    <s v="BRP"/>
    <x v="0"/>
    <s v="Quercus macrocarpa Michx."/>
    <x v="1"/>
    <n v="1"/>
  </r>
  <r>
    <s v="SYST-MOR-0007144"/>
    <s v="SYST-MOR-0007144.bam"/>
    <s v="AR_BRP_424_MG"/>
    <s v="AR"/>
    <s v="BRP"/>
    <x v="0"/>
    <s v="Quercus alba L."/>
    <x v="3"/>
    <n v="1"/>
  </r>
  <r>
    <s v="SYST-MOR-0007145"/>
    <s v="SYST-MOR-0007145.bam"/>
    <s v="AR_BRP_425_MG"/>
    <s v="AR"/>
    <s v="BRP"/>
    <x v="0"/>
    <s v="Quercus stellata Wangenh."/>
    <x v="2"/>
    <n v="1"/>
  </r>
  <r>
    <s v="SYST-MOR-0007146"/>
    <s v="SYST-MOR-0007146.bam"/>
    <s v="AR_BRP_426_MG"/>
    <s v="AR"/>
    <s v="BRP"/>
    <x v="0"/>
    <s v="Quercus macrocarpa Michx."/>
    <x v="1"/>
    <n v="1"/>
  </r>
  <r>
    <s v="SYST-MOR-0007147"/>
    <s v="SYST-MOR-0007147.bam"/>
    <s v="AR_BRP_427_MG"/>
    <s v="AR"/>
    <s v="BRP"/>
    <x v="0"/>
    <s v="Quercus lyrata Walt."/>
    <x v="0"/>
    <n v="1"/>
  </r>
  <r>
    <s v="SYST-MOR-0007148"/>
    <s v="SYST-MOR-0007148.bam"/>
    <s v="AR_BRP_428_MG"/>
    <s v="AR"/>
    <s v="BRP"/>
    <x v="0"/>
    <s v="Quercus alba L."/>
    <x v="3"/>
    <n v="1"/>
  </r>
  <r>
    <s v="SYST-MOR-0007149"/>
    <s v="SYST-MOR-0007149.bam"/>
    <s v="AR_BRP_429_MG"/>
    <s v="AR"/>
    <s v="BRP"/>
    <x v="0"/>
    <s v="Quercus alba L."/>
    <x v="3"/>
    <n v="1"/>
  </r>
  <r>
    <s v="SYST-MOR-0006778"/>
    <s v="SYST-MOR-0006778.bam"/>
    <s v="IA_BSP_046_MG"/>
    <s v="IA"/>
    <s v="BSP"/>
    <x v="1"/>
    <s v="Quercus macrocarpa Michx."/>
    <x v="1"/>
    <n v="1"/>
  </r>
  <r>
    <s v="SYST-MOR-0006779"/>
    <s v="SYST-MOR-0006779.bam"/>
    <s v="IA_BSP_047_MG"/>
    <s v="IA"/>
    <s v="BSP"/>
    <x v="1"/>
    <s v="Quercus macrocarpa Michx."/>
    <x v="1"/>
    <n v="1"/>
  </r>
  <r>
    <s v="SYST-MOR-0006780"/>
    <s v="SYST-MOR-0006780.bam"/>
    <s v="IA_BSP_048_MG"/>
    <s v="IA"/>
    <s v="BSP"/>
    <x v="1"/>
    <s v="Quercus macrocarpa Michx."/>
    <x v="1"/>
    <n v="1"/>
  </r>
  <r>
    <s v="SYST-MOR-0006781"/>
    <s v="SYST-MOR-0006781.bam"/>
    <s v="IA_BSP_049_MG"/>
    <s v="IA"/>
    <s v="BSP"/>
    <x v="1"/>
    <s v="Quercus macrocarpa Michx."/>
    <x v="1"/>
    <n v="1"/>
  </r>
  <r>
    <s v="SYST-MOR-0006782"/>
    <s v="SYST-MOR-0006782.bam"/>
    <s v="IA_BSP_050_MG"/>
    <s v="IA"/>
    <s v="BSP"/>
    <x v="1"/>
    <s v="Quercus macrocarpa Michx."/>
    <x v="1"/>
    <n v="1"/>
  </r>
  <r>
    <s v="SYST-MOR-0006798"/>
    <s v="SYST-MOR-0006798.bam"/>
    <s v="IA_CHP_066_MG"/>
    <s v="IA"/>
    <s v="CHP"/>
    <x v="2"/>
    <s v="Quercus macrocarpa Michx."/>
    <x v="1"/>
    <n v="1"/>
  </r>
  <r>
    <s v="SYST-MOR-0006799"/>
    <s v="SYST-MOR-0006799.bam"/>
    <s v="IA_CHP_067_MG"/>
    <s v="IA"/>
    <s v="CHP"/>
    <x v="2"/>
    <s v="Quercus macrocarpa Michx."/>
    <x v="1"/>
    <n v="1"/>
  </r>
  <r>
    <s v="SYST-MOR-0006800"/>
    <s v="SYST-MOR-0006800.bam"/>
    <s v="IA_CHP_068_MG"/>
    <s v="IA"/>
    <s v="CHP"/>
    <x v="2"/>
    <s v="Quercus bicolor Willd."/>
    <x v="5"/>
    <n v="1"/>
  </r>
  <r>
    <s v="SYST-MOR-0006801"/>
    <s v="SYST-MOR-0006801.bam"/>
    <s v="IA_CHP_069_MG"/>
    <s v="IA"/>
    <s v="CHP"/>
    <x v="2"/>
    <s v="Quercus macrocarpa Michx."/>
    <x v="1"/>
    <n v="1"/>
  </r>
  <r>
    <s v="SYST-MOR-0006802"/>
    <s v="SYST-MOR-0006802.bam"/>
    <s v="IA_CHP_070_MG"/>
    <s v="IA"/>
    <s v="CHP"/>
    <x v="2"/>
    <s v="Quercus macrocarpa Michx."/>
    <x v="1"/>
    <n v="1"/>
  </r>
  <r>
    <s v="SYST-MOR-0006783"/>
    <s v="SYST-MOR-0006783.bam"/>
    <s v="IA_LNW_051_MG"/>
    <s v="IA"/>
    <s v="LNW"/>
    <x v="3"/>
    <s v="Quercus alba L."/>
    <x v="3"/>
    <n v="1"/>
  </r>
  <r>
    <s v="SYST-MOR-0006784"/>
    <s v="SYST-MOR-0006784.bam"/>
    <s v="IA_LNW_052_MG"/>
    <s v="IA"/>
    <s v="LNW"/>
    <x v="3"/>
    <s v="Quercus alba L."/>
    <x v="3"/>
    <n v="1"/>
  </r>
  <r>
    <s v="SYST-MOR-0006785"/>
    <s v="SYST-MOR-0006785.bam"/>
    <s v="IA_LNW_053_MG"/>
    <s v="IA"/>
    <s v="LNW"/>
    <x v="3"/>
    <s v="Quercus alba L."/>
    <x v="3"/>
    <n v="1"/>
  </r>
  <r>
    <s v="SYST-MOR-0006786"/>
    <s v="SYST-MOR-0006786.bam"/>
    <s v="IA_LNW_054_MG"/>
    <s v="IA"/>
    <s v="LNW"/>
    <x v="3"/>
    <s v="Quercus alba L."/>
    <x v="3"/>
    <n v="1"/>
  </r>
  <r>
    <s v="SYST-MOR-0006787"/>
    <s v="SYST-MOR-0006787.bam"/>
    <s v="IA_LNW_055_MG"/>
    <s v="IA"/>
    <s v="LNW"/>
    <x v="3"/>
    <s v="Quercus muehlenbergii Engelm."/>
    <x v="4"/>
    <n v="1"/>
  </r>
  <r>
    <s v="SYST-MOR-0006788"/>
    <s v="SYST-MOR-0006788.bam"/>
    <s v="IA_LNW_056_MG"/>
    <s v="IA"/>
    <s v="LNW"/>
    <x v="3"/>
    <s v="Quercus muehlenbergii Engelm."/>
    <x v="4"/>
    <n v="1"/>
  </r>
  <r>
    <s v="SYST-MOR-0006789"/>
    <s v="SYST-MOR-0006789.bam"/>
    <s v="IA_LNW_057_MG"/>
    <s v="IA"/>
    <s v="LNW"/>
    <x v="3"/>
    <s v="Quercus muehlenbergii Engelm."/>
    <x v="4"/>
    <n v="1"/>
  </r>
  <r>
    <s v="SYST-MOR-0006790"/>
    <s v="SYST-MOR-0006790.bam"/>
    <s v="IA_LNW_058_MG"/>
    <s v="IA"/>
    <s v="LNW"/>
    <x v="3"/>
    <s v="Quercus muehlenbergii Engelm."/>
    <x v="4"/>
    <n v="1"/>
  </r>
  <r>
    <s v="SYST-MOR-0006791"/>
    <s v="SYST-MOR-0006791.bam"/>
    <s v="IA_LNW_059_MG"/>
    <s v="IA"/>
    <s v="LNW"/>
    <x v="3"/>
    <s v="Quercus macrocarpa Michx."/>
    <x v="1"/>
    <n v="1"/>
  </r>
  <r>
    <s v="SYST-MOR-0006792"/>
    <s v="SYST-MOR-0006792.bam"/>
    <s v="IA_LNW_060_MG"/>
    <s v="IA"/>
    <s v="LNW"/>
    <x v="3"/>
    <s v="Quercus macrocarpa Michx."/>
    <x v="1"/>
    <n v="1"/>
  </r>
  <r>
    <s v="SYST-MOR-0006793"/>
    <s v="SYST-MOR-0006793.bam"/>
    <s v="IA_LNW_061_MG"/>
    <s v="IA"/>
    <s v="LNW"/>
    <x v="3"/>
    <s v="Quercus alba L."/>
    <x v="3"/>
    <n v="1"/>
  </r>
  <r>
    <s v="SYST-MOR-0006794"/>
    <s v="SYST-MOR-0006794.bam"/>
    <s v="IA_LNW_062_MG"/>
    <s v="IA"/>
    <s v="LNW"/>
    <x v="3"/>
    <s v="Quercus muehlenbergii Engelm."/>
    <x v="4"/>
    <n v="1"/>
  </r>
  <r>
    <s v="SYST-MOR-0006795"/>
    <s v="SYST-MOR-0006795.bam"/>
    <s v="IA_LNW_063_MG"/>
    <s v="IA"/>
    <s v="LNW"/>
    <x v="3"/>
    <s v="Quercus muehlenbergii Engelm."/>
    <x v="4"/>
    <n v="1"/>
  </r>
  <r>
    <s v="SYST-MOR-0006796"/>
    <s v="SYST-MOR-0006796.bam"/>
    <s v="IA_LNW_064_MG"/>
    <s v="IA"/>
    <s v="LNW"/>
    <x v="3"/>
    <s v="Quercus bicolor Willd."/>
    <x v="5"/>
    <n v="1"/>
  </r>
  <r>
    <s v="SYST-MOR-0006797"/>
    <s v="SYST-MOR-0006797.bam"/>
    <s v="IA_LNW_065_MG"/>
    <s v="IA"/>
    <s v="LNW"/>
    <x v="3"/>
    <s v="Quercus bicolor Willd."/>
    <x v="5"/>
    <n v="1"/>
  </r>
  <r>
    <s v="SYST-MOR-0007241"/>
    <s v="SYST-MOR-0007241.bam"/>
    <s v="IL_CHB_521_MG"/>
    <s v="IL"/>
    <s v="CHB"/>
    <x v="4"/>
    <s v="Quercus macrocarpa Michx."/>
    <x v="1"/>
    <n v="1"/>
  </r>
  <r>
    <s v="SYST-MOR-0007242"/>
    <s v="SYST-MOR-0007242.bam"/>
    <s v="IL_CHB_522_MG"/>
    <s v="IL"/>
    <s v="CHB"/>
    <x v="4"/>
    <s v="Quercus macrocarpa Michx."/>
    <x v="1"/>
    <n v="1"/>
  </r>
  <r>
    <s v="SYST-MOR-0007243"/>
    <s v="SYST-MOR-0007243.bam"/>
    <s v="IL_CHB_523_MG"/>
    <s v="IL"/>
    <s v="CHB"/>
    <x v="4"/>
    <s v="Quercus macrocarpa Michx."/>
    <x v="1"/>
    <n v="1"/>
  </r>
  <r>
    <s v="SYST-MOR-0007244"/>
    <s v="SYST-MOR-0007244.bam"/>
    <s v="IL_CHB_524_MG"/>
    <s v="IL"/>
    <s v="CHB"/>
    <x v="4"/>
    <s v="Quercus alba L."/>
    <x v="3"/>
    <n v="1"/>
  </r>
  <r>
    <s v="SYST-MOR-0007245"/>
    <s v="SYST-MOR-0007245.bam"/>
    <s v="IL_CHB_525_MG"/>
    <s v="IL"/>
    <s v="CHB"/>
    <x v="4"/>
    <s v="Quercus alba L."/>
    <x v="3"/>
    <n v="1"/>
  </r>
  <r>
    <s v="SYST-MOR-0007246"/>
    <s v="SYST-MOR-0007246.bam"/>
    <s v="IL_CHB_526_MG"/>
    <s v="IL"/>
    <s v="CHB"/>
    <x v="4"/>
    <s v="Quercus macrocarpa Michx."/>
    <x v="1"/>
    <n v="1"/>
  </r>
  <r>
    <s v="SYST-MOR-0007247"/>
    <s v="SYST-MOR-0007247.bam"/>
    <s v="IL_CHB_527_MG"/>
    <s v="IL"/>
    <s v="CHB"/>
    <x v="4"/>
    <s v="Quercus macrocarpa Michx."/>
    <x v="1"/>
    <n v="1"/>
  </r>
  <r>
    <s v="SYST-MOR-0007248"/>
    <s v="SYST-MOR-0007248.bam"/>
    <s v="IL_CHB_528_MG"/>
    <s v="IL"/>
    <s v="CHB"/>
    <x v="4"/>
    <s v="Quercus alba L."/>
    <x v="3"/>
    <n v="1"/>
  </r>
  <r>
    <s v="SYST-MOR-0007249"/>
    <s v="SYST-MOR-0007249.bam"/>
    <s v="IL_CHB_529_MG"/>
    <s v="IL"/>
    <s v="CHB"/>
    <x v="4"/>
    <s v="Quercus alba L."/>
    <x v="3"/>
    <n v="1"/>
  </r>
  <r>
    <s v="SYST-MOR-0007250"/>
    <s v="SYST-MOR-0007250.bam"/>
    <s v="IL_CHB_530_MG"/>
    <s v="IL"/>
    <s v="CHB"/>
    <x v="4"/>
    <s v="Quercus alba L."/>
    <x v="3"/>
    <n v="1"/>
  </r>
  <r>
    <s v="SYST-MOR-0006717"/>
    <s v="SYST-MOR-0006717.bam"/>
    <s v="IL_HP_MG919_MG"/>
    <s v="IL"/>
    <s v="HP"/>
    <x v="5"/>
    <s v="Quercus michauxii Nutt."/>
    <x v="6"/>
    <n v="1"/>
  </r>
  <r>
    <s v="SYST-MOR-0006718"/>
    <s v="SYST-MOR-0006718.bam"/>
    <s v="IL_HP_MG920_MG"/>
    <s v="IL"/>
    <s v="HP"/>
    <x v="5"/>
    <s v="Quercus michauxii Nutt."/>
    <x v="6"/>
    <n v="1"/>
  </r>
  <r>
    <s v="SYST-MOR-0006719"/>
    <s v="SYST-MOR-0006719.bam"/>
    <s v="IL_HP_MG921_MG"/>
    <s v="IL"/>
    <s v="HP"/>
    <x v="5"/>
    <s v="Quercus michauxii Nutt."/>
    <x v="6"/>
    <n v="1"/>
  </r>
  <r>
    <s v="SYST-MOR-0006729"/>
    <s v="SYST-MOR-0006729.bam"/>
    <s v="IL_MOR_135_MG"/>
    <s v="IL"/>
    <s v="MOR"/>
    <x v="6"/>
    <s v="Quercus macrocarpa Michx."/>
    <x v="1"/>
    <n v="1"/>
  </r>
  <r>
    <s v="SYST-MOR-0006732"/>
    <s v="SYST-MOR-0006732.bam"/>
    <s v="IL_MOR_136_MG"/>
    <s v="IL"/>
    <s v="MOR"/>
    <x v="6"/>
    <s v="Quercus alba L."/>
    <x v="3"/>
    <n v="1"/>
  </r>
  <r>
    <s v="SYST-MOR-0006731"/>
    <s v="SYST-MOR-0006731.bam"/>
    <s v="IL_MOR_137_MG"/>
    <s v="IL"/>
    <s v="MOR"/>
    <x v="6"/>
    <s v="Quercus macrocarpa Michx."/>
    <x v="1"/>
    <n v="1"/>
  </r>
  <r>
    <s v="SYST-MOR-0006730"/>
    <s v="SYST-MOR-0006730.bam"/>
    <s v="IL_MOR_138_MG"/>
    <s v="IL"/>
    <s v="MOR"/>
    <x v="6"/>
    <s v="Quercus alba L."/>
    <x v="3"/>
    <n v="1"/>
  </r>
  <r>
    <s v="SYST-MOR-0006733"/>
    <s v="SYST-MOR-0006733.bam"/>
    <s v="IL_MOR_139_MG"/>
    <s v="IL"/>
    <s v="MOR"/>
    <x v="6"/>
    <s v="Quercus bicolor Willd."/>
    <x v="5"/>
    <n v="1"/>
  </r>
  <r>
    <s v="SYST-MOR-0006734"/>
    <s v="SYST-MOR-0006734.bam"/>
    <s v="IL_MOR_140_MG"/>
    <s v="IL"/>
    <s v="MOR"/>
    <x v="6"/>
    <s v="Quercus alba L."/>
    <x v="3"/>
    <n v="1"/>
  </r>
  <r>
    <s v="SYST-MOR-0006736"/>
    <s v="SYST-MOR-0006736.bam"/>
    <s v="IL_MOR_141_MG"/>
    <s v="IL"/>
    <s v="MOR"/>
    <x v="6"/>
    <s v="Quercus alba L."/>
    <x v="3"/>
    <n v="1"/>
  </r>
  <r>
    <s v="SYST-MOR-0006735"/>
    <s v="SYST-MOR-0006735.bam"/>
    <s v="IL_MOR_142_MG"/>
    <s v="IL"/>
    <s v="MOR"/>
    <x v="6"/>
    <s v="Quercus macrocarpa Michx."/>
    <x v="1"/>
    <n v="1"/>
  </r>
  <r>
    <s v="SYST-MOR-0006737"/>
    <s v="SYST-MOR-0006737.bam"/>
    <s v="IL_MOR_143_MG"/>
    <s v="IL"/>
    <s v="MOR"/>
    <x v="6"/>
    <s v="Quercus macrocarpa Michx."/>
    <x v="1"/>
    <n v="1"/>
  </r>
  <r>
    <s v="SYST-MOR-0006739"/>
    <s v="SYST-MOR-0006739.bam"/>
    <s v="IL_MOR_144_MG"/>
    <s v="IL"/>
    <s v="MOR"/>
    <x v="6"/>
    <s v="Quercus alba L."/>
    <x v="3"/>
    <n v="1"/>
  </r>
  <r>
    <s v="SYST-MOR-0006738"/>
    <s v="SYST-MOR-0006738.bam"/>
    <s v="IL_MOR_145_MG"/>
    <s v="IL"/>
    <s v="MOR"/>
    <x v="6"/>
    <s v="Quercus macrocarpa Michx."/>
    <x v="1"/>
    <n v="1"/>
  </r>
  <r>
    <s v="SYST-MOR-0006740"/>
    <s v="SYST-MOR-0006740.bam"/>
    <s v="IL_MOR_146_MG"/>
    <s v="IL"/>
    <s v="MOR"/>
    <x v="6"/>
    <s v="Quercus macrocarpa Michx."/>
    <x v="1"/>
    <n v="1"/>
  </r>
  <r>
    <s v="SYST-MOR-0006741"/>
    <s v="SYST-MOR-0006741.bam"/>
    <s v="IL_MOR_147_MG"/>
    <s v="IL"/>
    <s v="MOR"/>
    <x v="6"/>
    <s v="Quercus alba L."/>
    <x v="3"/>
    <n v="1"/>
  </r>
  <r>
    <s v="SYST-MOR-0006753"/>
    <s v="SYST-MOR-0006753.bam"/>
    <s v="IL_OB_021_All"/>
    <s v="IL"/>
    <s v="OB"/>
    <x v="7"/>
    <s v="Quercus macrocarpa Michx."/>
    <x v="1"/>
    <n v="1"/>
  </r>
  <r>
    <s v="SYST-MOR-0006754"/>
    <s v="SYST-MOR-0006754.bam"/>
    <s v="IL_OB_022_All"/>
    <s v="IL"/>
    <s v="OB"/>
    <x v="7"/>
    <s v="Quercus lyrata Walt."/>
    <x v="0"/>
    <n v="1"/>
  </r>
  <r>
    <s v="SYST-MOR-0006755"/>
    <s v="SYST-MOR-0006755.bam"/>
    <s v="IL_OB_023_All"/>
    <s v="IL"/>
    <s v="OB"/>
    <x v="7"/>
    <s v="Quercus macrocarpa Michx."/>
    <x v="1"/>
    <n v="1"/>
  </r>
  <r>
    <s v="SYST-MOR-0006756"/>
    <s v="SYST-MOR-0006756.bam"/>
    <s v="IL_OB_024_All"/>
    <s v="IL"/>
    <s v="OB"/>
    <x v="7"/>
    <s v="Quercus lyrata Walt."/>
    <x v="0"/>
    <n v="1"/>
  </r>
  <r>
    <s v="SYST-MOR-0006757"/>
    <s v="SYST-MOR-0006757.bam"/>
    <s v="IL_OB_025_All"/>
    <s v="IL"/>
    <s v="OB"/>
    <x v="7"/>
    <s v="Quercus lyrata Walt."/>
    <x v="0"/>
    <n v="1"/>
  </r>
  <r>
    <s v="SYST-MOR-0006758"/>
    <s v="SYST-MOR-0006758.bam"/>
    <s v="IL_OB_026_All"/>
    <s v="IL"/>
    <s v="OB"/>
    <x v="7"/>
    <s v="Quercus macrocarpa Michx."/>
    <x v="1"/>
    <n v="1"/>
  </r>
  <r>
    <s v="SYST-MOR-0006759"/>
    <s v="SYST-MOR-0006759.bam"/>
    <s v="IL_OB_027_All"/>
    <s v="IL"/>
    <s v="OB"/>
    <x v="7"/>
    <s v="Quercus macrocarpa Michx."/>
    <x v="1"/>
    <n v="1"/>
  </r>
  <r>
    <s v="SYST-MOR-0006760"/>
    <s v="SYST-MOR-0006760.bam"/>
    <s v="IL_OB_028_All"/>
    <s v="IL"/>
    <s v="OB"/>
    <x v="7"/>
    <s v="Quercus lyrata Walt."/>
    <x v="0"/>
    <n v="1"/>
  </r>
  <r>
    <s v="SYST-MOR-0006761"/>
    <s v="SYST-MOR-0006761.bam"/>
    <s v="IL_OB_029_All"/>
    <s v="IL"/>
    <s v="OB"/>
    <x v="7"/>
    <s v="Quercus macrocarpa Michx."/>
    <x v="1"/>
    <n v="1"/>
  </r>
  <r>
    <s v="SYST-MOR-0006762"/>
    <s v="SYST-MOR-0006762.bam"/>
    <s v="IL_OB_030_All"/>
    <s v="IL"/>
    <s v="OB"/>
    <x v="7"/>
    <s v="Quercus lyrata x Quercus macrocarpa"/>
    <x v="7"/>
    <n v="1"/>
  </r>
  <r>
    <s v="SYST-MOR-0007180"/>
    <s v="SYST-MOR-0007180.bam"/>
    <s v="IL_RCA_460_MG"/>
    <s v="IL"/>
    <s v="RCA"/>
    <x v="8"/>
    <s v="Quercus alba L."/>
    <x v="3"/>
    <n v="1"/>
  </r>
  <r>
    <s v="SYST-MOR-0007181"/>
    <s v="SYST-MOR-0007181.bam"/>
    <s v="IL_RCA_461_MG"/>
    <s v="IL"/>
    <s v="RCA"/>
    <x v="8"/>
    <s v="Quercus macrocarpa Michx."/>
    <x v="1"/>
    <n v="1"/>
  </r>
  <r>
    <s v="SYST-MOR-0007182"/>
    <s v="SYST-MOR-0007182.bam"/>
    <s v="IL_RCA_462_MG"/>
    <s v="IL"/>
    <s v="RCA"/>
    <x v="8"/>
    <s v="Quercus bicolor Willd."/>
    <x v="5"/>
    <n v="1"/>
  </r>
  <r>
    <s v="SYST-MOR-0007183"/>
    <s v="SYST-MOR-0007183.bam"/>
    <s v="IL_RCA_463_MG"/>
    <s v="IL"/>
    <s v="RCA"/>
    <x v="8"/>
    <s v="Quercus macrocarpa Michx."/>
    <x v="1"/>
    <n v="1"/>
  </r>
  <r>
    <s v="SYST-MOR-0007184"/>
    <s v="SYST-MOR-0007184.bam"/>
    <s v="IL_RCA_464_MG"/>
    <s v="IL"/>
    <s v="RCA"/>
    <x v="8"/>
    <s v="Quercus alba L."/>
    <x v="3"/>
    <n v="1"/>
  </r>
  <r>
    <s v="SYST-MOR-0007185"/>
    <s v="SYST-MOR-0007185.bam"/>
    <s v="IL_RCA_465_MG"/>
    <s v="IL"/>
    <s v="RCA"/>
    <x v="8"/>
    <s v="Quercus bicolor Willd."/>
    <x v="5"/>
    <n v="1"/>
  </r>
  <r>
    <s v="SYST-MOR-0007186"/>
    <s v="SYST-MOR-0007186.bam"/>
    <s v="IL_RCA_466_MG"/>
    <s v="IL"/>
    <s v="RCA"/>
    <x v="8"/>
    <s v="Quercus alba L."/>
    <x v="3"/>
    <n v="1"/>
  </r>
  <r>
    <s v="SYST-MOR-0007187"/>
    <s v="SYST-MOR-0007187.bam"/>
    <s v="IL_RCA_467_MG"/>
    <s v="IL"/>
    <s v="RCA"/>
    <x v="8"/>
    <s v="Quercus bicolor Willd."/>
    <x v="5"/>
    <n v="1"/>
  </r>
  <r>
    <s v="SYST-MOR-0007188"/>
    <s v="SYST-MOR-0007188.bam"/>
    <s v="IL_RCA_468_MG"/>
    <s v="IL"/>
    <s v="RCA"/>
    <x v="8"/>
    <s v="Quercus macrocarpa Michx."/>
    <x v="1"/>
    <n v="1"/>
  </r>
  <r>
    <s v="SYST-MOR-0007189"/>
    <s v="SYST-MOR-0007189.bam"/>
    <s v="IL_RCA_469_MG"/>
    <s v="IL"/>
    <s v="RCA"/>
    <x v="8"/>
    <s v="Quercus alba L."/>
    <x v="3"/>
    <n v="1"/>
  </r>
  <r>
    <s v="SYST-MOR-0007190"/>
    <s v="SYST-MOR-0007190.bam"/>
    <s v="IL_RCA_470_MG"/>
    <s v="IL"/>
    <s v="RCA"/>
    <x v="8"/>
    <s v="Quercus macrocarpa Michx."/>
    <x v="1"/>
    <n v="1"/>
  </r>
  <r>
    <s v="SYST-MOR-0007191"/>
    <s v="SYST-MOR-0007191.bam"/>
    <s v="IL_RCA_471_MG"/>
    <s v="IL"/>
    <s v="RCA"/>
    <x v="8"/>
    <s v="Quercus bicolor x Quercus macrocarpa"/>
    <x v="8"/>
    <n v="1"/>
  </r>
  <r>
    <s v="SYST-MOR-0007192"/>
    <s v="SYST-MOR-0007192.bam"/>
    <s v="IL_RCA_472_MG"/>
    <s v="IL"/>
    <s v="RCA"/>
    <x v="8"/>
    <s v="Quercus alba L."/>
    <x v="3"/>
    <n v="1"/>
  </r>
  <r>
    <s v="SYST-MOR-0007193"/>
    <s v="SYST-MOR-0007193.bam"/>
    <s v="IL_RCA_473_MG"/>
    <s v="IL"/>
    <s v="RCA"/>
    <x v="8"/>
    <s v="Quercus macrocarpa Michx."/>
    <x v="1"/>
    <n v="1"/>
  </r>
  <r>
    <s v="SYST-MOR-0007194"/>
    <s v="SYST-MOR-0007194.bam"/>
    <s v="IL_RCA_474_MG"/>
    <s v="IL"/>
    <s v="RCA"/>
    <x v="8"/>
    <s v="Quercus bicolor Willd."/>
    <x v="5"/>
    <n v="1"/>
  </r>
  <r>
    <s v="SYST-MOR-0007219"/>
    <s v="SYST-MOR-0007219.bam"/>
    <s v="IN_BLR_499_MG"/>
    <s v="IN"/>
    <s v="BLR"/>
    <x v="9"/>
    <s v="Quercus macrocarpa Michx."/>
    <x v="1"/>
    <n v="1"/>
  </r>
  <r>
    <s v="SYST-MOR-0007220"/>
    <s v="SYST-MOR-0007220.bam"/>
    <s v="IN_BLR_500_MG"/>
    <s v="IN"/>
    <s v="BLR"/>
    <x v="9"/>
    <s v="Quercus macrocarpa Michx."/>
    <x v="1"/>
    <n v="1"/>
  </r>
  <r>
    <s v="SYST-MOR-0007228"/>
    <s v="SYST-MOR-0007228.bam"/>
    <s v="IN_GRL_508_MG"/>
    <s v="IN"/>
    <s v="GRL"/>
    <x v="10"/>
    <s v="Quercus alba L."/>
    <x v="3"/>
    <n v="1"/>
  </r>
  <r>
    <s v="SYST-MOR-0007229"/>
    <s v="SYST-MOR-0007229.bam"/>
    <s v="IN_GRL_509_MG"/>
    <s v="IN"/>
    <s v="GRL"/>
    <x v="10"/>
    <s v="Quercus alba L."/>
    <x v="3"/>
    <n v="1"/>
  </r>
  <r>
    <s v="SYST-MOR-0007230"/>
    <s v="SYST-MOR-0007230.bam"/>
    <s v="IN_GRL_510_MG"/>
    <s v="IN"/>
    <s v="GRL"/>
    <x v="10"/>
    <s v="Quercus alba L."/>
    <x v="3"/>
    <n v="1"/>
  </r>
  <r>
    <s v="SYST-MOR-0007231"/>
    <s v="SYST-MOR-0007231.bam"/>
    <s v="IN_GRL_511_MG"/>
    <s v="IN"/>
    <s v="GRL"/>
    <x v="10"/>
    <s v="Quercus alba L."/>
    <x v="3"/>
    <n v="1"/>
  </r>
  <r>
    <s v="SYST-MOR-0007232"/>
    <s v="SYST-MOR-0007232.bam"/>
    <s v="IN_GRL_512_MG"/>
    <s v="IN"/>
    <s v="GRL"/>
    <x v="10"/>
    <s v="Quercus alba L."/>
    <x v="3"/>
    <n v="1"/>
  </r>
  <r>
    <s v="SYST-MOR-0007233"/>
    <s v="SYST-MOR-0007233.bam"/>
    <s v="IN_IUC_513_MG"/>
    <s v="IN"/>
    <s v="IUC"/>
    <x v="11"/>
    <s v="Quercus macrocarpa Michx."/>
    <x v="1"/>
    <n v="1"/>
  </r>
  <r>
    <s v="SYST-MOR-0007221"/>
    <s v="SYST-MOR-0007221.bam"/>
    <s v="IN_LCP_501_MG"/>
    <s v="IN"/>
    <s v="LCP"/>
    <x v="12"/>
    <s v="Quercus macrocarpa Michx."/>
    <x v="1"/>
    <n v="1"/>
  </r>
  <r>
    <s v="SYST-MOR-0007222"/>
    <s v="SYST-MOR-0007222.bam"/>
    <s v="IN_LCP_502_MG"/>
    <s v="IN"/>
    <s v="LCP"/>
    <x v="12"/>
    <s v="Quercus macrocarpa Michx."/>
    <x v="1"/>
    <n v="1"/>
  </r>
  <r>
    <s v="SYST-MOR-0007223"/>
    <s v="SYST-MOR-0007223.bam"/>
    <s v="IN_LCP_503_MG"/>
    <s v="IN"/>
    <s v="LCP"/>
    <x v="12"/>
    <s v="Quercus muehlenbergii Engelm."/>
    <x v="4"/>
    <n v="1"/>
  </r>
  <r>
    <s v="SYST-MOR-0007224"/>
    <s v="SYST-MOR-0007224.bam"/>
    <s v="IN_LCP_504_MG"/>
    <s v="IN"/>
    <s v="LCP"/>
    <x v="12"/>
    <s v="Quercus muehlenbergii Engelm."/>
    <x v="4"/>
    <n v="1"/>
  </r>
  <r>
    <s v="SYST-MOR-0007225"/>
    <s v="SYST-MOR-0007225.bam"/>
    <s v="IN_LCP_505_MG"/>
    <s v="IN"/>
    <s v="LCP"/>
    <x v="12"/>
    <s v="Quercus muehlenbergii Engelm."/>
    <x v="4"/>
    <n v="1"/>
  </r>
  <r>
    <s v="SYST-MOR-0007226"/>
    <s v="SYST-MOR-0007226.bam"/>
    <s v="IN_LCP_506_MG"/>
    <s v="IN"/>
    <s v="LCP"/>
    <x v="12"/>
    <s v="Quercus muehlenbergii Engelm."/>
    <x v="4"/>
    <n v="1"/>
  </r>
  <r>
    <s v="SYST-MOR-0007227"/>
    <s v="SYST-MOR-0007227.bam"/>
    <s v="IN_LCP_507_MG"/>
    <s v="IN"/>
    <s v="LCP"/>
    <x v="12"/>
    <s v="Quercus muehlenbergii Engelm."/>
    <x v="4"/>
    <n v="1"/>
  </r>
  <r>
    <s v="SYST-MOR-0007195"/>
    <s v="SYST-MOR-0007195.bam"/>
    <s v="IN_MWT_475_MG"/>
    <s v="IN"/>
    <s v="MWT"/>
    <x v="13"/>
    <s v="Quercus alba L."/>
    <x v="3"/>
    <n v="1"/>
  </r>
  <r>
    <s v="SYST-MOR-0007196"/>
    <s v="SYST-MOR-0007196.bam"/>
    <s v="IN_MWT_476_MG"/>
    <s v="IN"/>
    <s v="MWT"/>
    <x v="13"/>
    <s v="Quercus bicolor Willd."/>
    <x v="5"/>
    <n v="1"/>
  </r>
  <r>
    <s v="SYST-MOR-0007197"/>
    <s v="SYST-MOR-0007197.bam"/>
    <s v="IN_MWT_477_MG"/>
    <s v="IN"/>
    <s v="MWT"/>
    <x v="13"/>
    <s v="Quercus alba L."/>
    <x v="3"/>
    <n v="1"/>
  </r>
  <r>
    <s v="SYST-MOR-0007198"/>
    <s v="SYST-MOR-0007198.bam"/>
    <s v="IN_MWT_478_MG"/>
    <s v="IN"/>
    <s v="MWT"/>
    <x v="13"/>
    <s v="Quercus alba L."/>
    <x v="3"/>
    <n v="1"/>
  </r>
  <r>
    <s v="SYST-MOR-0007199"/>
    <s v="SYST-MOR-0007199.bam"/>
    <s v="IN_MWT_479_MG"/>
    <s v="IN"/>
    <s v="MWT"/>
    <x v="13"/>
    <s v="Quercus bicolor Willd."/>
    <x v="5"/>
    <n v="1"/>
  </r>
  <r>
    <s v="SYST-MOR-0007200"/>
    <s v="SYST-MOR-0007200.bam"/>
    <s v="IN_MWT_480_MG"/>
    <s v="IN"/>
    <s v="MWT"/>
    <x v="13"/>
    <s v="Quercus macrocarpa Michx."/>
    <x v="1"/>
    <n v="1"/>
  </r>
  <r>
    <s v="SYST-MOR-0007201"/>
    <s v="SYST-MOR-0007201.bam"/>
    <s v="IN_MWT_481_MG"/>
    <s v="IN"/>
    <s v="MWT"/>
    <x v="13"/>
    <s v="Quercus alba L."/>
    <x v="3"/>
    <n v="1"/>
  </r>
  <r>
    <s v="SYST-MOR-0007202"/>
    <s v="SYST-MOR-0007202.bam"/>
    <s v="IN_MWT_482_MG"/>
    <s v="IN"/>
    <s v="MWT"/>
    <x v="13"/>
    <s v="Quercus muehlenbergii Engelm."/>
    <x v="4"/>
    <n v="1"/>
  </r>
  <r>
    <s v="SYST-MOR-0007203"/>
    <s v="SYST-MOR-0007203.bam"/>
    <s v="IN_MWT_483_MG"/>
    <s v="IN"/>
    <s v="MWT"/>
    <x v="13"/>
    <s v="Quercus muehlenbergii Engelm."/>
    <x v="4"/>
    <n v="1"/>
  </r>
  <r>
    <s v="SYST-MOR-0007204"/>
    <s v="SYST-MOR-0007204.bam"/>
    <s v="IN_MWT_484_MG"/>
    <s v="IN"/>
    <s v="MWT"/>
    <x v="13"/>
    <s v="Quercus muehlenbergii Engelm."/>
    <x v="4"/>
    <n v="1"/>
  </r>
  <r>
    <s v="SYST-MOR-0007205"/>
    <s v="SYST-MOR-0007205.bam"/>
    <s v="IN_TYL_485_MG"/>
    <s v="IN"/>
    <s v="TYL"/>
    <x v="14"/>
    <s v="Quercus muehlenbergii Engelm."/>
    <x v="4"/>
    <n v="1"/>
  </r>
  <r>
    <s v="SYST-MOR-0007206"/>
    <s v="SYST-MOR-0007206.bam"/>
    <s v="IN_TYL_486_MG"/>
    <s v="IN"/>
    <s v="TYL"/>
    <x v="14"/>
    <s v="Quercus macrocarpa Michx."/>
    <x v="1"/>
    <n v="1"/>
  </r>
  <r>
    <s v="SYST-MOR-0007207"/>
    <s v="SYST-MOR-0007207.bam"/>
    <s v="IN_TYL_487_MG"/>
    <s v="IN"/>
    <s v="TYL"/>
    <x v="14"/>
    <s v="Quercus macrocarpa Michx."/>
    <x v="1"/>
    <n v="1"/>
  </r>
  <r>
    <s v="SYST-MOR-0007208"/>
    <s v="SYST-MOR-0007208.bam"/>
    <s v="IN_TYL_488_MG"/>
    <s v="IN"/>
    <s v="TYL"/>
    <x v="14"/>
    <s v="Quercus macrocarpa Michx."/>
    <x v="1"/>
    <n v="1"/>
  </r>
  <r>
    <s v="SYST-MOR-0007209"/>
    <s v="SYST-MOR-0007209.bam"/>
    <s v="IN_TYL_489_MG"/>
    <s v="IN"/>
    <s v="TYL"/>
    <x v="14"/>
    <s v="Quercus muehlenbergii Engelm."/>
    <x v="4"/>
    <n v="1"/>
  </r>
  <r>
    <s v="SYST-MOR-0007210"/>
    <s v="SYST-MOR-0007210.bam"/>
    <s v="IN_TYL_490_MG"/>
    <s v="IN"/>
    <s v="TYL"/>
    <x v="14"/>
    <s v="Quercus muehlenbergii Engelm."/>
    <x v="4"/>
    <n v="1"/>
  </r>
  <r>
    <s v="SYST-MOR-0007211"/>
    <s v="SYST-MOR-0007211.bam"/>
    <s v="IN_TYL_491_MG"/>
    <s v="IN"/>
    <s v="TYL"/>
    <x v="14"/>
    <s v="Quercus alba L."/>
    <x v="3"/>
    <n v="1"/>
  </r>
  <r>
    <s v="SYST-MOR-0007212"/>
    <s v="SYST-MOR-0007212.bam"/>
    <s v="IN_TYL_492_MG"/>
    <s v="IN"/>
    <s v="TYL"/>
    <x v="14"/>
    <s v="Quercus bicolor Willd."/>
    <x v="5"/>
    <n v="1"/>
  </r>
  <r>
    <s v="SYST-MOR-0007213"/>
    <s v="SYST-MOR-0007213.bam"/>
    <s v="IN_TYL_493_MG"/>
    <s v="IN"/>
    <s v="TYL"/>
    <x v="14"/>
    <s v="Quercus bicolor Willd."/>
    <x v="5"/>
    <n v="1"/>
  </r>
  <r>
    <s v="SYST-MOR-0007214"/>
    <s v="SYST-MOR-0007214.bam"/>
    <s v="IN_TYL_494_MG"/>
    <s v="IN"/>
    <s v="TYL"/>
    <x v="14"/>
    <s v="Quercus bicolor Willd."/>
    <x v="5"/>
    <n v="1"/>
  </r>
  <r>
    <s v="SYST-MOR-0007215"/>
    <s v="SYST-MOR-0007215.bam"/>
    <s v="IN_TYL_495_MG"/>
    <s v="IN"/>
    <s v="TYL"/>
    <x v="14"/>
    <s v="Quercus muehlenbergii Engelm."/>
    <x v="4"/>
    <n v="1"/>
  </r>
  <r>
    <s v="SYST-MOR-0007216"/>
    <s v="SYST-MOR-0007216.bam"/>
    <s v="IN_TYL_496_MG"/>
    <s v="IN"/>
    <s v="TYL"/>
    <x v="14"/>
    <s v="Quercus alba L."/>
    <x v="3"/>
    <n v="1"/>
  </r>
  <r>
    <s v="SYST-MOR-0007217"/>
    <s v="SYST-MOR-0007217.bam"/>
    <s v="IN_TYL_497_MG"/>
    <s v="IN"/>
    <s v="TYL"/>
    <x v="14"/>
    <s v="Quercus alba L."/>
    <x v="3"/>
    <n v="1"/>
  </r>
  <r>
    <s v="SYST-MOR-0007218"/>
    <s v="SYST-MOR-0007218.bam"/>
    <s v="IN_TYL_498_MG"/>
    <s v="IN"/>
    <s v="TYL"/>
    <x v="14"/>
    <s v="Quercus alba x Quercus muehlenbergii"/>
    <x v="9"/>
    <n v="1"/>
  </r>
  <r>
    <s v="SYST-MOR-0007425"/>
    <s v="SYST-MOR-0007425.bam"/>
    <s v="IN-MG631"/>
    <s v="IN"/>
    <s v="BOW"/>
    <x v="15"/>
    <s v="Quercus macrocarpa Michx."/>
    <x v="1"/>
    <n v="1"/>
  </r>
  <r>
    <s v="SYST-MOR-0007426"/>
    <s v="SYST-MOR-0007426.bam"/>
    <s v="IN-MG632"/>
    <s v="IN"/>
    <s v="BOW"/>
    <x v="15"/>
    <s v="Quercus macrocarpa Michx."/>
    <x v="1"/>
    <n v="1"/>
  </r>
  <r>
    <s v="SYST-MOR-0007427"/>
    <s v="SYST-MOR-0007427.bam"/>
    <s v="IN-MG633"/>
    <s v="IN"/>
    <s v="BOW"/>
    <x v="15"/>
    <s v="Quercus macrocarpa Michx."/>
    <x v="1"/>
    <n v="1"/>
  </r>
  <r>
    <s v="SYST-MOR-0007428"/>
    <s v="SYST-MOR-0007428.bam"/>
    <s v="IN-MG634"/>
    <s v="IN"/>
    <s v="BOW"/>
    <x v="15"/>
    <s v="Quercus macrocarpa Michx."/>
    <x v="1"/>
    <n v="1"/>
  </r>
  <r>
    <s v="SYST-MOR-0007429"/>
    <s v="SYST-MOR-0007429.bam"/>
    <s v="IN-MG635"/>
    <s v="IN"/>
    <s v="BOW"/>
    <x v="15"/>
    <s v="Quercus macrocarpa Michx."/>
    <x v="1"/>
    <n v="1"/>
  </r>
  <r>
    <s v="SYST-MOR-0007430"/>
    <s v="SYST-MOR-0007430.bam"/>
    <s v="IN-MG636"/>
    <s v="IN"/>
    <s v="BOW"/>
    <x v="15"/>
    <s v="Quercus macrocarpa Michx."/>
    <x v="1"/>
    <n v="1"/>
  </r>
  <r>
    <s v="SYST-MOR-0007431"/>
    <s v="SYST-MOR-0007431.bam"/>
    <s v="IN-MG637"/>
    <s v="IN"/>
    <s v="BOW"/>
    <x v="15"/>
    <s v="Quercus macrocarpa Michx."/>
    <x v="1"/>
    <n v="1"/>
  </r>
  <r>
    <s v="SYST-MOR-0007432"/>
    <s v="SYST-MOR-0007432.bam"/>
    <s v="IN-MG638"/>
    <s v="IN"/>
    <s v="BOW"/>
    <x v="15"/>
    <s v="Quercus macrocarpa Michx."/>
    <x v="1"/>
    <n v="1"/>
  </r>
  <r>
    <s v="SYST-MOR-0007433"/>
    <s v="SYST-MOR-0007433.bam"/>
    <s v="IN-MG639"/>
    <s v="IN"/>
    <s v="BOW"/>
    <x v="15"/>
    <s v="Quercus macrocarpa Michx."/>
    <x v="1"/>
    <n v="1"/>
  </r>
  <r>
    <s v="SYST-MOR-0007434"/>
    <s v="SYST-MOR-0007434.bam"/>
    <s v="IN-MG640"/>
    <s v="IN"/>
    <s v="BOW"/>
    <x v="15"/>
    <s v="Quercus macrocarpa Michx."/>
    <x v="1"/>
    <n v="1"/>
  </r>
  <r>
    <s v="SYST-MOR-0007035"/>
    <s v="SYST-MOR-0007035.bam"/>
    <s v="KS_KCP_315_MG"/>
    <s v="KS"/>
    <s v="KCP"/>
    <x v="16"/>
    <s v="Quercus prinoides Willd."/>
    <x v="10"/>
    <n v="1"/>
  </r>
  <r>
    <s v="SYST-MOR-0007036"/>
    <s v="SYST-MOR-0007036.bam"/>
    <s v="KS_KCP_316_MG"/>
    <s v="KS"/>
    <s v="KCP"/>
    <x v="16"/>
    <s v="Quercus prinoides Willd."/>
    <x v="10"/>
    <n v="1"/>
  </r>
  <r>
    <s v="SYST-MOR-0007037"/>
    <s v="SYST-MOR-0007037.bam"/>
    <s v="KS_KZP_317_MG"/>
    <s v="KS"/>
    <s v="KZP"/>
    <x v="17"/>
    <s v="Quercus macrocarpa Michx."/>
    <x v="1"/>
    <n v="1"/>
  </r>
  <r>
    <s v="SYST-MOR-0007038"/>
    <s v="SYST-MOR-0007038.bam"/>
    <s v="KS_KZP_318_MG"/>
    <s v="KS"/>
    <s v="KZP"/>
    <x v="17"/>
    <s v="Quercus macrocarpa Michx."/>
    <x v="1"/>
    <n v="1"/>
  </r>
  <r>
    <s v="SYST-MOR-0007039"/>
    <s v="SYST-MOR-0007039.bam"/>
    <s v="KS_KZP_319_MG"/>
    <s v="KS"/>
    <s v="KZP"/>
    <x v="17"/>
    <s v="Quercus muehlenbergii Engelm."/>
    <x v="4"/>
    <n v="1"/>
  </r>
  <r>
    <s v="SYST-MOR-0007040"/>
    <s v="SYST-MOR-0007040.bam"/>
    <s v="KS_KZP_320_MG"/>
    <s v="KS"/>
    <s v="KZP"/>
    <x v="17"/>
    <s v="Quercus macrocarpa Michx."/>
    <x v="1"/>
    <n v="1"/>
  </r>
  <r>
    <s v="SYST-MOR-0007041"/>
    <s v="SYST-MOR-0007041.bam"/>
    <s v="KS_KZP_321_MG"/>
    <s v="KS"/>
    <s v="KZP"/>
    <x v="17"/>
    <s v="Quercus muehlenbergii Engelm."/>
    <x v="4"/>
    <n v="1"/>
  </r>
  <r>
    <s v="SYST-MOR-0007042"/>
    <s v="SYST-MOR-0007042.bam"/>
    <s v="KS_KZP_322_MG"/>
    <s v="KS"/>
    <s v="KZP"/>
    <x v="17"/>
    <s v="Quercus macrocarpa Michx."/>
    <x v="1"/>
    <n v="1"/>
  </r>
  <r>
    <s v="SYST-MOR-0007043"/>
    <s v="SYST-MOR-0007043.bam"/>
    <s v="KS_KZP_323_MG"/>
    <s v="KS"/>
    <s v="KZP"/>
    <x v="17"/>
    <s v="Quercus muehlenbergii Engelm."/>
    <x v="4"/>
    <n v="1"/>
  </r>
  <r>
    <s v="SYST-MOR-0007044"/>
    <s v="SYST-MOR-0007044.bam"/>
    <s v="KS_KZP_324_MG"/>
    <s v="KS"/>
    <s v="KZP"/>
    <x v="17"/>
    <s v="Quercus muehlenbergii Engelm."/>
    <x v="4"/>
    <n v="1"/>
  </r>
  <r>
    <s v="SYST-MOR-0007045"/>
    <s v="SYST-MOR-0007045.bam"/>
    <s v="KS_KZP_325_MG"/>
    <s v="KS"/>
    <s v="KZP"/>
    <x v="17"/>
    <s v="Quercus macrocarpa Michx."/>
    <x v="1"/>
    <n v="1"/>
  </r>
  <r>
    <s v="SYST-MOR-0007046"/>
    <s v="SYST-MOR-0007046.bam"/>
    <s v="KS_KZP_326_MG"/>
    <s v="KS"/>
    <s v="KZP"/>
    <x v="17"/>
    <s v="Quercus muehlenbergii Engelm."/>
    <x v="4"/>
    <n v="1"/>
  </r>
  <r>
    <s v="SYST-MOR-0007015"/>
    <s v="SYST-MOR-0007015.bam"/>
    <s v="KS_SMP_295_MG"/>
    <s v="KS"/>
    <s v="SMP"/>
    <x v="18"/>
    <s v="Quercus muehlenbergii Engelm."/>
    <x v="4"/>
    <n v="1"/>
  </r>
  <r>
    <s v="SYST-MOR-0007016"/>
    <s v="SYST-MOR-0007016.bam"/>
    <s v="KS_SMP_296_MG"/>
    <s v="KS"/>
    <s v="SMP"/>
    <x v="18"/>
    <s v="Quercus macrocarpa Michx."/>
    <x v="1"/>
    <n v="1"/>
  </r>
  <r>
    <s v="SYST-MOR-0007017"/>
    <s v="SYST-MOR-0007017.bam"/>
    <s v="KS_SMP_297_MG"/>
    <s v="KS"/>
    <s v="SMP"/>
    <x v="18"/>
    <s v="Quercus muehlenbergii Engelm."/>
    <x v="4"/>
    <n v="1"/>
  </r>
  <r>
    <s v="SYST-MOR-0007018"/>
    <s v="SYST-MOR-0007018.bam"/>
    <s v="KS_SMP_298_MG"/>
    <s v="KS"/>
    <s v="SMP"/>
    <x v="18"/>
    <s v="Quercus macrocarpa Michx."/>
    <x v="1"/>
    <n v="1"/>
  </r>
  <r>
    <s v="SYST-MOR-0007019"/>
    <s v="SYST-MOR-0007019.bam"/>
    <s v="KS_SMP_299_MG"/>
    <s v="KS"/>
    <s v="SMP"/>
    <x v="18"/>
    <s v="Quercus stellata Wangenh."/>
    <x v="2"/>
    <n v="1"/>
  </r>
  <r>
    <s v="SYST-MOR-0007020"/>
    <s v="SYST-MOR-0007020.bam"/>
    <s v="KS_SMP_300_MG"/>
    <s v="KS"/>
    <s v="SMP"/>
    <x v="18"/>
    <s v="Quercus macrocarpa Michx."/>
    <x v="1"/>
    <n v="1"/>
  </r>
  <r>
    <s v="SYST-MOR-0007021"/>
    <s v="SYST-MOR-0007021.bam"/>
    <s v="KS_SMP_301_MG"/>
    <s v="KS"/>
    <s v="SMP"/>
    <x v="18"/>
    <s v="Quercus muehlenbergii Engelm."/>
    <x v="4"/>
    <n v="1"/>
  </r>
  <r>
    <s v="SYST-MOR-0007022"/>
    <s v="SYST-MOR-0007022.bam"/>
    <s v="KS_SMP_302_MG"/>
    <s v="KS"/>
    <s v="SMP"/>
    <x v="18"/>
    <s v="Quercus macrocarpa Michx."/>
    <x v="1"/>
    <n v="1"/>
  </r>
  <r>
    <s v="SYST-MOR-0007023"/>
    <s v="SYST-MOR-0007023.bam"/>
    <s v="KS_SMP_303_MG"/>
    <s v="KS"/>
    <s v="SMP"/>
    <x v="18"/>
    <s v="Quercus muehlenbergii Engelm."/>
    <x v="4"/>
    <n v="1"/>
  </r>
  <r>
    <s v="SYST-MOR-0007024"/>
    <s v="SYST-MOR-0007024.bam"/>
    <s v="KS_SMP_304_MG"/>
    <s v="KS"/>
    <s v="SMP"/>
    <x v="18"/>
    <s v="Quercus macrocarpa Michx."/>
    <x v="1"/>
    <n v="1"/>
  </r>
  <r>
    <s v="SYST-MOR-0007025"/>
    <s v="SYST-MOR-0007025.bam"/>
    <s v="KS_SMP_305_MG"/>
    <s v="KS"/>
    <s v="SMP"/>
    <x v="18"/>
    <s v="Quercus muehlenbergii Engelm."/>
    <x v="4"/>
    <n v="1"/>
  </r>
  <r>
    <s v="SYST-MOR-0007026"/>
    <s v="SYST-MOR-0007026.bam"/>
    <s v="KS_SMP_306_MG"/>
    <s v="KS"/>
    <s v="SMP"/>
    <x v="18"/>
    <s v="Quercus stellata Wangenh."/>
    <x v="2"/>
    <n v="1"/>
  </r>
  <r>
    <s v="SYST-MOR-0007027"/>
    <s v="SYST-MOR-0007027.bam"/>
    <s v="KS_SMP_307_MG"/>
    <s v="KS"/>
    <s v="SMP"/>
    <x v="18"/>
    <s v="Quercus stellata Wangenh."/>
    <x v="2"/>
    <n v="1"/>
  </r>
  <r>
    <s v="SYST-MOR-0007028"/>
    <s v="SYST-MOR-0007028.bam"/>
    <s v="KS_SMP_308_MG"/>
    <s v="KS"/>
    <s v="SMP"/>
    <x v="18"/>
    <s v="Quercus stellata Wangenh."/>
    <x v="2"/>
    <n v="1"/>
  </r>
  <r>
    <s v="SYST-MOR-0007029"/>
    <s v="SYST-MOR-0007029.bam"/>
    <s v="KS_SMP_309_MG"/>
    <s v="KS"/>
    <s v="SMP"/>
    <x v="18"/>
    <s v="Quercus stellata Wangenh."/>
    <x v="2"/>
    <n v="1"/>
  </r>
  <r>
    <s v="SYST-MOR-0007030"/>
    <s v="SYST-MOR-0007030.bam"/>
    <s v="KS_SMP_310_MG"/>
    <s v="KS"/>
    <s v="SMP"/>
    <x v="18"/>
    <s v="Quercus alba L."/>
    <x v="3"/>
    <n v="1"/>
  </r>
  <r>
    <s v="SYST-MOR-0007031"/>
    <s v="SYST-MOR-0007031.bam"/>
    <s v="KS_SMP_311_MG"/>
    <s v="KS"/>
    <s v="SMP"/>
    <x v="18"/>
    <s v="Quercus alba L."/>
    <x v="3"/>
    <n v="1"/>
  </r>
  <r>
    <s v="SYST-MOR-0007032"/>
    <s v="SYST-MOR-0007032.bam"/>
    <s v="KS_SMP_312_MG"/>
    <s v="KS"/>
    <s v="SMP"/>
    <x v="18"/>
    <s v="Quercus alba L."/>
    <x v="3"/>
    <n v="1"/>
  </r>
  <r>
    <s v="SYST-MOR-0007033"/>
    <s v="SYST-MOR-0007033.bam"/>
    <s v="KS_SMP_313_MG"/>
    <s v="KS"/>
    <s v="SMP"/>
    <x v="18"/>
    <s v="Quercus alba L."/>
    <x v="3"/>
    <n v="1"/>
  </r>
  <r>
    <s v="SYST-MOR-0007034"/>
    <s v="SYST-MOR-0007034.bam"/>
    <s v="KS_SMP_314_MG"/>
    <s v="KS"/>
    <s v="SMP"/>
    <x v="18"/>
    <s v="Quercus alba L."/>
    <x v="3"/>
    <n v="1"/>
  </r>
  <r>
    <s v="SYST-MOR-0007393"/>
    <s v="SYST-MOR-0007393.bam"/>
    <s v="Minooka 1"/>
    <s v="KS"/>
    <s v="MPR"/>
    <x v="19"/>
    <s v="Quercus macrocarpa Michx."/>
    <x v="1"/>
    <n v="1"/>
  </r>
  <r>
    <s v="SYST-MOR-0007402"/>
    <s v="SYST-MOR-0007402.bam"/>
    <s v="Minooka 10"/>
    <s v="KS"/>
    <s v="MPR"/>
    <x v="19"/>
    <s v="Quercus macrocarpa Michx."/>
    <x v="1"/>
    <n v="1"/>
  </r>
  <r>
    <s v="SYST-MOR-0007394"/>
    <s v="SYST-MOR-0007394.bam"/>
    <s v="Minooka 2"/>
    <s v="KS"/>
    <s v="MPR"/>
    <x v="19"/>
    <s v="Quercus macrocarpa Michx."/>
    <x v="1"/>
    <n v="1"/>
  </r>
  <r>
    <s v="SYST-MOR-0007395"/>
    <s v="SYST-MOR-0007395.bam"/>
    <s v="Minooka 3"/>
    <s v="KS"/>
    <s v="MPR"/>
    <x v="19"/>
    <s v="Quercus macrocarpa Michx."/>
    <x v="1"/>
    <n v="1"/>
  </r>
  <r>
    <s v="SYST-MOR-0007396"/>
    <s v="SYST-MOR-0007396.bam"/>
    <s v="Minooka 4"/>
    <s v="KS"/>
    <s v="MPR"/>
    <x v="19"/>
    <s v="Quercus macrocarpa Michx."/>
    <x v="1"/>
    <n v="1"/>
  </r>
  <r>
    <s v="SYST-MOR-0007397"/>
    <s v="SYST-MOR-0007397.bam"/>
    <s v="Minooka 5"/>
    <s v="KS"/>
    <s v="MPR"/>
    <x v="19"/>
    <s v="Quercus macrocarpa Michx."/>
    <x v="1"/>
    <n v="1"/>
  </r>
  <r>
    <s v="SYST-MOR-0007398"/>
    <s v="SYST-MOR-0007398.bam"/>
    <s v="Minooka 6"/>
    <s v="KS"/>
    <s v="MPR"/>
    <x v="19"/>
    <s v="Quercus macrocarpa Michx."/>
    <x v="1"/>
    <n v="1"/>
  </r>
  <r>
    <s v="SYST-MOR-0007399"/>
    <s v="SYST-MOR-0007399.bam"/>
    <s v="Minooka 7"/>
    <s v="KS"/>
    <s v="MPR"/>
    <x v="19"/>
    <s v="Quercus macrocarpa Michx."/>
    <x v="1"/>
    <n v="1"/>
  </r>
  <r>
    <s v="SYST-MOR-0007400"/>
    <s v="SYST-MOR-0007400.bam"/>
    <s v="Minooka 8"/>
    <s v="KS"/>
    <s v="MPR"/>
    <x v="19"/>
    <s v="Quercus macrocarpa Michx."/>
    <x v="1"/>
    <n v="1"/>
  </r>
  <r>
    <s v="SYST-MOR-0007401"/>
    <s v="SYST-MOR-0007401.bam"/>
    <s v="Minooka 9"/>
    <s v="KS"/>
    <s v="MPR"/>
    <x v="19"/>
    <s v="Quercus macrocarpa Michx."/>
    <x v="1"/>
    <n v="1"/>
  </r>
  <r>
    <s v="SYST-MOR-0007403"/>
    <s v="SYST-MOR-0007403.bam"/>
    <s v="Salina 1"/>
    <s v="KS"/>
    <s v="LWP"/>
    <x v="20"/>
    <s v="Quercus macrocarpa Michx."/>
    <x v="1"/>
    <n v="1"/>
  </r>
  <r>
    <s v="SYST-MOR-0007404"/>
    <s v="SYST-MOR-0007404.bam"/>
    <s v="Salina 2"/>
    <s v="KS"/>
    <s v="LWP"/>
    <x v="20"/>
    <s v="Quercus macrocarpa Michx."/>
    <x v="1"/>
    <n v="1"/>
  </r>
  <r>
    <s v="SYST-MOR-0007405"/>
    <s v="SYST-MOR-0007405.bam"/>
    <s v="Salina 3"/>
    <s v="KS"/>
    <s v="LWP"/>
    <x v="20"/>
    <s v="Quercus macrocarpa Michx."/>
    <x v="1"/>
    <n v="1"/>
  </r>
  <r>
    <s v="SYST-MOR-0007406"/>
    <s v="SYST-MOR-0007406.bam"/>
    <s v="Salina 4"/>
    <s v="KS"/>
    <s v="LWP"/>
    <x v="20"/>
    <s v="Quercus macrocarpa Michx."/>
    <x v="1"/>
    <n v="1"/>
  </r>
  <r>
    <s v="SYST-MOR-0007407"/>
    <s v="SYST-MOR-0007407.bam"/>
    <s v="Salina 5"/>
    <s v="KS"/>
    <s v="LWP"/>
    <x v="20"/>
    <s v="Quercus macrocarpa Michx."/>
    <x v="1"/>
    <n v="1"/>
  </r>
  <r>
    <s v="SYST-MOR-0007408"/>
    <s v="SYST-MOR-0007408.bam"/>
    <s v="Salina 6"/>
    <s v="KS"/>
    <s v="LWP"/>
    <x v="20"/>
    <s v="Quercus macrocarpa Michx."/>
    <x v="1"/>
    <n v="1"/>
  </r>
  <r>
    <s v="SYST-MOR-0006907"/>
    <s v="SYST-MOR-0006907.bam"/>
    <s v="KY_ASF_185_MG"/>
    <s v="KY"/>
    <s v="ASF"/>
    <x v="21"/>
    <s v="Quercus macrocarpa Michx."/>
    <x v="1"/>
    <n v="1"/>
  </r>
  <r>
    <s v="SYST-MOR-0006908"/>
    <s v="SYST-MOR-0006908.bam"/>
    <s v="KY_ASF_186_MG"/>
    <s v="KY"/>
    <s v="ASF"/>
    <x v="21"/>
    <s v="Quercus macrocarpa Michx."/>
    <x v="1"/>
    <n v="1"/>
  </r>
  <r>
    <s v="SYST-MOR-0006909"/>
    <s v="SYST-MOR-0006909.bam"/>
    <s v="KY_ASF_187_MG"/>
    <s v="KY"/>
    <s v="ASF"/>
    <x v="21"/>
    <s v="Quercus macrocarpa Michx."/>
    <x v="1"/>
    <n v="1"/>
  </r>
  <r>
    <s v="SYST-MOR-0006910"/>
    <s v="SYST-MOR-0006910.bam"/>
    <s v="KY_ASF_188_MG"/>
    <s v="KY"/>
    <s v="ASF"/>
    <x v="21"/>
    <s v="Quercus muehlenbergii Engelm."/>
    <x v="4"/>
    <n v="1"/>
  </r>
  <r>
    <s v="SYST-MOR-0006911"/>
    <s v="SYST-MOR-0006911.bam"/>
    <s v="KY_ASF_189_MG"/>
    <s v="KY"/>
    <s v="ASF"/>
    <x v="21"/>
    <s v="Quercus macrocarpa Michx."/>
    <x v="1"/>
    <n v="1"/>
  </r>
  <r>
    <s v="SYST-MOR-0006912"/>
    <s v="SYST-MOR-0006912.bam"/>
    <s v="KY_ASF_190_MG"/>
    <s v="KY"/>
    <s v="ASF"/>
    <x v="21"/>
    <s v="Quercus macrocarpa Michx."/>
    <x v="1"/>
    <n v="1"/>
  </r>
  <r>
    <s v="SYST-MOR-0006913"/>
    <s v="SYST-MOR-0006913.bam"/>
    <s v="KY_ASF_191_MG"/>
    <s v="KY"/>
    <s v="ASF"/>
    <x v="21"/>
    <s v="Quercus muehlenbergii Engelm."/>
    <x v="4"/>
    <n v="1"/>
  </r>
  <r>
    <s v="SYST-MOR-0006914"/>
    <s v="SYST-MOR-0006914.bam"/>
    <s v="KY_ASF_192_MG"/>
    <s v="KY"/>
    <s v="ASF"/>
    <x v="21"/>
    <s v="Quercus muehlenbergii Engelm."/>
    <x v="4"/>
    <n v="1"/>
  </r>
  <r>
    <s v="SYST-MOR-0006915"/>
    <s v="SYST-MOR-0006915.bam"/>
    <s v="KY_ASF_193_MG"/>
    <s v="KY"/>
    <s v="ASF"/>
    <x v="21"/>
    <s v="Quercus muehlenbergii Engelm."/>
    <x v="4"/>
    <n v="1"/>
  </r>
  <r>
    <s v="SYST-MOR-0006916"/>
    <s v="SYST-MOR-0006916.bam"/>
    <s v="KY_ASF_194_MG"/>
    <s v="KY"/>
    <s v="ASF"/>
    <x v="21"/>
    <s v="Quercus muehlenbergii Engelm."/>
    <x v="4"/>
    <n v="1"/>
  </r>
  <r>
    <s v="SYST-MOR-0006897"/>
    <s v="SYST-MOR-0006897.bam"/>
    <s v="KY_BBF_175_MG"/>
    <s v="KY"/>
    <s v="BBF"/>
    <x v="22"/>
    <s v="Quercus macrocarpa Michx."/>
    <x v="1"/>
    <n v="1"/>
  </r>
  <r>
    <s v="SYST-MOR-0006898"/>
    <s v="SYST-MOR-0006898.bam"/>
    <s v="KY_BBF_176_MG"/>
    <s v="KY"/>
    <s v="BBF"/>
    <x v="22"/>
    <s v="Quercus muehlenbergii Engelm."/>
    <x v="4"/>
    <n v="1"/>
  </r>
  <r>
    <s v="SYST-MOR-0006899"/>
    <s v="SYST-MOR-0006899.bam"/>
    <s v="KY_BBF_177_MG"/>
    <s v="KY"/>
    <s v="BBF"/>
    <x v="22"/>
    <s v="Quercus macrocarpa Michx."/>
    <x v="1"/>
    <n v="1"/>
  </r>
  <r>
    <s v="SYST-MOR-0006900"/>
    <s v="SYST-MOR-0006900.bam"/>
    <s v="KY_BBF_178_MG"/>
    <s v="KY"/>
    <s v="BBF"/>
    <x v="22"/>
    <s v="Quercus muehlenbergii Engelm."/>
    <x v="4"/>
    <n v="1"/>
  </r>
  <r>
    <s v="SYST-MOR-0006901"/>
    <s v="SYST-MOR-0006901.bam"/>
    <s v="KY_BBF_179_MG"/>
    <s v="KY"/>
    <s v="BBF"/>
    <x v="22"/>
    <s v="Quercus muehlenbergii Engelm."/>
    <x v="4"/>
    <n v="1"/>
  </r>
  <r>
    <s v="SYST-MOR-0006902"/>
    <s v="SYST-MOR-0006902.bam"/>
    <s v="KY_BBF_180_MG"/>
    <s v="KY"/>
    <s v="BBF"/>
    <x v="22"/>
    <s v="Quercus muehlenbergii Engelm."/>
    <x v="4"/>
    <n v="1"/>
  </r>
  <r>
    <s v="SYST-MOR-0006903"/>
    <s v="SYST-MOR-0006903.bam"/>
    <s v="KY_BBF_181_MG"/>
    <s v="KY"/>
    <s v="BBF"/>
    <x v="22"/>
    <s v="Quercus macrocarpa Michx."/>
    <x v="1"/>
    <n v="1"/>
  </r>
  <r>
    <s v="SYST-MOR-0006904"/>
    <s v="SYST-MOR-0006904.bam"/>
    <s v="KY_BBF_182_MG"/>
    <s v="KY"/>
    <s v="BBF"/>
    <x v="22"/>
    <s v="Quercus macrocarpa Michx."/>
    <x v="1"/>
    <n v="1"/>
  </r>
  <r>
    <s v="SYST-MOR-0006905"/>
    <s v="SYST-MOR-0006905.bam"/>
    <s v="KY_BBF_183_MG"/>
    <s v="KY"/>
    <s v="BBF"/>
    <x v="22"/>
    <s v="Quercus muehlenbergii Engelm."/>
    <x v="4"/>
    <n v="1"/>
  </r>
  <r>
    <s v="SYST-MOR-0006906"/>
    <s v="SYST-MOR-0006906.bam"/>
    <s v="KY_BBF_184_MG"/>
    <s v="KY"/>
    <s v="BBF"/>
    <x v="22"/>
    <s v="Quercus macrocarpa Michx."/>
    <x v="1"/>
    <n v="1"/>
  </r>
  <r>
    <s v="SYST-MOR-0006894"/>
    <s v="SYST-MOR-0006894.bam"/>
    <s v="KY_CSW_172_MG"/>
    <s v="KY"/>
    <s v="CSW"/>
    <x v="23"/>
    <s v="Quercus macrocarpa Michx."/>
    <x v="1"/>
    <n v="1"/>
  </r>
  <r>
    <s v="SYST-MOR-0006895"/>
    <s v="SYST-MOR-0006895.bam"/>
    <s v="KY_CSW_173_MG"/>
    <s v="KY"/>
    <s v="CSW"/>
    <x v="23"/>
    <s v="Quercus muehlenbergii Engelm."/>
    <x v="4"/>
    <n v="1"/>
  </r>
  <r>
    <s v="SYST-MOR-0006896"/>
    <s v="SYST-MOR-0006896.bam"/>
    <s v="KY_CSW_174_MG"/>
    <s v="KY"/>
    <s v="CSW"/>
    <x v="23"/>
    <s v="Quercus muehlenbergii Engelm."/>
    <x v="4"/>
    <n v="1"/>
  </r>
  <r>
    <s v="SYST-MOR-0006932"/>
    <s v="SYST-MOR-0006932.bam"/>
    <s v="KY_GRF_210_MG"/>
    <s v="KY"/>
    <s v="GRF"/>
    <x v="24"/>
    <s v="Quercus macrocarpa Michx."/>
    <x v="1"/>
    <n v="1"/>
  </r>
  <r>
    <s v="SYST-MOR-0006933"/>
    <s v="SYST-MOR-0006933.bam"/>
    <s v="KY_GRF_211_MG"/>
    <s v="KY"/>
    <s v="GRF"/>
    <x v="24"/>
    <s v="Quercus macrocarpa Michx."/>
    <x v="1"/>
    <n v="1"/>
  </r>
  <r>
    <s v="SYST-MOR-0006934"/>
    <s v="SYST-MOR-0006934.bam"/>
    <s v="KY_GRF_212_MG"/>
    <s v="KY"/>
    <s v="GRF"/>
    <x v="24"/>
    <s v="Quercus macrocarpa Michx."/>
    <x v="1"/>
    <n v="1"/>
  </r>
  <r>
    <s v="SYST-MOR-0006935"/>
    <s v="SYST-MOR-0006935.bam"/>
    <s v="KY_GRF_213_MG"/>
    <s v="KY"/>
    <s v="GRF"/>
    <x v="24"/>
    <s v="Quercus macrocarpa Michx."/>
    <x v="1"/>
    <n v="1"/>
  </r>
  <r>
    <s v="SYST-MOR-0006936"/>
    <s v="SYST-MOR-0006936.bam"/>
    <s v="KY_GRF_214_MG"/>
    <s v="KY"/>
    <s v="GRF"/>
    <x v="24"/>
    <s v="Quercus macrocarpa Michx."/>
    <x v="1"/>
    <n v="1"/>
  </r>
  <r>
    <s v="SYST-MOR-0006917"/>
    <s v="SYST-MOR-0006917.bam"/>
    <s v="KY_JJA_195_MG"/>
    <s v="KY"/>
    <s v="JJA"/>
    <x v="25"/>
    <s v="Quercus michauxii Nutt."/>
    <x v="6"/>
    <n v="1"/>
  </r>
  <r>
    <s v="SYST-MOR-0006918"/>
    <s v="SYST-MOR-0006918.bam"/>
    <s v="KY_JJA_196_MG"/>
    <s v="KY"/>
    <s v="JJA"/>
    <x v="25"/>
    <s v="Quercus lyrata Walt."/>
    <x v="0"/>
    <n v="1"/>
  </r>
  <r>
    <s v="SYST-MOR-0006919"/>
    <s v="SYST-MOR-0006919.bam"/>
    <s v="KY_JJA_197_MG"/>
    <s v="KY"/>
    <s v="JJA"/>
    <x v="25"/>
    <s v="Quercus lyrata x Quercus michauxii"/>
    <x v="11"/>
    <n v="1"/>
  </r>
  <r>
    <s v="SYST-MOR-0006920"/>
    <s v="SYST-MOR-0006920.bam"/>
    <s v="KY_JJA_198_MG"/>
    <s v="KY"/>
    <s v="JJA"/>
    <x v="25"/>
    <s v="Quercus michauxii Nutt."/>
    <x v="6"/>
    <n v="1"/>
  </r>
  <r>
    <s v="SYST-MOR-0006921"/>
    <s v="SYST-MOR-0006921.bam"/>
    <s v="KY_JJA_199_MG"/>
    <s v="KY"/>
    <s v="JJA"/>
    <x v="25"/>
    <s v="Quercus lyrata Walt."/>
    <x v="0"/>
    <n v="1"/>
  </r>
  <r>
    <s v="SYST-MOR-0006922"/>
    <s v="SYST-MOR-0006922.bam"/>
    <s v="KY_JJA_200_MG"/>
    <s v="KY"/>
    <s v="JJA"/>
    <x v="25"/>
    <s v="Quercus alba L."/>
    <x v="3"/>
    <n v="1"/>
  </r>
  <r>
    <s v="SYST-MOR-0006923"/>
    <s v="SYST-MOR-0006923.bam"/>
    <s v="KY_JJA_201_MG"/>
    <s v="KY"/>
    <s v="JJA"/>
    <x v="25"/>
    <s v="Quercus alba L. x michauxii Nutt."/>
    <x v="12"/>
    <n v="1"/>
  </r>
  <r>
    <s v="SYST-MOR-0006924"/>
    <s v="SYST-MOR-0006924.bam"/>
    <s v="KY_JJA_202_MG"/>
    <s v="KY"/>
    <s v="JJA"/>
    <x v="25"/>
    <s v="Quercus michauxii Nutt."/>
    <x v="6"/>
    <n v="1"/>
  </r>
  <r>
    <s v="SYST-MOR-0006925"/>
    <s v="SYST-MOR-0006925.bam"/>
    <s v="KY_JJA_203_MG"/>
    <s v="KY"/>
    <s v="JJA"/>
    <x v="25"/>
    <s v="Quercus lyrata Walt."/>
    <x v="0"/>
    <n v="1"/>
  </r>
  <r>
    <s v="SYST-MOR-0006926"/>
    <s v="SYST-MOR-0006926.bam"/>
    <s v="KY_JJA_204_MG"/>
    <s v="KY"/>
    <s v="JJA"/>
    <x v="25"/>
    <s v="Quercus alba L."/>
    <x v="3"/>
    <n v="1"/>
  </r>
  <r>
    <s v="SYST-MOR-0006927"/>
    <s v="SYST-MOR-0006927.bam"/>
    <s v="KY_JJA_205_MG"/>
    <s v="KY"/>
    <s v="JJA"/>
    <x v="25"/>
    <s v="Quercus lyrata Walt."/>
    <x v="0"/>
    <n v="1"/>
  </r>
  <r>
    <s v="SYST-MOR-0006928"/>
    <s v="SYST-MOR-0006928.bam"/>
    <s v="KY_JJA_206_MG"/>
    <s v="KY"/>
    <s v="JJA"/>
    <x v="25"/>
    <s v="Quercus alba L."/>
    <x v="3"/>
    <n v="1"/>
  </r>
  <r>
    <s v="SYST-MOR-0006929"/>
    <s v="SYST-MOR-0006929.bam"/>
    <s v="KY_JJA_207_MG"/>
    <s v="KY"/>
    <s v="JJA"/>
    <x v="25"/>
    <s v="Quercus muehlenbergii Engelm."/>
    <x v="4"/>
    <n v="1"/>
  </r>
  <r>
    <s v="SYST-MOR-0006930"/>
    <s v="SYST-MOR-0006930.bam"/>
    <s v="KY_JJA_208_MG"/>
    <s v="KY"/>
    <s v="JJA"/>
    <x v="25"/>
    <s v="Quercus muehlenbergii Engelm."/>
    <x v="4"/>
    <n v="1"/>
  </r>
  <r>
    <s v="SYST-MOR-0006931"/>
    <s v="SYST-MOR-0006931.bam"/>
    <s v="KY_JJA_209_MG"/>
    <s v="KY"/>
    <s v="JJA"/>
    <x v="25"/>
    <s v="Quercus muehlenbergii Engelm."/>
    <x v="4"/>
    <n v="1"/>
  </r>
  <r>
    <s v="SYST-MOR-0006890"/>
    <s v="SYST-MOR-0006890.bam"/>
    <s v="KY_LXC_168_MG"/>
    <s v="KY"/>
    <s v="LXC"/>
    <x v="26"/>
    <s v="Quercus macrocarpa Michx."/>
    <x v="1"/>
    <n v="1"/>
  </r>
  <r>
    <s v="SYST-MOR-0006891"/>
    <s v="SYST-MOR-0006891.bam"/>
    <s v="KY_LXC_169_MG"/>
    <s v="KY"/>
    <s v="LXC"/>
    <x v="26"/>
    <s v="Quercus macrocarpa Michx."/>
    <x v="1"/>
    <n v="1"/>
  </r>
  <r>
    <s v="SYST-MOR-0006892"/>
    <s v="SYST-MOR-0006892.bam"/>
    <s v="KY_LXC_170_MG"/>
    <s v="KY"/>
    <s v="LXC"/>
    <x v="26"/>
    <s v="Quercus macrocarpa Michx."/>
    <x v="1"/>
    <n v="1"/>
  </r>
  <r>
    <s v="SYST-MOR-0006893"/>
    <s v="SYST-MOR-0006893.bam"/>
    <s v="KY_LXC_171_MG"/>
    <s v="KY"/>
    <s v="LXC"/>
    <x v="26"/>
    <s v="Quercus macrocarpa Michx."/>
    <x v="1"/>
    <n v="1"/>
  </r>
  <r>
    <s v="SYST-MOR-0007106"/>
    <s v="SYST-MOR-0007106.bam"/>
    <s v="MA_BTC_386_MG"/>
    <s v="MA"/>
    <s v="BTC"/>
    <x v="27"/>
    <s v="Quercus muehlenbergii Engelm."/>
    <x v="4"/>
    <n v="1"/>
  </r>
  <r>
    <s v="SYST-MOR-0007107"/>
    <s v="SYST-MOR-0007107.bam"/>
    <s v="MA_BTC_387_MG"/>
    <s v="MA"/>
    <s v="BTC"/>
    <x v="27"/>
    <s v="Quercus muehlenbergii Engelm."/>
    <x v="4"/>
    <n v="1"/>
  </r>
  <r>
    <s v="SYST-MOR-0007108"/>
    <s v="SYST-MOR-0007108.bam"/>
    <s v="MA_BTC_388_MG"/>
    <s v="MA"/>
    <s v="BTC"/>
    <x v="27"/>
    <s v="Quercus muehlenbergii Engelm."/>
    <x v="4"/>
    <n v="1"/>
  </r>
  <r>
    <s v="SYST-MOR-0007109"/>
    <s v="SYST-MOR-0007109.bam"/>
    <s v="MA_BTC_389_MG"/>
    <s v="MA"/>
    <s v="BTC"/>
    <x v="27"/>
    <s v="Quercus alba L."/>
    <x v="3"/>
    <n v="1"/>
  </r>
  <r>
    <s v="SYST-MOR-0007110"/>
    <s v="SYST-MOR-0007110.bam"/>
    <s v="MA_BTC_390_MG"/>
    <s v="MA"/>
    <s v="BTC"/>
    <x v="27"/>
    <s v="Quercus muehlenbergii Engelm."/>
    <x v="4"/>
    <n v="1"/>
  </r>
  <r>
    <s v="SYST-MOR-0007111"/>
    <s v="SYST-MOR-0007111.bam"/>
    <s v="MA_BTC_391_MG"/>
    <s v="MA"/>
    <s v="BTC"/>
    <x v="27"/>
    <s v="Quercus muehlenbergii Engelm."/>
    <x v="4"/>
    <n v="1"/>
  </r>
  <r>
    <s v="SYST-MOR-0007112"/>
    <s v="SYST-MOR-0007112.bam"/>
    <s v="MA_BTC_392_MG"/>
    <s v="MA"/>
    <s v="BTC"/>
    <x v="27"/>
    <s v="Quercus macrocarpa Michx."/>
    <x v="1"/>
    <n v="1"/>
  </r>
  <r>
    <s v="SYST-MOR-0007113"/>
    <s v="SYST-MOR-0007113.bam"/>
    <s v="MA_BTC_393_MG"/>
    <s v="MA"/>
    <s v="BTC"/>
    <x v="27"/>
    <s v="Quercus alba L."/>
    <x v="3"/>
    <n v="1"/>
  </r>
  <r>
    <s v="SYST-MOR-0007119"/>
    <s v="SYST-MOR-0007119.bam"/>
    <s v="MA_LKN_399_MG"/>
    <s v="MA"/>
    <s v="LKN"/>
    <x v="28"/>
    <s v="Quercus macrocarpa Michx."/>
    <x v="1"/>
    <n v="1"/>
  </r>
  <r>
    <s v="SYST-MOR-0007120"/>
    <s v="SYST-MOR-0007120.bam"/>
    <s v="MA_LKN_400_MG"/>
    <s v="MA"/>
    <s v="LKN"/>
    <x v="28"/>
    <s v="Quercus alba L."/>
    <x v="3"/>
    <n v="1"/>
  </r>
  <r>
    <s v="SYST-MOR-0007121"/>
    <s v="SYST-MOR-0007121.bam"/>
    <s v="MA_LKN_401_MG"/>
    <s v="MA"/>
    <s v="LKN"/>
    <x v="28"/>
    <s v="Quercus alba L."/>
    <x v="3"/>
    <n v="1"/>
  </r>
  <r>
    <s v="SYST-MOR-0007122"/>
    <s v="SYST-MOR-0007122.bam"/>
    <s v="MA_LKN_402_MG"/>
    <s v="MA"/>
    <s v="LKN"/>
    <x v="28"/>
    <s v="Quercus alba L."/>
    <x v="3"/>
    <n v="1"/>
  </r>
  <r>
    <s v="SYST-MOR-0007114"/>
    <s v="SYST-MOR-0007114.bam"/>
    <s v="MA_NMK_394_MG"/>
    <s v="MA"/>
    <s v="NMK"/>
    <x v="29"/>
    <s v="Quercus macrocarpa Michx."/>
    <x v="1"/>
    <n v="1"/>
  </r>
  <r>
    <s v="SYST-MOR-0007115"/>
    <s v="SYST-MOR-0007115.bam"/>
    <s v="MA_NMK_395_MG"/>
    <s v="MA"/>
    <s v="NMK"/>
    <x v="29"/>
    <s v="Quercus macrocarpa Michx."/>
    <x v="1"/>
    <n v="1"/>
  </r>
  <r>
    <s v="SYST-MOR-0007116"/>
    <s v="SYST-MOR-0007116.bam"/>
    <s v="MA_NMK_396_MG"/>
    <s v="MA"/>
    <s v="NMK"/>
    <x v="29"/>
    <s v="Quercus macrocarpa Michx."/>
    <x v="1"/>
    <n v="1"/>
  </r>
  <r>
    <s v="SYST-MOR-0007117"/>
    <s v="SYST-MOR-0007117.bam"/>
    <s v="MA_NMK_397_MG"/>
    <s v="MA"/>
    <s v="NMK"/>
    <x v="29"/>
    <s v="Quercus macrocarpa Michx."/>
    <x v="1"/>
    <n v="1"/>
  </r>
  <r>
    <s v="SYST-MOR-0007118"/>
    <s v="SYST-MOR-0007118.bam"/>
    <s v="MA_NMK_398_MG"/>
    <s v="MA"/>
    <s v="NMK"/>
    <x v="29"/>
    <s v="Quercus macrocarpa Michx."/>
    <x v="1"/>
    <n v="1"/>
  </r>
  <r>
    <s v="SYST-MOR-0007123"/>
    <s v="SYST-MOR-0007123.bam"/>
    <s v="MA_SBF_403_MG"/>
    <s v="MA"/>
    <s v="SBF"/>
    <x v="30"/>
    <s v="Quercus macrocarpa Michx."/>
    <x v="1"/>
    <n v="1"/>
  </r>
  <r>
    <s v="SYST-MOR-0007124"/>
    <s v="SYST-MOR-0007124.bam"/>
    <s v="MA_SBF_404_MG"/>
    <s v="MA"/>
    <s v="SBF"/>
    <x v="30"/>
    <s v="Quercus macrocarpa Michx."/>
    <x v="1"/>
    <n v="1"/>
  </r>
  <r>
    <s v="SYST-MOR-0007125"/>
    <s v="SYST-MOR-0007125.bam"/>
    <s v="MA_SBF_405_MG"/>
    <s v="MA"/>
    <s v="SBF"/>
    <x v="30"/>
    <s v="Quercus alba L."/>
    <x v="3"/>
    <n v="1"/>
  </r>
  <r>
    <s v="SYST-MOR-0007126"/>
    <s v="SYST-MOR-0007126.bam"/>
    <s v="MA_SBF_406_MG"/>
    <s v="MA"/>
    <s v="SBF"/>
    <x v="30"/>
    <s v="Quercus macrocarpa Michx."/>
    <x v="1"/>
    <n v="1"/>
  </r>
  <r>
    <s v="SYST-MOR-0007127"/>
    <s v="SYST-MOR-0007127.bam"/>
    <s v="MA_SBF_407_MG"/>
    <s v="MA"/>
    <s v="SBF"/>
    <x v="30"/>
    <s v="Quercus macrocarpa Michx."/>
    <x v="1"/>
    <n v="1"/>
  </r>
  <r>
    <s v="SYST-MOR-0007128"/>
    <s v="SYST-MOR-0007128.bam"/>
    <s v="MA_SBF_408_MG"/>
    <s v="MA"/>
    <s v="SBF"/>
    <x v="30"/>
    <s v="Quercus alba L."/>
    <x v="3"/>
    <n v="1"/>
  </r>
  <r>
    <s v="SYST-MOR-0007357"/>
    <s v="SYST-MOR-0007357.bam"/>
    <s v="MB-MG506"/>
    <s v="MB"/>
    <s v="WPP"/>
    <x v="31"/>
    <s v="Quercus macrocarpa Michx."/>
    <x v="1"/>
    <n v="1"/>
  </r>
  <r>
    <s v="SYST-MOR-0007358"/>
    <s v="SYST-MOR-0007358.bam"/>
    <s v="MB-MG507"/>
    <s v="MB"/>
    <s v="WPP"/>
    <x v="31"/>
    <s v="Quercus macrocarpa Michx."/>
    <x v="1"/>
    <n v="1"/>
  </r>
  <r>
    <s v="SYST-MOR-0007359"/>
    <s v="SYST-MOR-0007359.bam"/>
    <s v="MB-MG508"/>
    <s v="MB"/>
    <s v="WPP"/>
    <x v="31"/>
    <s v="Quercus macrocarpa Michx."/>
    <x v="1"/>
    <n v="1"/>
  </r>
  <r>
    <s v="SYST-MOR-0007360"/>
    <s v="SYST-MOR-0007360.bam"/>
    <s v="MB-MG509"/>
    <s v="MB"/>
    <s v="WPP"/>
    <x v="31"/>
    <s v="Quercus macrocarpa Michx."/>
    <x v="1"/>
    <n v="1"/>
  </r>
  <r>
    <s v="SYST-MOR-0007361"/>
    <s v="SYST-MOR-0007361.bam"/>
    <s v="MB-MG510"/>
    <s v="MB"/>
    <s v="WPP"/>
    <x v="31"/>
    <s v="Quercus macrocarpa Michx."/>
    <x v="1"/>
    <n v="1"/>
  </r>
  <r>
    <s v="SYST-MOR-0007362"/>
    <s v="SYST-MOR-0007362.bam"/>
    <s v="MB-MG511"/>
    <s v="MB"/>
    <s v="WPP"/>
    <x v="31"/>
    <s v="Quercus macrocarpa Michx."/>
    <x v="1"/>
    <n v="1"/>
  </r>
  <r>
    <s v="SYST-MOR-0007363"/>
    <s v="SYST-MOR-0007363.bam"/>
    <s v="MB-MG512"/>
    <s v="MB"/>
    <s v="WPP"/>
    <x v="31"/>
    <s v="Quercus macrocarpa Michx."/>
    <x v="1"/>
    <n v="1"/>
  </r>
  <r>
    <s v="SYST-MOR-0007364"/>
    <s v="SYST-MOR-0007364.bam"/>
    <s v="MB-MG513"/>
    <s v="MB"/>
    <s v="WPP"/>
    <x v="31"/>
    <s v="Quercus macrocarpa Michx."/>
    <x v="1"/>
    <n v="1"/>
  </r>
  <r>
    <s v="SYST-MOR-0007365"/>
    <s v="SYST-MOR-0007365.bam"/>
    <s v="MB-MG514"/>
    <s v="MB"/>
    <s v="WPP"/>
    <x v="31"/>
    <s v="Quercus macrocarpa Michx."/>
    <x v="1"/>
    <n v="1"/>
  </r>
  <r>
    <s v="SYST-MOR-0007366"/>
    <s v="SYST-MOR-0007366.bam"/>
    <s v="MB-MG515"/>
    <s v="MB"/>
    <s v="WPP"/>
    <x v="31"/>
    <s v="Quercus macrocarpa Michx."/>
    <x v="1"/>
    <n v="1"/>
  </r>
  <r>
    <s v="SYST-MOR-0007367"/>
    <s v="SYST-MOR-0007367.bam"/>
    <s v="MB-MG516"/>
    <s v="MB"/>
    <s v="SWP"/>
    <x v="32"/>
    <s v="Quercus macrocarpa Michx."/>
    <x v="1"/>
    <n v="1"/>
  </r>
  <r>
    <s v="SYST-MOR-0007368"/>
    <s v="SYST-MOR-0007368.bam"/>
    <s v="MB-MG517"/>
    <s v="MB"/>
    <s v="SWP"/>
    <x v="32"/>
    <s v="Quercus macrocarpa Michx."/>
    <x v="1"/>
    <n v="1"/>
  </r>
  <r>
    <s v="SYST-MOR-0007369"/>
    <s v="SYST-MOR-0007369.bam"/>
    <s v="MB-MG518"/>
    <s v="MB"/>
    <s v="SWP"/>
    <x v="32"/>
    <s v="Quercus macrocarpa Michx."/>
    <x v="1"/>
    <n v="1"/>
  </r>
  <r>
    <s v="SYST-MOR-0007370"/>
    <s v="SYST-MOR-0007370.bam"/>
    <s v="MB-MG519"/>
    <s v="MB"/>
    <s v="SWP"/>
    <x v="32"/>
    <s v="Quercus macrocarpa Michx."/>
    <x v="1"/>
    <n v="1"/>
  </r>
  <r>
    <s v="SYST-MOR-0007371"/>
    <s v="SYST-MOR-0007371.bam"/>
    <s v="MB-MG520"/>
    <s v="MB"/>
    <s v="SWP"/>
    <x v="32"/>
    <s v="Quercus macrocarpa Michx."/>
    <x v="1"/>
    <n v="1"/>
  </r>
  <r>
    <s v="SYST-MOR-0007372"/>
    <s v="SYST-MOR-0007372.bam"/>
    <s v="MB-MG521"/>
    <s v="MB"/>
    <s v="SWP"/>
    <x v="32"/>
    <s v="Quercus macrocarpa Michx."/>
    <x v="1"/>
    <n v="1"/>
  </r>
  <r>
    <s v="SYST-MOR-0007373"/>
    <s v="SYST-MOR-0007373.bam"/>
    <s v="MB-MG522"/>
    <s v="MB"/>
    <s v="SWP"/>
    <x v="32"/>
    <s v="Quercus macrocarpa Michx."/>
    <x v="1"/>
    <n v="1"/>
  </r>
  <r>
    <s v="SYST-MOR-0007374"/>
    <s v="SYST-MOR-0007374.bam"/>
    <s v="MB-MG523"/>
    <s v="MB"/>
    <s v="SWP"/>
    <x v="32"/>
    <s v="Quercus macrocarpa Michx."/>
    <x v="1"/>
    <n v="1"/>
  </r>
  <r>
    <s v="SYST-MOR-0007375"/>
    <s v="SYST-MOR-0007375.bam"/>
    <s v="MB-MG524"/>
    <s v="MB"/>
    <s v="SWP"/>
    <x v="32"/>
    <s v="Quercus macrocarpa Michx."/>
    <x v="1"/>
    <n v="1"/>
  </r>
  <r>
    <s v="SYST-MOR-0007376"/>
    <s v="SYST-MOR-0007376.bam"/>
    <s v="MB-MG525"/>
    <s v="MB"/>
    <s v="SWP"/>
    <x v="32"/>
    <s v="Quercus macrocarpa Michx."/>
    <x v="1"/>
    <n v="1"/>
  </r>
  <r>
    <s v="SYST-MOR-0007377"/>
    <s v="SYST-MOR-0007377.bam"/>
    <s v="MB-MG526"/>
    <s v="MB"/>
    <s v="ASF"/>
    <x v="33"/>
    <s v="Quercus macrocarpa Michx."/>
    <x v="1"/>
    <n v="1"/>
  </r>
  <r>
    <s v="SYST-MOR-0007378"/>
    <s v="SYST-MOR-0007378.bam"/>
    <s v="MB-MG527"/>
    <s v="MB"/>
    <s v="ASF"/>
    <x v="33"/>
    <s v="Quercus macrocarpa Michx."/>
    <x v="1"/>
    <n v="1"/>
  </r>
  <r>
    <s v="SYST-MOR-0007379"/>
    <s v="SYST-MOR-0007379.bam"/>
    <s v="MB-MG528"/>
    <s v="MB"/>
    <s v="ASF"/>
    <x v="33"/>
    <s v="Quercus macrocarpa Michx."/>
    <x v="1"/>
    <n v="1"/>
  </r>
  <r>
    <s v="SYST-MOR-0007380"/>
    <s v="SYST-MOR-0007380.bam"/>
    <s v="MB-MG529"/>
    <s v="MB"/>
    <s v="ASF"/>
    <x v="33"/>
    <s v="Quercus macrocarpa Michx."/>
    <x v="1"/>
    <n v="1"/>
  </r>
  <r>
    <s v="SYST-MOR-0007381"/>
    <s v="SYST-MOR-0007381.bam"/>
    <s v="MB-MG530"/>
    <s v="MB"/>
    <s v="ASF"/>
    <x v="33"/>
    <s v="Quercus macrocarpa Michx."/>
    <x v="1"/>
    <n v="1"/>
  </r>
  <r>
    <s v="SYST-MOR-0007382"/>
    <s v="SYST-MOR-0007382.bam"/>
    <s v="MB-MG531"/>
    <s v="MB"/>
    <s v="ASF"/>
    <x v="33"/>
    <s v="Quercus macrocarpa Michx."/>
    <x v="1"/>
    <n v="1"/>
  </r>
  <r>
    <s v="SYST-MOR-0007383"/>
    <s v="SYST-MOR-0007383.bam"/>
    <s v="MB-MG532"/>
    <s v="MB"/>
    <s v="ASF"/>
    <x v="33"/>
    <s v="Quercus macrocarpa Michx."/>
    <x v="1"/>
    <n v="1"/>
  </r>
  <r>
    <s v="SYST-MOR-0007384"/>
    <s v="SYST-MOR-0007384.bam"/>
    <s v="MB-MG533"/>
    <s v="MB"/>
    <s v="ASF"/>
    <x v="33"/>
    <s v="Quercus macrocarpa Michx."/>
    <x v="1"/>
    <n v="1"/>
  </r>
  <r>
    <s v="SYST-MOR-0007385"/>
    <s v="SYST-MOR-0007385.bam"/>
    <s v="MB-MG534"/>
    <s v="MB"/>
    <s v="ASF"/>
    <x v="33"/>
    <s v="Quercus macrocarpa Michx."/>
    <x v="1"/>
    <n v="1"/>
  </r>
  <r>
    <s v="SYST-MOR-0007386"/>
    <s v="SYST-MOR-0007386.bam"/>
    <s v="MB-MG535"/>
    <s v="MB"/>
    <s v="ASF"/>
    <x v="33"/>
    <s v="Quercus macrocarpa Michx."/>
    <x v="1"/>
    <n v="1"/>
  </r>
  <r>
    <s v="SYST-MOR-0007004"/>
    <s v="SYST-MOR-0007004.bam"/>
    <s v="MI_LLP_284_MG"/>
    <s v="MI"/>
    <s v="LLP"/>
    <x v="34"/>
    <s v="Quercus bicolor Willd."/>
    <x v="5"/>
    <n v="1"/>
  </r>
  <r>
    <s v="SYST-MOR-0007005"/>
    <s v="SYST-MOR-0007005.bam"/>
    <s v="MI_LLP_285_MG"/>
    <s v="MI"/>
    <s v="LLP"/>
    <x v="34"/>
    <s v="Quercus alba L."/>
    <x v="3"/>
    <n v="1"/>
  </r>
  <r>
    <s v="SYST-MOR-0007006"/>
    <s v="SYST-MOR-0007006.bam"/>
    <s v="MI_LLP_286_MG"/>
    <s v="MI"/>
    <s v="LLP"/>
    <x v="34"/>
    <s v="Quercus bicolor Willd."/>
    <x v="5"/>
    <n v="1"/>
  </r>
  <r>
    <s v="SYST-MOR-0007007"/>
    <s v="SYST-MOR-0007007.bam"/>
    <s v="MI_LLP_287_MG"/>
    <s v="MI"/>
    <s v="LLP"/>
    <x v="34"/>
    <s v="Quercus alba L."/>
    <x v="3"/>
    <n v="1"/>
  </r>
  <r>
    <s v="SYST-MOR-0007008"/>
    <s v="SYST-MOR-0007008.bam"/>
    <s v="MI_LLP_288_MG"/>
    <s v="MI"/>
    <s v="LLP"/>
    <x v="34"/>
    <s v="Quercus bicolor Willd."/>
    <x v="5"/>
    <n v="1"/>
  </r>
  <r>
    <s v="SYST-MOR-0007009"/>
    <s v="SYST-MOR-0007009.bam"/>
    <s v="MI_LLP_289_MG"/>
    <s v="MI"/>
    <s v="LLP"/>
    <x v="34"/>
    <s v="Quercus alba L."/>
    <x v="3"/>
    <n v="1"/>
  </r>
  <r>
    <s v="SYST-MOR-0007010"/>
    <s v="SYST-MOR-0007010.bam"/>
    <s v="MI_LLP_290_MG"/>
    <s v="MI"/>
    <s v="LLP"/>
    <x v="34"/>
    <s v="Quercus bicolor Willd."/>
    <x v="5"/>
    <n v="1"/>
  </r>
  <r>
    <s v="SYST-MOR-0007011"/>
    <s v="SYST-MOR-0007011.bam"/>
    <s v="MI_LLP_291_MG"/>
    <s v="MI"/>
    <s v="LLP"/>
    <x v="34"/>
    <s v="Quercus alba L."/>
    <x v="3"/>
    <n v="1"/>
  </r>
  <r>
    <s v="SYST-MOR-0007012"/>
    <s v="SYST-MOR-0007012.bam"/>
    <s v="MI_LLP_292_MG"/>
    <s v="MI"/>
    <s v="LLP"/>
    <x v="34"/>
    <s v="Quercus bicolor Willd."/>
    <x v="5"/>
    <n v="1"/>
  </r>
  <r>
    <s v="SYST-MOR-0007013"/>
    <s v="SYST-MOR-0007013.bam"/>
    <s v="MI_LLP_293_MG"/>
    <s v="MI"/>
    <s v="LLP"/>
    <x v="34"/>
    <s v="Quercus alba L."/>
    <x v="3"/>
    <n v="1"/>
  </r>
  <r>
    <s v="SYST-MOR-0007014"/>
    <s v="SYST-MOR-0007014.bam"/>
    <s v="MI_LLP_294_MG"/>
    <s v="MI"/>
    <s v="LLP"/>
    <x v="34"/>
    <s v="Quercus macrocarpa Michx."/>
    <x v="1"/>
    <n v="1"/>
  </r>
  <r>
    <s v="SYST-MOR-0006985"/>
    <s v="SYST-MOR-0006985.bam"/>
    <s v="MI_PRA_265_MG"/>
    <s v="MI"/>
    <s v="PRA"/>
    <x v="35"/>
    <s v="Quercus prinoides Willd."/>
    <x v="10"/>
    <n v="1"/>
  </r>
  <r>
    <s v="SYST-MOR-0006986"/>
    <s v="SYST-MOR-0006986.bam"/>
    <s v="MI_PRA_266_MG"/>
    <s v="MI"/>
    <s v="PRA"/>
    <x v="35"/>
    <s v="Quercus prinoides Willd."/>
    <x v="10"/>
    <n v="1"/>
  </r>
  <r>
    <s v="SYST-MOR-0006987"/>
    <s v="SYST-MOR-0006987.bam"/>
    <s v="MI_PRA_267_MG"/>
    <s v="MI"/>
    <s v="PRA"/>
    <x v="35"/>
    <s v="Quercus prinoides Willd."/>
    <x v="10"/>
    <n v="1"/>
  </r>
  <r>
    <s v="SYST-MOR-0006988"/>
    <s v="SYST-MOR-0006988.bam"/>
    <s v="MI_PRA_268_MG"/>
    <s v="MI"/>
    <s v="PRA"/>
    <x v="35"/>
    <s v="Quercus prinoides Willd."/>
    <x v="10"/>
    <n v="1"/>
  </r>
  <r>
    <s v="SYST-MOR-0006989"/>
    <s v="SYST-MOR-0006989.bam"/>
    <s v="MI_PRA_269_MG"/>
    <s v="MI"/>
    <s v="PRA"/>
    <x v="35"/>
    <s v="Quercus alba L."/>
    <x v="3"/>
    <n v="1"/>
  </r>
  <r>
    <s v="SYST-MOR-0006990"/>
    <s v="SYST-MOR-0006990.bam"/>
    <s v="MI_PRA_270_MG"/>
    <s v="MI"/>
    <s v="PRA"/>
    <x v="35"/>
    <s v="Quercus prinoides Willd."/>
    <x v="10"/>
    <n v="1"/>
  </r>
  <r>
    <s v="SYST-MOR-0006991"/>
    <s v="SYST-MOR-0006991.bam"/>
    <s v="MI_PRA_271_MG"/>
    <s v="MI"/>
    <s v="PRA"/>
    <x v="35"/>
    <s v="Quercus alba L."/>
    <x v="3"/>
    <n v="1"/>
  </r>
  <r>
    <s v="SYST-MOR-0006992"/>
    <s v="SYST-MOR-0006992.bam"/>
    <s v="MI_PRA_272_MG"/>
    <s v="MI"/>
    <s v="PRA"/>
    <x v="35"/>
    <s v="Quercus alba L."/>
    <x v="3"/>
    <n v="1"/>
  </r>
  <r>
    <s v="SYST-MOR-0006993"/>
    <s v="SYST-MOR-0006993.bam"/>
    <s v="MI_PRA_273_MG"/>
    <s v="MI"/>
    <s v="PRA"/>
    <x v="35"/>
    <s v="Quercus alba L."/>
    <x v="3"/>
    <n v="1"/>
  </r>
  <r>
    <s v="SYST-MOR-0006994"/>
    <s v="SYST-MOR-0006994.bam"/>
    <s v="MI_PRA_274_MG"/>
    <s v="MI"/>
    <s v="PRA"/>
    <x v="35"/>
    <s v="Quercus bicolor Willd."/>
    <x v="5"/>
    <n v="1"/>
  </r>
  <r>
    <s v="SYST-MOR-0006995"/>
    <s v="SYST-MOR-0006995.bam"/>
    <s v="MI_PRA_275_MG"/>
    <s v="MI"/>
    <s v="PRA"/>
    <x v="35"/>
    <s v="Quercus bicolor Willd."/>
    <x v="5"/>
    <n v="1"/>
  </r>
  <r>
    <s v="SYST-MOR-0006996"/>
    <s v="SYST-MOR-0006996.bam"/>
    <s v="MI_PRA_276_MG"/>
    <s v="MI"/>
    <s v="PRA"/>
    <x v="35"/>
    <s v="Quercus bicolor Willd."/>
    <x v="5"/>
    <n v="1"/>
  </r>
  <r>
    <s v="SYST-MOR-0006997"/>
    <s v="SYST-MOR-0006997.bam"/>
    <s v="MI_PRA_277_MG"/>
    <s v="MI"/>
    <s v="PRA"/>
    <x v="35"/>
    <s v="Quercus bicolor Willd."/>
    <x v="5"/>
    <n v="1"/>
  </r>
  <r>
    <s v="SYST-MOR-0006998"/>
    <s v="SYST-MOR-0006998.bam"/>
    <s v="MI_PRA_278_MG"/>
    <s v="MI"/>
    <s v="PRA"/>
    <x v="35"/>
    <s v="Quercus alba x Quercus macrocarpa"/>
    <x v="13"/>
    <n v="1"/>
  </r>
  <r>
    <s v="SYST-MOR-0006999"/>
    <s v="SYST-MOR-0006999.bam"/>
    <s v="MI_PRA_279_MG"/>
    <s v="MI"/>
    <s v="PRA"/>
    <x v="35"/>
    <s v="Quercus macrocarpa Michx."/>
    <x v="1"/>
    <n v="1"/>
  </r>
  <r>
    <s v="SYST-MOR-0007000"/>
    <s v="SYST-MOR-0007000.bam"/>
    <s v="MI_PRA_280_MG"/>
    <s v="MI"/>
    <s v="PRA"/>
    <x v="35"/>
    <s v="Quercus alba L."/>
    <x v="3"/>
    <n v="1"/>
  </r>
  <r>
    <s v="SYST-MOR-0007001"/>
    <s v="SYST-MOR-0007001.bam"/>
    <s v="MI_PRA_281_MG"/>
    <s v="MI"/>
    <s v="PRA"/>
    <x v="35"/>
    <s v="Quercus macrocarpa Michx."/>
    <x v="1"/>
    <n v="1"/>
  </r>
  <r>
    <s v="SYST-MOR-0007002"/>
    <s v="SYST-MOR-0007002.bam"/>
    <s v="MI_PRA_282_MG"/>
    <s v="MI"/>
    <s v="PRA"/>
    <x v="35"/>
    <s v="Quercus macrocarpa Michx."/>
    <x v="1"/>
    <n v="1"/>
  </r>
  <r>
    <s v="SYST-MOR-0007003"/>
    <s v="SYST-MOR-0007003.bam"/>
    <s v="MI_PRA_283_MG"/>
    <s v="MI"/>
    <s v="PRA"/>
    <x v="35"/>
    <s v="Quercus macrocarpa Michx."/>
    <x v="1"/>
    <n v="1"/>
  </r>
  <r>
    <s v="SYST-MOR-0007435"/>
    <s v="SYST-MOR-0007435.bam"/>
    <s v="MI-MG662"/>
    <s v="MI"/>
    <s v="PCP"/>
    <x v="36"/>
    <s v="Quercus macrocarpa Michx."/>
    <x v="1"/>
    <n v="1"/>
  </r>
  <r>
    <s v="SYST-MOR-0007436"/>
    <s v="SYST-MOR-0007436.bam"/>
    <s v="MI-MG663"/>
    <s v="MI"/>
    <s v="PCP"/>
    <x v="36"/>
    <s v="Quercus bicolor x Quercus macrocarpa"/>
    <x v="8"/>
    <n v="1"/>
  </r>
  <r>
    <s v="SYST-MOR-0007437"/>
    <s v="SYST-MOR-0007437.bam"/>
    <s v="MI-MG664"/>
    <s v="MI"/>
    <s v="PCP"/>
    <x v="36"/>
    <s v="Quercus macrocarpa Michx."/>
    <x v="1"/>
    <n v="1"/>
  </r>
  <r>
    <s v="SYST-MOR-0007438"/>
    <s v="SYST-MOR-0007438.bam"/>
    <s v="MI-MG665"/>
    <s v="MI"/>
    <s v="PCP"/>
    <x v="36"/>
    <s v="Quercus macrocarpa Michx."/>
    <x v="1"/>
    <n v="1"/>
  </r>
  <r>
    <s v="SYST-MOR-0007439"/>
    <s v="SYST-MOR-0007439.bam"/>
    <s v="MI-MG666"/>
    <s v="MI"/>
    <s v="PCP"/>
    <x v="36"/>
    <s v="Quercus bicolor x Quercus macrocarpa"/>
    <x v="8"/>
    <n v="1"/>
  </r>
  <r>
    <s v="SYST-MOR-0007440"/>
    <s v="SYST-MOR-0007440.bam"/>
    <s v="MI-MG667"/>
    <s v="MI"/>
    <s v="PCP"/>
    <x v="36"/>
    <s v="Quercus macrocarpa Michx."/>
    <x v="1"/>
    <n v="1"/>
  </r>
  <r>
    <s v="SYST-MOR-0007441"/>
    <s v="SYST-MOR-0007441.bam"/>
    <s v="MI-MG668"/>
    <s v="MI"/>
    <s v="PCP"/>
    <x v="36"/>
    <s v="Quercus macrocarpa Michx."/>
    <x v="1"/>
    <n v="1"/>
  </r>
  <r>
    <s v="SYST-MOR-0007442"/>
    <s v="SYST-MOR-0007442.bam"/>
    <s v="MI-MG669"/>
    <s v="MI"/>
    <s v="PCP"/>
    <x v="36"/>
    <s v="Quercus macrocarpa Michx."/>
    <x v="1"/>
    <n v="1"/>
  </r>
  <r>
    <s v="SYST-MOR-0007443"/>
    <s v="SYST-MOR-0007443.bam"/>
    <s v="MI-MG670"/>
    <s v="MI"/>
    <s v="PCP"/>
    <x v="36"/>
    <s v="Quercus macrocarpa Michx."/>
    <x v="1"/>
    <n v="1"/>
  </r>
  <r>
    <s v="SYST-MOR-0007444"/>
    <s v="SYST-MOR-0007444.bam"/>
    <s v="MI-MG671"/>
    <s v="MI"/>
    <s v="PCP"/>
    <x v="36"/>
    <s v="Quercus macrocarpa Michx."/>
    <x v="1"/>
    <n v="1"/>
  </r>
  <r>
    <s v="SYST-MOR-0007445"/>
    <s v="SYST-MOR-0007445.bam"/>
    <s v="MI-MG672"/>
    <s v="MI"/>
    <s v="PCP"/>
    <x v="36"/>
    <s v="Quercus macrocarpa Michx."/>
    <x v="1"/>
    <n v="1"/>
  </r>
  <r>
    <s v="SYST-MOR-0007251"/>
    <s v="SYST-MOR-0007251.bam"/>
    <s v="MN_CDR_215_BF"/>
    <s v="MN"/>
    <s v="CDR"/>
    <x v="37"/>
    <s v="Quercus macrocarpa Michx."/>
    <x v="1"/>
    <n v="1"/>
  </r>
  <r>
    <s v="SYST-MOR-0007252"/>
    <s v="SYST-MOR-0007252.bam"/>
    <s v="MN_CDR_216_BF"/>
    <s v="MN"/>
    <s v="CDR"/>
    <x v="37"/>
    <s v="Quercus macrocarpa Michx."/>
    <x v="1"/>
    <n v="1"/>
  </r>
  <r>
    <s v="SYST-MOR-0007253"/>
    <s v="SYST-MOR-0007253.bam"/>
    <s v="MN_CDR_217_BF"/>
    <s v="MN"/>
    <s v="CDR"/>
    <x v="37"/>
    <s v="Quercus macrocarpa Michx."/>
    <x v="1"/>
    <n v="1"/>
  </r>
  <r>
    <s v="SYST-MOR-0007254"/>
    <s v="SYST-MOR-0007254.bam"/>
    <s v="MN_CDR_218_BF"/>
    <s v="MN"/>
    <s v="CDR"/>
    <x v="37"/>
    <s v="Quercus macrocarpa Michx."/>
    <x v="1"/>
    <n v="1"/>
  </r>
  <r>
    <s v="SYST-MOR-0007255"/>
    <s v="SYST-MOR-0007255.bam"/>
    <s v="MN_CDR_219_BF"/>
    <s v="MN"/>
    <s v="CDR"/>
    <x v="37"/>
    <s v="Quercus macrocarpa Michx."/>
    <x v="1"/>
    <n v="1"/>
  </r>
  <r>
    <s v="SYST-MOR-0007257"/>
    <s v="SYST-MOR-0007257.bam"/>
    <s v="MN_CDR_220_BF"/>
    <s v="MN"/>
    <s v="CDR"/>
    <x v="37"/>
    <s v="Quercus alba L."/>
    <x v="3"/>
    <n v="1"/>
  </r>
  <r>
    <s v="SYST-MOR-0007258"/>
    <s v="SYST-MOR-0007258.bam"/>
    <s v="MN_CDR_221_BF"/>
    <s v="MN"/>
    <s v="CDR"/>
    <x v="37"/>
    <s v="Quercus alba L."/>
    <x v="3"/>
    <n v="1"/>
  </r>
  <r>
    <s v="SYST-MOR-0007259"/>
    <s v="SYST-MOR-0007259.bam"/>
    <s v="MN_CDR_222_BF"/>
    <s v="MN"/>
    <s v="CDR"/>
    <x v="37"/>
    <s v="Quercus alba L."/>
    <x v="3"/>
    <n v="1"/>
  </r>
  <r>
    <s v="SYST-MOR-0007260"/>
    <s v="SYST-MOR-0007260.bam"/>
    <s v="MN_CDR_223_BF"/>
    <s v="MN"/>
    <s v="CDR"/>
    <x v="37"/>
    <s v="Quercus alba L."/>
    <x v="3"/>
    <n v="1"/>
  </r>
  <r>
    <s v="SYST-MOR-0007256"/>
    <s v="SYST-MOR-0007256.bam"/>
    <s v="MN_CDR_531_BF"/>
    <s v="MN"/>
    <s v="CDR"/>
    <x v="37"/>
    <s v="Quercus alba L."/>
    <x v="3"/>
    <n v="1"/>
  </r>
  <r>
    <s v="SYST-MOR-0006943"/>
    <s v="SYST-MOR-0006943.bam"/>
    <s v="MN_PMN_221_MG"/>
    <s v="MN"/>
    <s v="PMN"/>
    <x v="38"/>
    <s v="Quercus macrocarpa Michx."/>
    <x v="1"/>
    <n v="1"/>
  </r>
  <r>
    <s v="SYST-MOR-0006944"/>
    <s v="SYST-MOR-0006944.bam"/>
    <s v="MN_PMN_222_MG"/>
    <s v="MN"/>
    <s v="PMN"/>
    <x v="38"/>
    <s v="Quercus macrocarpa Michx."/>
    <x v="1"/>
    <n v="1"/>
  </r>
  <r>
    <s v="SYST-MOR-0006945"/>
    <s v="SYST-MOR-0006945.bam"/>
    <s v="MN_PMN_223_MG"/>
    <s v="MN"/>
    <s v="PMN"/>
    <x v="38"/>
    <s v="Quercus macrocarpa Michx."/>
    <x v="1"/>
    <n v="1"/>
  </r>
  <r>
    <s v="SYST-MOR-0006946"/>
    <s v="SYST-MOR-0006946.bam"/>
    <s v="MN_PMN_224_MG"/>
    <s v="MN"/>
    <s v="PMN"/>
    <x v="38"/>
    <s v="Quercus alba L."/>
    <x v="3"/>
    <n v="1"/>
  </r>
  <r>
    <s v="SYST-MOR-0006947"/>
    <s v="SYST-MOR-0006947.bam"/>
    <s v="MN_PMN_225_MG"/>
    <s v="MN"/>
    <s v="PMN"/>
    <x v="38"/>
    <s v="Quercus alba x Quercus macrocarpa"/>
    <x v="13"/>
    <n v="1"/>
  </r>
  <r>
    <s v="SYST-MOR-0006948"/>
    <s v="SYST-MOR-0006948.bam"/>
    <s v="MN_PMN_226_MG"/>
    <s v="MN"/>
    <s v="PMN"/>
    <x v="38"/>
    <s v="Quercus macrocarpa Michx."/>
    <x v="1"/>
    <n v="1"/>
  </r>
  <r>
    <s v="SYST-MOR-0006949"/>
    <s v="SYST-MOR-0006949.bam"/>
    <s v="MN_PMN_227_MG"/>
    <s v="MN"/>
    <s v="PMN"/>
    <x v="38"/>
    <s v="Quercus alba L."/>
    <x v="3"/>
    <n v="1"/>
  </r>
  <r>
    <s v="SYST-MOR-0006950"/>
    <s v="SYST-MOR-0006950.bam"/>
    <s v="MN_PMN_228_MG"/>
    <s v="MN"/>
    <s v="PMN"/>
    <x v="38"/>
    <s v="Quercus alba L."/>
    <x v="3"/>
    <n v="1"/>
  </r>
  <r>
    <s v="SYST-MOR-0007446"/>
    <s v="SYST-MOR-0007446.bam"/>
    <s v="MN-MG761"/>
    <s v="MN"/>
    <s v="OTB"/>
    <x v="39"/>
    <s v="Quercus macrocarpa Michx."/>
    <x v="1"/>
    <n v="1"/>
  </r>
  <r>
    <s v="SYST-MOR-0007447"/>
    <s v="SYST-MOR-0007447.bam"/>
    <s v="MN-MG762"/>
    <s v="MN"/>
    <s v="OTB"/>
    <x v="39"/>
    <s v="Quercus macrocarpa Michx."/>
    <x v="1"/>
    <n v="1"/>
  </r>
  <r>
    <s v="SYST-MOR-0007448"/>
    <s v="SYST-MOR-0007448.bam"/>
    <s v="MN-MG763"/>
    <s v="MN"/>
    <s v="OTB"/>
    <x v="39"/>
    <s v="Quercus macrocarpa Michx."/>
    <x v="1"/>
    <n v="1"/>
  </r>
  <r>
    <s v="SYST-MOR-0007449"/>
    <s v="SYST-MOR-0007449.bam"/>
    <s v="MN-MG764"/>
    <s v="MN"/>
    <s v="OTB"/>
    <x v="39"/>
    <s v="Quercus macrocarpa Michx."/>
    <x v="1"/>
    <n v="1"/>
  </r>
  <r>
    <s v="SYST-MOR-0007450"/>
    <s v="SYST-MOR-0007450.bam"/>
    <s v="MN-MG765"/>
    <s v="MN"/>
    <s v="OTB"/>
    <x v="39"/>
    <s v="Quercus macrocarpa Michx."/>
    <x v="1"/>
    <n v="1"/>
  </r>
  <r>
    <s v="SYST-MOR-0007451"/>
    <s v="SYST-MOR-0007451.bam"/>
    <s v="MN-MG766"/>
    <s v="MN"/>
    <s v="OTB"/>
    <x v="39"/>
    <s v="Quercus macrocarpa Michx."/>
    <x v="1"/>
    <n v="1"/>
  </r>
  <r>
    <s v="SYST-MOR-0007452"/>
    <s v="SYST-MOR-0007452.bam"/>
    <s v="MN-MG767"/>
    <s v="MN"/>
    <s v="OTB"/>
    <x v="39"/>
    <s v="Quercus macrocarpa Michx."/>
    <x v="1"/>
    <n v="1"/>
  </r>
  <r>
    <s v="SYST-MOR-0007453"/>
    <s v="SYST-MOR-0007453.bam"/>
    <s v="MN-MG768"/>
    <s v="MN"/>
    <s v="OTB"/>
    <x v="39"/>
    <s v="Quercus macrocarpa Michx."/>
    <x v="1"/>
    <n v="1"/>
  </r>
  <r>
    <s v="SYST-MOR-0007454"/>
    <s v="SYST-MOR-0007454.bam"/>
    <s v="MN-MG769"/>
    <s v="MN"/>
    <s v="OTB"/>
    <x v="39"/>
    <s v="Quercus macrocarpa Michx."/>
    <x v="1"/>
    <n v="1"/>
  </r>
  <r>
    <s v="SYST-MOR-0007455"/>
    <s v="SYST-MOR-0007455.bam"/>
    <s v="MN-MG770"/>
    <s v="MN"/>
    <s v="QPA"/>
    <x v="40"/>
    <s v="Quercus macrocarpa Michx."/>
    <x v="1"/>
    <n v="1"/>
  </r>
  <r>
    <s v="SYST-MOR-0007456"/>
    <s v="SYST-MOR-0007456.bam"/>
    <s v="MN-MG771"/>
    <s v="MN"/>
    <s v="QPA"/>
    <x v="40"/>
    <s v="Quercus macrocarpa Michx."/>
    <x v="1"/>
    <n v="1"/>
  </r>
  <r>
    <s v="SYST-MOR-0007457"/>
    <s v="SYST-MOR-0007457.bam"/>
    <s v="MN-MG772"/>
    <s v="MN"/>
    <s v="QPA"/>
    <x v="40"/>
    <s v="Quercus macrocarpa Michx."/>
    <x v="1"/>
    <n v="1"/>
  </r>
  <r>
    <s v="SYST-MOR-0007458"/>
    <s v="SYST-MOR-0007458.bam"/>
    <s v="MN-MG773"/>
    <s v="MN"/>
    <s v="QPA"/>
    <x v="40"/>
    <s v="Quercus macrocarpa Michx."/>
    <x v="1"/>
    <n v="1"/>
  </r>
  <r>
    <s v="SYST-MOR-0007459"/>
    <s v="SYST-MOR-0007459.bam"/>
    <s v="MN-MG774"/>
    <s v="MN"/>
    <s v="QPA"/>
    <x v="40"/>
    <s v="Quercus macrocarpa Michx."/>
    <x v="1"/>
    <n v="1"/>
  </r>
  <r>
    <s v="SYST-MOR-0007460"/>
    <s v="SYST-MOR-0007460.bam"/>
    <s v="MN-MG775"/>
    <s v="MN"/>
    <s v="QPA"/>
    <x v="40"/>
    <s v="Quercus macrocarpa Michx."/>
    <x v="1"/>
    <n v="1"/>
  </r>
  <r>
    <s v="SYST-MOR-0007461"/>
    <s v="SYST-MOR-0007461.bam"/>
    <s v="MN-MG776"/>
    <s v="MN"/>
    <s v="QPA"/>
    <x v="40"/>
    <s v="Quercus macrocarpa Michx."/>
    <x v="1"/>
    <n v="1"/>
  </r>
  <r>
    <s v="SYST-MOR-0007462"/>
    <s v="SYST-MOR-0007462.bam"/>
    <s v="MN-MG777"/>
    <s v="MN"/>
    <s v="QPA"/>
    <x v="40"/>
    <s v="Quercus macrocarpa Michx."/>
    <x v="1"/>
    <n v="1"/>
  </r>
  <r>
    <s v="SYST-MOR-0007463"/>
    <s v="SYST-MOR-0007463.bam"/>
    <s v="MN-MG778"/>
    <s v="MN"/>
    <s v="QPA"/>
    <x v="40"/>
    <s v="Quercus macrocarpa Michx."/>
    <x v="1"/>
    <n v="1"/>
  </r>
  <r>
    <s v="SYST-MOR-0007464"/>
    <s v="SYST-MOR-0007464.bam"/>
    <s v="MN-MG779"/>
    <s v="MN"/>
    <s v="QPA"/>
    <x v="40"/>
    <s v="Quercus macrocarpa Michx."/>
    <x v="1"/>
    <n v="1"/>
  </r>
  <r>
    <s v="SYST-MOR-0007465"/>
    <s v="SYST-MOR-0007465.bam"/>
    <s v="MN-MG780"/>
    <s v="MN"/>
    <s v="QPA"/>
    <x v="40"/>
    <s v="Quercus macrocarpa Michx."/>
    <x v="1"/>
    <n v="1"/>
  </r>
  <r>
    <s v="SYST-MOR-0006763"/>
    <s v="SYST-MOR-0006763.bam"/>
    <s v="MO_BOT_031_MG"/>
    <s v="MO"/>
    <s v="BOT"/>
    <x v="41"/>
    <s v="Quercus macrocarpa Michx."/>
    <x v="1"/>
    <n v="1"/>
  </r>
  <r>
    <s v="SYST-MOR-0006764"/>
    <s v="SYST-MOR-0006764.bam"/>
    <s v="MO_BOT_032_MG"/>
    <s v="MO"/>
    <s v="BOT"/>
    <x v="41"/>
    <s v="Quercus macrocarpa Michx."/>
    <x v="1"/>
    <n v="1"/>
  </r>
  <r>
    <s v="SYST-MOR-0006765"/>
    <s v="SYST-MOR-0006765.bam"/>
    <s v="MO_BOT_033_MG"/>
    <s v="MO"/>
    <s v="BOT"/>
    <x v="41"/>
    <s v="Quercus macrocarpa Michx."/>
    <x v="1"/>
    <n v="1"/>
  </r>
  <r>
    <s v="SYST-MOR-0006766"/>
    <s v="SYST-MOR-0006766.bam"/>
    <s v="MO_BOT_034_All"/>
    <s v="MO"/>
    <s v="BOT"/>
    <x v="41"/>
    <s v="Quercus lyrata Walt."/>
    <x v="0"/>
    <n v="1"/>
  </r>
  <r>
    <s v="SYST-MOR-0006767"/>
    <s v="SYST-MOR-0006767.bam"/>
    <s v="MO_BOT_035_All"/>
    <s v="MO"/>
    <s v="BOT"/>
    <x v="41"/>
    <s v="Quercus macrocarpa Michx."/>
    <x v="1"/>
    <n v="1"/>
  </r>
  <r>
    <s v="SYST-MOR-0006768"/>
    <s v="SYST-MOR-0006768.bam"/>
    <s v="MO_BOT_036_All"/>
    <s v="MO"/>
    <s v="BOT"/>
    <x v="41"/>
    <s v="Quercus lyrata Walt."/>
    <x v="0"/>
    <n v="1"/>
  </r>
  <r>
    <s v="SYST-MOR-0006769"/>
    <s v="SYST-MOR-0006769.bam"/>
    <s v="MO_BOT_037_All"/>
    <s v="MO"/>
    <s v="BOT"/>
    <x v="41"/>
    <s v="Quercus macrocarpa Michx."/>
    <x v="1"/>
    <n v="1"/>
  </r>
  <r>
    <s v="SYST-MOR-0006770"/>
    <s v="SYST-MOR-0006770.bam"/>
    <s v="MO_BOT_038_All"/>
    <s v="MO"/>
    <s v="BOT"/>
    <x v="41"/>
    <s v="Quercus macrocarpa Michx."/>
    <x v="1"/>
    <n v="1"/>
  </r>
  <r>
    <s v="SYST-MOR-0006771"/>
    <s v="SYST-MOR-0006771.bam"/>
    <s v="MO_BOT_039_All"/>
    <s v="MO"/>
    <s v="BOT"/>
    <x v="41"/>
    <s v="Quercus michauxii Nutt."/>
    <x v="6"/>
    <n v="1"/>
  </r>
  <r>
    <s v="SYST-MOR-0006772"/>
    <s v="SYST-MOR-0006772.bam"/>
    <s v="MO_BOT_040_All"/>
    <s v="MO"/>
    <s v="BOT"/>
    <x v="41"/>
    <s v="Quercus macrocarpa Michx."/>
    <x v="1"/>
    <n v="1"/>
  </r>
  <r>
    <s v="SYST-MOR-0006773"/>
    <s v="SYST-MOR-0006773.bam"/>
    <s v="MO_BOT_041_All"/>
    <s v="MO"/>
    <s v="BOT"/>
    <x v="41"/>
    <s v="Quercus michauxii Nutt."/>
    <x v="6"/>
    <n v="1"/>
  </r>
  <r>
    <s v="SYST-MOR-0006774"/>
    <s v="SYST-MOR-0006774.bam"/>
    <s v="MO_BOT_042_All"/>
    <s v="MO"/>
    <s v="BOT"/>
    <x v="41"/>
    <s v="Quercus michauxii Nutt."/>
    <x v="6"/>
    <n v="1"/>
  </r>
  <r>
    <s v="SYST-MOR-0006775"/>
    <s v="SYST-MOR-0006775.bam"/>
    <s v="MO_BOT_043_All"/>
    <s v="MO"/>
    <s v="BOT"/>
    <x v="41"/>
    <s v="Quercus macrocarpa Michx."/>
    <x v="1"/>
    <n v="1"/>
  </r>
  <r>
    <s v="SYST-MOR-0006776"/>
    <s v="SYST-MOR-0006776.bam"/>
    <s v="MO_BOT_044_All"/>
    <s v="MO"/>
    <s v="BOT"/>
    <x v="41"/>
    <s v="Quercus lyrata Walt."/>
    <x v="0"/>
    <n v="1"/>
  </r>
  <r>
    <s v="SYST-MOR-0006777"/>
    <s v="SYST-MOR-0006777.bam"/>
    <s v="MO_BOT_045_All"/>
    <s v="MO"/>
    <s v="BOT"/>
    <x v="41"/>
    <s v="Quercus macrocarpa Michx."/>
    <x v="1"/>
    <n v="1"/>
  </r>
  <r>
    <s v="SYST-MOR-0006803"/>
    <s v="SYST-MOR-0006803.bam"/>
    <s v="MO_CSW_071_MGLS"/>
    <s v="MO"/>
    <s v="CSW"/>
    <x v="42"/>
    <s v="Quercus macrocarpa Michx."/>
    <x v="1"/>
    <n v="1"/>
  </r>
  <r>
    <s v="SYST-MOR-0006804"/>
    <s v="SYST-MOR-0006804.bam"/>
    <s v="MO_CSW_072_MGLS"/>
    <s v="MO"/>
    <s v="CSW"/>
    <x v="42"/>
    <s v="Quercus macrocarpa Michx."/>
    <x v="1"/>
    <n v="1"/>
  </r>
  <r>
    <s v="SYST-MOR-0006805"/>
    <s v="SYST-MOR-0006805.bam"/>
    <s v="MO_CSW_073_MGLS"/>
    <s v="MO"/>
    <s v="CSW"/>
    <x v="42"/>
    <s v="Quercus macrocarpa Michx."/>
    <x v="1"/>
    <n v="1"/>
  </r>
  <r>
    <s v="SYST-MOR-0006821"/>
    <s v="SYST-MOR-0006821.bam"/>
    <s v="MO_HHT_089_MG"/>
    <s v="MO"/>
    <s v="HHT"/>
    <x v="43"/>
    <s v="Quercus macrocarpa Michx."/>
    <x v="1"/>
    <n v="1"/>
  </r>
  <r>
    <s v="SYST-MOR-0006822"/>
    <s v="SYST-MOR-0006822.bam"/>
    <s v="MO_HHT_090_MG"/>
    <s v="MO"/>
    <s v="HHT"/>
    <x v="43"/>
    <s v="Quercus alba L."/>
    <x v="3"/>
    <n v="1"/>
  </r>
  <r>
    <s v="SYST-MOR-0006823"/>
    <s v="SYST-MOR-0006823.bam"/>
    <s v="MO_HHT_091_MG"/>
    <s v="MO"/>
    <s v="HHT"/>
    <x v="43"/>
    <s v="Quercus stellata Wangenh."/>
    <x v="2"/>
    <n v="1"/>
  </r>
  <r>
    <s v="SYST-MOR-0006824"/>
    <s v="SYST-MOR-0006824.bam"/>
    <s v="MO_HHT_092_MG"/>
    <s v="MO"/>
    <s v="HHT"/>
    <x v="43"/>
    <s v="Quercus alba L."/>
    <x v="3"/>
    <n v="1"/>
  </r>
  <r>
    <s v="SYST-MOR-0006825"/>
    <s v="SYST-MOR-0006825.bam"/>
    <s v="MO_HHT_093_MG"/>
    <s v="MO"/>
    <s v="HHT"/>
    <x v="43"/>
    <s v="Quercus stellata Wangenh."/>
    <x v="2"/>
    <n v="1"/>
  </r>
  <r>
    <s v="SYST-MOR-0006826"/>
    <s v="SYST-MOR-0006826.bam"/>
    <s v="MO_HHT_094_MG"/>
    <s v="MO"/>
    <s v="HHT"/>
    <x v="43"/>
    <s v="Quercus stellata Wangenh."/>
    <x v="2"/>
    <n v="1"/>
  </r>
  <r>
    <s v="SYST-MOR-0006827"/>
    <s v="SYST-MOR-0006827.bam"/>
    <s v="MO_HHT_095_MG"/>
    <s v="MO"/>
    <s v="HHT"/>
    <x v="43"/>
    <s v="Quercus muehlenbergii Engelm."/>
    <x v="4"/>
    <n v="1"/>
  </r>
  <r>
    <s v="SYST-MOR-0006828"/>
    <s v="SYST-MOR-0006828.bam"/>
    <s v="MO_HHT_096_MG"/>
    <s v="MO"/>
    <s v="HHT"/>
    <x v="43"/>
    <s v="Quercus muehlenbergii Engelm."/>
    <x v="4"/>
    <n v="1"/>
  </r>
  <r>
    <s v="SYST-MOR-0006829"/>
    <s v="SYST-MOR-0006829.bam"/>
    <s v="MO_HHT_097_MG"/>
    <s v="MO"/>
    <s v="HHT"/>
    <x v="43"/>
    <s v="Quercus muehlenbergii Engelm."/>
    <x v="4"/>
    <n v="1"/>
  </r>
  <r>
    <s v="SYST-MOR-0006830"/>
    <s v="SYST-MOR-0006830.bam"/>
    <s v="MO_HHT_098_MG"/>
    <s v="MO"/>
    <s v="HHT"/>
    <x v="43"/>
    <s v="Quercus muehlenbergii Engelm."/>
    <x v="4"/>
    <n v="1"/>
  </r>
  <r>
    <s v="SYST-MOR-0006831"/>
    <s v="SYST-MOR-0006831.bam"/>
    <s v="MO_HHT_099_MG"/>
    <s v="MO"/>
    <s v="HHT"/>
    <x v="43"/>
    <s v="Quercus alba L."/>
    <x v="3"/>
    <n v="1"/>
  </r>
  <r>
    <s v="SYST-MOR-0006832"/>
    <s v="SYST-MOR-0006832.bam"/>
    <s v="MO_HHT_100_MG"/>
    <s v="MO"/>
    <s v="HHT"/>
    <x v="43"/>
    <s v="Quercus alba L."/>
    <x v="3"/>
    <n v="1"/>
  </r>
  <r>
    <s v="SYST-MOR-0006833"/>
    <s v="SYST-MOR-0006833.bam"/>
    <s v="MO_HHT_101_MG"/>
    <s v="MO"/>
    <s v="HHT"/>
    <x v="43"/>
    <s v="Quercus stellata Wangenh."/>
    <x v="2"/>
    <n v="1"/>
  </r>
  <r>
    <s v="SYST-MOR-0006834"/>
    <s v="SYST-MOR-0006834.bam"/>
    <s v="MO_PSP_MG922_MG"/>
    <s v="MO"/>
    <s v="PSP"/>
    <x v="44"/>
    <s v="Quercus prinoides Willd."/>
    <x v="10"/>
    <n v="1"/>
  </r>
  <r>
    <s v="SYST-MOR-0006835"/>
    <s v="SYST-MOR-0006835.bam"/>
    <s v="MO_PSP_MG923_MG"/>
    <s v="MO"/>
    <s v="PSP"/>
    <x v="44"/>
    <s v="Quercus prinoides Willd."/>
    <x v="10"/>
    <n v="1"/>
  </r>
  <r>
    <s v="SYST-MOR-0006836"/>
    <s v="SYST-MOR-0006836.bam"/>
    <s v="MO_PSP_MG924_MG"/>
    <s v="MO"/>
    <s v="PSP"/>
    <x v="44"/>
    <s v="Quercus stellata Wangenh."/>
    <x v="2"/>
    <n v="1"/>
  </r>
  <r>
    <s v="SYST-MOR-0006837"/>
    <s v="SYST-MOR-0006837.bam"/>
    <s v="MO_PSP_MG925_MG"/>
    <s v="MO"/>
    <s v="PSP"/>
    <x v="44"/>
    <s v="Quercus prinoides Willd."/>
    <x v="10"/>
    <n v="1"/>
  </r>
  <r>
    <s v="SYST-MOR-0006838"/>
    <s v="SYST-MOR-0006838.bam"/>
    <s v="MO_PSP_MG926_MG"/>
    <s v="MO"/>
    <s v="PSP"/>
    <x v="44"/>
    <s v="Quercus stellata Wangenh."/>
    <x v="2"/>
    <n v="1"/>
  </r>
  <r>
    <s v="SYST-MOR-0006839"/>
    <s v="SYST-MOR-0006839.bam"/>
    <s v="MO_PSP_MG927_MG"/>
    <s v="MO"/>
    <s v="PSP"/>
    <x v="44"/>
    <s v="Quercus prinoides Willd."/>
    <x v="10"/>
    <n v="1"/>
  </r>
  <r>
    <s v="SYST-MOR-0006720"/>
    <s v="SYST-MOR-0006720.bam"/>
    <s v="MO_SH_001_MG"/>
    <s v="MO"/>
    <s v="SH"/>
    <x v="45"/>
    <s v="Quercus stellata Wangenh."/>
    <x v="2"/>
    <n v="1"/>
  </r>
  <r>
    <s v="SYST-MOR-0006721"/>
    <s v="SYST-MOR-0006721.bam"/>
    <s v="MO_SH_002_All"/>
    <s v="MO"/>
    <s v="SH"/>
    <x v="45"/>
    <s v="Quercus macrocarpa Michx."/>
    <x v="1"/>
    <n v="1"/>
  </r>
  <r>
    <s v="SYST-MOR-0006722"/>
    <s v="SYST-MOR-0006722.bam"/>
    <s v="MO_SH_003_All"/>
    <s v="MO"/>
    <s v="SH"/>
    <x v="45"/>
    <s v="Quercus macrocarpa Michx."/>
    <x v="1"/>
    <n v="1"/>
  </r>
  <r>
    <s v="SYST-MOR-0006723"/>
    <s v="SYST-MOR-0006723.bam"/>
    <s v="MO_SH_004_All"/>
    <s v="MO"/>
    <s v="SH"/>
    <x v="45"/>
    <s v="Quercus macrocarpa Michx."/>
    <x v="1"/>
    <n v="1"/>
  </r>
  <r>
    <s v="SYST-MOR-0006724"/>
    <s v="SYST-MOR-0006724.bam"/>
    <s v="MO_SH_005_All"/>
    <s v="MO"/>
    <s v="SH"/>
    <x v="45"/>
    <s v="Quercus macrocarpa Michx."/>
    <x v="1"/>
    <n v="1"/>
  </r>
  <r>
    <s v="SYST-MOR-0006725"/>
    <s v="SYST-MOR-0006725.bam"/>
    <s v="MO_SH_006_All"/>
    <s v="MO"/>
    <s v="SH"/>
    <x v="45"/>
    <s v="Quercus macrocarpa Michx."/>
    <x v="1"/>
    <n v="1"/>
  </r>
  <r>
    <s v="SYST-MOR-0006726"/>
    <s v="SYST-MOR-0006726.bam"/>
    <s v="MO_SH_007_All"/>
    <s v="MO"/>
    <s v="SH"/>
    <x v="45"/>
    <s v="Quercus muehlenbergii Engelm."/>
    <x v="4"/>
    <n v="1"/>
  </r>
  <r>
    <s v="SYST-MOR-0006727"/>
    <s v="SYST-MOR-0006727.bam"/>
    <s v="MO_SH_008_All"/>
    <s v="MO"/>
    <s v="SH"/>
    <x v="45"/>
    <s v="Quercus muehlenbergii Engelm."/>
    <x v="4"/>
    <n v="1"/>
  </r>
  <r>
    <s v="SYST-MOR-0006728"/>
    <s v="SYST-MOR-0006728.bam"/>
    <s v="MO_SH_009_All"/>
    <s v="MO"/>
    <s v="SH"/>
    <x v="45"/>
    <s v="Quercus muehlenbergii Engelm."/>
    <x v="4"/>
    <n v="1"/>
  </r>
  <r>
    <s v="SYST-MOR-0006742"/>
    <s v="SYST-MOR-0006742.bam"/>
    <s v="MO_SH_010_All"/>
    <s v="MO"/>
    <s v="SH"/>
    <x v="45"/>
    <s v="Quercus stellata Wangenh."/>
    <x v="2"/>
    <n v="1"/>
  </r>
  <r>
    <s v="SYST-MOR-0006743"/>
    <s v="SYST-MOR-0006743.bam"/>
    <s v="MO_SH_011_All"/>
    <s v="MO"/>
    <s v="SH"/>
    <x v="45"/>
    <s v="Quercus alba L."/>
    <x v="3"/>
    <n v="1"/>
  </r>
  <r>
    <s v="SYST-MOR-0006744"/>
    <s v="SYST-MOR-0006744.bam"/>
    <s v="MO_SH_012_All"/>
    <s v="MO"/>
    <s v="SH"/>
    <x v="45"/>
    <s v="Quercus muehlenbergii Engelm."/>
    <x v="4"/>
    <n v="1"/>
  </r>
  <r>
    <s v="SYST-MOR-0006745"/>
    <s v="SYST-MOR-0006745.bam"/>
    <s v="MO_SH_013_All"/>
    <s v="MO"/>
    <s v="SH"/>
    <x v="45"/>
    <s v="Quercus muehlenbergii Engelm."/>
    <x v="4"/>
    <n v="1"/>
  </r>
  <r>
    <s v="SYST-MOR-0006746"/>
    <s v="SYST-MOR-0006746.bam"/>
    <s v="MO_SH_014_All"/>
    <s v="MO"/>
    <s v="SH"/>
    <x v="45"/>
    <s v="Quercus alba L."/>
    <x v="3"/>
    <n v="1"/>
  </r>
  <r>
    <s v="SYST-MOR-0006747"/>
    <s v="SYST-MOR-0006747.bam"/>
    <s v="MO_SH_015_All"/>
    <s v="MO"/>
    <s v="SH"/>
    <x v="45"/>
    <s v="Quercus stellata Wangenh."/>
    <x v="2"/>
    <n v="1"/>
  </r>
  <r>
    <s v="SYST-MOR-0006748"/>
    <s v="SYST-MOR-0006748.bam"/>
    <s v="MO_SH_016_All"/>
    <s v="MO"/>
    <s v="SH"/>
    <x v="45"/>
    <s v="Quercus stellata Wangenh."/>
    <x v="2"/>
    <n v="1"/>
  </r>
  <r>
    <s v="SYST-MOR-0006749"/>
    <s v="SYST-MOR-0006749.bam"/>
    <s v="MO_SH_017_All"/>
    <s v="MO"/>
    <s v="SH"/>
    <x v="45"/>
    <s v="Quercus stellata Wangenh."/>
    <x v="2"/>
    <n v="1"/>
  </r>
  <r>
    <s v="SYST-MOR-0006750"/>
    <s v="SYST-MOR-0006750.bam"/>
    <s v="MO_SH_018_All"/>
    <s v="MO"/>
    <s v="SH"/>
    <x v="45"/>
    <s v="Quercus alba L."/>
    <x v="3"/>
    <n v="1"/>
  </r>
  <r>
    <s v="SYST-MOR-0006751"/>
    <s v="SYST-MOR-0006751.bam"/>
    <s v="MO_SH_019_All"/>
    <s v="MO"/>
    <s v="SH"/>
    <x v="45"/>
    <s v="Quercus alba L."/>
    <x v="3"/>
    <n v="1"/>
  </r>
  <r>
    <s v="SYST-MOR-0006752"/>
    <s v="SYST-MOR-0006752.bam"/>
    <s v="MO_SH_020_All"/>
    <s v="MO"/>
    <s v="SH"/>
    <x v="45"/>
    <s v="Quercus alba L."/>
    <x v="3"/>
    <n v="1"/>
  </r>
  <r>
    <s v="SYST-MOR-0006806"/>
    <s v="SYST-MOR-0006806.bam"/>
    <s v="MO_TRC_074_MG"/>
    <s v="MO"/>
    <s v="TRC"/>
    <x v="46"/>
    <s v="Quercus stellata Wangenh."/>
    <x v="2"/>
    <n v="1"/>
  </r>
  <r>
    <s v="SYST-MOR-0006807"/>
    <s v="SYST-MOR-0006807.bam"/>
    <s v="MO_TRC_075_MG"/>
    <s v="MO"/>
    <s v="TRC"/>
    <x v="46"/>
    <s v="Quercus muehlenbergii Engelm."/>
    <x v="4"/>
    <n v="1"/>
  </r>
  <r>
    <s v="SYST-MOR-0006808"/>
    <s v="SYST-MOR-0006808.bam"/>
    <s v="MO_TRC_076_MG"/>
    <s v="MO"/>
    <s v="TRC"/>
    <x v="46"/>
    <s v="Quercus alba L."/>
    <x v="3"/>
    <n v="1"/>
  </r>
  <r>
    <s v="SYST-MOR-0006809"/>
    <s v="SYST-MOR-0006809.bam"/>
    <s v="MO_TRC_077_MG"/>
    <s v="MO"/>
    <s v="TRC"/>
    <x v="46"/>
    <s v="Quercus muehlenbergii Engelm."/>
    <x v="4"/>
    <n v="1"/>
  </r>
  <r>
    <s v="SYST-MOR-0006810"/>
    <s v="SYST-MOR-0006810.bam"/>
    <s v="MO_TRC_078_MG"/>
    <s v="MO"/>
    <s v="TRC"/>
    <x v="46"/>
    <s v="Quercus alba L."/>
    <x v="3"/>
    <n v="1"/>
  </r>
  <r>
    <s v="SYST-MOR-0006811"/>
    <s v="SYST-MOR-0006811.bam"/>
    <s v="MO_TRC_079_MG"/>
    <s v="MO"/>
    <s v="TRC"/>
    <x v="46"/>
    <s v="Quercus stellata Wangenh."/>
    <x v="2"/>
    <n v="1"/>
  </r>
  <r>
    <s v="SYST-MOR-0006812"/>
    <s v="SYST-MOR-0006812.bam"/>
    <s v="MO_TRC_080_MG"/>
    <s v="MO"/>
    <s v="TRC"/>
    <x v="46"/>
    <s v="Quercus muehlenbergii Engelm."/>
    <x v="4"/>
    <n v="1"/>
  </r>
  <r>
    <s v="SYST-MOR-0006813"/>
    <s v="SYST-MOR-0006813.bam"/>
    <s v="MO_TRC_081_MG"/>
    <s v="MO"/>
    <s v="TRC"/>
    <x v="46"/>
    <s v="Quercus muehlenbergii Engelm."/>
    <x v="4"/>
    <n v="1"/>
  </r>
  <r>
    <s v="SYST-MOR-0006814"/>
    <s v="SYST-MOR-0006814.bam"/>
    <s v="MO_TRC_082_MG"/>
    <s v="MO"/>
    <s v="TRC"/>
    <x v="46"/>
    <s v="Quercus stellata Wangenh."/>
    <x v="2"/>
    <n v="1"/>
  </r>
  <r>
    <s v="SYST-MOR-0006815"/>
    <s v="SYST-MOR-0006815.bam"/>
    <s v="MO_TRC_083_MG"/>
    <s v="MO"/>
    <s v="TRC"/>
    <x v="46"/>
    <s v="Quercus stellata Wangenh."/>
    <x v="2"/>
    <n v="1"/>
  </r>
  <r>
    <s v="SYST-MOR-0006816"/>
    <s v="SYST-MOR-0006816.bam"/>
    <s v="MO_TRC_084_MG"/>
    <s v="MO"/>
    <s v="TRC"/>
    <x v="46"/>
    <s v="Quercus muehlenbergii Engelm."/>
    <x v="4"/>
    <n v="1"/>
  </r>
  <r>
    <s v="SYST-MOR-0006817"/>
    <s v="SYST-MOR-0006817.bam"/>
    <s v="MO_TRC_085_MG"/>
    <s v="MO"/>
    <s v="TRC"/>
    <x v="46"/>
    <s v="Quercus alba L."/>
    <x v="3"/>
    <n v="1"/>
  </r>
  <r>
    <s v="SYST-MOR-0006818"/>
    <s v="SYST-MOR-0006818.bam"/>
    <s v="MO_TRC_086_MG"/>
    <s v="MO"/>
    <s v="TRC"/>
    <x v="46"/>
    <s v="Quercus stellata Wangenh."/>
    <x v="2"/>
    <n v="1"/>
  </r>
  <r>
    <s v="SYST-MOR-0006819"/>
    <s v="SYST-MOR-0006819.bam"/>
    <s v="MO_TRC_087_MG"/>
    <s v="MO"/>
    <s v="TRC"/>
    <x v="46"/>
    <s v="Quercus alba L."/>
    <x v="3"/>
    <n v="1"/>
  </r>
  <r>
    <s v="SYST-MOR-0006820"/>
    <s v="SYST-MOR-0006820.bam"/>
    <s v="MO_TRC_088_MG"/>
    <s v="MO"/>
    <s v="TRC"/>
    <x v="46"/>
    <s v="Quercus alba L."/>
    <x v="3"/>
    <n v="1"/>
  </r>
  <r>
    <s v="SYST-MOR-0007419"/>
    <s v="SYST-MOR-0007419.bam"/>
    <s v="MO-MG398"/>
    <s v="MO"/>
    <s v="BRA"/>
    <x v="47"/>
    <s v="Quercus macrocarpa Michx."/>
    <x v="1"/>
    <n v="1"/>
  </r>
  <r>
    <s v="SYST-MOR-0007420"/>
    <s v="SYST-MOR-0007420.bam"/>
    <s v="MO-MG400"/>
    <s v="MO"/>
    <s v="BRA"/>
    <x v="47"/>
    <s v="Quercus macrocarpa Michx."/>
    <x v="1"/>
    <n v="1"/>
  </r>
  <r>
    <s v="SYST-MOR-0007421"/>
    <s v="SYST-MOR-0007421.bam"/>
    <s v="MO-MG402"/>
    <s v="MO"/>
    <s v="BRA"/>
    <x v="47"/>
    <s v="Quercus macrocarpa Michx."/>
    <x v="1"/>
    <n v="1"/>
  </r>
  <r>
    <s v="SYST-MOR-0007422"/>
    <s v="SYST-MOR-0007422.bam"/>
    <s v="MO-MG403"/>
    <s v="MO"/>
    <s v="BRA"/>
    <x v="47"/>
    <s v="Quercus macrocarpa Michx."/>
    <x v="1"/>
    <n v="1"/>
  </r>
  <r>
    <s v="SYST-MOR-0007423"/>
    <s v="SYST-MOR-0007423.bam"/>
    <s v="MO-MG404"/>
    <s v="MO"/>
    <s v="BRA"/>
    <x v="47"/>
    <s v="Quercus macrocarpa Michx."/>
    <x v="1"/>
    <n v="1"/>
  </r>
  <r>
    <s v="SYST-MOR-0007424"/>
    <s v="SYST-MOR-0007424.bam"/>
    <s v="MO-MG405"/>
    <s v="MO"/>
    <s v="BRA"/>
    <x v="47"/>
    <s v="Quercus macrocarpa Michx."/>
    <x v="1"/>
    <n v="1"/>
  </r>
  <r>
    <s v="SYST-MOR-0007097"/>
    <s v="SYST-MOR-0007097.bam"/>
    <s v="NY_APB_376_MG"/>
    <s v="NY"/>
    <s v="APB"/>
    <x v="48"/>
    <s v="Quercus alba L."/>
    <x v="3"/>
    <n v="1"/>
  </r>
  <r>
    <s v="SYST-MOR-0007096"/>
    <s v="SYST-MOR-0007096.bam"/>
    <s v="NY_APB_377_MG"/>
    <s v="NY"/>
    <s v="APB"/>
    <x v="48"/>
    <s v="Quercus prinoides Willd."/>
    <x v="10"/>
    <n v="1"/>
  </r>
  <r>
    <s v="SYST-MOR-0007098"/>
    <s v="SYST-MOR-0007098.bam"/>
    <s v="NY_APB_378_MG"/>
    <s v="NY"/>
    <s v="APB"/>
    <x v="48"/>
    <s v="Quercus prinoides Willd."/>
    <x v="10"/>
    <n v="1"/>
  </r>
  <r>
    <s v="SYST-MOR-0007099"/>
    <s v="SYST-MOR-0007099.bam"/>
    <s v="NY_APB_379_MG"/>
    <s v="NY"/>
    <s v="APB"/>
    <x v="48"/>
    <s v="Quercus prinoides Willd."/>
    <x v="10"/>
    <n v="1"/>
  </r>
  <r>
    <s v="SYST-MOR-0007100"/>
    <s v="SYST-MOR-0007100.bam"/>
    <s v="NY_APB_380_MG"/>
    <s v="NY"/>
    <s v="APB"/>
    <x v="48"/>
    <s v="Quercus prinoides Willd."/>
    <x v="10"/>
    <n v="1"/>
  </r>
  <r>
    <s v="SYST-MOR-0007101"/>
    <s v="SYST-MOR-0007101.bam"/>
    <s v="NY_APB_381_MG"/>
    <s v="NY"/>
    <s v="APB"/>
    <x v="48"/>
    <s v="Quercus alba L."/>
    <x v="3"/>
    <n v="1"/>
  </r>
  <r>
    <s v="SYST-MOR-0007102"/>
    <s v="SYST-MOR-0007102.bam"/>
    <s v="NY_APB_382_MG"/>
    <s v="NY"/>
    <s v="APB"/>
    <x v="48"/>
    <s v="Quercus alba L."/>
    <x v="3"/>
    <n v="1"/>
  </r>
  <r>
    <s v="SYST-MOR-0007103"/>
    <s v="SYST-MOR-0007103.bam"/>
    <s v="NY_APB_383_MG"/>
    <s v="NY"/>
    <s v="APB"/>
    <x v="48"/>
    <s v="Quercus alba L."/>
    <x v="3"/>
    <n v="1"/>
  </r>
  <r>
    <s v="SYST-MOR-0007104"/>
    <s v="SYST-MOR-0007104.bam"/>
    <s v="NY_APB_384_MG"/>
    <s v="NY"/>
    <s v="APB"/>
    <x v="48"/>
    <s v="Quercus prinoides Willd."/>
    <x v="10"/>
    <n v="1"/>
  </r>
  <r>
    <s v="SYST-MOR-0007047"/>
    <s v="SYST-MOR-0007047.bam"/>
    <s v="NY_BIP_327_MG"/>
    <s v="NY"/>
    <s v="BIP"/>
    <x v="49"/>
    <s v="Quercus macrocarpa Michx."/>
    <x v="1"/>
    <n v="1"/>
  </r>
  <r>
    <s v="SYST-MOR-0007048"/>
    <s v="SYST-MOR-0007048.bam"/>
    <s v="NY_BIP_328_MG"/>
    <s v="NY"/>
    <s v="BIP"/>
    <x v="49"/>
    <s v="Quercus macrocarpa Michx."/>
    <x v="1"/>
    <n v="1"/>
  </r>
  <r>
    <s v="SYST-MOR-0007049"/>
    <s v="SYST-MOR-0007049.bam"/>
    <s v="NY_BIP_329_MG"/>
    <s v="NY"/>
    <s v="BIP"/>
    <x v="49"/>
    <s v="Quercus macrocarpa Michx."/>
    <x v="1"/>
    <n v="1"/>
  </r>
  <r>
    <s v="SYST-MOR-0007050"/>
    <s v="SYST-MOR-0007050.bam"/>
    <s v="NY_BIP_330_MG"/>
    <s v="NY"/>
    <s v="BIP"/>
    <x v="49"/>
    <s v="Quercus bicolor x Quercus macrocarpa"/>
    <x v="8"/>
    <n v="1"/>
  </r>
  <r>
    <s v="SYST-MOR-0007051"/>
    <s v="SYST-MOR-0007051.bam"/>
    <s v="NY_BIP_331_MG"/>
    <s v="NY"/>
    <s v="BIP"/>
    <x v="49"/>
    <s v="Quercus alba L."/>
    <x v="3"/>
    <n v="1"/>
  </r>
  <r>
    <s v="SYST-MOR-0007052"/>
    <s v="SYST-MOR-0007052.bam"/>
    <s v="NY_BIP_332_MG"/>
    <s v="NY"/>
    <s v="BIP"/>
    <x v="49"/>
    <s v="Quercus bicolor Willd."/>
    <x v="5"/>
    <n v="1"/>
  </r>
  <r>
    <s v="SYST-MOR-0007053"/>
    <s v="SYST-MOR-0007053.bam"/>
    <s v="NY_BIP_333_MG"/>
    <s v="NY"/>
    <s v="BIP"/>
    <x v="49"/>
    <s v="Quercus alba L."/>
    <x v="3"/>
    <n v="1"/>
  </r>
  <r>
    <s v="SYST-MOR-0007054"/>
    <s v="SYST-MOR-0007054.bam"/>
    <s v="NY_BIP_334_MG"/>
    <s v="NY"/>
    <s v="BIP"/>
    <x v="49"/>
    <s v="Quercus alba L."/>
    <x v="3"/>
    <n v="1"/>
  </r>
  <r>
    <s v="SYST-MOR-0007055"/>
    <s v="SYST-MOR-0007055.bam"/>
    <s v="NY_BIP_335_MG"/>
    <s v="NY"/>
    <s v="BIP"/>
    <x v="49"/>
    <s v="Quercus bicolor Willd."/>
    <x v="5"/>
    <n v="1"/>
  </r>
  <r>
    <s v="SYST-MOR-0007056"/>
    <s v="SYST-MOR-0007056.bam"/>
    <s v="NY_BIP_336_MG"/>
    <s v="NY"/>
    <s v="BIP"/>
    <x v="49"/>
    <s v="Quercus bicolor x Quercus macrocarpa"/>
    <x v="8"/>
    <n v="1"/>
  </r>
  <r>
    <s v="SYST-MOR-0007057"/>
    <s v="SYST-MOR-0007057.bam"/>
    <s v="NY_BIP_337_MG"/>
    <s v="NY"/>
    <s v="BIP"/>
    <x v="49"/>
    <s v="Quercus bicolor Willd."/>
    <x v="5"/>
    <n v="1"/>
  </r>
  <r>
    <s v="SYST-MOR-0007058"/>
    <s v="SYST-MOR-0007058.bam"/>
    <s v="NY_BIP_338_MG"/>
    <s v="NY"/>
    <s v="BIP"/>
    <x v="49"/>
    <s v="Quercus alba x Quercus macrocarpa"/>
    <x v="13"/>
    <n v="1"/>
  </r>
  <r>
    <s v="SYST-MOR-0007059"/>
    <s v="SYST-MOR-0007059.bam"/>
    <s v="NY_BIP_339_MG"/>
    <s v="NY"/>
    <s v="BIP"/>
    <x v="49"/>
    <s v="Quercus bicolor Willd."/>
    <x v="5"/>
    <n v="1"/>
  </r>
  <r>
    <s v="SYST-MOR-0007060"/>
    <s v="SYST-MOR-0007060.bam"/>
    <s v="NY_BIP_340_MG"/>
    <s v="NY"/>
    <s v="BIP"/>
    <x v="49"/>
    <s v="Quercus bicolor Willd."/>
    <x v="5"/>
    <n v="1"/>
  </r>
  <r>
    <s v="SYST-MOR-0007090"/>
    <s v="SYST-MOR-0007090.bam"/>
    <s v="NY_BKF_370_MG"/>
    <s v="NY"/>
    <s v="BKF"/>
    <x v="50"/>
    <s v="Quercus montana Willd."/>
    <x v="14"/>
    <n v="1"/>
  </r>
  <r>
    <s v="SYST-MOR-0007091"/>
    <s v="SYST-MOR-0007091.bam"/>
    <s v="NY_BKF_371_MG"/>
    <s v="NY"/>
    <s v="BKF"/>
    <x v="50"/>
    <s v="Quercus alba L."/>
    <x v="3"/>
    <n v="1"/>
  </r>
  <r>
    <s v="SYST-MOR-0007092"/>
    <s v="SYST-MOR-0007092.bam"/>
    <s v="NY_BKF_372_MG"/>
    <s v="NY"/>
    <s v="BKF"/>
    <x v="50"/>
    <s v="Quercus montana Willd."/>
    <x v="14"/>
    <n v="1"/>
  </r>
  <r>
    <s v="SYST-MOR-0007093"/>
    <s v="SYST-MOR-0007093.bam"/>
    <s v="NY_BKF_373_MG"/>
    <s v="NY"/>
    <s v="BKF"/>
    <x v="50"/>
    <s v="Quercus montana Willd."/>
    <x v="14"/>
    <n v="1"/>
  </r>
  <r>
    <s v="SYST-MOR-0007094"/>
    <s v="SYST-MOR-0007094.bam"/>
    <s v="NY_BKF_374_MG"/>
    <s v="NY"/>
    <s v="BKF"/>
    <x v="50"/>
    <s v="Quercus montana Willd."/>
    <x v="14"/>
    <n v="1"/>
  </r>
  <r>
    <s v="SYST-MOR-0007095"/>
    <s v="SYST-MOR-0007095.bam"/>
    <s v="NY_BKF_375_MG"/>
    <s v="NY"/>
    <s v="BKF"/>
    <x v="50"/>
    <s v="Quercus montana Willd."/>
    <x v="14"/>
    <n v="1"/>
  </r>
  <r>
    <s v="SYST-MOR-0007105"/>
    <s v="SYST-MOR-0007105.bam"/>
    <s v="NY_BKF_385_MG"/>
    <s v="NY"/>
    <s v="BKF"/>
    <x v="50"/>
    <s v="Quercus alba L."/>
    <x v="3"/>
    <n v="1"/>
  </r>
  <r>
    <s v="SYST-MOR-0007071"/>
    <s v="SYST-MOR-0007071.bam"/>
    <s v="NY_CMB_351_MG"/>
    <s v="NY"/>
    <s v="CMB"/>
    <x v="51"/>
    <s v="Quercus macrocarpa Michx."/>
    <x v="1"/>
    <n v="1"/>
  </r>
  <r>
    <s v="SYST-MOR-0007072"/>
    <s v="SYST-MOR-0007072.bam"/>
    <s v="NY_CMB_352_MG"/>
    <s v="NY"/>
    <s v="CMB"/>
    <x v="51"/>
    <s v="Quercus macrocarpa Michx."/>
    <x v="1"/>
    <n v="1"/>
  </r>
  <r>
    <s v="SYST-MOR-0007073"/>
    <s v="SYST-MOR-0007073.bam"/>
    <s v="NY_CMB_353_MG"/>
    <s v="NY"/>
    <s v="CMB"/>
    <x v="51"/>
    <s v="Quercus macrocarpa Michx."/>
    <x v="1"/>
    <n v="1"/>
  </r>
  <r>
    <s v="SYST-MOR-0007074"/>
    <s v="SYST-MOR-0007074.bam"/>
    <s v="NY_CMB_354_MG"/>
    <s v="NY"/>
    <s v="CMB"/>
    <x v="51"/>
    <s v="Quercus macrocarpa Michx."/>
    <x v="1"/>
    <n v="1"/>
  </r>
  <r>
    <s v="SYST-MOR-0007075"/>
    <s v="SYST-MOR-0007075.bam"/>
    <s v="NY_CMB_355_MG"/>
    <s v="NY"/>
    <s v="CMB"/>
    <x v="51"/>
    <s v="Quercus alba L."/>
    <x v="3"/>
    <n v="1"/>
  </r>
  <r>
    <s v="SYST-MOR-0007076"/>
    <s v="SYST-MOR-0007076.bam"/>
    <s v="NY_CMB_356_MG"/>
    <s v="NY"/>
    <s v="CMB"/>
    <x v="51"/>
    <s v="Quercus macrocarpa Michx."/>
    <x v="1"/>
    <n v="1"/>
  </r>
  <r>
    <s v="SYST-MOR-0007077"/>
    <s v="SYST-MOR-0007077.bam"/>
    <s v="NY_CMB_357_MG"/>
    <s v="NY"/>
    <s v="CMB"/>
    <x v="51"/>
    <s v="Quercus alba x Quercus macrocarpa"/>
    <x v="13"/>
    <n v="1"/>
  </r>
  <r>
    <s v="SYST-MOR-0007078"/>
    <s v="SYST-MOR-0007078.bam"/>
    <s v="NY_CMB_358_MG"/>
    <s v="NY"/>
    <s v="CMB"/>
    <x v="51"/>
    <s v="Quercus alba L."/>
    <x v="3"/>
    <n v="1"/>
  </r>
  <r>
    <s v="SYST-MOR-0007079"/>
    <s v="SYST-MOR-0007079.bam"/>
    <s v="NY_CMB_359_MG"/>
    <s v="NY"/>
    <s v="CMB"/>
    <x v="51"/>
    <s v="Quercus alba L."/>
    <x v="3"/>
    <n v="1"/>
  </r>
  <r>
    <s v="SYST-MOR-0007080"/>
    <s v="SYST-MOR-0007080.bam"/>
    <s v="NY_CMB_360_MG"/>
    <s v="NY"/>
    <s v="CMB"/>
    <x v="51"/>
    <s v="Quercus alba L."/>
    <x v="3"/>
    <n v="1"/>
  </r>
  <r>
    <s v="SYST-MOR-0007061"/>
    <s v="SYST-MOR-0007061.bam"/>
    <s v="NY_SSP_341_MG"/>
    <s v="NY"/>
    <s v="SSP"/>
    <x v="52"/>
    <s v="Quercus alba L."/>
    <x v="3"/>
    <n v="1"/>
  </r>
  <r>
    <s v="SYST-MOR-0007062"/>
    <s v="SYST-MOR-0007062.bam"/>
    <s v="NY_SSP_342_MG"/>
    <s v="NY"/>
    <s v="SSP"/>
    <x v="52"/>
    <s v="Quercus alba L."/>
    <x v="3"/>
    <n v="1"/>
  </r>
  <r>
    <s v="SYST-MOR-0007063"/>
    <s v="SYST-MOR-0007063.bam"/>
    <s v="NY_SSP_343_MG"/>
    <s v="NY"/>
    <s v="SSP"/>
    <x v="52"/>
    <s v="Quercus alba L."/>
    <x v="3"/>
    <n v="1"/>
  </r>
  <r>
    <s v="SYST-MOR-0007064"/>
    <s v="SYST-MOR-0007064.bam"/>
    <s v="NY_SSP_344_MG"/>
    <s v="NY"/>
    <s v="SSP"/>
    <x v="52"/>
    <s v="Quercus alba L."/>
    <x v="3"/>
    <n v="1"/>
  </r>
  <r>
    <s v="SYST-MOR-0007065"/>
    <s v="SYST-MOR-0007065.bam"/>
    <s v="NY_SSP_345_MG"/>
    <s v="NY"/>
    <s v="SSP"/>
    <x v="52"/>
    <s v="Quercus alba L."/>
    <x v="3"/>
    <n v="1"/>
  </r>
  <r>
    <s v="SYST-MOR-0007066"/>
    <s v="SYST-MOR-0007066.bam"/>
    <s v="NY_SSP_346_MG"/>
    <s v="NY"/>
    <s v="SSP"/>
    <x v="52"/>
    <s v="Quercus macrocarpa Michx."/>
    <x v="1"/>
    <n v="1"/>
  </r>
  <r>
    <s v="SYST-MOR-0007067"/>
    <s v="SYST-MOR-0007067.bam"/>
    <s v="NY_SSP_347_MG"/>
    <s v="NY"/>
    <s v="SSP"/>
    <x v="52"/>
    <s v="Quercus macrocarpa Michx."/>
    <x v="1"/>
    <n v="1"/>
  </r>
  <r>
    <s v="SYST-MOR-0007068"/>
    <s v="SYST-MOR-0007068.bam"/>
    <s v="NY_SSP_348_MG"/>
    <s v="NY"/>
    <s v="SSP"/>
    <x v="52"/>
    <s v="Quercus macrocarpa Michx."/>
    <x v="1"/>
    <n v="1"/>
  </r>
  <r>
    <s v="SYST-MOR-0007069"/>
    <s v="SYST-MOR-0007069.bam"/>
    <s v="NY_SSP_349_MG"/>
    <s v="NY"/>
    <s v="SSP"/>
    <x v="52"/>
    <s v="Quercus macrocarpa Michx."/>
    <x v="1"/>
    <n v="1"/>
  </r>
  <r>
    <s v="SYST-MOR-0007070"/>
    <s v="SYST-MOR-0007070.bam"/>
    <s v="NY_SSP_350_MG"/>
    <s v="NY"/>
    <s v="SSP"/>
    <x v="52"/>
    <s v="Quercus macrocarpa Michx."/>
    <x v="1"/>
    <n v="1"/>
  </r>
  <r>
    <s v="SYST-MOR-0006970"/>
    <s v="SYST-MOR-0006970.bam"/>
    <s v="OH_GLW_250_MG"/>
    <s v="OH"/>
    <s v="GLW"/>
    <x v="53"/>
    <s v="Quercus bicolor Willd."/>
    <x v="5"/>
    <n v="1"/>
  </r>
  <r>
    <s v="SYST-MOR-0006971"/>
    <s v="SYST-MOR-0006971.bam"/>
    <s v="OH_GLW_251_MG"/>
    <s v="OH"/>
    <s v="GLW"/>
    <x v="53"/>
    <s v="Quercus bicolor Willd."/>
    <x v="5"/>
    <n v="1"/>
  </r>
  <r>
    <s v="SYST-MOR-0006972"/>
    <s v="SYST-MOR-0006972.bam"/>
    <s v="OH_GLW_252_MG"/>
    <s v="OH"/>
    <s v="GLW"/>
    <x v="53"/>
    <s v="Quercus muehlenbergii Engelm."/>
    <x v="4"/>
    <n v="1"/>
  </r>
  <r>
    <s v="SYST-MOR-0006973"/>
    <s v="SYST-MOR-0006973.bam"/>
    <s v="OH_GLW_253_MG"/>
    <s v="OH"/>
    <s v="GLW"/>
    <x v="53"/>
    <s v="Quercus macrocarpa Michx."/>
    <x v="1"/>
    <n v="1"/>
  </r>
  <r>
    <s v="SYST-MOR-0006974"/>
    <s v="SYST-MOR-0006974.bam"/>
    <s v="OH_GLW_254_MG"/>
    <s v="OH"/>
    <s v="GLW"/>
    <x v="53"/>
    <s v="Quercus muehlenbergii Engelm."/>
    <x v="4"/>
    <n v="1"/>
  </r>
  <r>
    <s v="SYST-MOR-0006975"/>
    <s v="SYST-MOR-0006975.bam"/>
    <s v="OH_GLW_255_MG"/>
    <s v="OH"/>
    <s v="GLW"/>
    <x v="53"/>
    <s v="Quercus macrocarpa Michx."/>
    <x v="1"/>
    <n v="1"/>
  </r>
  <r>
    <s v="SYST-MOR-0006976"/>
    <s v="SYST-MOR-0006976.bam"/>
    <s v="OH_GLW_256_MG"/>
    <s v="OH"/>
    <s v="GLW"/>
    <x v="53"/>
    <s v="Quercus alba L."/>
    <x v="3"/>
    <n v="1"/>
  </r>
  <r>
    <s v="SYST-MOR-0006977"/>
    <s v="SYST-MOR-0006977.bam"/>
    <s v="OH_GLW_257_MG"/>
    <s v="OH"/>
    <s v="GLW"/>
    <x v="53"/>
    <s v="Quercus macrocarpa Michx."/>
    <x v="1"/>
    <n v="1"/>
  </r>
  <r>
    <s v="SYST-MOR-0006978"/>
    <s v="SYST-MOR-0006978.bam"/>
    <s v="OH_GLW_258_MG"/>
    <s v="OH"/>
    <s v="GLW"/>
    <x v="53"/>
    <s v="Quercus alba L."/>
    <x v="3"/>
    <n v="1"/>
  </r>
  <r>
    <s v="SYST-MOR-0006979"/>
    <s v="SYST-MOR-0006979.bam"/>
    <s v="OH_GLW_259_MG"/>
    <s v="OH"/>
    <s v="GLW"/>
    <x v="53"/>
    <s v="Quercus macrocarpa Michx."/>
    <x v="1"/>
    <n v="1"/>
  </r>
  <r>
    <s v="SYST-MOR-0006980"/>
    <s v="SYST-MOR-0006980.bam"/>
    <s v="OH_GLW_260_MG"/>
    <s v="OH"/>
    <s v="GLW"/>
    <x v="53"/>
    <s v="Quercus macrocarpa Michx."/>
    <x v="1"/>
    <n v="1"/>
  </r>
  <r>
    <s v="SYST-MOR-0006981"/>
    <s v="SYST-MOR-0006981.bam"/>
    <s v="OH_GLW_261_MG"/>
    <s v="OH"/>
    <s v="GLW"/>
    <x v="53"/>
    <s v="Quercus muehlenbergii Engelm."/>
    <x v="4"/>
    <n v="1"/>
  </r>
  <r>
    <s v="SYST-MOR-0006982"/>
    <s v="SYST-MOR-0006982.bam"/>
    <s v="OH_GLW_262_MG"/>
    <s v="OH"/>
    <s v="GLW"/>
    <x v="53"/>
    <s v="Quercus alba L."/>
    <x v="3"/>
    <n v="1"/>
  </r>
  <r>
    <s v="SYST-MOR-0006983"/>
    <s v="SYST-MOR-0006983.bam"/>
    <s v="OH_GLW_263_MG"/>
    <s v="OH"/>
    <s v="GLW"/>
    <x v="53"/>
    <s v="Quercus muehlenbergii Engelm."/>
    <x v="4"/>
    <n v="1"/>
  </r>
  <r>
    <s v="SYST-MOR-0006984"/>
    <s v="SYST-MOR-0006984.bam"/>
    <s v="OH_GLW_264_MG"/>
    <s v="OH"/>
    <s v="GLW"/>
    <x v="53"/>
    <s v="Quercus alba L."/>
    <x v="3"/>
    <n v="1"/>
  </r>
  <r>
    <s v="SYST-MOR-0007234"/>
    <s v="SYST-MOR-0007234.bam"/>
    <s v="OH_STR_514_MG"/>
    <s v="OH"/>
    <s v="STR"/>
    <x v="54"/>
    <s v="Quercus muehlenbergii Engelm."/>
    <x v="4"/>
    <n v="1"/>
  </r>
  <r>
    <s v="SYST-MOR-0007235"/>
    <s v="SYST-MOR-0007235.bam"/>
    <s v="OH_STR_515_MG"/>
    <s v="OH"/>
    <s v="STR"/>
    <x v="54"/>
    <s v="Quercus muehlenbergii Engelm."/>
    <x v="4"/>
    <n v="1"/>
  </r>
  <r>
    <s v="SYST-MOR-0007236"/>
    <s v="SYST-MOR-0007236.bam"/>
    <s v="OH_STR_516_MG"/>
    <s v="OH"/>
    <s v="STR"/>
    <x v="54"/>
    <s v="Quercus alba L."/>
    <x v="3"/>
    <n v="1"/>
  </r>
  <r>
    <s v="SYST-MOR-0007237"/>
    <s v="SYST-MOR-0007237.bam"/>
    <s v="OH_STR_517_MG"/>
    <s v="OH"/>
    <s v="STR"/>
    <x v="54"/>
    <s v="Quercus alba L."/>
    <x v="3"/>
    <n v="1"/>
  </r>
  <r>
    <s v="SYST-MOR-0007238"/>
    <s v="SYST-MOR-0007238.bam"/>
    <s v="OH_STR_518_MG"/>
    <s v="OH"/>
    <s v="STR"/>
    <x v="54"/>
    <s v="Quercus montana Willd."/>
    <x v="14"/>
    <n v="1"/>
  </r>
  <r>
    <s v="SYST-MOR-0007239"/>
    <s v="SYST-MOR-0007239.bam"/>
    <s v="OH_STR_519_MG"/>
    <s v="OH"/>
    <s v="STR"/>
    <x v="54"/>
    <s v="Quercus montana Willd."/>
    <x v="14"/>
    <n v="1"/>
  </r>
  <r>
    <s v="SYST-MOR-0007240"/>
    <s v="SYST-MOR-0007240.bam"/>
    <s v="OH_STR_520_MG"/>
    <s v="OH"/>
    <s v="STR"/>
    <x v="54"/>
    <s v="Quercus montana Willd."/>
    <x v="14"/>
    <n v="1"/>
  </r>
  <r>
    <s v="SYST-MOR-0007466"/>
    <s v="SYST-MOR-0007466.bam"/>
    <s v="OH-MG797"/>
    <s v="OH"/>
    <s v="PKS"/>
    <x v="55"/>
    <s v="Quercus macrocarpa Michx."/>
    <x v="1"/>
    <n v="1"/>
  </r>
  <r>
    <s v="SYST-MOR-0007467"/>
    <s v="SYST-MOR-0007467.bam"/>
    <s v="OH-MG798"/>
    <s v="OH"/>
    <s v="PKS"/>
    <x v="55"/>
    <s v="Quercus macrocarpa Michx."/>
    <x v="1"/>
    <n v="1"/>
  </r>
  <r>
    <s v="SYST-MOR-0007468"/>
    <s v="SYST-MOR-0007468.bam"/>
    <s v="OH-MG799"/>
    <s v="OH"/>
    <s v="PKS"/>
    <x v="55"/>
    <s v="Quercus macrocarpa Michx."/>
    <x v="1"/>
    <n v="1"/>
  </r>
  <r>
    <s v="SYST-MOR-0007469"/>
    <s v="SYST-MOR-0007469.bam"/>
    <s v="OH-MG800"/>
    <s v="OH"/>
    <s v="PKS"/>
    <x v="55"/>
    <s v="Quercus macrocarpa Michx."/>
    <x v="1"/>
    <n v="1"/>
  </r>
  <r>
    <s v="SYST-MOR-0007470"/>
    <s v="SYST-MOR-0007470.bam"/>
    <s v="OH-MG801"/>
    <s v="OH"/>
    <s v="PKS"/>
    <x v="55"/>
    <s v="Quercus macrocarpa Michx."/>
    <x v="1"/>
    <n v="1"/>
  </r>
  <r>
    <s v="SYST-MOR-0007471"/>
    <s v="SYST-MOR-0007471.bam"/>
    <s v="OH-MG802"/>
    <s v="OH"/>
    <s v="PKS"/>
    <x v="55"/>
    <s v="Quercus stellata Wangenh."/>
    <x v="2"/>
    <n v="1"/>
  </r>
  <r>
    <s v="SYST-MOR-0007472"/>
    <s v="SYST-MOR-0007472.bam"/>
    <s v="OH-MG803"/>
    <s v="OH"/>
    <s v="PKS"/>
    <x v="55"/>
    <s v="Quercus macrocarpa Michx."/>
    <x v="1"/>
    <n v="1"/>
  </r>
  <r>
    <s v="SYST-MOR-0007473"/>
    <s v="SYST-MOR-0007473.bam"/>
    <s v="OH-MG804"/>
    <s v="OH"/>
    <s v="PKS"/>
    <x v="55"/>
    <s v="Quercus macrocarpa Michx."/>
    <x v="1"/>
    <n v="1"/>
  </r>
  <r>
    <s v="SYST-MOR-0007474"/>
    <s v="SYST-MOR-0007474.bam"/>
    <s v="OH-MG805"/>
    <s v="OH"/>
    <s v="PKS"/>
    <x v="55"/>
    <s v="Quercus macrocarpa Michx."/>
    <x v="1"/>
    <n v="1"/>
  </r>
  <r>
    <s v="SYST-MOR-0007475"/>
    <s v="SYST-MOR-0007475.bam"/>
    <s v="OH-MG806"/>
    <s v="OH"/>
    <s v="PKS"/>
    <x v="55"/>
    <s v="Quercus macrocarpa Michx."/>
    <x v="1"/>
    <n v="1"/>
  </r>
  <r>
    <s v="SYST-MOR-0007476"/>
    <s v="SYST-MOR-0007476.bam"/>
    <s v="OH-MG807"/>
    <s v="OH"/>
    <s v="DPS"/>
    <x v="56"/>
    <s v="Quercus macrocarpa Michx."/>
    <x v="1"/>
    <n v="1"/>
  </r>
  <r>
    <s v="SYST-MOR-0007477"/>
    <s v="SYST-MOR-0007477.bam"/>
    <s v="OH-MG808"/>
    <s v="OH"/>
    <s v="DPS"/>
    <x v="56"/>
    <s v="Quercus macrocarpa Michx."/>
    <x v="1"/>
    <n v="1"/>
  </r>
  <r>
    <s v="SYST-MOR-0007478"/>
    <s v="SYST-MOR-0007478.bam"/>
    <s v="OH-MG809"/>
    <s v="OH"/>
    <s v="DPS"/>
    <x v="56"/>
    <s v="Quercus macrocarpa Michx."/>
    <x v="1"/>
    <n v="1"/>
  </r>
  <r>
    <s v="SYST-MOR-0007479"/>
    <s v="SYST-MOR-0007479.bam"/>
    <s v="OH-MG810"/>
    <s v="OH"/>
    <s v="DPS"/>
    <x v="56"/>
    <s v="Quercus macrocarpa Michx."/>
    <x v="1"/>
    <n v="1"/>
  </r>
  <r>
    <s v="SYST-MOR-0007480"/>
    <s v="SYST-MOR-0007480.bam"/>
    <s v="OH-MG811"/>
    <s v="OH"/>
    <s v="DPS"/>
    <x v="56"/>
    <s v="Quercus macrocarpa Michx."/>
    <x v="1"/>
    <n v="1"/>
  </r>
  <r>
    <s v="SYST-MOR-0007481"/>
    <s v="SYST-MOR-0007481.bam"/>
    <s v="OH-MG812"/>
    <s v="OH"/>
    <s v="DPS"/>
    <x v="56"/>
    <s v="Quercus macrocarpa Michx."/>
    <x v="1"/>
    <n v="1"/>
  </r>
  <r>
    <s v="SYST-MOR-0007482"/>
    <s v="SYST-MOR-0007482.bam"/>
    <s v="OH-MG813"/>
    <s v="OH"/>
    <s v="DPS"/>
    <x v="56"/>
    <s v="Quercus macrocarpa Michx."/>
    <x v="1"/>
    <n v="1"/>
  </r>
  <r>
    <s v="SYST-MOR-0007483"/>
    <s v="SYST-MOR-0007483.bam"/>
    <s v="OH-MG814"/>
    <s v="OH"/>
    <s v="DPS"/>
    <x v="56"/>
    <s v="Quercus macrocarpa Michx."/>
    <x v="1"/>
    <n v="1"/>
  </r>
  <r>
    <s v="SYST-MOR-0007484"/>
    <s v="SYST-MOR-0007484.bam"/>
    <s v="OH-MG815"/>
    <s v="OH"/>
    <s v="DPS"/>
    <x v="56"/>
    <s v="Quercus macrocarpa Michx."/>
    <x v="1"/>
    <n v="1"/>
  </r>
  <r>
    <s v="SYST-MOR-0007485"/>
    <s v="SYST-MOR-0007485.bam"/>
    <s v="OH-MG816"/>
    <s v="OH"/>
    <s v="DPS"/>
    <x v="56"/>
    <s v="Quercus macrocarpa Michx."/>
    <x v="1"/>
    <n v="1"/>
  </r>
  <r>
    <s v="SYST-MOR-0006842"/>
    <s v="SYST-MOR-0006842.bam"/>
    <s v="MG_928"/>
    <s v="OK"/>
    <s v="RRC"/>
    <x v="57"/>
    <s v="Quercus margaretiae Ashe ex Small"/>
    <x v="15"/>
    <n v="1"/>
  </r>
  <r>
    <s v="SYST-MOR-0006840"/>
    <s v="SYST-MOR-0006840.bam"/>
    <s v="OK_RRC_106_MG"/>
    <s v="OK"/>
    <s v="RRC"/>
    <x v="57"/>
    <s v="Quercus muehlenbergii Engelm."/>
    <x v="4"/>
    <n v="1"/>
  </r>
  <r>
    <s v="SYST-MOR-0006841"/>
    <s v="SYST-MOR-0006841.bam"/>
    <s v="OK_RRC_107_MG"/>
    <s v="OK"/>
    <s v="RRC"/>
    <x v="57"/>
    <s v="Quercus margaretiae Ashe ex Small"/>
    <x v="15"/>
    <n v="1"/>
  </r>
  <r>
    <s v="SYST-MOR-0006843"/>
    <s v="SYST-MOR-0006843.bam"/>
    <s v="OK_RRC_108_MG"/>
    <s v="OK"/>
    <s v="RRC"/>
    <x v="57"/>
    <s v="Quercus muehlenbergii Engelm."/>
    <x v="4"/>
    <n v="1"/>
  </r>
  <r>
    <s v="SYST-MOR-0006844"/>
    <s v="SYST-MOR-0006844.bam"/>
    <s v="OK_RRC_109_MG"/>
    <s v="OK"/>
    <s v="RRC"/>
    <x v="57"/>
    <s v="Quercus macrocarpa Michx."/>
    <x v="1"/>
    <n v="1"/>
  </r>
  <r>
    <s v="SYST-MOR-0006845"/>
    <s v="SYST-MOR-0006845.bam"/>
    <s v="OK_RRC_110_MG"/>
    <s v="OK"/>
    <s v="RRC"/>
    <x v="57"/>
    <s v="Quercus margaretiae Ashe ex Small"/>
    <x v="15"/>
    <n v="1"/>
  </r>
  <r>
    <s v="SYST-MOR-0006846"/>
    <s v="SYST-MOR-0006846.bam"/>
    <s v="OK_RRC_111_MG"/>
    <s v="OK"/>
    <s v="RRC"/>
    <x v="57"/>
    <s v="Quercus margaretiae Ashe ex Small"/>
    <x v="15"/>
    <n v="1"/>
  </r>
  <r>
    <s v="SYST-MOR-0006847"/>
    <s v="SYST-MOR-0006847.bam"/>
    <s v="OK_RRC_112_MG"/>
    <s v="OK"/>
    <s v="RRC"/>
    <x v="57"/>
    <s v="Quercus margaretiae Ashe ex Small"/>
    <x v="15"/>
    <n v="1"/>
  </r>
  <r>
    <s v="SYST-MOR-0006848"/>
    <s v="SYST-MOR-0006848.bam"/>
    <s v="OK_RRC_113_MG"/>
    <s v="OK"/>
    <s v="RRC"/>
    <x v="57"/>
    <s v="Quercus margaretiae Ashe ex Small"/>
    <x v="15"/>
    <n v="1"/>
  </r>
  <r>
    <s v="SYST-MOR-0006849"/>
    <s v="SYST-MOR-0006849.bam"/>
    <s v="OK_RRC_114_MG"/>
    <s v="OK"/>
    <s v="RRC"/>
    <x v="57"/>
    <s v="Quercus muehlenbergii Engelm."/>
    <x v="4"/>
    <n v="1"/>
  </r>
  <r>
    <s v="SYST-MOR-0006850"/>
    <s v="SYST-MOR-0006850.bam"/>
    <s v="OK_RRC_115_MG"/>
    <s v="OK"/>
    <s v="RRC"/>
    <x v="57"/>
    <s v="Quercus muehlenbergii Engelm."/>
    <x v="4"/>
    <n v="1"/>
  </r>
  <r>
    <s v="SYST-MOR-0006851"/>
    <s v="SYST-MOR-0006851.bam"/>
    <s v="OK_RRC_116_MG"/>
    <s v="OK"/>
    <s v="RRC"/>
    <x v="57"/>
    <s v="Quercus muehlenbergii Engelm."/>
    <x v="4"/>
    <n v="1"/>
  </r>
  <r>
    <s v="SYST-MOR-0006852"/>
    <s v="SYST-MOR-0006852.bam"/>
    <s v="OK_RRC_117_MG"/>
    <s v="OK"/>
    <s v="RRC"/>
    <x v="57"/>
    <s v="Quercus macrocarpa Michx."/>
    <x v="1"/>
    <n v="1"/>
  </r>
  <r>
    <s v="SYST-MOR-0006853"/>
    <s v="SYST-MOR-0006853.bam"/>
    <s v="OK_RRC_118_MG"/>
    <s v="OK"/>
    <s v="RRC"/>
    <x v="57"/>
    <s v="Quercus macrocarpa Michx."/>
    <x v="1"/>
    <n v="1"/>
  </r>
  <r>
    <s v="SYST-MOR-0006854"/>
    <s v="SYST-MOR-0006854.bam"/>
    <s v="OK_RRC_119_MG"/>
    <s v="OK"/>
    <s v="RRC"/>
    <x v="57"/>
    <s v="Quercus macrocarpa Michx."/>
    <x v="1"/>
    <n v="1"/>
  </r>
  <r>
    <s v="SYST-MOR-0006855"/>
    <s v="SYST-MOR-0006855.bam"/>
    <s v="OK_RRC_120_MG"/>
    <s v="OK"/>
    <s v="RRC"/>
    <x v="57"/>
    <s v="Quercus macrocarpa x Quercus muehlenbergii"/>
    <x v="16"/>
    <n v="1"/>
  </r>
  <r>
    <s v="SYST-MOR-0006856"/>
    <s v="SYST-MOR-0006856.bam"/>
    <s v="OK_RRC_121_MG"/>
    <s v="OK"/>
    <s v="RRC"/>
    <x v="57"/>
    <s v="Quercus margaretiae Ashe ex Small"/>
    <x v="15"/>
    <n v="1"/>
  </r>
  <r>
    <s v="SYST-MOR-0006857"/>
    <s v="SYST-MOR-0006857.bam"/>
    <s v="OK_TGP_122_MG"/>
    <s v="OK"/>
    <s v="TGP"/>
    <x v="58"/>
    <s v="Quercus macrocarpa Michx."/>
    <x v="1"/>
    <n v="1"/>
  </r>
  <r>
    <s v="SYST-MOR-0006858"/>
    <s v="SYST-MOR-0006858.bam"/>
    <s v="OK_TGP_123_MG"/>
    <s v="OK"/>
    <s v="TGP"/>
    <x v="58"/>
    <s v="Quercus macrocarpa Michx."/>
    <x v="1"/>
    <n v="1"/>
  </r>
  <r>
    <s v="SYST-MOR-0006859"/>
    <s v="SYST-MOR-0006859.bam"/>
    <s v="OK_TGP_124_MG"/>
    <s v="OK"/>
    <s v="TGP"/>
    <x v="58"/>
    <s v="Quercus stellata Wangenh."/>
    <x v="2"/>
    <n v="1"/>
  </r>
  <r>
    <s v="SYST-MOR-0006860"/>
    <s v="SYST-MOR-0006860.bam"/>
    <s v="OK_TGP_125_MG"/>
    <s v="OK"/>
    <s v="TGP"/>
    <x v="58"/>
    <s v="Quercus muehlenbergii Engelm."/>
    <x v="4"/>
    <n v="1"/>
  </r>
  <r>
    <s v="SYST-MOR-0006861"/>
    <s v="SYST-MOR-0006861.bam"/>
    <s v="OK_TGP_126_MG"/>
    <s v="OK"/>
    <s v="TGP"/>
    <x v="58"/>
    <s v="Quercus macrocarpa Michx."/>
    <x v="1"/>
    <n v="1"/>
  </r>
  <r>
    <s v="SYST-MOR-0006862"/>
    <s v="SYST-MOR-0006862.bam"/>
    <s v="OK_TGP_127_MG"/>
    <s v="OK"/>
    <s v="TGP"/>
    <x v="58"/>
    <s v="Quercus macrocarpa Michx."/>
    <x v="1"/>
    <n v="1"/>
  </r>
  <r>
    <s v="SYST-MOR-0006863"/>
    <s v="SYST-MOR-0006863.bam"/>
    <s v="OK_TGP_128_MG"/>
    <s v="OK"/>
    <s v="TGP"/>
    <x v="58"/>
    <s v="Quercus muehlenbergii Engelm."/>
    <x v="4"/>
    <n v="1"/>
  </r>
  <r>
    <s v="SYST-MOR-0006864"/>
    <s v="SYST-MOR-0006864.bam"/>
    <s v="OK_TGP_129_MG"/>
    <s v="OK"/>
    <s v="TGP"/>
    <x v="58"/>
    <s v="Quercus stellata Wangenh."/>
    <x v="2"/>
    <n v="1"/>
  </r>
  <r>
    <s v="SYST-MOR-0006865"/>
    <s v="SYST-MOR-0006865.bam"/>
    <s v="OK_TGP_130_MG"/>
    <s v="OK"/>
    <s v="TGP"/>
    <x v="58"/>
    <s v="Quercus stellata Wangenh."/>
    <x v="2"/>
    <n v="1"/>
  </r>
  <r>
    <s v="SYST-MOR-0006866"/>
    <s v="SYST-MOR-0006866.bam"/>
    <s v="OK_TGP_131_MG"/>
    <s v="OK"/>
    <s v="TGP"/>
    <x v="58"/>
    <s v="Quercus macrocarpa Michx."/>
    <x v="1"/>
    <n v="1"/>
  </r>
  <r>
    <s v="SYST-MOR-0006867"/>
    <s v="SYST-MOR-0006867.bam"/>
    <s v="OK_TGP_132_MG"/>
    <s v="OK"/>
    <s v="TGP"/>
    <x v="58"/>
    <s v="Quercus stellata Wangenh."/>
    <x v="2"/>
    <n v="1"/>
  </r>
  <r>
    <s v="SYST-MOR-0006868"/>
    <s v="SYST-MOR-0006868.bam"/>
    <s v="OK_TGP_133_MG"/>
    <s v="OK"/>
    <s v="TGP"/>
    <x v="58"/>
    <s v="Quercus stellata Wangenh."/>
    <x v="2"/>
    <n v="1"/>
  </r>
  <r>
    <s v="SYST-MOR-0006869"/>
    <s v="SYST-MOR-0006869.bam"/>
    <s v="OK_TGP_134_MG"/>
    <s v="OK"/>
    <s v="TGP"/>
    <x v="58"/>
    <s v="Quercus muehlenbergii Engelm."/>
    <x v="4"/>
    <n v="1"/>
  </r>
  <r>
    <s v="SYST-MOR-0007409"/>
    <s v="SYST-MOR-0007409.bam"/>
    <s v="OK-MG372"/>
    <s v="OK"/>
    <s v="NOW"/>
    <x v="59"/>
    <s v="Quercus macrocarpa Michx."/>
    <x v="1"/>
    <n v="1"/>
  </r>
  <r>
    <s v="SYST-MOR-0007410"/>
    <s v="SYST-MOR-0007410.bam"/>
    <s v="OK-MG373"/>
    <s v="OK"/>
    <s v="NOW"/>
    <x v="59"/>
    <s v="Quercus macrocarpa Michx."/>
    <x v="1"/>
    <n v="1"/>
  </r>
  <r>
    <s v="SYST-MOR-0007411"/>
    <s v="SYST-MOR-0007411.bam"/>
    <s v="OK-MG374"/>
    <s v="OK"/>
    <s v="NOW"/>
    <x v="59"/>
    <s v="Quercus macrocarpa Michx."/>
    <x v="1"/>
    <n v="1"/>
  </r>
  <r>
    <s v="SYST-MOR-0007412"/>
    <s v="SYST-MOR-0007412.bam"/>
    <s v="OK-MG375"/>
    <s v="OK"/>
    <s v="NOW"/>
    <x v="59"/>
    <s v="Quercus macrocarpa Michx."/>
    <x v="1"/>
    <n v="1"/>
  </r>
  <r>
    <s v="SYST-MOR-0007413"/>
    <s v="SYST-MOR-0007413.bam"/>
    <s v="OK-MG376"/>
    <s v="OK"/>
    <s v="NOW"/>
    <x v="59"/>
    <s v="Quercus macrocarpa Michx."/>
    <x v="1"/>
    <n v="1"/>
  </r>
  <r>
    <s v="SYST-MOR-0007414"/>
    <s v="SYST-MOR-0007414.bam"/>
    <s v="OK-MG377"/>
    <s v="OK"/>
    <s v="NOW"/>
    <x v="59"/>
    <s v="Quercus macrocarpa Michx."/>
    <x v="1"/>
    <n v="1"/>
  </r>
  <r>
    <s v="SYST-MOR-0007415"/>
    <s v="SYST-MOR-0007415.bam"/>
    <s v="OK-MG378"/>
    <s v="OK"/>
    <s v="NOW"/>
    <x v="59"/>
    <s v="Quercus macrocarpa Michx."/>
    <x v="1"/>
    <n v="1"/>
  </r>
  <r>
    <s v="SYST-MOR-0007416"/>
    <s v="SYST-MOR-0007416.bam"/>
    <s v="OK-MG379"/>
    <s v="OK"/>
    <s v="NOW"/>
    <x v="59"/>
    <s v="Quercus macrocarpa Michx."/>
    <x v="1"/>
    <n v="1"/>
  </r>
  <r>
    <s v="SYST-MOR-0007417"/>
    <s v="SYST-MOR-0007417.bam"/>
    <s v="OK-MG380"/>
    <s v="OK"/>
    <s v="NOW"/>
    <x v="59"/>
    <s v="Quercus macrocarpa Michx."/>
    <x v="1"/>
    <n v="1"/>
  </r>
  <r>
    <s v="SYST-MOR-0007418"/>
    <s v="SYST-MOR-0007418.bam"/>
    <s v="OK-MG381"/>
    <s v="OK"/>
    <s v="NOW"/>
    <x v="59"/>
    <s v="Quercus macrocarpa Michx."/>
    <x v="1"/>
    <n v="1"/>
  </r>
  <r>
    <s v="SYST-MOR-0007486"/>
    <s v="SYST-MOR-0007486.bam"/>
    <s v="JCB-SD-CSP-1001"/>
    <s v="SD"/>
    <s v="CSP"/>
    <x v="60"/>
    <s v="Quercus macrocarpa Michx."/>
    <x v="1"/>
    <n v="1"/>
  </r>
  <r>
    <s v="SYST-MOR-0007487"/>
    <s v="SYST-MOR-0007487.bam"/>
    <s v="JCB-SD-CSP-1002"/>
    <s v="SD"/>
    <s v="CSP"/>
    <x v="60"/>
    <s v="Quercus macrocarpa Michx."/>
    <x v="1"/>
    <n v="1"/>
  </r>
  <r>
    <s v="SYST-MOR-0007488"/>
    <s v="SYST-MOR-0007488.bam"/>
    <s v="JCB-SD-CSP-1003"/>
    <s v="SD"/>
    <s v="CSP"/>
    <x v="60"/>
    <s v="Quercus macrocarpa Michx."/>
    <x v="1"/>
    <n v="1"/>
  </r>
  <r>
    <s v="SYST-MOR-0007489"/>
    <s v="SYST-MOR-0007489.bam"/>
    <s v="JCB-SD-CSP-1004"/>
    <s v="SD"/>
    <s v="CSP"/>
    <x v="60"/>
    <s v="Quercus macrocarpa Michx."/>
    <x v="1"/>
    <n v="1"/>
  </r>
  <r>
    <s v="SYST-MOR-0007490"/>
    <s v="SYST-MOR-0007490.bam"/>
    <s v="JCB-SD-CSP-1005"/>
    <s v="SD"/>
    <s v="CSP"/>
    <x v="60"/>
    <s v="Quercus macrocarpa Michx."/>
    <x v="1"/>
    <n v="1"/>
  </r>
  <r>
    <s v="SYST-MOR-0007491"/>
    <s v="SYST-MOR-0007491.bam"/>
    <s v="JCB-SD-CSP-1006"/>
    <s v="SD"/>
    <s v="CSP"/>
    <x v="60"/>
    <s v="Quercus macrocarpa Michx."/>
    <x v="1"/>
    <n v="1"/>
  </r>
  <r>
    <s v="SYST-MOR-0007492"/>
    <s v="SYST-MOR-0007492.bam"/>
    <s v="JCB-SD-CSP-1007"/>
    <s v="SD"/>
    <s v="CSP"/>
    <x v="60"/>
    <s v="Quercus macrocarpa Michx."/>
    <x v="1"/>
    <n v="1"/>
  </r>
  <r>
    <s v="SYST-MOR-0007493"/>
    <s v="SYST-MOR-0007493.bam"/>
    <s v="JCB-SD-CSP-1008"/>
    <s v="SD"/>
    <s v="CSP"/>
    <x v="60"/>
    <s v="Quercus macrocarpa Michx."/>
    <x v="1"/>
    <n v="1"/>
  </r>
  <r>
    <s v="SYST-MOR-0007494"/>
    <s v="SYST-MOR-0007494.bam"/>
    <s v="JCB-SD-CSP-1009"/>
    <s v="SD"/>
    <s v="CSP"/>
    <x v="60"/>
    <s v="Quercus macrocarpa Michx."/>
    <x v="1"/>
    <n v="1"/>
  </r>
  <r>
    <s v="SYST-MOR-0007496"/>
    <s v="SYST-MOR-0007496.bam"/>
    <s v="JCB-SD-SPF-1011"/>
    <s v="SD"/>
    <s v="SPF"/>
    <x v="61"/>
    <s v="Quercus macrocarpa Michx."/>
    <x v="1"/>
    <n v="1"/>
  </r>
  <r>
    <s v="SYST-MOR-0007497"/>
    <s v="SYST-MOR-0007497.bam"/>
    <s v="JCB-SD-SPF-1012"/>
    <s v="SD"/>
    <s v="SPF"/>
    <x v="61"/>
    <s v="Quercus macrocarpa Michx."/>
    <x v="1"/>
    <n v="1"/>
  </r>
  <r>
    <s v="SYST-MOR-0007498"/>
    <s v="SYST-MOR-0007498.bam"/>
    <s v="JCB-SD-SPF-1013"/>
    <s v="SD"/>
    <s v="SPF"/>
    <x v="61"/>
    <s v="Quercus macrocarpa Michx."/>
    <x v="1"/>
    <n v="1"/>
  </r>
  <r>
    <s v="SYST-MOR-0007499"/>
    <s v="SYST-MOR-0007499.bam"/>
    <s v="JCB-SD-SPF-1014"/>
    <s v="SD"/>
    <s v="SPF"/>
    <x v="61"/>
    <s v="Quercus macrocarpa Michx."/>
    <x v="1"/>
    <n v="1"/>
  </r>
  <r>
    <s v="SYST-MOR-0007500"/>
    <s v="SYST-MOR-0007500.bam"/>
    <s v="JCB-SD-SPF-1015"/>
    <s v="SD"/>
    <s v="SPF"/>
    <x v="61"/>
    <s v="Quercus macrocarpa Michx."/>
    <x v="1"/>
    <n v="1"/>
  </r>
  <r>
    <s v="SYST-MOR-0007501"/>
    <s v="SYST-MOR-0007501.bam"/>
    <s v="JCB-SD-SPF-1016"/>
    <s v="SD"/>
    <s v="SPF"/>
    <x v="61"/>
    <s v="Quercus macrocarpa Michx."/>
    <x v="1"/>
    <n v="1"/>
  </r>
  <r>
    <s v="SYST-MOR-0007502"/>
    <s v="SYST-MOR-0007502.bam"/>
    <s v="JCB-SD-SPF-1017"/>
    <s v="SD"/>
    <s v="SPF"/>
    <x v="61"/>
    <s v="Quercus macrocarpa Michx."/>
    <x v="1"/>
    <n v="1"/>
  </r>
  <r>
    <s v="SYST-MOR-0007503"/>
    <s v="SYST-MOR-0007503.bam"/>
    <s v="JCB-SD-SPF-1018"/>
    <s v="SD"/>
    <s v="SPF"/>
    <x v="61"/>
    <s v="Quercus macrocarpa Michx."/>
    <x v="1"/>
    <n v="1"/>
  </r>
  <r>
    <s v="SYST-MOR-0007504"/>
    <s v="SYST-MOR-0007504.bam"/>
    <s v="JCB-SD-SPF-1019"/>
    <s v="SD"/>
    <s v="SPF"/>
    <x v="61"/>
    <s v="Quercus macrocarpa Michx."/>
    <x v="1"/>
    <n v="1"/>
  </r>
  <r>
    <s v="SYST-MOR-0007505"/>
    <s v="SYST-MOR-0007505.bam"/>
    <s v="JCB-SD-SPF-1020"/>
    <s v="SD"/>
    <s v="SPF"/>
    <x v="61"/>
    <s v="Quercus macrocarpa Michx."/>
    <x v="1"/>
    <n v="1"/>
  </r>
  <r>
    <s v="SYST-MOR-0007495"/>
    <s v="SYST-MOR-0007495.bam"/>
    <s v="JCB-SD-US16-1010"/>
    <s v="SD"/>
    <s v="CSP"/>
    <x v="60"/>
    <s v="Quercus macrocarpa Michx."/>
    <x v="1"/>
    <n v="1"/>
  </r>
  <r>
    <s v="SYST-MOR-0006870"/>
    <s v="SYST-MOR-0006870.bam"/>
    <s v="TN_BCP_148_MG"/>
    <s v="TN"/>
    <s v="BCP"/>
    <x v="62"/>
    <s v="Quercus macrocarpa Michx."/>
    <x v="1"/>
    <n v="1"/>
  </r>
  <r>
    <s v="SYST-MOR-0006871"/>
    <s v="SYST-MOR-0006871.bam"/>
    <s v="TN_BCP_149_MG"/>
    <s v="TN"/>
    <s v="BCP"/>
    <x v="62"/>
    <s v="Quercus muehlenbergii Engelm."/>
    <x v="4"/>
    <n v="1"/>
  </r>
  <r>
    <s v="SYST-MOR-0006872"/>
    <s v="SYST-MOR-0006872.bam"/>
    <s v="TN_BCP_150_MG"/>
    <s v="TN"/>
    <s v="BCP"/>
    <x v="62"/>
    <s v="Quercus macrocarpa Michx."/>
    <x v="1"/>
    <n v="1"/>
  </r>
  <r>
    <s v="SYST-MOR-0006873"/>
    <s v="SYST-MOR-0006873.bam"/>
    <s v="TN_BCP_151_MG"/>
    <s v="TN"/>
    <s v="BCP"/>
    <x v="62"/>
    <s v="Quercus macrocarpa Michx."/>
    <x v="1"/>
    <n v="1"/>
  </r>
  <r>
    <s v="SYST-MOR-0006874"/>
    <s v="SYST-MOR-0006874.bam"/>
    <s v="TN_BCP_152_MG"/>
    <s v="TN"/>
    <s v="BCP"/>
    <x v="62"/>
    <s v="Quercus muehlenbergii Engelm."/>
    <x v="4"/>
    <n v="1"/>
  </r>
  <r>
    <s v="SYST-MOR-0006875"/>
    <s v="SYST-MOR-0006875.bam"/>
    <s v="TN_BCP_153_MG"/>
    <s v="TN"/>
    <s v="BCP"/>
    <x v="62"/>
    <s v="Quercus macrocarpa Michx."/>
    <x v="1"/>
    <n v="1"/>
  </r>
  <r>
    <s v="SYST-MOR-0006876"/>
    <s v="SYST-MOR-0006876.bam"/>
    <s v="TN_BCP_154_MG"/>
    <s v="TN"/>
    <s v="BCP"/>
    <x v="62"/>
    <s v="Quercus muehlenbergii Engelm."/>
    <x v="4"/>
    <n v="1"/>
  </r>
  <r>
    <s v="SYST-MOR-0006877"/>
    <s v="SYST-MOR-0006877.bam"/>
    <s v="TN_BCP_155_MG"/>
    <s v="TN"/>
    <s v="BCP"/>
    <x v="62"/>
    <s v="Quercus alba L."/>
    <x v="3"/>
    <n v="1"/>
  </r>
  <r>
    <s v="SYST-MOR-0006878"/>
    <s v="SYST-MOR-0006878.bam"/>
    <s v="TN_BCP_156_MG"/>
    <s v="TN"/>
    <s v="BCP"/>
    <x v="62"/>
    <s v="Quercus macrocarpa Michx."/>
    <x v="1"/>
    <n v="1"/>
  </r>
  <r>
    <s v="SYST-MOR-0006879"/>
    <s v="SYST-MOR-0006879.bam"/>
    <s v="TN_BCP_157_MG"/>
    <s v="TN"/>
    <s v="BCP"/>
    <x v="62"/>
    <s v="Quercus alba L."/>
    <x v="3"/>
    <n v="1"/>
  </r>
  <r>
    <s v="SYST-MOR-0006880"/>
    <s v="SYST-MOR-0006880.bam"/>
    <s v="TN_BCP_158_MG"/>
    <s v="TN"/>
    <s v="BCP"/>
    <x v="62"/>
    <s v="Quercus muehlenbergii Engelm."/>
    <x v="4"/>
    <n v="1"/>
  </r>
  <r>
    <s v="SYST-MOR-0006881"/>
    <s v="SYST-MOR-0006881.bam"/>
    <s v="TN_BCP_159_MG"/>
    <s v="TN"/>
    <s v="BCP"/>
    <x v="62"/>
    <s v="Quercus alba L."/>
    <x v="3"/>
    <n v="1"/>
  </r>
  <r>
    <s v="SYST-MOR-0006882"/>
    <s v="SYST-MOR-0006882.bam"/>
    <s v="TN_BCP_160_MG"/>
    <s v="TN"/>
    <s v="BCP"/>
    <x v="62"/>
    <s v="Quercus muehlenbergii Engelm."/>
    <x v="4"/>
    <n v="1"/>
  </r>
  <r>
    <s v="SYST-MOR-0006883"/>
    <s v="SYST-MOR-0006883.bam"/>
    <s v="TN_BCP_161_MG"/>
    <s v="TN"/>
    <s v="BCP"/>
    <x v="62"/>
    <s v="Quercus alba L."/>
    <x v="3"/>
    <n v="1"/>
  </r>
  <r>
    <s v="SYST-MOR-0006884"/>
    <s v="SYST-MOR-0006884.bam"/>
    <s v="TN_BCP_162_MG"/>
    <s v="TN"/>
    <s v="BCP"/>
    <x v="62"/>
    <s v="Quercus alba L."/>
    <x v="3"/>
    <n v="1"/>
  </r>
  <r>
    <s v="SYST-MOR-0006885"/>
    <s v="SYST-MOR-0006885.bam"/>
    <s v="TN_CLP_163_MG"/>
    <s v="TN"/>
    <s v="CLP"/>
    <x v="63"/>
    <s v="Quercus muehlenbergii Engelm."/>
    <x v="4"/>
    <n v="1"/>
  </r>
  <r>
    <s v="SYST-MOR-0006886"/>
    <s v="SYST-MOR-0006886.bam"/>
    <s v="TN_CLP_164_MG"/>
    <s v="TN"/>
    <s v="CLP"/>
    <x v="63"/>
    <s v="Quercus stellata Wangenh."/>
    <x v="2"/>
    <n v="1"/>
  </r>
  <r>
    <s v="SYST-MOR-0006887"/>
    <s v="SYST-MOR-0006887.bam"/>
    <s v="TN_CLP_165_MG"/>
    <s v="TN"/>
    <s v="CLP"/>
    <x v="63"/>
    <s v="Quercus muehlenbergii Engelm."/>
    <x v="4"/>
    <n v="1"/>
  </r>
  <r>
    <s v="SYST-MOR-0006888"/>
    <s v="SYST-MOR-0006888.bam"/>
    <s v="TN_CLP_166_MG"/>
    <s v="TN"/>
    <s v="CLP"/>
    <x v="63"/>
    <s v="Quercus stellata Wangenh."/>
    <x v="2"/>
    <n v="1"/>
  </r>
  <r>
    <s v="SYST-MOR-0006889"/>
    <s v="SYST-MOR-0006889.bam"/>
    <s v="TN_CLP_167_MG"/>
    <s v="TN"/>
    <s v="CLP"/>
    <x v="63"/>
    <s v="Quercus alba L."/>
    <x v="3"/>
    <n v="1"/>
  </r>
  <r>
    <s v="SYST-MOR-0007150"/>
    <s v="SYST-MOR-0007150.bam"/>
    <s v="TX_BRZ_430_MG"/>
    <s v="TX"/>
    <s v="BRZ"/>
    <x v="64"/>
    <s v="Quercus macrocarpa Michx."/>
    <x v="1"/>
    <n v="1"/>
  </r>
  <r>
    <s v="SYST-MOR-0007151"/>
    <s v="SYST-MOR-0007151.bam"/>
    <s v="TX_BRZ_431_MG"/>
    <s v="TX"/>
    <s v="BRZ"/>
    <x v="64"/>
    <s v="Quercus macrocarpa Michx."/>
    <x v="1"/>
    <n v="1"/>
  </r>
  <r>
    <s v="SYST-MOR-0007152"/>
    <s v="SYST-MOR-0007152.bam"/>
    <s v="TX_BRZ_432_MG"/>
    <s v="TX"/>
    <s v="BRZ"/>
    <x v="64"/>
    <s v="Quercus macrocarpa Michx."/>
    <x v="1"/>
    <n v="1"/>
  </r>
  <r>
    <s v="SYST-MOR-0007153"/>
    <s v="SYST-MOR-0007153.bam"/>
    <s v="TX_BRZ_433_MG"/>
    <s v="TX"/>
    <s v="BRZ"/>
    <x v="64"/>
    <s v="Quercus macrocarpa Michx."/>
    <x v="1"/>
    <n v="1"/>
  </r>
  <r>
    <s v="SYST-MOR-0007154"/>
    <s v="SYST-MOR-0007154.bam"/>
    <s v="TX_BRZ_434_MG"/>
    <s v="TX"/>
    <s v="BRZ"/>
    <x v="64"/>
    <s v="Quercus michauxii Nutt."/>
    <x v="6"/>
    <n v="1"/>
  </r>
  <r>
    <s v="SYST-MOR-0007155"/>
    <s v="SYST-MOR-0007155.bam"/>
    <s v="TX_BRZ_435_MG"/>
    <s v="TX"/>
    <s v="BRZ"/>
    <x v="64"/>
    <s v="Quercus michauxii Nutt."/>
    <x v="6"/>
    <n v="1"/>
  </r>
  <r>
    <s v="SYST-MOR-0007156"/>
    <s v="SYST-MOR-0007156.bam"/>
    <s v="TX_BRZ_436_MG"/>
    <s v="TX"/>
    <s v="BRZ"/>
    <x v="64"/>
    <s v="Quercus macrocarpa Michx."/>
    <x v="1"/>
    <n v="1"/>
  </r>
  <r>
    <s v="SYST-MOR-0007157"/>
    <s v="SYST-MOR-0007157.bam"/>
    <s v="TX_BRZ_437_MG"/>
    <s v="TX"/>
    <s v="BRZ"/>
    <x v="64"/>
    <s v="Quercus lyrata Walt."/>
    <x v="0"/>
    <n v="1"/>
  </r>
  <r>
    <s v="SYST-MOR-0007169"/>
    <s v="SYST-MOR-0007169.bam"/>
    <s v="TX_CHP_449_MG"/>
    <s v="TX"/>
    <s v="CHP"/>
    <x v="65"/>
    <s v="Quercus stellata Wangenh."/>
    <x v="2"/>
    <n v="1"/>
  </r>
  <r>
    <s v="SYST-MOR-0007170"/>
    <s v="SYST-MOR-0007170.bam"/>
    <s v="TX_CHP_450_MG"/>
    <s v="TX"/>
    <s v="CHP"/>
    <x v="65"/>
    <s v="Quercus stellata Wangenh."/>
    <x v="2"/>
    <n v="1"/>
  </r>
  <r>
    <s v="SYST-MOR-0007171"/>
    <s v="SYST-MOR-0007171.bam"/>
    <s v="TX_CHP_451_MG"/>
    <s v="TX"/>
    <s v="CHP"/>
    <x v="65"/>
    <s v="Quercus macrocarpa Michx."/>
    <x v="1"/>
    <n v="1"/>
  </r>
  <r>
    <s v="SYST-MOR-0007172"/>
    <s v="SYST-MOR-0007172.bam"/>
    <s v="TX_CHP_452_MG"/>
    <s v="TX"/>
    <s v="CHP"/>
    <x v="65"/>
    <s v="Quercus stellata Wangenh."/>
    <x v="2"/>
    <n v="1"/>
  </r>
  <r>
    <s v="SYST-MOR-0007173"/>
    <s v="SYST-MOR-0007173.bam"/>
    <s v="TX_CHP_453_MG"/>
    <s v="TX"/>
    <s v="CHP"/>
    <x v="65"/>
    <s v="Quercus stellata Wangenh."/>
    <x v="2"/>
    <n v="1"/>
  </r>
  <r>
    <s v="SYST-MOR-0007174"/>
    <s v="SYST-MOR-0007174.bam"/>
    <s v="TX_CHP_454_MG"/>
    <s v="TX"/>
    <s v="CHP"/>
    <x v="65"/>
    <s v="Quercus macrocarpa Michx."/>
    <x v="1"/>
    <n v="1"/>
  </r>
  <r>
    <s v="SYST-MOR-0007175"/>
    <s v="SYST-MOR-0007175.bam"/>
    <s v="TX_CHP_455_MG"/>
    <s v="TX"/>
    <s v="CHP"/>
    <x v="65"/>
    <s v="Quercus stellata Wangenh."/>
    <x v="2"/>
    <n v="1"/>
  </r>
  <r>
    <s v="SYST-MOR-0007176"/>
    <s v="SYST-MOR-0007176.bam"/>
    <s v="TX_CHP_456_MG"/>
    <s v="TX"/>
    <s v="CHP"/>
    <x v="65"/>
    <s v="Quercus macrocarpa Michx."/>
    <x v="1"/>
    <n v="1"/>
  </r>
  <r>
    <s v="SYST-MOR-0007177"/>
    <s v="SYST-MOR-0007177.bam"/>
    <s v="TX_CHP_457_MG"/>
    <s v="TX"/>
    <s v="CHP"/>
    <x v="65"/>
    <s v="Quercus macrocarpa Michx."/>
    <x v="1"/>
    <n v="1"/>
  </r>
  <r>
    <s v="SYST-MOR-0007178"/>
    <s v="SYST-MOR-0007178.bam"/>
    <s v="TX_CHP_458_MG"/>
    <s v="TX"/>
    <s v="CHP"/>
    <x v="65"/>
    <s v="Quercus sinuata Walt."/>
    <x v="17"/>
    <n v="1"/>
  </r>
  <r>
    <s v="SYST-MOR-0007179"/>
    <s v="SYST-MOR-0007179.bam"/>
    <s v="TX_CHP_459_MG"/>
    <s v="TX"/>
    <s v="CHP"/>
    <x v="65"/>
    <s v="Quercus macrocarpa Michx."/>
    <x v="1"/>
    <n v="1"/>
  </r>
  <r>
    <s v="SYST-MOR-0007158"/>
    <s v="SYST-MOR-0007158.bam"/>
    <s v="TX_PLM_438_MG"/>
    <s v="TX"/>
    <s v="PLM"/>
    <x v="66"/>
    <s v="Quercus margaretiae Ashe ex Small"/>
    <x v="15"/>
    <n v="1"/>
  </r>
  <r>
    <s v="SYST-MOR-0007159"/>
    <s v="SYST-MOR-0007159.bam"/>
    <s v="TX_PLM_439_MG"/>
    <s v="TX"/>
    <s v="PLM"/>
    <x v="66"/>
    <s v="Quercus macrocarpa Michx."/>
    <x v="1"/>
    <n v="1"/>
  </r>
  <r>
    <s v="SYST-MOR-0007160"/>
    <s v="SYST-MOR-0007160.bam"/>
    <s v="TX_PLM_440_MG"/>
    <s v="TX"/>
    <s v="PLM"/>
    <x v="66"/>
    <s v="Quercus sinuata Walt."/>
    <x v="17"/>
    <n v="1"/>
  </r>
  <r>
    <s v="SYST-MOR-0007161"/>
    <s v="SYST-MOR-0007161.bam"/>
    <s v="TX_PLM_441_MG"/>
    <s v="TX"/>
    <s v="PLM"/>
    <x v="66"/>
    <s v="Quercus macrocarpa Michx."/>
    <x v="1"/>
    <n v="1"/>
  </r>
  <r>
    <s v="SYST-MOR-0007162"/>
    <s v="SYST-MOR-0007162.bam"/>
    <s v="TX_PLM_442_MG"/>
    <s v="TX"/>
    <s v="PLM"/>
    <x v="66"/>
    <s v="Quercus sinuata Walt."/>
    <x v="17"/>
    <n v="1"/>
  </r>
  <r>
    <s v="SYST-MOR-0007163"/>
    <s v="SYST-MOR-0007163.bam"/>
    <s v="TX_PLM_443_MG"/>
    <s v="TX"/>
    <s v="PLM"/>
    <x v="66"/>
    <s v="Quercus macrocarpa Michx."/>
    <x v="1"/>
    <n v="1"/>
  </r>
  <r>
    <s v="SYST-MOR-0007164"/>
    <s v="SYST-MOR-0007164.bam"/>
    <s v="TX_PLM_444_MG"/>
    <s v="TX"/>
    <s v="PLM"/>
    <x v="66"/>
    <s v="Quercus macrocarpa Michx."/>
    <x v="1"/>
    <n v="1"/>
  </r>
  <r>
    <s v="SYST-MOR-0007165"/>
    <s v="SYST-MOR-0007165.bam"/>
    <s v="TX_PLM_445_MG"/>
    <s v="TX"/>
    <s v="PLM"/>
    <x v="66"/>
    <s v="Quercus sinuata Walt."/>
    <x v="17"/>
    <n v="1"/>
  </r>
  <r>
    <s v="SYST-MOR-0007166"/>
    <s v="SYST-MOR-0007166.bam"/>
    <s v="TX_PLM_446_MG"/>
    <s v="TX"/>
    <s v="PLM"/>
    <x v="66"/>
    <s v="Quercus sinuata Walt."/>
    <x v="17"/>
    <n v="1"/>
  </r>
  <r>
    <s v="SYST-MOR-0007167"/>
    <s v="SYST-MOR-0007167.bam"/>
    <s v="TX_PLM_447_MG"/>
    <s v="TX"/>
    <s v="PLM"/>
    <x v="66"/>
    <s v="Quercus sinuata Walt."/>
    <x v="17"/>
    <n v="1"/>
  </r>
  <r>
    <s v="SYST-MOR-0007168"/>
    <s v="SYST-MOR-0007168.bam"/>
    <s v="TX_PLM_448_MG"/>
    <s v="TX"/>
    <s v="PLM"/>
    <x v="66"/>
    <s v="Quercus macrocarpa Michx."/>
    <x v="1"/>
    <n v="1"/>
  </r>
  <r>
    <s v="SYST-MOR-0007081"/>
    <s v="SYST-MOR-0007081.bam"/>
    <s v="VT_DHT_361_MG"/>
    <s v="VT"/>
    <s v="DHT"/>
    <x v="67"/>
    <s v="Quercus alba L."/>
    <x v="3"/>
    <n v="1"/>
  </r>
  <r>
    <s v="SYST-MOR-0007082"/>
    <s v="SYST-MOR-0007082.bam"/>
    <s v="VT_DHT_362_MG"/>
    <s v="VT"/>
    <s v="DHT"/>
    <x v="67"/>
    <s v="Quercus macrocarpa Michx."/>
    <x v="1"/>
    <n v="1"/>
  </r>
  <r>
    <s v="SYST-MOR-0007083"/>
    <s v="SYST-MOR-0007083.bam"/>
    <s v="VT_DHT_363_MG"/>
    <s v="VT"/>
    <s v="DHT"/>
    <x v="67"/>
    <s v="Quercus macrocarpa Michx."/>
    <x v="1"/>
    <n v="1"/>
  </r>
  <r>
    <s v="SYST-MOR-0007084"/>
    <s v="SYST-MOR-0007084.bam"/>
    <s v="VT_DHT_364_MG"/>
    <s v="VT"/>
    <s v="DHT"/>
    <x v="67"/>
    <s v="Quercus alba L."/>
    <x v="3"/>
    <n v="1"/>
  </r>
  <r>
    <s v="SYST-MOR-0007085"/>
    <s v="SYST-MOR-0007085.bam"/>
    <s v="VT_DHT_365_MG"/>
    <s v="VT"/>
    <s v="DHT"/>
    <x v="67"/>
    <s v="Quercus macrocarpa Michx."/>
    <x v="1"/>
    <n v="1"/>
  </r>
  <r>
    <s v="SYST-MOR-0007086"/>
    <s v="SYST-MOR-0007086.bam"/>
    <s v="VT_DHT_366_MG"/>
    <s v="VT"/>
    <s v="DHT"/>
    <x v="67"/>
    <s v="Quercus macrocarpa Michx."/>
    <x v="1"/>
    <n v="1"/>
  </r>
  <r>
    <s v="SYST-MOR-0007087"/>
    <s v="SYST-MOR-0007087.bam"/>
    <s v="VT_DHT_367_MG"/>
    <s v="VT"/>
    <s v="DHT"/>
    <x v="67"/>
    <s v="Quercus alba L."/>
    <x v="3"/>
    <n v="1"/>
  </r>
  <r>
    <s v="SYST-MOR-0007088"/>
    <s v="SYST-MOR-0007088.bam"/>
    <s v="VT_DHT_368_MG"/>
    <s v="VT"/>
    <s v="DHT"/>
    <x v="67"/>
    <s v="Quercus macrocarpa Michx."/>
    <x v="1"/>
    <n v="1"/>
  </r>
  <r>
    <s v="SYST-MOR-0007089"/>
    <s v="SYST-MOR-0007089.bam"/>
    <s v="VT_DHT_369_MG"/>
    <s v="VT"/>
    <s v="DHT"/>
    <x v="67"/>
    <s v="Quercus alba L."/>
    <x v="3"/>
    <n v="1"/>
  </r>
  <r>
    <s v="SYST-MOR-0006951"/>
    <s v="SYST-MOR-0006951.bam"/>
    <s v="WI_PKL_229_MG"/>
    <s v="WI"/>
    <s v="PKL"/>
    <x v="68"/>
    <s v="Quercus alba x Quercus macrocarpa"/>
    <x v="13"/>
    <n v="1"/>
  </r>
  <r>
    <s v="SYST-MOR-0006952"/>
    <s v="SYST-MOR-0006952.bam"/>
    <s v="WI_PKL_230_MG"/>
    <s v="WI"/>
    <s v="PKL"/>
    <x v="68"/>
    <s v="Quercus alba x Quercus macrocarpa"/>
    <x v="13"/>
    <n v="1"/>
  </r>
  <r>
    <s v="SYST-MOR-0006953"/>
    <s v="SYST-MOR-0006953.bam"/>
    <s v="WI_PKL_231_MG"/>
    <s v="WI"/>
    <s v="PKL"/>
    <x v="68"/>
    <s v="Quercus alba L."/>
    <x v="3"/>
    <n v="1"/>
  </r>
  <r>
    <s v="SYST-MOR-0006954"/>
    <s v="SYST-MOR-0006954.bam"/>
    <s v="WI_PKL_232_MG"/>
    <s v="WI"/>
    <s v="PKL"/>
    <x v="68"/>
    <s v="Quercus macrocarpa Michx."/>
    <x v="1"/>
    <n v="1"/>
  </r>
  <r>
    <s v="SYST-MOR-0006955"/>
    <s v="SYST-MOR-0006955.bam"/>
    <s v="WI_PKL_233_MG"/>
    <s v="WI"/>
    <s v="PKL"/>
    <x v="68"/>
    <s v="Quercus macrocarpa Michx."/>
    <x v="1"/>
    <n v="1"/>
  </r>
  <r>
    <s v="SYST-MOR-0006956"/>
    <s v="SYST-MOR-0006956.bam"/>
    <s v="WI_PKL_234_MG"/>
    <s v="WI"/>
    <s v="PKL"/>
    <x v="68"/>
    <s v="Quercus macrocarpa Michx."/>
    <x v="1"/>
    <n v="1"/>
  </r>
  <r>
    <s v="SYST-MOR-0006957"/>
    <s v="SYST-MOR-0006957.bam"/>
    <s v="WI_PKL_235_MG"/>
    <s v="WI"/>
    <s v="PKL"/>
    <x v="68"/>
    <s v="Quercus macrocarpa Michx."/>
    <x v="1"/>
    <n v="1"/>
  </r>
  <r>
    <s v="SYST-MOR-0006958"/>
    <s v="SYST-MOR-0006958.bam"/>
    <s v="WI_PKL_236_MG"/>
    <s v="WI"/>
    <s v="PKL"/>
    <x v="68"/>
    <s v="Quercus macrocarpa Michx."/>
    <x v="1"/>
    <n v="1"/>
  </r>
  <r>
    <s v="SYST-MOR-0006959"/>
    <s v="SYST-MOR-0006959.bam"/>
    <s v="WI_PKL_237_MG"/>
    <s v="WI"/>
    <s v="PKL"/>
    <x v="68"/>
    <s v="Quercus macrocarpa Michx."/>
    <x v="1"/>
    <n v="1"/>
  </r>
  <r>
    <s v="SYST-MOR-0006937"/>
    <s v="SYST-MOR-0006937.bam"/>
    <s v="WI_THB_215_MG"/>
    <s v="WI"/>
    <s v="THB"/>
    <x v="69"/>
    <s v="Quercus macrocarpa Michx."/>
    <x v="1"/>
    <n v="1"/>
  </r>
  <r>
    <s v="SYST-MOR-0006938"/>
    <s v="SYST-MOR-0006938.bam"/>
    <s v="WI_THB_216_MG"/>
    <s v="WI"/>
    <s v="THB"/>
    <x v="69"/>
    <s v="Quercus alba L."/>
    <x v="3"/>
    <n v="1"/>
  </r>
  <r>
    <s v="SYST-MOR-0006939"/>
    <s v="SYST-MOR-0006939.bam"/>
    <s v="WI_THB_217_MG"/>
    <s v="WI"/>
    <s v="THB"/>
    <x v="69"/>
    <s v="Quercus alba L."/>
    <x v="3"/>
    <n v="1"/>
  </r>
  <r>
    <s v="SYST-MOR-0006940"/>
    <s v="SYST-MOR-0006940.bam"/>
    <s v="WI_THB_218_MG"/>
    <s v="WI"/>
    <s v="THB"/>
    <x v="69"/>
    <s v="Quercus alba L."/>
    <x v="3"/>
    <n v="1"/>
  </r>
  <r>
    <s v="SYST-MOR-0006941"/>
    <s v="SYST-MOR-0006941.bam"/>
    <s v="WI_THB_219_MG"/>
    <s v="WI"/>
    <s v="THB"/>
    <x v="69"/>
    <s v="Quercus alba L."/>
    <x v="3"/>
    <n v="1"/>
  </r>
  <r>
    <s v="SYST-MOR-0006942"/>
    <s v="SYST-MOR-0006942.bam"/>
    <s v="WI_THB_220_MG"/>
    <s v="WI"/>
    <s v="THB"/>
    <x v="69"/>
    <s v="Quercus macrocarpa Michx."/>
    <x v="1"/>
    <n v="1"/>
  </r>
  <r>
    <s v="SYST-MOR-0006960"/>
    <s v="SYST-MOR-0006960.bam"/>
    <s v="WI_WFS_238_MG"/>
    <s v="WI"/>
    <s v="WFS"/>
    <x v="70"/>
    <s v="Quercus macrocarpa Michx."/>
    <x v="1"/>
    <n v="1"/>
  </r>
  <r>
    <s v="SYST-MOR-0006961"/>
    <s v="SYST-MOR-0006961.bam"/>
    <s v="WI_WFS_239_MG"/>
    <s v="WI"/>
    <s v="WFS"/>
    <x v="70"/>
    <s v="Quercus macrocarpa Michx."/>
    <x v="1"/>
    <n v="1"/>
  </r>
  <r>
    <s v="SYST-MOR-0006962"/>
    <s v="SYST-MOR-0006962.bam"/>
    <s v="WI_WFS_240_MG"/>
    <s v="WI"/>
    <s v="WFS"/>
    <x v="70"/>
    <s v="Quercus macrocarpa Michx."/>
    <x v="1"/>
    <n v="1"/>
  </r>
  <r>
    <s v="SYST-MOR-0006963"/>
    <s v="SYST-MOR-0006963.bam"/>
    <s v="WI_WFS_241_MG"/>
    <s v="WI"/>
    <s v="WFS"/>
    <x v="70"/>
    <s v="Quercus macrocarpa Michx."/>
    <x v="1"/>
    <n v="1"/>
  </r>
  <r>
    <s v="SYST-MOR-0006964"/>
    <s v="SYST-MOR-0006964.bam"/>
    <s v="WI_WFS_242_MG"/>
    <s v="WI"/>
    <s v="WFS"/>
    <x v="70"/>
    <s v="Quercus alba L."/>
    <x v="3"/>
    <n v="1"/>
  </r>
  <r>
    <s v="SYST-MOR-0006965"/>
    <s v="SYST-MOR-0006965.bam"/>
    <s v="WI_WFS_243_MG"/>
    <s v="WI"/>
    <s v="WFS"/>
    <x v="70"/>
    <s v="Quercus alba L."/>
    <x v="3"/>
    <n v="1"/>
  </r>
  <r>
    <s v="SYST-MOR-0006966"/>
    <s v="SYST-MOR-0006966.bam"/>
    <s v="WI_WFS_244_MG"/>
    <s v="WI"/>
    <s v="WFS"/>
    <x v="70"/>
    <s v="Quercus alba L."/>
    <x v="3"/>
    <n v="1"/>
  </r>
  <r>
    <s v="SYST-MOR-0006967"/>
    <s v="SYST-MOR-0006967.bam"/>
    <s v="WI_WFS_247_MG"/>
    <s v="WI"/>
    <s v="WFS"/>
    <x v="70"/>
    <s v="Quercus alba L."/>
    <x v="3"/>
    <n v="1"/>
  </r>
  <r>
    <s v="SYST-MOR-0006968"/>
    <s v="SYST-MOR-0006968.bam"/>
    <s v="WI_WFS_248_MG"/>
    <s v="WI"/>
    <s v="WFS"/>
    <x v="70"/>
    <s v="Quercus macrocarpa Michx."/>
    <x v="1"/>
    <n v="1"/>
  </r>
  <r>
    <s v="SYST-MOR-0006969"/>
    <s v="SYST-MOR-0006969.bam"/>
    <s v="WI_WFS_249_MG"/>
    <s v="WI"/>
    <s v="WFS"/>
    <x v="70"/>
    <s v="Quercus alba L."/>
    <x v="3"/>
    <n v="1"/>
  </r>
  <r>
    <s v="SYST-MOR-0007387"/>
    <s v="SYST-MOR-0007387.bam"/>
    <s v="WI-MG536"/>
    <s v="WI"/>
    <s v="RLF"/>
    <x v="71"/>
    <s v="Quercus macrocarpa Michx."/>
    <x v="1"/>
    <n v="1"/>
  </r>
  <r>
    <s v="SYST-MOR-0007388"/>
    <s v="SYST-MOR-0007388.bam"/>
    <s v="WI-MG537"/>
    <s v="WI"/>
    <s v="RLF"/>
    <x v="71"/>
    <s v="Quercus macrocarpa Michx."/>
    <x v="1"/>
    <n v="1"/>
  </r>
  <r>
    <s v="SYST-MOR-0007389"/>
    <s v="SYST-MOR-0007389.bam"/>
    <s v="WI-MG538"/>
    <s v="WI"/>
    <s v="RLF"/>
    <x v="71"/>
    <s v="Quercus macrocarpa Michx."/>
    <x v="1"/>
    <n v="1"/>
  </r>
  <r>
    <s v="SYST-MOR-0007390"/>
    <s v="SYST-MOR-0007390.bam"/>
    <s v="WI-MG539"/>
    <s v="WI"/>
    <s v="RLF"/>
    <x v="71"/>
    <s v="Quercus macrocarpa Michx."/>
    <x v="1"/>
    <n v="1"/>
  </r>
  <r>
    <s v="SYST-MOR-0007391"/>
    <s v="SYST-MOR-0007391.bam"/>
    <s v="WI-MG540"/>
    <s v="WI"/>
    <s v="RLF"/>
    <x v="71"/>
    <s v="Quercus macrocarpa Michx."/>
    <x v="1"/>
    <n v="1"/>
  </r>
  <r>
    <s v="SYST-MOR-0007392"/>
    <s v="SYST-MOR-0007392.bam"/>
    <s v="WI-MG541"/>
    <s v="WI"/>
    <s v="RLF"/>
    <x v="71"/>
    <s v="Quercus macrocarpa Michx."/>
    <x v="1"/>
    <n v="1"/>
  </r>
  <r>
    <s v="SRR14632920"/>
    <s v="SRR14632920.bam"/>
    <m/>
    <m/>
    <s v="LOB"/>
    <x v="72"/>
    <s v="Quercus lobata  Nee."/>
    <x v="18"/>
    <n v="1"/>
  </r>
  <r>
    <s v="SRR14632922"/>
    <s v="SRR14632922.bam"/>
    <m/>
    <m/>
    <s v="LOB"/>
    <x v="72"/>
    <s v="Quercus lobata  Nee."/>
    <x v="18"/>
    <n v="1"/>
  </r>
  <r>
    <s v="SRR14632924"/>
    <s v="SRR14632924.bam"/>
    <m/>
    <m/>
    <s v="LOB"/>
    <x v="72"/>
    <s v="Quercus lobata  Nee."/>
    <x v="18"/>
    <n v="1"/>
  </r>
  <r>
    <s v="SRR14632927"/>
    <s v="SRR14632927.bam"/>
    <m/>
    <m/>
    <s v="LOB"/>
    <x v="72"/>
    <s v="Quercus lobata  Nee."/>
    <x v="18"/>
    <n v="1"/>
  </r>
  <r>
    <s v="SRR14632928"/>
    <s v="SRR14632928.bam"/>
    <m/>
    <m/>
    <s v="LOB"/>
    <x v="72"/>
    <s v="Quercus lobata  Nee."/>
    <x v="18"/>
    <n v="1"/>
  </r>
  <r>
    <s v="SRR14632929"/>
    <s v="SRR14632929.bam"/>
    <m/>
    <m/>
    <s v="LOB"/>
    <x v="72"/>
    <s v="Quercus lobata  Nee."/>
    <x v="18"/>
    <n v="1"/>
  </r>
  <r>
    <s v="SRR14632932"/>
    <s v="SRR14632932.bam"/>
    <m/>
    <m/>
    <s v="LOB"/>
    <x v="72"/>
    <s v="Quercus lobata  Nee."/>
    <x v="18"/>
    <n v="1"/>
  </r>
  <r>
    <s v="SRR14632934"/>
    <s v="SRR14632934.bam"/>
    <m/>
    <m/>
    <s v="LOB"/>
    <x v="72"/>
    <s v="Quercus lobata  Nee."/>
    <x v="18"/>
    <n v="1"/>
  </r>
  <r>
    <s v="SRR14632950"/>
    <s v="SRR14632950.bam"/>
    <m/>
    <m/>
    <s v="LOB"/>
    <x v="72"/>
    <s v="Quercus lobata  Nee."/>
    <x v="18"/>
    <n v="1"/>
  </r>
  <r>
    <s v="SRR14632955"/>
    <s v="SRR14632955.bam"/>
    <m/>
    <m/>
    <s v="LOB"/>
    <x v="72"/>
    <s v="Quercus lobata  Nee."/>
    <x v="18"/>
    <n v="1"/>
  </r>
  <r>
    <s v="SRR14632961"/>
    <s v="SRR14632961.bam"/>
    <m/>
    <m/>
    <s v="LOB"/>
    <x v="72"/>
    <s v="Quercus lobata  Nee."/>
    <x v="18"/>
    <n v="1"/>
  </r>
  <r>
    <s v="SRR14632964"/>
    <s v="SRR14632964.bam"/>
    <m/>
    <m/>
    <s v="LOB"/>
    <x v="72"/>
    <s v="Quercus lobata  Nee."/>
    <x v="18"/>
    <n v="1"/>
  </r>
  <r>
    <s v="SRR14632967"/>
    <s v="SRR14632967.bam"/>
    <m/>
    <m/>
    <s v="LOB"/>
    <x v="72"/>
    <s v="Quercus lobata  Nee."/>
    <x v="18"/>
    <n v="1"/>
  </r>
  <r>
    <s v="SRR14632968"/>
    <s v="SRR14632968.bam"/>
    <m/>
    <m/>
    <s v="LOB"/>
    <x v="72"/>
    <s v="Quercus lobata  Nee."/>
    <x v="18"/>
    <n v="1"/>
  </r>
  <r>
    <s v="SRR14632969"/>
    <s v="SRR14632969.bam"/>
    <m/>
    <m/>
    <s v="LOB"/>
    <x v="72"/>
    <s v="Quercus lobata  Nee."/>
    <x v="18"/>
    <n v="1"/>
  </r>
  <r>
    <s v="SRR14632970"/>
    <s v="SRR14632970.bam"/>
    <m/>
    <m/>
    <s v="LOB"/>
    <x v="72"/>
    <s v="Quercus lobata  Nee."/>
    <x v="18"/>
    <n v="1"/>
  </r>
  <r>
    <s v="SRR23696575"/>
    <s v="SRR23696575.bam"/>
    <m/>
    <m/>
    <s v="RUB"/>
    <x v="72"/>
    <s v="Quercus rubra L."/>
    <x v="19"/>
    <n v="1"/>
  </r>
  <r>
    <s v="SRR24768713"/>
    <s v="SRR24768713.bam"/>
    <m/>
    <m/>
    <s v="RUB"/>
    <x v="72"/>
    <s v="Quercus rubra L."/>
    <x v="19"/>
    <n v="1"/>
  </r>
  <r>
    <s v="SRR24768716"/>
    <s v="SRR24768716.bam"/>
    <m/>
    <m/>
    <s v="RUB"/>
    <x v="72"/>
    <s v="Quercus rubra L."/>
    <x v="19"/>
    <n v="1"/>
  </r>
  <r>
    <s v="SRR24768719"/>
    <s v="SRR24768719.bam"/>
    <m/>
    <m/>
    <s v="RUB"/>
    <x v="72"/>
    <s v="Quercus rubra L."/>
    <x v="19"/>
    <n v="1"/>
  </r>
  <r>
    <s v="SRR24768723"/>
    <s v="SRR24768723.bam"/>
    <m/>
    <m/>
    <s v="RUB"/>
    <x v="72"/>
    <s v="Quercus rubra L."/>
    <x v="19"/>
    <n v="1"/>
  </r>
  <r>
    <s v="SRR24768728"/>
    <s v="SRR24768728.bam"/>
    <m/>
    <m/>
    <s v="RUB"/>
    <x v="72"/>
    <s v="Quercus rubra L."/>
    <x v="19"/>
    <n v="1"/>
  </r>
  <r>
    <s v="SRR24768736"/>
    <s v="SRR24768736.bam"/>
    <m/>
    <m/>
    <s v="RUB"/>
    <x v="72"/>
    <s v="Quercus rubra L."/>
    <x v="19"/>
    <n v="1"/>
  </r>
  <r>
    <s v="SRR24768744"/>
    <s v="SRR24768744.bam"/>
    <m/>
    <m/>
    <s v="RUB"/>
    <x v="72"/>
    <s v="Quercus rubra L."/>
    <x v="19"/>
    <n v="1"/>
  </r>
  <r>
    <s v="SRR24768754"/>
    <s v="SRR24768754.bam"/>
    <m/>
    <m/>
    <s v="RUB"/>
    <x v="72"/>
    <s v="Quercus rubra L."/>
    <x v="19"/>
    <n v="1"/>
  </r>
  <r>
    <s v="SRR24768763"/>
    <s v="SRR24768763.bam"/>
    <m/>
    <m/>
    <s v="RUB"/>
    <x v="72"/>
    <s v="Quercus rubra L."/>
    <x v="19"/>
    <n v="1"/>
  </r>
  <r>
    <s v="SRR3244044"/>
    <s v="SRR3244044.bam"/>
    <m/>
    <m/>
    <s v="RUB"/>
    <x v="72"/>
    <s v="Quercus lobata  Nee."/>
    <x v="18"/>
    <n v="1"/>
  </r>
  <r>
    <m/>
    <m/>
    <m/>
    <m/>
    <m/>
    <x v="72"/>
    <m/>
    <x v="2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EDD0E7-F6F2-4241-A799-240AE8C7955F}"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W76" firstHeaderRow="1" firstDataRow="2" firstDataCol="1"/>
  <pivotFields count="9">
    <pivotField showAll="0"/>
    <pivotField showAll="0"/>
    <pivotField showAll="0"/>
    <pivotField showAll="0"/>
    <pivotField showAll="0"/>
    <pivotField axis="axisRow" showAll="0">
      <items count="74">
        <item x="0"/>
        <item x="1"/>
        <item x="2"/>
        <item x="3"/>
        <item x="4"/>
        <item x="5"/>
        <item x="6"/>
        <item x="7"/>
        <item x="8"/>
        <item x="9"/>
        <item x="15"/>
        <item x="10"/>
        <item x="11"/>
        <item x="12"/>
        <item x="13"/>
        <item x="14"/>
        <item x="16"/>
        <item x="17"/>
        <item x="20"/>
        <item x="19"/>
        <item x="18"/>
        <item x="21"/>
        <item x="22"/>
        <item x="23"/>
        <item x="24"/>
        <item x="25"/>
        <item x="26"/>
        <item x="27"/>
        <item x="28"/>
        <item x="29"/>
        <item x="30"/>
        <item x="33"/>
        <item x="32"/>
        <item x="31"/>
        <item x="34"/>
        <item x="36"/>
        <item x="35"/>
        <item x="37"/>
        <item x="39"/>
        <item x="38"/>
        <item x="40"/>
        <item x="41"/>
        <item x="47"/>
        <item x="42"/>
        <item x="43"/>
        <item x="44"/>
        <item x="45"/>
        <item x="46"/>
        <item x="48"/>
        <item x="49"/>
        <item x="50"/>
        <item x="51"/>
        <item x="52"/>
        <item x="56"/>
        <item x="53"/>
        <item x="55"/>
        <item x="54"/>
        <item x="59"/>
        <item x="57"/>
        <item x="58"/>
        <item x="60"/>
        <item x="61"/>
        <item x="62"/>
        <item x="63"/>
        <item x="64"/>
        <item x="65"/>
        <item x="66"/>
        <item x="67"/>
        <item x="68"/>
        <item x="71"/>
        <item x="69"/>
        <item x="70"/>
        <item x="72"/>
        <item t="default"/>
      </items>
    </pivotField>
    <pivotField showAll="0"/>
    <pivotField axis="axisCol" showAll="0">
      <items count="22">
        <item x="14"/>
        <item x="15"/>
        <item x="3"/>
        <item x="13"/>
        <item x="12"/>
        <item x="9"/>
        <item x="5"/>
        <item x="8"/>
        <item x="18"/>
        <item x="0"/>
        <item x="7"/>
        <item x="11"/>
        <item x="1"/>
        <item x="16"/>
        <item x="6"/>
        <item x="4"/>
        <item x="10"/>
        <item x="19"/>
        <item x="17"/>
        <item x="2"/>
        <item x="20"/>
        <item t="default"/>
      </items>
    </pivotField>
    <pivotField dataField="1" showAll="0"/>
  </pivotFields>
  <rowFields count="1">
    <field x="5"/>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Fields count="1">
    <field x="7"/>
  </colFields>
  <colItems count="22">
    <i>
      <x/>
    </i>
    <i>
      <x v="1"/>
    </i>
    <i>
      <x v="2"/>
    </i>
    <i>
      <x v="3"/>
    </i>
    <i>
      <x v="4"/>
    </i>
    <i>
      <x v="5"/>
    </i>
    <i>
      <x v="6"/>
    </i>
    <i>
      <x v="7"/>
    </i>
    <i>
      <x v="8"/>
    </i>
    <i>
      <x v="9"/>
    </i>
    <i>
      <x v="10"/>
    </i>
    <i>
      <x v="11"/>
    </i>
    <i>
      <x v="12"/>
    </i>
    <i>
      <x v="13"/>
    </i>
    <i>
      <x v="14"/>
    </i>
    <i>
      <x v="15"/>
    </i>
    <i>
      <x v="16"/>
    </i>
    <i>
      <x v="17"/>
    </i>
    <i>
      <x v="18"/>
    </i>
    <i>
      <x v="19"/>
    </i>
    <i>
      <x v="20"/>
    </i>
    <i t="grand">
      <x/>
    </i>
  </colItems>
  <dataFields count="1">
    <dataField name="Sum of count" fld="8" baseField="0" baseItem="0"/>
  </dataFields>
  <formats count="11">
    <format dxfId="10">
      <pivotArea type="all" dataOnly="0" outline="0" fieldPosition="0"/>
    </format>
    <format dxfId="9">
      <pivotArea outline="0" collapsedLevelsAreSubtotals="1" fieldPosition="0"/>
    </format>
    <format dxfId="8">
      <pivotArea type="origin" dataOnly="0" labelOnly="1" outline="0" fieldPosition="0"/>
    </format>
    <format dxfId="7">
      <pivotArea field="7" type="button" dataOnly="0" labelOnly="1" outline="0" axis="axisCol" fieldPosition="0"/>
    </format>
    <format dxfId="6">
      <pivotArea type="topRight" dataOnly="0" labelOnly="1" outline="0" fieldPosition="0"/>
    </format>
    <format dxfId="5">
      <pivotArea field="5" type="button" dataOnly="0" labelOnly="1" outline="0" axis="axisRow" fieldPosition="0"/>
    </format>
    <format dxfId="4">
      <pivotArea dataOnly="0" labelOnly="1"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
      <pivotArea dataOnly="0" labelOnly="1" fieldPosition="0">
        <references count="1">
          <reference field="5" count="23">
            <x v="50"/>
            <x v="51"/>
            <x v="52"/>
            <x v="53"/>
            <x v="54"/>
            <x v="55"/>
            <x v="56"/>
            <x v="57"/>
            <x v="58"/>
            <x v="59"/>
            <x v="60"/>
            <x v="61"/>
            <x v="62"/>
            <x v="63"/>
            <x v="64"/>
            <x v="65"/>
            <x v="66"/>
            <x v="67"/>
            <x v="68"/>
            <x v="69"/>
            <x v="70"/>
            <x v="71"/>
            <x v="72"/>
          </reference>
        </references>
      </pivotArea>
    </format>
    <format dxfId="2">
      <pivotArea dataOnly="0" labelOnly="1" grandRow="1" outline="0" fieldPosition="0"/>
    </format>
    <format dxfId="1">
      <pivotArea dataOnly="0" labelOnly="1" fieldPosition="0">
        <references count="1">
          <reference field="7"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2"/>
  <sheetViews>
    <sheetView topLeftCell="A49" workbookViewId="0">
      <selection activeCell="F49" sqref="F1:F1048576"/>
    </sheetView>
  </sheetViews>
  <sheetFormatPr defaultRowHeight="14.6" x14ac:dyDescent="0.4"/>
  <cols>
    <col min="1" max="1" width="22" bestFit="1" customWidth="1"/>
    <col min="2" max="2" width="11.53515625" bestFit="1" customWidth="1"/>
    <col min="3" max="3" width="72.4609375" bestFit="1" customWidth="1"/>
    <col min="4" max="4" width="17.23046875" bestFit="1" customWidth="1"/>
    <col min="5" max="5" width="5.69140625" bestFit="1" customWidth="1"/>
    <col min="6" max="8" width="2" bestFit="1" customWidth="1"/>
  </cols>
  <sheetData>
    <row r="1" spans="1:6" x14ac:dyDescent="0.4">
      <c r="A1" t="s">
        <v>16</v>
      </c>
      <c r="B1" t="s">
        <v>17</v>
      </c>
      <c r="C1" t="s">
        <v>19</v>
      </c>
      <c r="D1" t="s">
        <v>3</v>
      </c>
      <c r="F1" t="s">
        <v>2559</v>
      </c>
    </row>
    <row r="2" spans="1:6" x14ac:dyDescent="0.4">
      <c r="A2" t="s">
        <v>36</v>
      </c>
      <c r="B2" t="s">
        <v>37</v>
      </c>
      <c r="C2" t="s">
        <v>39</v>
      </c>
      <c r="D2" t="s">
        <v>2405</v>
      </c>
      <c r="E2" t="s">
        <v>2401</v>
      </c>
      <c r="F2" t="str">
        <f t="shared" ref="F2:F33" si="0">_xlfn.CONCAT(D2,"_",E2)</f>
        <v>AR_BRP</v>
      </c>
    </row>
    <row r="3" spans="1:6" x14ac:dyDescent="0.4">
      <c r="A3" t="s">
        <v>116</v>
      </c>
      <c r="B3" t="s">
        <v>117</v>
      </c>
      <c r="C3" t="s">
        <v>118</v>
      </c>
      <c r="D3" t="s">
        <v>2406</v>
      </c>
      <c r="E3" t="s">
        <v>2402</v>
      </c>
      <c r="F3" t="str">
        <f t="shared" si="0"/>
        <v>IA_BSP</v>
      </c>
    </row>
    <row r="4" spans="1:6" x14ac:dyDescent="0.4">
      <c r="A4" t="s">
        <v>116</v>
      </c>
      <c r="B4" t="s">
        <v>134</v>
      </c>
      <c r="C4" t="s">
        <v>135</v>
      </c>
      <c r="D4" t="s">
        <v>2406</v>
      </c>
      <c r="E4" t="s">
        <v>2403</v>
      </c>
      <c r="F4" t="str">
        <f t="shared" si="0"/>
        <v>IA_CHP</v>
      </c>
    </row>
    <row r="5" spans="1:6" x14ac:dyDescent="0.4">
      <c r="A5" t="s">
        <v>116</v>
      </c>
      <c r="B5" t="s">
        <v>156</v>
      </c>
      <c r="C5" t="s">
        <v>157</v>
      </c>
      <c r="D5" t="s">
        <v>2406</v>
      </c>
      <c r="E5" t="s">
        <v>2404</v>
      </c>
      <c r="F5" t="str">
        <f t="shared" si="0"/>
        <v>IA_LNW</v>
      </c>
    </row>
    <row r="6" spans="1:6" x14ac:dyDescent="0.4">
      <c r="A6" t="s">
        <v>204</v>
      </c>
      <c r="B6" t="s">
        <v>205</v>
      </c>
      <c r="C6" t="s">
        <v>207</v>
      </c>
      <c r="D6" t="s">
        <v>2407</v>
      </c>
      <c r="E6" t="s">
        <v>2408</v>
      </c>
      <c r="F6" t="str">
        <f t="shared" si="0"/>
        <v>IL_CHB</v>
      </c>
    </row>
    <row r="7" spans="1:6" x14ac:dyDescent="0.4">
      <c r="A7" t="s">
        <v>204</v>
      </c>
      <c r="B7" t="s">
        <v>242</v>
      </c>
      <c r="C7" t="s">
        <v>243</v>
      </c>
      <c r="D7" t="s">
        <v>2407</v>
      </c>
      <c r="E7" t="s">
        <v>2409</v>
      </c>
      <c r="F7" t="str">
        <f t="shared" si="0"/>
        <v>IL_HP</v>
      </c>
    </row>
    <row r="8" spans="1:6" x14ac:dyDescent="0.4">
      <c r="A8" t="s">
        <v>204</v>
      </c>
      <c r="B8" t="s">
        <v>258</v>
      </c>
      <c r="C8" t="s">
        <v>259</v>
      </c>
      <c r="D8" t="s">
        <v>2407</v>
      </c>
      <c r="E8" t="s">
        <v>2410</v>
      </c>
      <c r="F8" t="str">
        <f t="shared" si="0"/>
        <v>IL_MOR</v>
      </c>
    </row>
    <row r="9" spans="1:6" x14ac:dyDescent="0.4">
      <c r="A9" t="s">
        <v>204</v>
      </c>
      <c r="B9" t="s">
        <v>314</v>
      </c>
      <c r="C9" t="s">
        <v>315</v>
      </c>
      <c r="D9" t="s">
        <v>2407</v>
      </c>
      <c r="E9" t="s">
        <v>2411</v>
      </c>
      <c r="F9" t="str">
        <f t="shared" si="0"/>
        <v>IL_OB</v>
      </c>
    </row>
    <row r="10" spans="1:6" x14ac:dyDescent="0.4">
      <c r="A10" t="s">
        <v>204</v>
      </c>
      <c r="B10" t="s">
        <v>350</v>
      </c>
      <c r="C10" t="s">
        <v>351</v>
      </c>
      <c r="D10" t="s">
        <v>2407</v>
      </c>
      <c r="E10" t="s">
        <v>2412</v>
      </c>
      <c r="F10" t="str">
        <f t="shared" si="0"/>
        <v>IL_RCA</v>
      </c>
    </row>
    <row r="11" spans="1:6" x14ac:dyDescent="0.4">
      <c r="A11" t="s">
        <v>399</v>
      </c>
      <c r="B11" t="s">
        <v>400</v>
      </c>
      <c r="C11" t="s">
        <v>401</v>
      </c>
      <c r="D11" t="s">
        <v>2413</v>
      </c>
      <c r="E11" t="s">
        <v>2414</v>
      </c>
      <c r="F11" t="str">
        <f t="shared" si="0"/>
        <v>IN_BLR</v>
      </c>
    </row>
    <row r="12" spans="1:6" x14ac:dyDescent="0.4">
      <c r="A12" t="s">
        <v>399</v>
      </c>
      <c r="B12" t="s">
        <v>400</v>
      </c>
      <c r="C12" t="s">
        <v>408</v>
      </c>
      <c r="D12" t="s">
        <v>2413</v>
      </c>
      <c r="E12" t="s">
        <v>2415</v>
      </c>
      <c r="F12" t="str">
        <f t="shared" si="0"/>
        <v>IN_GRL</v>
      </c>
    </row>
    <row r="13" spans="1:6" x14ac:dyDescent="0.4">
      <c r="A13" t="s">
        <v>399</v>
      </c>
      <c r="B13" t="s">
        <v>400</v>
      </c>
      <c r="C13" t="s">
        <v>424</v>
      </c>
      <c r="D13" t="s">
        <v>2413</v>
      </c>
      <c r="E13" t="s">
        <v>2416</v>
      </c>
      <c r="F13" t="str">
        <f t="shared" si="0"/>
        <v>IN_IUC</v>
      </c>
    </row>
    <row r="14" spans="1:6" x14ac:dyDescent="0.4">
      <c r="A14" t="s">
        <v>399</v>
      </c>
      <c r="B14" t="s">
        <v>400</v>
      </c>
      <c r="C14" t="s">
        <v>428</v>
      </c>
      <c r="D14" t="s">
        <v>2413</v>
      </c>
      <c r="E14" t="s">
        <v>2417</v>
      </c>
      <c r="F14" t="str">
        <f t="shared" si="0"/>
        <v>IN_LCP</v>
      </c>
    </row>
    <row r="15" spans="1:6" x14ac:dyDescent="0.4">
      <c r="A15" t="s">
        <v>399</v>
      </c>
      <c r="B15" t="s">
        <v>450</v>
      </c>
      <c r="C15" t="s">
        <v>451</v>
      </c>
      <c r="D15" t="s">
        <v>2413</v>
      </c>
      <c r="E15" t="s">
        <v>2418</v>
      </c>
      <c r="F15" t="str">
        <f t="shared" si="0"/>
        <v>IN_MWT</v>
      </c>
    </row>
    <row r="16" spans="1:6" x14ac:dyDescent="0.4">
      <c r="A16" t="s">
        <v>399</v>
      </c>
      <c r="B16" t="s">
        <v>482</v>
      </c>
      <c r="C16" t="s">
        <v>483</v>
      </c>
      <c r="D16" t="s">
        <v>2413</v>
      </c>
      <c r="E16" t="s">
        <v>2419</v>
      </c>
      <c r="F16" t="str">
        <f t="shared" si="0"/>
        <v>IN_TYL</v>
      </c>
    </row>
    <row r="17" spans="1:6" x14ac:dyDescent="0.4">
      <c r="A17" t="s">
        <v>399</v>
      </c>
      <c r="B17" t="s">
        <v>350</v>
      </c>
      <c r="C17" t="s">
        <v>527</v>
      </c>
      <c r="D17" t="s">
        <v>2413</v>
      </c>
      <c r="E17" t="s">
        <v>2487</v>
      </c>
      <c r="F17" t="str">
        <f t="shared" si="0"/>
        <v>IN_BOW</v>
      </c>
    </row>
    <row r="18" spans="1:6" x14ac:dyDescent="0.4">
      <c r="A18" t="s">
        <v>560</v>
      </c>
      <c r="B18" t="s">
        <v>561</v>
      </c>
      <c r="C18" t="s">
        <v>562</v>
      </c>
      <c r="D18" t="s">
        <v>2472</v>
      </c>
      <c r="E18" t="s">
        <v>2473</v>
      </c>
      <c r="F18" t="str">
        <f t="shared" si="0"/>
        <v>SD_CSP</v>
      </c>
    </row>
    <row r="19" spans="1:6" x14ac:dyDescent="0.4">
      <c r="A19" t="s">
        <v>560</v>
      </c>
      <c r="B19" t="s">
        <v>592</v>
      </c>
      <c r="C19" t="s">
        <v>593</v>
      </c>
      <c r="D19" t="s">
        <v>2472</v>
      </c>
      <c r="E19" t="s">
        <v>2474</v>
      </c>
      <c r="F19" t="str">
        <f t="shared" si="0"/>
        <v>SD_SPF</v>
      </c>
    </row>
    <row r="20" spans="1:6" x14ac:dyDescent="0.4">
      <c r="A20" t="s">
        <v>634</v>
      </c>
      <c r="B20" t="s">
        <v>242</v>
      </c>
      <c r="C20" t="s">
        <v>635</v>
      </c>
      <c r="D20" t="s">
        <v>2420</v>
      </c>
      <c r="E20" t="s">
        <v>2421</v>
      </c>
      <c r="F20" t="str">
        <f t="shared" si="0"/>
        <v>KS_KCP</v>
      </c>
    </row>
    <row r="21" spans="1:6" x14ac:dyDescent="0.4">
      <c r="A21" t="s">
        <v>634</v>
      </c>
      <c r="B21" t="s">
        <v>642</v>
      </c>
      <c r="C21" t="s">
        <v>643</v>
      </c>
      <c r="D21" t="s">
        <v>2420</v>
      </c>
      <c r="E21" t="s">
        <v>2422</v>
      </c>
      <c r="F21" t="str">
        <f t="shared" si="0"/>
        <v>KS_KZP</v>
      </c>
    </row>
    <row r="22" spans="1:6" x14ac:dyDescent="0.4">
      <c r="A22" t="s">
        <v>634</v>
      </c>
      <c r="B22" t="s">
        <v>242</v>
      </c>
      <c r="C22" t="s">
        <v>674</v>
      </c>
      <c r="D22" t="s">
        <v>2420</v>
      </c>
      <c r="E22" t="s">
        <v>2423</v>
      </c>
      <c r="F22" t="str">
        <f t="shared" si="0"/>
        <v>KS_SMP</v>
      </c>
    </row>
    <row r="23" spans="1:6" x14ac:dyDescent="0.4">
      <c r="A23" t="s">
        <v>737</v>
      </c>
      <c r="B23" t="s">
        <v>738</v>
      </c>
      <c r="C23" t="s">
        <v>739</v>
      </c>
      <c r="D23" t="s">
        <v>2424</v>
      </c>
      <c r="E23" t="s">
        <v>2425</v>
      </c>
      <c r="F23" t="str">
        <f t="shared" si="0"/>
        <v>KY_ASF</v>
      </c>
    </row>
    <row r="24" spans="1:6" x14ac:dyDescent="0.4">
      <c r="A24" t="s">
        <v>737</v>
      </c>
      <c r="B24" t="s">
        <v>738</v>
      </c>
      <c r="C24" t="s">
        <v>771</v>
      </c>
      <c r="D24" t="s">
        <v>2424</v>
      </c>
      <c r="E24" t="s">
        <v>2426</v>
      </c>
      <c r="F24" t="str">
        <f t="shared" si="0"/>
        <v>KY_BBF</v>
      </c>
    </row>
    <row r="25" spans="1:6" x14ac:dyDescent="0.4">
      <c r="A25" t="s">
        <v>737</v>
      </c>
      <c r="B25" t="s">
        <v>738</v>
      </c>
      <c r="C25" t="s">
        <v>802</v>
      </c>
      <c r="D25" t="s">
        <v>2424</v>
      </c>
      <c r="E25" t="s">
        <v>2427</v>
      </c>
      <c r="F25" t="str">
        <f t="shared" si="0"/>
        <v>KY_CSW</v>
      </c>
    </row>
    <row r="26" spans="1:6" x14ac:dyDescent="0.4">
      <c r="A26" t="s">
        <v>737</v>
      </c>
      <c r="B26" t="s">
        <v>813</v>
      </c>
      <c r="C26" t="s">
        <v>814</v>
      </c>
      <c r="D26" t="s">
        <v>2424</v>
      </c>
      <c r="E26" t="s">
        <v>2428</v>
      </c>
      <c r="F26" t="str">
        <f t="shared" si="0"/>
        <v>KY_GRF</v>
      </c>
    </row>
    <row r="27" spans="1:6" x14ac:dyDescent="0.4">
      <c r="A27" t="s">
        <v>737</v>
      </c>
      <c r="B27" t="s">
        <v>813</v>
      </c>
      <c r="C27" t="s">
        <v>832</v>
      </c>
      <c r="D27" t="s">
        <v>2424</v>
      </c>
      <c r="E27" t="s">
        <v>2429</v>
      </c>
      <c r="F27" t="str">
        <f t="shared" si="0"/>
        <v>KY_JJA</v>
      </c>
    </row>
    <row r="28" spans="1:6" x14ac:dyDescent="0.4">
      <c r="A28" t="s">
        <v>737</v>
      </c>
      <c r="B28" t="s">
        <v>738</v>
      </c>
      <c r="C28" t="s">
        <v>883</v>
      </c>
      <c r="D28" t="s">
        <v>2424</v>
      </c>
      <c r="E28" t="s">
        <v>2430</v>
      </c>
      <c r="F28" t="str">
        <f t="shared" si="0"/>
        <v>KY_LXC</v>
      </c>
    </row>
    <row r="29" spans="1:6" x14ac:dyDescent="0.4">
      <c r="A29" t="s">
        <v>896</v>
      </c>
      <c r="B29" t="s">
        <v>897</v>
      </c>
      <c r="C29" t="s">
        <v>898</v>
      </c>
      <c r="D29" t="s">
        <v>2431</v>
      </c>
      <c r="E29" t="s">
        <v>2432</v>
      </c>
      <c r="F29" t="str">
        <f t="shared" si="0"/>
        <v>MA_BTC</v>
      </c>
    </row>
    <row r="30" spans="1:6" x14ac:dyDescent="0.4">
      <c r="A30" t="s">
        <v>896</v>
      </c>
      <c r="B30" t="s">
        <v>897</v>
      </c>
      <c r="C30" t="s">
        <v>923</v>
      </c>
      <c r="D30" t="s">
        <v>2431</v>
      </c>
      <c r="E30" t="s">
        <v>2433</v>
      </c>
      <c r="F30" t="str">
        <f t="shared" si="0"/>
        <v>MA_LKN</v>
      </c>
    </row>
    <row r="31" spans="1:6" x14ac:dyDescent="0.4">
      <c r="A31" t="s">
        <v>896</v>
      </c>
      <c r="B31" t="s">
        <v>897</v>
      </c>
      <c r="C31" t="s">
        <v>936</v>
      </c>
      <c r="D31" t="s">
        <v>2431</v>
      </c>
      <c r="E31" t="s">
        <v>2434</v>
      </c>
      <c r="F31" t="str">
        <f t="shared" si="0"/>
        <v>MA_NMK</v>
      </c>
    </row>
    <row r="32" spans="1:6" x14ac:dyDescent="0.4">
      <c r="A32" t="s">
        <v>896</v>
      </c>
      <c r="B32" t="s">
        <v>897</v>
      </c>
      <c r="C32" t="s">
        <v>952</v>
      </c>
      <c r="D32" t="s">
        <v>2431</v>
      </c>
      <c r="E32" t="s">
        <v>2435</v>
      </c>
      <c r="F32" t="str">
        <f t="shared" si="0"/>
        <v>MA_SBF</v>
      </c>
    </row>
    <row r="33" spans="1:6" x14ac:dyDescent="0.4">
      <c r="A33" t="s">
        <v>973</v>
      </c>
      <c r="C33" t="s">
        <v>974</v>
      </c>
      <c r="D33" t="s">
        <v>2476</v>
      </c>
      <c r="E33" t="s">
        <v>2475</v>
      </c>
      <c r="F33" t="str">
        <f t="shared" si="0"/>
        <v>MB_WPP</v>
      </c>
    </row>
    <row r="34" spans="1:6" x14ac:dyDescent="0.4">
      <c r="A34" t="s">
        <v>973</v>
      </c>
      <c r="C34" t="s">
        <v>1007</v>
      </c>
      <c r="D34" t="s">
        <v>2476</v>
      </c>
      <c r="E34" t="s">
        <v>2477</v>
      </c>
      <c r="F34" t="str">
        <f t="shared" ref="F34:F65" si="1">_xlfn.CONCAT(D34,"_",E34)</f>
        <v>MB_SWP</v>
      </c>
    </row>
    <row r="35" spans="1:6" x14ac:dyDescent="0.4">
      <c r="A35" t="s">
        <v>973</v>
      </c>
      <c r="C35" t="s">
        <v>1043</v>
      </c>
      <c r="D35" t="s">
        <v>2476</v>
      </c>
      <c r="E35" t="s">
        <v>2425</v>
      </c>
      <c r="F35" t="str">
        <f t="shared" si="1"/>
        <v>MB_ASF</v>
      </c>
    </row>
    <row r="36" spans="1:6" x14ac:dyDescent="0.4">
      <c r="A36" t="s">
        <v>1082</v>
      </c>
      <c r="B36" t="s">
        <v>1083</v>
      </c>
      <c r="C36" t="s">
        <v>1084</v>
      </c>
      <c r="D36" t="s">
        <v>2457</v>
      </c>
      <c r="E36" t="s">
        <v>2458</v>
      </c>
      <c r="F36" t="str">
        <f t="shared" si="1"/>
        <v>OK_RRC</v>
      </c>
    </row>
    <row r="37" spans="1:6" x14ac:dyDescent="0.4">
      <c r="A37" t="s">
        <v>1089</v>
      </c>
      <c r="B37" t="s">
        <v>1090</v>
      </c>
      <c r="C37" t="s">
        <v>1091</v>
      </c>
      <c r="D37" t="s">
        <v>2436</v>
      </c>
      <c r="E37" t="s">
        <v>2437</v>
      </c>
      <c r="F37" t="str">
        <f t="shared" si="1"/>
        <v>MI_LLP</v>
      </c>
    </row>
    <row r="38" spans="1:6" x14ac:dyDescent="0.4">
      <c r="A38" t="s">
        <v>1089</v>
      </c>
      <c r="B38" t="s">
        <v>1125</v>
      </c>
      <c r="C38" t="s">
        <v>1126</v>
      </c>
      <c r="D38" t="s">
        <v>2436</v>
      </c>
      <c r="E38" t="s">
        <v>2438</v>
      </c>
      <c r="F38" t="str">
        <f t="shared" si="1"/>
        <v>MI_PRA</v>
      </c>
    </row>
    <row r="39" spans="1:6" x14ac:dyDescent="0.4">
      <c r="A39" t="s">
        <v>1089</v>
      </c>
      <c r="B39" t="s">
        <v>1186</v>
      </c>
      <c r="C39" t="s">
        <v>1187</v>
      </c>
      <c r="D39" t="s">
        <v>2436</v>
      </c>
      <c r="E39" t="s">
        <v>2478</v>
      </c>
      <c r="F39" t="str">
        <f t="shared" si="1"/>
        <v>MI_PCP</v>
      </c>
    </row>
    <row r="40" spans="1:6" x14ac:dyDescent="0.4">
      <c r="A40" t="s">
        <v>634</v>
      </c>
      <c r="B40" t="s">
        <v>1226</v>
      </c>
      <c r="C40" t="s">
        <v>1227</v>
      </c>
      <c r="D40" t="s">
        <v>2420</v>
      </c>
      <c r="E40" t="s">
        <v>2479</v>
      </c>
      <c r="F40" t="str">
        <f t="shared" si="1"/>
        <v>KS_MPR</v>
      </c>
    </row>
    <row r="41" spans="1:6" x14ac:dyDescent="0.4">
      <c r="A41" t="s">
        <v>1260</v>
      </c>
      <c r="B41" t="s">
        <v>1261</v>
      </c>
      <c r="C41" t="s">
        <v>1262</v>
      </c>
      <c r="D41" t="s">
        <v>2439</v>
      </c>
      <c r="E41" t="s">
        <v>2440</v>
      </c>
      <c r="F41" t="str">
        <f t="shared" si="1"/>
        <v>MN_CDR</v>
      </c>
    </row>
    <row r="42" spans="1:6" x14ac:dyDescent="0.4">
      <c r="A42" t="s">
        <v>1260</v>
      </c>
      <c r="B42" t="s">
        <v>1293</v>
      </c>
      <c r="C42" t="s">
        <v>1294</v>
      </c>
      <c r="D42" t="s">
        <v>2439</v>
      </c>
      <c r="E42" t="s">
        <v>2441</v>
      </c>
      <c r="F42" t="str">
        <f t="shared" si="1"/>
        <v>MN_PMN</v>
      </c>
    </row>
    <row r="43" spans="1:6" x14ac:dyDescent="0.4">
      <c r="A43" t="s">
        <v>1260</v>
      </c>
      <c r="B43" t="s">
        <v>1320</v>
      </c>
      <c r="C43" t="s">
        <v>1321</v>
      </c>
      <c r="D43" t="s">
        <v>2439</v>
      </c>
      <c r="E43" t="s">
        <v>2480</v>
      </c>
      <c r="F43" t="str">
        <f t="shared" si="1"/>
        <v>MN_OTB</v>
      </c>
    </row>
    <row r="44" spans="1:6" x14ac:dyDescent="0.4">
      <c r="A44" t="s">
        <v>1387</v>
      </c>
      <c r="B44" t="s">
        <v>1388</v>
      </c>
      <c r="C44" t="s">
        <v>1389</v>
      </c>
      <c r="D44" t="s">
        <v>2442</v>
      </c>
      <c r="E44" t="s">
        <v>2443</v>
      </c>
      <c r="F44" t="str">
        <f t="shared" si="1"/>
        <v>MO_BOT</v>
      </c>
    </row>
    <row r="45" spans="1:6" x14ac:dyDescent="0.4">
      <c r="A45" t="s">
        <v>1387</v>
      </c>
      <c r="B45" t="s">
        <v>1439</v>
      </c>
      <c r="C45" t="s">
        <v>802</v>
      </c>
      <c r="D45" t="s">
        <v>2442</v>
      </c>
      <c r="E45" t="s">
        <v>2427</v>
      </c>
      <c r="F45" t="str">
        <f t="shared" si="1"/>
        <v>MO_CSW</v>
      </c>
    </row>
    <row r="46" spans="1:6" x14ac:dyDescent="0.4">
      <c r="A46" t="s">
        <v>1387</v>
      </c>
      <c r="B46" t="s">
        <v>1449</v>
      </c>
      <c r="C46" t="s">
        <v>1450</v>
      </c>
      <c r="D46" t="s">
        <v>2442</v>
      </c>
      <c r="E46" t="s">
        <v>2444</v>
      </c>
      <c r="F46" t="str">
        <f t="shared" si="1"/>
        <v>MO_HHT</v>
      </c>
    </row>
    <row r="47" spans="1:6" x14ac:dyDescent="0.4">
      <c r="A47" t="s">
        <v>1387</v>
      </c>
      <c r="B47" t="s">
        <v>1494</v>
      </c>
      <c r="C47" t="s">
        <v>1495</v>
      </c>
      <c r="D47" t="s">
        <v>2442</v>
      </c>
      <c r="E47" t="s">
        <v>2445</v>
      </c>
      <c r="F47" t="str">
        <f t="shared" si="1"/>
        <v>MO_PSP</v>
      </c>
    </row>
    <row r="48" spans="1:6" x14ac:dyDescent="0.4">
      <c r="A48" t="s">
        <v>1387</v>
      </c>
      <c r="B48" t="s">
        <v>1522</v>
      </c>
      <c r="C48" t="s">
        <v>1523</v>
      </c>
      <c r="D48" t="s">
        <v>2442</v>
      </c>
      <c r="E48" t="s">
        <v>2446</v>
      </c>
      <c r="F48" t="str">
        <f t="shared" si="1"/>
        <v>MO_SH</v>
      </c>
    </row>
    <row r="49" spans="1:6" x14ac:dyDescent="0.4">
      <c r="A49" t="s">
        <v>1387</v>
      </c>
      <c r="B49" t="s">
        <v>1439</v>
      </c>
      <c r="C49" t="s">
        <v>1585</v>
      </c>
      <c r="D49" t="s">
        <v>2442</v>
      </c>
      <c r="E49" t="s">
        <v>2447</v>
      </c>
      <c r="F49" t="str">
        <f t="shared" si="1"/>
        <v>MO_TRC</v>
      </c>
    </row>
    <row r="50" spans="1:6" x14ac:dyDescent="0.4">
      <c r="A50" t="s">
        <v>1387</v>
      </c>
      <c r="B50" t="s">
        <v>1631</v>
      </c>
      <c r="C50" t="s">
        <v>1632</v>
      </c>
      <c r="D50" t="s">
        <v>2442</v>
      </c>
      <c r="E50" t="s">
        <v>2481</v>
      </c>
      <c r="F50" t="str">
        <f t="shared" si="1"/>
        <v>MO_BRA</v>
      </c>
    </row>
    <row r="51" spans="1:6" x14ac:dyDescent="0.4">
      <c r="A51" t="s">
        <v>1654</v>
      </c>
      <c r="B51" t="s">
        <v>1655</v>
      </c>
      <c r="C51" t="s">
        <v>1656</v>
      </c>
      <c r="D51" t="s">
        <v>2448</v>
      </c>
      <c r="E51" t="s">
        <v>2449</v>
      </c>
      <c r="F51" t="str">
        <f t="shared" si="1"/>
        <v>NY_APB</v>
      </c>
    </row>
    <row r="52" spans="1:6" x14ac:dyDescent="0.4">
      <c r="A52" t="s">
        <v>1654</v>
      </c>
      <c r="B52" t="s">
        <v>1685</v>
      </c>
      <c r="C52" t="s">
        <v>1686</v>
      </c>
      <c r="D52" t="s">
        <v>2448</v>
      </c>
      <c r="E52" t="s">
        <v>2450</v>
      </c>
      <c r="F52" t="str">
        <f t="shared" si="1"/>
        <v>NY_BIP</v>
      </c>
    </row>
    <row r="53" spans="1:6" x14ac:dyDescent="0.4">
      <c r="A53" t="s">
        <v>1654</v>
      </c>
      <c r="B53" t="s">
        <v>1731</v>
      </c>
      <c r="C53" t="s">
        <v>1732</v>
      </c>
      <c r="D53" t="s">
        <v>2448</v>
      </c>
      <c r="E53" t="s">
        <v>2451</v>
      </c>
      <c r="F53" t="str">
        <f t="shared" si="1"/>
        <v>NY_BKF</v>
      </c>
    </row>
    <row r="54" spans="1:6" x14ac:dyDescent="0.4">
      <c r="A54" t="s">
        <v>1654</v>
      </c>
      <c r="B54" t="s">
        <v>1755</v>
      </c>
      <c r="C54" t="s">
        <v>1756</v>
      </c>
      <c r="D54" t="s">
        <v>2448</v>
      </c>
      <c r="E54" t="s">
        <v>2452</v>
      </c>
      <c r="F54" t="str">
        <f t="shared" si="1"/>
        <v>NY_CMB</v>
      </c>
    </row>
    <row r="55" spans="1:6" x14ac:dyDescent="0.4">
      <c r="A55" t="s">
        <v>1654</v>
      </c>
      <c r="B55" t="s">
        <v>1788</v>
      </c>
      <c r="C55" t="s">
        <v>1789</v>
      </c>
      <c r="D55" t="s">
        <v>2448</v>
      </c>
      <c r="E55" t="s">
        <v>2453</v>
      </c>
      <c r="F55" t="str">
        <f t="shared" si="1"/>
        <v>NY_SSP</v>
      </c>
    </row>
    <row r="56" spans="1:6" x14ac:dyDescent="0.4">
      <c r="A56" t="s">
        <v>1820</v>
      </c>
      <c r="B56" t="s">
        <v>1821</v>
      </c>
      <c r="C56" t="s">
        <v>1822</v>
      </c>
      <c r="D56" t="s">
        <v>2454</v>
      </c>
      <c r="E56" t="s">
        <v>2455</v>
      </c>
      <c r="F56" t="str">
        <f t="shared" si="1"/>
        <v>OH_GLW</v>
      </c>
    </row>
    <row r="57" spans="1:6" x14ac:dyDescent="0.4">
      <c r="A57" t="s">
        <v>1820</v>
      </c>
      <c r="B57" t="s">
        <v>1869</v>
      </c>
      <c r="C57" t="s">
        <v>1870</v>
      </c>
      <c r="D57" t="s">
        <v>2454</v>
      </c>
      <c r="E57" t="s">
        <v>2456</v>
      </c>
      <c r="F57" t="str">
        <f t="shared" si="1"/>
        <v>OH_STR</v>
      </c>
    </row>
    <row r="58" spans="1:6" x14ac:dyDescent="0.4">
      <c r="A58" t="s">
        <v>1820</v>
      </c>
      <c r="B58" t="s">
        <v>1893</v>
      </c>
      <c r="C58" t="s">
        <v>1894</v>
      </c>
      <c r="D58" t="s">
        <v>2454</v>
      </c>
      <c r="E58" t="s">
        <v>2482</v>
      </c>
      <c r="F58" t="str">
        <f t="shared" si="1"/>
        <v>OH_PKS</v>
      </c>
    </row>
    <row r="59" spans="1:6" x14ac:dyDescent="0.4">
      <c r="A59" t="s">
        <v>1820</v>
      </c>
      <c r="B59" t="s">
        <v>1926</v>
      </c>
      <c r="C59" t="s">
        <v>1927</v>
      </c>
      <c r="D59" t="s">
        <v>2454</v>
      </c>
      <c r="E59" t="s">
        <v>2483</v>
      </c>
      <c r="F59" t="str">
        <f t="shared" si="1"/>
        <v>OH_DPS</v>
      </c>
    </row>
    <row r="60" spans="1:6" x14ac:dyDescent="0.4">
      <c r="A60" t="s">
        <v>1082</v>
      </c>
      <c r="B60" t="s">
        <v>2006</v>
      </c>
      <c r="C60" t="s">
        <v>2007</v>
      </c>
      <c r="D60" t="s">
        <v>2457</v>
      </c>
      <c r="E60" t="s">
        <v>2459</v>
      </c>
      <c r="F60" t="str">
        <f t="shared" si="1"/>
        <v>OK_TGP</v>
      </c>
    </row>
    <row r="61" spans="1:6" x14ac:dyDescent="0.4">
      <c r="A61" t="s">
        <v>1082</v>
      </c>
      <c r="B61" t="s">
        <v>2048</v>
      </c>
      <c r="C61" t="s">
        <v>2049</v>
      </c>
      <c r="D61" t="s">
        <v>2457</v>
      </c>
      <c r="E61" t="s">
        <v>2484</v>
      </c>
      <c r="F61" t="str">
        <f t="shared" si="1"/>
        <v>OK_NOW</v>
      </c>
    </row>
    <row r="62" spans="1:6" x14ac:dyDescent="0.4">
      <c r="A62" t="s">
        <v>634</v>
      </c>
      <c r="B62" t="s">
        <v>2082</v>
      </c>
      <c r="C62" t="s">
        <v>2083</v>
      </c>
      <c r="D62" t="s">
        <v>2420</v>
      </c>
      <c r="E62" t="s">
        <v>2485</v>
      </c>
      <c r="F62" t="str">
        <f t="shared" si="1"/>
        <v>KS_LWP</v>
      </c>
    </row>
    <row r="63" spans="1:6" x14ac:dyDescent="0.4">
      <c r="A63" t="s">
        <v>2104</v>
      </c>
      <c r="B63" t="s">
        <v>2105</v>
      </c>
      <c r="C63" t="s">
        <v>2106</v>
      </c>
      <c r="D63" t="s">
        <v>2460</v>
      </c>
      <c r="E63" t="s">
        <v>2461</v>
      </c>
      <c r="F63" t="str">
        <f t="shared" si="1"/>
        <v>TN_BCP</v>
      </c>
    </row>
    <row r="64" spans="1:6" x14ac:dyDescent="0.4">
      <c r="A64" t="s">
        <v>2104</v>
      </c>
      <c r="B64" t="s">
        <v>2152</v>
      </c>
      <c r="C64" t="s">
        <v>2153</v>
      </c>
      <c r="D64" t="s">
        <v>2460</v>
      </c>
      <c r="E64" t="s">
        <v>2462</v>
      </c>
      <c r="F64" t="str">
        <f t="shared" si="1"/>
        <v>TN_CLP</v>
      </c>
    </row>
    <row r="65" spans="1:6" x14ac:dyDescent="0.4">
      <c r="A65" t="s">
        <v>2169</v>
      </c>
      <c r="B65" t="s">
        <v>2170</v>
      </c>
      <c r="C65" t="s">
        <v>2171</v>
      </c>
      <c r="D65" t="s">
        <v>2463</v>
      </c>
      <c r="E65" t="s">
        <v>2464</v>
      </c>
      <c r="F65" t="str">
        <f t="shared" si="1"/>
        <v>TX_BRZ</v>
      </c>
    </row>
    <row r="66" spans="1:6" x14ac:dyDescent="0.4">
      <c r="A66" t="s">
        <v>2169</v>
      </c>
      <c r="B66" t="s">
        <v>2197</v>
      </c>
      <c r="C66" t="s">
        <v>2198</v>
      </c>
      <c r="D66" t="s">
        <v>2463</v>
      </c>
      <c r="E66" t="s">
        <v>2403</v>
      </c>
      <c r="F66" t="str">
        <f t="shared" ref="F66:F72" si="2">_xlfn.CONCAT(D66,"_",E66)</f>
        <v>TX_CHP</v>
      </c>
    </row>
    <row r="67" spans="1:6" x14ac:dyDescent="0.4">
      <c r="A67" t="s">
        <v>2169</v>
      </c>
      <c r="B67" t="s">
        <v>2197</v>
      </c>
      <c r="C67" t="s">
        <v>2234</v>
      </c>
      <c r="D67" t="s">
        <v>2463</v>
      </c>
      <c r="E67" t="s">
        <v>2465</v>
      </c>
      <c r="F67" t="str">
        <f t="shared" si="2"/>
        <v>TX_PLM</v>
      </c>
    </row>
    <row r="68" spans="1:6" x14ac:dyDescent="0.4">
      <c r="A68" t="s">
        <v>2268</v>
      </c>
      <c r="B68" t="s">
        <v>2269</v>
      </c>
      <c r="C68" t="s">
        <v>2270</v>
      </c>
      <c r="D68" t="s">
        <v>2466</v>
      </c>
      <c r="E68" t="s">
        <v>2467</v>
      </c>
      <c r="F68" t="str">
        <f t="shared" si="2"/>
        <v>VT_DHT</v>
      </c>
    </row>
    <row r="69" spans="1:6" x14ac:dyDescent="0.4">
      <c r="A69" t="s">
        <v>2298</v>
      </c>
      <c r="B69" t="s">
        <v>2299</v>
      </c>
      <c r="C69" t="s">
        <v>2300</v>
      </c>
      <c r="D69" t="s">
        <v>2468</v>
      </c>
      <c r="E69" t="s">
        <v>2469</v>
      </c>
      <c r="F69" t="str">
        <f t="shared" si="2"/>
        <v>WI_PKL</v>
      </c>
    </row>
    <row r="70" spans="1:6" x14ac:dyDescent="0.4">
      <c r="A70" t="s">
        <v>2298</v>
      </c>
      <c r="B70" t="s">
        <v>116</v>
      </c>
      <c r="C70" t="s">
        <v>2328</v>
      </c>
      <c r="D70" t="s">
        <v>2468</v>
      </c>
      <c r="E70" t="s">
        <v>2470</v>
      </c>
      <c r="F70" t="str">
        <f t="shared" si="2"/>
        <v>WI_THB</v>
      </c>
    </row>
    <row r="71" spans="1:6" x14ac:dyDescent="0.4">
      <c r="A71" t="s">
        <v>2298</v>
      </c>
      <c r="B71" t="s">
        <v>2347</v>
      </c>
      <c r="C71" t="s">
        <v>2348</v>
      </c>
      <c r="D71" t="s">
        <v>2468</v>
      </c>
      <c r="E71" t="s">
        <v>2471</v>
      </c>
      <c r="F71" t="str">
        <f t="shared" si="2"/>
        <v>WI_WFS</v>
      </c>
    </row>
    <row r="72" spans="1:6" x14ac:dyDescent="0.4">
      <c r="A72" t="s">
        <v>2298</v>
      </c>
      <c r="B72" t="s">
        <v>2379</v>
      </c>
      <c r="C72" t="s">
        <v>2380</v>
      </c>
      <c r="D72" t="s">
        <v>2468</v>
      </c>
      <c r="E72" t="s">
        <v>2486</v>
      </c>
      <c r="F72" t="str">
        <f t="shared" si="2"/>
        <v>WI_RLF</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B2AAD-F5E4-4232-82C0-EC338E2AD175}">
  <dimension ref="A1:A72"/>
  <sheetViews>
    <sheetView topLeftCell="A13" workbookViewId="0">
      <selection activeCell="B1" sqref="B1"/>
    </sheetView>
  </sheetViews>
  <sheetFormatPr defaultRowHeight="14.6" x14ac:dyDescent="0.4"/>
  <cols>
    <col min="1" max="1" width="9.23046875" customWidth="1"/>
  </cols>
  <sheetData>
    <row r="1" spans="1:1" x14ac:dyDescent="0.4">
      <c r="A1" t="s">
        <v>2559</v>
      </c>
    </row>
    <row r="2" spans="1:1" x14ac:dyDescent="0.4">
      <c r="A2" t="s">
        <v>2488</v>
      </c>
    </row>
    <row r="3" spans="1:1" x14ac:dyDescent="0.4">
      <c r="A3" t="s">
        <v>2489</v>
      </c>
    </row>
    <row r="4" spans="1:1" x14ac:dyDescent="0.4">
      <c r="A4" t="s">
        <v>2490</v>
      </c>
    </row>
    <row r="5" spans="1:1" x14ac:dyDescent="0.4">
      <c r="A5" t="s">
        <v>2491</v>
      </c>
    </row>
    <row r="6" spans="1:1" x14ac:dyDescent="0.4">
      <c r="A6" t="s">
        <v>2492</v>
      </c>
    </row>
    <row r="7" spans="1:1" x14ac:dyDescent="0.4">
      <c r="A7" t="s">
        <v>2493</v>
      </c>
    </row>
    <row r="8" spans="1:1" x14ac:dyDescent="0.4">
      <c r="A8" t="s">
        <v>2494</v>
      </c>
    </row>
    <row r="9" spans="1:1" x14ac:dyDescent="0.4">
      <c r="A9" t="s">
        <v>2495</v>
      </c>
    </row>
    <row r="10" spans="1:1" x14ac:dyDescent="0.4">
      <c r="A10" t="s">
        <v>2496</v>
      </c>
    </row>
    <row r="11" spans="1:1" x14ac:dyDescent="0.4">
      <c r="A11" t="s">
        <v>2497</v>
      </c>
    </row>
    <row r="12" spans="1:1" x14ac:dyDescent="0.4">
      <c r="A12" t="s">
        <v>2498</v>
      </c>
    </row>
    <row r="13" spans="1:1" x14ac:dyDescent="0.4">
      <c r="A13" t="s">
        <v>2499</v>
      </c>
    </row>
    <row r="14" spans="1:1" x14ac:dyDescent="0.4">
      <c r="A14" t="s">
        <v>2500</v>
      </c>
    </row>
    <row r="15" spans="1:1" x14ac:dyDescent="0.4">
      <c r="A15" t="s">
        <v>2501</v>
      </c>
    </row>
    <row r="16" spans="1:1" x14ac:dyDescent="0.4">
      <c r="A16" t="s">
        <v>2502</v>
      </c>
    </row>
    <row r="17" spans="1:1" x14ac:dyDescent="0.4">
      <c r="A17" t="s">
        <v>2503</v>
      </c>
    </row>
    <row r="18" spans="1:1" x14ac:dyDescent="0.4">
      <c r="A18" t="s">
        <v>2504</v>
      </c>
    </row>
    <row r="19" spans="1:1" x14ac:dyDescent="0.4">
      <c r="A19" t="s">
        <v>2505</v>
      </c>
    </row>
    <row r="20" spans="1:1" x14ac:dyDescent="0.4">
      <c r="A20" t="s">
        <v>2506</v>
      </c>
    </row>
    <row r="21" spans="1:1" x14ac:dyDescent="0.4">
      <c r="A21" t="s">
        <v>2507</v>
      </c>
    </row>
    <row r="22" spans="1:1" x14ac:dyDescent="0.4">
      <c r="A22" t="s">
        <v>2508</v>
      </c>
    </row>
    <row r="23" spans="1:1" x14ac:dyDescent="0.4">
      <c r="A23" t="s">
        <v>2509</v>
      </c>
    </row>
    <row r="24" spans="1:1" x14ac:dyDescent="0.4">
      <c r="A24" t="s">
        <v>2510</v>
      </c>
    </row>
    <row r="25" spans="1:1" x14ac:dyDescent="0.4">
      <c r="A25" t="s">
        <v>2511</v>
      </c>
    </row>
    <row r="26" spans="1:1" x14ac:dyDescent="0.4">
      <c r="A26" t="s">
        <v>2512</v>
      </c>
    </row>
    <row r="27" spans="1:1" x14ac:dyDescent="0.4">
      <c r="A27" t="s">
        <v>2513</v>
      </c>
    </row>
    <row r="28" spans="1:1" x14ac:dyDescent="0.4">
      <c r="A28" t="s">
        <v>2514</v>
      </c>
    </row>
    <row r="29" spans="1:1" x14ac:dyDescent="0.4">
      <c r="A29" t="s">
        <v>2515</v>
      </c>
    </row>
    <row r="30" spans="1:1" x14ac:dyDescent="0.4">
      <c r="A30" t="s">
        <v>2516</v>
      </c>
    </row>
    <row r="31" spans="1:1" x14ac:dyDescent="0.4">
      <c r="A31" t="s">
        <v>2517</v>
      </c>
    </row>
    <row r="32" spans="1:1" x14ac:dyDescent="0.4">
      <c r="A32" t="s">
        <v>2518</v>
      </c>
    </row>
    <row r="33" spans="1:1" x14ac:dyDescent="0.4">
      <c r="A33" t="s">
        <v>2519</v>
      </c>
    </row>
    <row r="34" spans="1:1" x14ac:dyDescent="0.4">
      <c r="A34" t="s">
        <v>2520</v>
      </c>
    </row>
    <row r="35" spans="1:1" x14ac:dyDescent="0.4">
      <c r="A35" t="s">
        <v>2521</v>
      </c>
    </row>
    <row r="36" spans="1:1" x14ac:dyDescent="0.4">
      <c r="A36" t="s">
        <v>2522</v>
      </c>
    </row>
    <row r="37" spans="1:1" x14ac:dyDescent="0.4">
      <c r="A37" t="s">
        <v>2523</v>
      </c>
    </row>
    <row r="38" spans="1:1" x14ac:dyDescent="0.4">
      <c r="A38" t="s">
        <v>2524</v>
      </c>
    </row>
    <row r="39" spans="1:1" x14ac:dyDescent="0.4">
      <c r="A39" t="s">
        <v>2525</v>
      </c>
    </row>
    <row r="40" spans="1:1" x14ac:dyDescent="0.4">
      <c r="A40" t="s">
        <v>2526</v>
      </c>
    </row>
    <row r="41" spans="1:1" x14ac:dyDescent="0.4">
      <c r="A41" t="s">
        <v>2527</v>
      </c>
    </row>
    <row r="42" spans="1:1" x14ac:dyDescent="0.4">
      <c r="A42" t="s">
        <v>2528</v>
      </c>
    </row>
    <row r="43" spans="1:1" x14ac:dyDescent="0.4">
      <c r="A43" t="s">
        <v>2529</v>
      </c>
    </row>
    <row r="44" spans="1:1" x14ac:dyDescent="0.4">
      <c r="A44" t="s">
        <v>2530</v>
      </c>
    </row>
    <row r="45" spans="1:1" x14ac:dyDescent="0.4">
      <c r="A45" t="s">
        <v>2531</v>
      </c>
    </row>
    <row r="46" spans="1:1" x14ac:dyDescent="0.4">
      <c r="A46" t="s">
        <v>2532</v>
      </c>
    </row>
    <row r="47" spans="1:1" x14ac:dyDescent="0.4">
      <c r="A47" t="s">
        <v>2533</v>
      </c>
    </row>
    <row r="48" spans="1:1" x14ac:dyDescent="0.4">
      <c r="A48" t="s">
        <v>2534</v>
      </c>
    </row>
    <row r="49" spans="1:1" x14ac:dyDescent="0.4">
      <c r="A49" t="s">
        <v>2535</v>
      </c>
    </row>
    <row r="50" spans="1:1" x14ac:dyDescent="0.4">
      <c r="A50" t="s">
        <v>2536</v>
      </c>
    </row>
    <row r="51" spans="1:1" x14ac:dyDescent="0.4">
      <c r="A51" t="s">
        <v>2537</v>
      </c>
    </row>
    <row r="52" spans="1:1" x14ac:dyDescent="0.4">
      <c r="A52" t="s">
        <v>2538</v>
      </c>
    </row>
    <row r="53" spans="1:1" x14ac:dyDescent="0.4">
      <c r="A53" t="s">
        <v>2539</v>
      </c>
    </row>
    <row r="54" spans="1:1" x14ac:dyDescent="0.4">
      <c r="A54" t="s">
        <v>2540</v>
      </c>
    </row>
    <row r="55" spans="1:1" x14ac:dyDescent="0.4">
      <c r="A55" t="s">
        <v>2541</v>
      </c>
    </row>
    <row r="56" spans="1:1" x14ac:dyDescent="0.4">
      <c r="A56" t="s">
        <v>2542</v>
      </c>
    </row>
    <row r="57" spans="1:1" x14ac:dyDescent="0.4">
      <c r="A57" t="s">
        <v>2543</v>
      </c>
    </row>
    <row r="58" spans="1:1" x14ac:dyDescent="0.4">
      <c r="A58" t="s">
        <v>2544</v>
      </c>
    </row>
    <row r="59" spans="1:1" x14ac:dyDescent="0.4">
      <c r="A59" t="s">
        <v>2545</v>
      </c>
    </row>
    <row r="60" spans="1:1" x14ac:dyDescent="0.4">
      <c r="A60" t="s">
        <v>2546</v>
      </c>
    </row>
    <row r="61" spans="1:1" x14ac:dyDescent="0.4">
      <c r="A61" t="s">
        <v>2547</v>
      </c>
    </row>
    <row r="62" spans="1:1" x14ac:dyDescent="0.4">
      <c r="A62" t="s">
        <v>2548</v>
      </c>
    </row>
    <row r="63" spans="1:1" x14ac:dyDescent="0.4">
      <c r="A63" t="s">
        <v>2549</v>
      </c>
    </row>
    <row r="64" spans="1:1" x14ac:dyDescent="0.4">
      <c r="A64" t="s">
        <v>2550</v>
      </c>
    </row>
    <row r="65" spans="1:1" x14ac:dyDescent="0.4">
      <c r="A65" t="s">
        <v>2551</v>
      </c>
    </row>
    <row r="66" spans="1:1" x14ac:dyDescent="0.4">
      <c r="A66" t="s">
        <v>2552</v>
      </c>
    </row>
    <row r="67" spans="1:1" x14ac:dyDescent="0.4">
      <c r="A67" t="s">
        <v>2553</v>
      </c>
    </row>
    <row r="68" spans="1:1" x14ac:dyDescent="0.4">
      <c r="A68" t="s">
        <v>2554</v>
      </c>
    </row>
    <row r="69" spans="1:1" x14ac:dyDescent="0.4">
      <c r="A69" t="s">
        <v>2555</v>
      </c>
    </row>
    <row r="70" spans="1:1" x14ac:dyDescent="0.4">
      <c r="A70" t="s">
        <v>2556</v>
      </c>
    </row>
    <row r="71" spans="1:1" x14ac:dyDescent="0.4">
      <c r="A71" t="s">
        <v>2557</v>
      </c>
    </row>
    <row r="72" spans="1:1" x14ac:dyDescent="0.4">
      <c r="A72" t="s">
        <v>2558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AB17-A857-4FD6-9B1E-89B68A0FF073}">
  <dimension ref="A1:B2"/>
  <sheetViews>
    <sheetView workbookViewId="0">
      <selection activeCell="D6" sqref="D6"/>
    </sheetView>
  </sheetViews>
  <sheetFormatPr defaultRowHeight="14.6" x14ac:dyDescent="0.4"/>
  <sheetData>
    <row r="1" spans="1:2" x14ac:dyDescent="0.4">
      <c r="A1" t="s">
        <v>2611</v>
      </c>
    </row>
    <row r="2" spans="1:2" x14ac:dyDescent="0.4">
      <c r="A2" s="2">
        <v>45775</v>
      </c>
      <c r="B2" t="s">
        <v>2612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6F6A-7CA1-47ED-B88B-F19CD23C700D}">
  <dimension ref="A1:AP632"/>
  <sheetViews>
    <sheetView workbookViewId="0">
      <selection sqref="A1:A1048576"/>
    </sheetView>
  </sheetViews>
  <sheetFormatPr defaultRowHeight="14.6" x14ac:dyDescent="0.4"/>
  <sheetData>
    <row r="1" spans="1:42" x14ac:dyDescent="0.4">
      <c r="A1" t="s">
        <v>2648</v>
      </c>
      <c r="B1" t="s">
        <v>2635</v>
      </c>
      <c r="C1" t="s">
        <v>2636</v>
      </c>
      <c r="D1" t="s">
        <v>2637</v>
      </c>
      <c r="E1" t="s">
        <v>2638</v>
      </c>
      <c r="F1" t="s">
        <v>2639</v>
      </c>
      <c r="G1" t="s">
        <v>2640</v>
      </c>
      <c r="H1" t="s">
        <v>2641</v>
      </c>
      <c r="I1" t="s">
        <v>2642</v>
      </c>
      <c r="J1" t="s">
        <v>2643</v>
      </c>
      <c r="K1" t="s">
        <v>2644</v>
      </c>
      <c r="L1" t="s">
        <v>2645</v>
      </c>
      <c r="M1" t="s">
        <v>2646</v>
      </c>
      <c r="N1" t="s">
        <v>2647</v>
      </c>
      <c r="O1" t="s">
        <v>2648</v>
      </c>
      <c r="P1" t="s">
        <v>2649</v>
      </c>
      <c r="Q1" t="s">
        <v>2650</v>
      </c>
      <c r="R1" t="s">
        <v>2651</v>
      </c>
      <c r="S1" t="s">
        <v>2652</v>
      </c>
      <c r="T1" t="s">
        <v>2653</v>
      </c>
      <c r="U1" t="s">
        <v>2654</v>
      </c>
      <c r="V1" t="s">
        <v>2655</v>
      </c>
      <c r="W1" t="s">
        <v>2656</v>
      </c>
      <c r="X1" t="s">
        <v>2657</v>
      </c>
      <c r="Y1" t="s">
        <v>2658</v>
      </c>
      <c r="Z1" t="s">
        <v>2659</v>
      </c>
      <c r="AA1" t="s">
        <v>2660</v>
      </c>
      <c r="AB1" t="s">
        <v>2661</v>
      </c>
      <c r="AC1" t="s">
        <v>2662</v>
      </c>
      <c r="AD1" t="s">
        <v>2663</v>
      </c>
      <c r="AE1" t="s">
        <v>2664</v>
      </c>
      <c r="AF1" t="s">
        <v>2665</v>
      </c>
      <c r="AG1" t="s">
        <v>2666</v>
      </c>
      <c r="AH1" t="s">
        <v>2667</v>
      </c>
      <c r="AI1" t="s">
        <v>2668</v>
      </c>
      <c r="AJ1" t="s">
        <v>2669</v>
      </c>
      <c r="AK1" t="s">
        <v>2670</v>
      </c>
      <c r="AL1" t="s">
        <v>2671</v>
      </c>
      <c r="AM1" t="s">
        <v>2672</v>
      </c>
      <c r="AN1" t="s">
        <v>2673</v>
      </c>
      <c r="AO1" t="s">
        <v>2674</v>
      </c>
      <c r="AP1" t="s">
        <v>2675</v>
      </c>
    </row>
    <row r="2" spans="1:42" x14ac:dyDescent="0.4">
      <c r="A2" t="s">
        <v>2685</v>
      </c>
      <c r="B2" t="s">
        <v>2676</v>
      </c>
      <c r="C2" t="s">
        <v>2677</v>
      </c>
      <c r="D2" t="s">
        <v>2678</v>
      </c>
      <c r="E2" t="s">
        <v>2679</v>
      </c>
      <c r="F2" t="s">
        <v>2680</v>
      </c>
      <c r="G2">
        <v>40.770026199999997</v>
      </c>
      <c r="H2">
        <v>-111.82248490000001</v>
      </c>
      <c r="I2" t="s">
        <v>2677</v>
      </c>
      <c r="J2" t="s">
        <v>2681</v>
      </c>
      <c r="K2" t="s">
        <v>2682</v>
      </c>
      <c r="L2" t="s">
        <v>2683</v>
      </c>
      <c r="M2">
        <v>1</v>
      </c>
      <c r="N2" t="s">
        <v>2684</v>
      </c>
      <c r="O2" t="s">
        <v>2685</v>
      </c>
      <c r="P2" s="1">
        <v>45543</v>
      </c>
      <c r="Q2">
        <v>10</v>
      </c>
      <c r="V2" t="s">
        <v>2686</v>
      </c>
      <c r="W2" t="s">
        <v>2687</v>
      </c>
      <c r="X2" t="s">
        <v>2688</v>
      </c>
      <c r="Y2" t="s">
        <v>2688</v>
      </c>
      <c r="Z2" t="s">
        <v>2689</v>
      </c>
      <c r="AA2" t="s">
        <v>2689</v>
      </c>
      <c r="AH2" t="s">
        <v>2690</v>
      </c>
      <c r="AI2">
        <v>269</v>
      </c>
      <c r="AJ2" t="s">
        <v>2691</v>
      </c>
    </row>
    <row r="3" spans="1:42" x14ac:dyDescent="0.4">
      <c r="A3" t="s">
        <v>2695</v>
      </c>
      <c r="B3" t="s">
        <v>2692</v>
      </c>
      <c r="C3" t="s">
        <v>2677</v>
      </c>
      <c r="D3" t="s">
        <v>2693</v>
      </c>
      <c r="E3" t="s">
        <v>2679</v>
      </c>
      <c r="F3" t="s">
        <v>2694</v>
      </c>
      <c r="G3">
        <v>40.768779070000001</v>
      </c>
      <c r="H3">
        <v>-111.824162</v>
      </c>
      <c r="I3" t="s">
        <v>2677</v>
      </c>
      <c r="J3" t="s">
        <v>2681</v>
      </c>
      <c r="K3" t="s">
        <v>2682</v>
      </c>
      <c r="L3" t="s">
        <v>2683</v>
      </c>
      <c r="M3">
        <v>4</v>
      </c>
      <c r="N3" t="s">
        <v>2684</v>
      </c>
      <c r="O3" t="s">
        <v>2695</v>
      </c>
      <c r="P3" s="1">
        <v>45543</v>
      </c>
      <c r="Q3">
        <v>7</v>
      </c>
      <c r="V3" t="s">
        <v>2686</v>
      </c>
      <c r="W3" t="s">
        <v>2687</v>
      </c>
      <c r="X3" t="s">
        <v>2688</v>
      </c>
      <c r="Y3" t="s">
        <v>2688</v>
      </c>
      <c r="Z3" t="s">
        <v>2689</v>
      </c>
      <c r="AA3" t="s">
        <v>2689</v>
      </c>
      <c r="AH3" t="s">
        <v>2696</v>
      </c>
      <c r="AI3">
        <v>272</v>
      </c>
      <c r="AJ3" t="s">
        <v>2697</v>
      </c>
    </row>
    <row r="4" spans="1:42" x14ac:dyDescent="0.4">
      <c r="A4" t="s">
        <v>2701</v>
      </c>
      <c r="B4" t="s">
        <v>2698</v>
      </c>
      <c r="C4" t="s">
        <v>2677</v>
      </c>
      <c r="D4" t="s">
        <v>2699</v>
      </c>
      <c r="E4" t="s">
        <v>2679</v>
      </c>
      <c r="F4" t="s">
        <v>2700</v>
      </c>
      <c r="G4">
        <v>40.769849000000001</v>
      </c>
      <c r="H4">
        <v>-111.82271299999999</v>
      </c>
      <c r="I4" t="s">
        <v>2677</v>
      </c>
      <c r="J4" t="s">
        <v>2681</v>
      </c>
      <c r="K4" t="s">
        <v>2682</v>
      </c>
      <c r="L4" t="s">
        <v>2683</v>
      </c>
      <c r="M4">
        <v>2</v>
      </c>
      <c r="N4" t="s">
        <v>2684</v>
      </c>
      <c r="O4" t="s">
        <v>2701</v>
      </c>
      <c r="P4" s="1">
        <v>45543</v>
      </c>
      <c r="Q4">
        <v>14</v>
      </c>
      <c r="V4" t="s">
        <v>2686</v>
      </c>
      <c r="W4" t="s">
        <v>2687</v>
      </c>
      <c r="X4" t="s">
        <v>2688</v>
      </c>
      <c r="Y4" t="s">
        <v>2688</v>
      </c>
      <c r="Z4" t="s">
        <v>2689</v>
      </c>
      <c r="AA4" t="s">
        <v>2689</v>
      </c>
      <c r="AH4" t="s">
        <v>2690</v>
      </c>
      <c r="AI4">
        <v>270</v>
      </c>
      <c r="AJ4" t="s">
        <v>2702</v>
      </c>
    </row>
    <row r="5" spans="1:42" x14ac:dyDescent="0.4">
      <c r="A5" t="s">
        <v>2706</v>
      </c>
      <c r="B5" t="s">
        <v>2703</v>
      </c>
      <c r="C5" t="s">
        <v>2677</v>
      </c>
      <c r="D5" t="s">
        <v>2704</v>
      </c>
      <c r="E5" t="s">
        <v>2679</v>
      </c>
      <c r="F5" t="s">
        <v>2705</v>
      </c>
      <c r="G5">
        <v>40.769402810000003</v>
      </c>
      <c r="H5">
        <v>-111.82331670000001</v>
      </c>
      <c r="I5" t="s">
        <v>2677</v>
      </c>
      <c r="J5" t="s">
        <v>2681</v>
      </c>
      <c r="K5" t="s">
        <v>2682</v>
      </c>
      <c r="L5" t="s">
        <v>2683</v>
      </c>
      <c r="M5">
        <v>3</v>
      </c>
      <c r="N5" t="s">
        <v>2684</v>
      </c>
      <c r="O5" t="s">
        <v>2706</v>
      </c>
      <c r="P5" s="1">
        <v>45543</v>
      </c>
      <c r="Q5">
        <v>10</v>
      </c>
      <c r="V5" t="s">
        <v>2686</v>
      </c>
      <c r="W5" t="s">
        <v>2687</v>
      </c>
      <c r="X5" t="s">
        <v>2688</v>
      </c>
      <c r="Y5" t="s">
        <v>2688</v>
      </c>
      <c r="Z5" t="s">
        <v>2689</v>
      </c>
      <c r="AA5" t="s">
        <v>2689</v>
      </c>
      <c r="AH5" t="s">
        <v>2690</v>
      </c>
      <c r="AI5">
        <v>271</v>
      </c>
      <c r="AJ5" t="s">
        <v>2707</v>
      </c>
    </row>
    <row r="6" spans="1:42" x14ac:dyDescent="0.4">
      <c r="A6" t="s">
        <v>2711</v>
      </c>
      <c r="B6" t="s">
        <v>2708</v>
      </c>
      <c r="C6" t="s">
        <v>2677</v>
      </c>
      <c r="D6" t="s">
        <v>2709</v>
      </c>
      <c r="E6" t="s">
        <v>2679</v>
      </c>
      <c r="F6" t="s">
        <v>2710</v>
      </c>
      <c r="G6">
        <v>40.768261199999998</v>
      </c>
      <c r="H6">
        <v>-111.82476</v>
      </c>
      <c r="I6" t="s">
        <v>2677</v>
      </c>
      <c r="J6" t="s">
        <v>2681</v>
      </c>
      <c r="K6" t="s">
        <v>2682</v>
      </c>
      <c r="L6" t="s">
        <v>2683</v>
      </c>
      <c r="M6">
        <v>5</v>
      </c>
      <c r="N6" t="s">
        <v>2684</v>
      </c>
      <c r="O6" t="s">
        <v>2711</v>
      </c>
      <c r="P6" s="1">
        <v>45543</v>
      </c>
      <c r="Q6">
        <v>10</v>
      </c>
      <c r="V6" t="s">
        <v>2686</v>
      </c>
      <c r="W6" t="s">
        <v>2687</v>
      </c>
      <c r="X6" t="s">
        <v>2688</v>
      </c>
      <c r="Y6" t="s">
        <v>2688</v>
      </c>
      <c r="Z6" t="s">
        <v>2689</v>
      </c>
      <c r="AA6" t="s">
        <v>2689</v>
      </c>
      <c r="AH6" t="s">
        <v>2690</v>
      </c>
      <c r="AI6">
        <v>273</v>
      </c>
      <c r="AJ6" t="s">
        <v>2712</v>
      </c>
    </row>
    <row r="7" spans="1:42" x14ac:dyDescent="0.4">
      <c r="A7" t="s">
        <v>2721</v>
      </c>
      <c r="B7" t="s">
        <v>2713</v>
      </c>
      <c r="C7" t="s">
        <v>2714</v>
      </c>
      <c r="D7" t="s">
        <v>2715</v>
      </c>
      <c r="E7" t="s">
        <v>2679</v>
      </c>
      <c r="F7" t="s">
        <v>2716</v>
      </c>
      <c r="G7">
        <v>40.159669999999998</v>
      </c>
      <c r="H7">
        <v>-121.60261</v>
      </c>
      <c r="I7" t="s">
        <v>2714</v>
      </c>
      <c r="J7" t="s">
        <v>2717</v>
      </c>
      <c r="K7" t="s">
        <v>2718</v>
      </c>
      <c r="L7" t="s">
        <v>2719</v>
      </c>
      <c r="M7">
        <v>1</v>
      </c>
      <c r="N7" t="s">
        <v>2720</v>
      </c>
      <c r="O7" t="s">
        <v>2721</v>
      </c>
      <c r="P7" s="1">
        <v>45571</v>
      </c>
      <c r="Q7">
        <v>10</v>
      </c>
      <c r="R7">
        <v>4</v>
      </c>
      <c r="U7" t="s">
        <v>2722</v>
      </c>
      <c r="V7" t="s">
        <v>2723</v>
      </c>
      <c r="W7" t="s">
        <v>2724</v>
      </c>
      <c r="X7" t="s">
        <v>2688</v>
      </c>
      <c r="Y7" t="s">
        <v>2688</v>
      </c>
      <c r="Z7" t="s">
        <v>2689</v>
      </c>
      <c r="AA7" t="s">
        <v>2689</v>
      </c>
      <c r="AG7" t="s">
        <v>2725</v>
      </c>
      <c r="AH7" t="s">
        <v>2726</v>
      </c>
      <c r="AI7" t="s">
        <v>2727</v>
      </c>
      <c r="AJ7" t="s">
        <v>2728</v>
      </c>
    </row>
    <row r="8" spans="1:42" x14ac:dyDescent="0.4">
      <c r="A8" t="s">
        <v>2732</v>
      </c>
      <c r="B8" t="s">
        <v>2729</v>
      </c>
      <c r="C8" t="s">
        <v>2714</v>
      </c>
      <c r="D8" t="s">
        <v>2730</v>
      </c>
      <c r="E8" t="s">
        <v>2679</v>
      </c>
      <c r="F8" t="s">
        <v>2731</v>
      </c>
      <c r="G8">
        <v>40.159289999999999</v>
      </c>
      <c r="H8">
        <v>-121.60216</v>
      </c>
      <c r="I8" t="s">
        <v>2714</v>
      </c>
      <c r="J8" t="s">
        <v>2717</v>
      </c>
      <c r="K8" t="s">
        <v>2718</v>
      </c>
      <c r="L8" t="s">
        <v>2719</v>
      </c>
      <c r="M8">
        <v>4</v>
      </c>
      <c r="N8" t="s">
        <v>2720</v>
      </c>
      <c r="O8" t="s">
        <v>2732</v>
      </c>
      <c r="P8" s="1">
        <v>45571</v>
      </c>
      <c r="Q8">
        <v>12</v>
      </c>
      <c r="R8">
        <v>4</v>
      </c>
      <c r="U8" t="s">
        <v>2733</v>
      </c>
      <c r="V8" t="s">
        <v>2734</v>
      </c>
      <c r="W8" t="s">
        <v>2735</v>
      </c>
      <c r="X8" t="s">
        <v>2688</v>
      </c>
      <c r="Y8" t="s">
        <v>2688</v>
      </c>
      <c r="Z8" t="s">
        <v>2689</v>
      </c>
      <c r="AA8" t="s">
        <v>2689</v>
      </c>
      <c r="AG8" t="s">
        <v>2736</v>
      </c>
      <c r="AH8" t="s">
        <v>2737</v>
      </c>
      <c r="AI8" t="s">
        <v>2738</v>
      </c>
      <c r="AJ8" t="s">
        <v>2739</v>
      </c>
    </row>
    <row r="9" spans="1:42" x14ac:dyDescent="0.4">
      <c r="A9" t="s">
        <v>2743</v>
      </c>
      <c r="B9" t="s">
        <v>2740</v>
      </c>
      <c r="C9" t="s">
        <v>2714</v>
      </c>
      <c r="D9" t="s">
        <v>2741</v>
      </c>
      <c r="E9" t="s">
        <v>2679</v>
      </c>
      <c r="F9" t="s">
        <v>2742</v>
      </c>
      <c r="G9">
        <v>40.159469999999999</v>
      </c>
      <c r="H9">
        <v>-121.60221</v>
      </c>
      <c r="I9" t="s">
        <v>2714</v>
      </c>
      <c r="J9" t="s">
        <v>2717</v>
      </c>
      <c r="K9" t="s">
        <v>2718</v>
      </c>
      <c r="L9" t="s">
        <v>2719</v>
      </c>
      <c r="M9">
        <v>3</v>
      </c>
      <c r="N9" t="s">
        <v>2720</v>
      </c>
      <c r="O9" t="s">
        <v>2743</v>
      </c>
      <c r="P9" s="1">
        <v>45571</v>
      </c>
      <c r="Q9">
        <v>10</v>
      </c>
      <c r="R9">
        <v>3.5</v>
      </c>
      <c r="U9" t="s">
        <v>2744</v>
      </c>
      <c r="V9" t="s">
        <v>2745</v>
      </c>
      <c r="W9" t="s">
        <v>2746</v>
      </c>
      <c r="X9" t="s">
        <v>2688</v>
      </c>
      <c r="Y9" t="s">
        <v>2688</v>
      </c>
      <c r="Z9" t="s">
        <v>2747</v>
      </c>
      <c r="AA9" t="s">
        <v>2689</v>
      </c>
      <c r="AD9" t="s">
        <v>2748</v>
      </c>
      <c r="AG9" t="s">
        <v>2749</v>
      </c>
      <c r="AH9" t="s">
        <v>2737</v>
      </c>
      <c r="AI9" t="s">
        <v>2750</v>
      </c>
      <c r="AJ9" t="s">
        <v>2739</v>
      </c>
    </row>
    <row r="10" spans="1:42" x14ac:dyDescent="0.4">
      <c r="A10" t="s">
        <v>2754</v>
      </c>
      <c r="B10" t="s">
        <v>2751</v>
      </c>
      <c r="C10" t="s">
        <v>2714</v>
      </c>
      <c r="D10" t="s">
        <v>2752</v>
      </c>
      <c r="E10" t="s">
        <v>2679</v>
      </c>
      <c r="F10" t="s">
        <v>2753</v>
      </c>
      <c r="G10">
        <v>40.159570000000002</v>
      </c>
      <c r="H10">
        <v>-121.6022</v>
      </c>
      <c r="I10" t="s">
        <v>2714</v>
      </c>
      <c r="J10" t="s">
        <v>2717</v>
      </c>
      <c r="K10" t="s">
        <v>2718</v>
      </c>
      <c r="L10" t="s">
        <v>2719</v>
      </c>
      <c r="M10">
        <v>5</v>
      </c>
      <c r="N10" t="s">
        <v>2720</v>
      </c>
      <c r="O10" t="s">
        <v>2754</v>
      </c>
      <c r="P10" s="1">
        <v>45571</v>
      </c>
      <c r="Q10">
        <v>12</v>
      </c>
      <c r="R10">
        <v>5</v>
      </c>
      <c r="U10" t="s">
        <v>2722</v>
      </c>
      <c r="V10" t="s">
        <v>2755</v>
      </c>
      <c r="W10" t="s">
        <v>2756</v>
      </c>
      <c r="X10" t="s">
        <v>2688</v>
      </c>
      <c r="Y10" t="s">
        <v>2688</v>
      </c>
      <c r="Z10" t="s">
        <v>2689</v>
      </c>
      <c r="AA10" t="s">
        <v>2689</v>
      </c>
      <c r="AD10" t="s">
        <v>2757</v>
      </c>
      <c r="AG10" t="s">
        <v>2758</v>
      </c>
      <c r="AH10" t="s">
        <v>2737</v>
      </c>
      <c r="AI10" t="s">
        <v>2759</v>
      </c>
      <c r="AJ10" t="s">
        <v>2760</v>
      </c>
    </row>
    <row r="11" spans="1:42" x14ac:dyDescent="0.4">
      <c r="A11" t="s">
        <v>2766</v>
      </c>
      <c r="B11" t="s">
        <v>2761</v>
      </c>
      <c r="C11" t="s">
        <v>2722</v>
      </c>
      <c r="D11" t="s">
        <v>2762</v>
      </c>
      <c r="E11" t="s">
        <v>2679</v>
      </c>
      <c r="F11" t="s">
        <v>2763</v>
      </c>
      <c r="G11">
        <v>40.04045</v>
      </c>
      <c r="H11">
        <v>-121.15902</v>
      </c>
      <c r="I11" t="s">
        <v>2722</v>
      </c>
      <c r="J11" t="s">
        <v>2717</v>
      </c>
      <c r="K11" t="s">
        <v>2764</v>
      </c>
      <c r="L11" t="s">
        <v>2765</v>
      </c>
      <c r="M11">
        <v>2</v>
      </c>
      <c r="N11" t="s">
        <v>2720</v>
      </c>
      <c r="O11" t="s">
        <v>2766</v>
      </c>
      <c r="P11" s="1">
        <v>45571</v>
      </c>
      <c r="R11">
        <v>2</v>
      </c>
      <c r="U11" t="s">
        <v>2767</v>
      </c>
      <c r="V11" t="s">
        <v>2768</v>
      </c>
      <c r="W11" t="s">
        <v>2769</v>
      </c>
      <c r="X11" t="s">
        <v>2688</v>
      </c>
      <c r="Y11" t="s">
        <v>2688</v>
      </c>
      <c r="Z11" t="s">
        <v>2689</v>
      </c>
      <c r="AA11" t="s">
        <v>2689</v>
      </c>
      <c r="AD11" t="s">
        <v>2770</v>
      </c>
      <c r="AG11" t="s">
        <v>2771</v>
      </c>
      <c r="AH11" t="s">
        <v>2737</v>
      </c>
      <c r="AI11" t="s">
        <v>2772</v>
      </c>
      <c r="AJ11" t="s">
        <v>2773</v>
      </c>
    </row>
    <row r="12" spans="1:42" x14ac:dyDescent="0.4">
      <c r="A12" t="s">
        <v>2777</v>
      </c>
      <c r="B12" t="s">
        <v>2774</v>
      </c>
      <c r="C12" t="s">
        <v>2722</v>
      </c>
      <c r="D12" t="s">
        <v>2775</v>
      </c>
      <c r="E12" t="s">
        <v>2679</v>
      </c>
      <c r="F12" t="s">
        <v>2776</v>
      </c>
      <c r="G12">
        <v>40.040640000000003</v>
      </c>
      <c r="H12">
        <v>-121.15899</v>
      </c>
      <c r="I12" t="s">
        <v>2722</v>
      </c>
      <c r="J12" t="s">
        <v>2717</v>
      </c>
      <c r="K12" t="s">
        <v>2764</v>
      </c>
      <c r="L12" t="s">
        <v>2765</v>
      </c>
      <c r="M12">
        <v>1</v>
      </c>
      <c r="N12" t="s">
        <v>2720</v>
      </c>
      <c r="O12" t="s">
        <v>2777</v>
      </c>
      <c r="P12" s="1">
        <v>45571</v>
      </c>
      <c r="R12">
        <v>2</v>
      </c>
      <c r="U12" t="s">
        <v>2778</v>
      </c>
      <c r="V12" t="s">
        <v>2779</v>
      </c>
      <c r="W12" t="s">
        <v>2780</v>
      </c>
      <c r="X12" t="s">
        <v>2688</v>
      </c>
      <c r="Y12" t="s">
        <v>2688</v>
      </c>
      <c r="Z12" t="s">
        <v>2689</v>
      </c>
      <c r="AA12" t="s">
        <v>2689</v>
      </c>
      <c r="AD12" t="s">
        <v>2781</v>
      </c>
      <c r="AG12" t="s">
        <v>2782</v>
      </c>
      <c r="AH12" t="s">
        <v>2737</v>
      </c>
      <c r="AI12" t="s">
        <v>2783</v>
      </c>
      <c r="AJ12" t="s">
        <v>2784</v>
      </c>
    </row>
    <row r="13" spans="1:42" x14ac:dyDescent="0.4">
      <c r="A13" t="s">
        <v>2788</v>
      </c>
      <c r="B13" s="9" t="s">
        <v>2785</v>
      </c>
      <c r="C13" t="s">
        <v>2722</v>
      </c>
      <c r="D13" t="s">
        <v>2786</v>
      </c>
      <c r="E13" t="s">
        <v>2679</v>
      </c>
      <c r="F13" t="s">
        <v>2787</v>
      </c>
      <c r="G13">
        <v>40.040309999999998</v>
      </c>
      <c r="H13">
        <v>-121.15919</v>
      </c>
      <c r="I13" t="s">
        <v>2722</v>
      </c>
      <c r="J13" t="s">
        <v>2717</v>
      </c>
      <c r="K13" t="s">
        <v>2764</v>
      </c>
      <c r="L13" t="s">
        <v>2765</v>
      </c>
      <c r="M13">
        <v>3</v>
      </c>
      <c r="N13" t="s">
        <v>2720</v>
      </c>
      <c r="O13" t="s">
        <v>2788</v>
      </c>
      <c r="P13" s="1">
        <v>45571</v>
      </c>
      <c r="U13" t="s">
        <v>2789</v>
      </c>
      <c r="V13" t="s">
        <v>2790</v>
      </c>
      <c r="W13" t="s">
        <v>2791</v>
      </c>
      <c r="X13" t="s">
        <v>2688</v>
      </c>
      <c r="Y13" t="s">
        <v>2688</v>
      </c>
      <c r="Z13" t="s">
        <v>2689</v>
      </c>
      <c r="AA13" t="s">
        <v>2689</v>
      </c>
      <c r="AG13" t="s">
        <v>2792</v>
      </c>
      <c r="AH13" t="s">
        <v>2737</v>
      </c>
      <c r="AI13" t="s">
        <v>2793</v>
      </c>
      <c r="AJ13" t="s">
        <v>2794</v>
      </c>
    </row>
    <row r="14" spans="1:42" x14ac:dyDescent="0.4">
      <c r="A14" t="s">
        <v>2798</v>
      </c>
      <c r="B14" t="s">
        <v>2795</v>
      </c>
      <c r="C14" t="s">
        <v>2722</v>
      </c>
      <c r="D14" t="s">
        <v>2796</v>
      </c>
      <c r="E14" t="s">
        <v>2679</v>
      </c>
      <c r="F14" t="s">
        <v>2797</v>
      </c>
      <c r="G14">
        <v>40.040300000000002</v>
      </c>
      <c r="H14">
        <v>-121.15841</v>
      </c>
      <c r="I14" t="s">
        <v>2722</v>
      </c>
      <c r="J14" t="s">
        <v>2717</v>
      </c>
      <c r="K14" t="s">
        <v>2764</v>
      </c>
      <c r="L14" t="s">
        <v>2765</v>
      </c>
      <c r="M14">
        <v>4</v>
      </c>
      <c r="N14" t="s">
        <v>2720</v>
      </c>
      <c r="O14" t="s">
        <v>2798</v>
      </c>
      <c r="P14" s="1">
        <v>45571</v>
      </c>
      <c r="Q14">
        <v>3</v>
      </c>
      <c r="R14">
        <v>1</v>
      </c>
      <c r="V14" t="s">
        <v>2799</v>
      </c>
      <c r="W14" t="s">
        <v>2800</v>
      </c>
      <c r="X14" t="s">
        <v>2688</v>
      </c>
      <c r="Y14" t="s">
        <v>2688</v>
      </c>
      <c r="Z14" t="s">
        <v>2689</v>
      </c>
      <c r="AA14" t="s">
        <v>2689</v>
      </c>
      <c r="AG14" t="s">
        <v>2801</v>
      </c>
      <c r="AH14" t="s">
        <v>2737</v>
      </c>
      <c r="AI14" t="s">
        <v>2802</v>
      </c>
      <c r="AJ14" t="s">
        <v>2803</v>
      </c>
    </row>
    <row r="15" spans="1:42" x14ac:dyDescent="0.4">
      <c r="A15" t="s">
        <v>2807</v>
      </c>
      <c r="B15" t="s">
        <v>2804</v>
      </c>
      <c r="C15" t="s">
        <v>2722</v>
      </c>
      <c r="D15" t="s">
        <v>2805</v>
      </c>
      <c r="E15" t="s">
        <v>2679</v>
      </c>
      <c r="F15" t="s">
        <v>2806</v>
      </c>
      <c r="G15">
        <v>40.040149999999997</v>
      </c>
      <c r="H15">
        <v>-121.15864999999999</v>
      </c>
      <c r="I15" t="s">
        <v>2722</v>
      </c>
      <c r="J15" t="s">
        <v>2717</v>
      </c>
      <c r="K15" t="s">
        <v>2764</v>
      </c>
      <c r="L15" t="s">
        <v>2765</v>
      </c>
      <c r="M15">
        <v>5</v>
      </c>
      <c r="N15" t="s">
        <v>2720</v>
      </c>
      <c r="O15" t="s">
        <v>2807</v>
      </c>
      <c r="P15" s="1">
        <v>45571</v>
      </c>
      <c r="Q15">
        <v>4</v>
      </c>
      <c r="R15">
        <v>3</v>
      </c>
      <c r="U15" t="s">
        <v>2808</v>
      </c>
      <c r="V15" t="s">
        <v>2799</v>
      </c>
      <c r="W15" t="s">
        <v>2809</v>
      </c>
      <c r="X15" t="s">
        <v>2688</v>
      </c>
      <c r="Y15" t="s">
        <v>2688</v>
      </c>
      <c r="Z15" t="s">
        <v>2689</v>
      </c>
      <c r="AA15" t="s">
        <v>2689</v>
      </c>
      <c r="AG15" t="s">
        <v>2810</v>
      </c>
      <c r="AH15" t="s">
        <v>2737</v>
      </c>
      <c r="AI15" t="s">
        <v>2811</v>
      </c>
      <c r="AJ15" t="s">
        <v>2812</v>
      </c>
    </row>
    <row r="16" spans="1:42" x14ac:dyDescent="0.4">
      <c r="A16" t="s">
        <v>2818</v>
      </c>
      <c r="B16" t="s">
        <v>2813</v>
      </c>
      <c r="C16" t="s">
        <v>2714</v>
      </c>
      <c r="D16" t="s">
        <v>2814</v>
      </c>
      <c r="E16" t="s">
        <v>2679</v>
      </c>
      <c r="F16" t="s">
        <v>2815</v>
      </c>
      <c r="G16">
        <v>40.401589999999999</v>
      </c>
      <c r="H16">
        <v>-123.00089</v>
      </c>
      <c r="I16" t="s">
        <v>2714</v>
      </c>
      <c r="J16" t="s">
        <v>2717</v>
      </c>
      <c r="K16" t="s">
        <v>2816</v>
      </c>
      <c r="L16" t="s">
        <v>2817</v>
      </c>
      <c r="M16">
        <v>2</v>
      </c>
      <c r="N16" t="s">
        <v>2720</v>
      </c>
      <c r="O16" t="s">
        <v>2818</v>
      </c>
      <c r="P16" s="1">
        <v>45572</v>
      </c>
      <c r="Q16">
        <v>9</v>
      </c>
      <c r="R16">
        <v>4.5</v>
      </c>
      <c r="U16" t="s">
        <v>2819</v>
      </c>
      <c r="V16" t="s">
        <v>2820</v>
      </c>
      <c r="W16" t="s">
        <v>2821</v>
      </c>
      <c r="X16" t="s">
        <v>2688</v>
      </c>
      <c r="Y16" t="s">
        <v>2688</v>
      </c>
      <c r="Z16" t="s">
        <v>2689</v>
      </c>
      <c r="AA16" t="s">
        <v>2689</v>
      </c>
      <c r="AG16" t="s">
        <v>2822</v>
      </c>
      <c r="AH16" t="s">
        <v>2737</v>
      </c>
      <c r="AI16" t="s">
        <v>2823</v>
      </c>
      <c r="AJ16" t="s">
        <v>2824</v>
      </c>
    </row>
    <row r="17" spans="1:36" x14ac:dyDescent="0.4">
      <c r="A17" t="s">
        <v>2828</v>
      </c>
      <c r="B17" t="s">
        <v>2825</v>
      </c>
      <c r="C17" t="s">
        <v>2714</v>
      </c>
      <c r="D17" t="s">
        <v>2826</v>
      </c>
      <c r="E17" t="s">
        <v>2679</v>
      </c>
      <c r="F17" t="s">
        <v>2827</v>
      </c>
      <c r="G17">
        <v>40.40157</v>
      </c>
      <c r="H17">
        <v>-123.00067</v>
      </c>
      <c r="I17" t="s">
        <v>2714</v>
      </c>
      <c r="J17" t="s">
        <v>2717</v>
      </c>
      <c r="K17" t="s">
        <v>2816</v>
      </c>
      <c r="L17" t="s">
        <v>2817</v>
      </c>
      <c r="M17">
        <v>1</v>
      </c>
      <c r="N17" t="s">
        <v>2720</v>
      </c>
      <c r="O17" t="s">
        <v>2828</v>
      </c>
      <c r="P17" s="1">
        <v>45572</v>
      </c>
      <c r="R17">
        <v>1</v>
      </c>
      <c r="U17" t="s">
        <v>2829</v>
      </c>
      <c r="V17" t="s">
        <v>2830</v>
      </c>
      <c r="W17" t="s">
        <v>2831</v>
      </c>
      <c r="X17" t="s">
        <v>2688</v>
      </c>
      <c r="Y17" t="s">
        <v>2688</v>
      </c>
      <c r="Z17" t="s">
        <v>2689</v>
      </c>
      <c r="AA17" t="s">
        <v>2689</v>
      </c>
      <c r="AD17" t="s">
        <v>2832</v>
      </c>
      <c r="AG17" t="s">
        <v>2833</v>
      </c>
      <c r="AH17" t="s">
        <v>2737</v>
      </c>
      <c r="AI17" t="s">
        <v>2834</v>
      </c>
      <c r="AJ17" t="s">
        <v>2835</v>
      </c>
    </row>
    <row r="18" spans="1:36" x14ac:dyDescent="0.4">
      <c r="A18" t="s">
        <v>2839</v>
      </c>
      <c r="B18" t="s">
        <v>2836</v>
      </c>
      <c r="C18" t="s">
        <v>2714</v>
      </c>
      <c r="D18" t="s">
        <v>2837</v>
      </c>
      <c r="E18" t="s">
        <v>2679</v>
      </c>
      <c r="F18" t="s">
        <v>2838</v>
      </c>
      <c r="G18">
        <v>40.400970000000001</v>
      </c>
      <c r="H18">
        <v>-123.00063</v>
      </c>
      <c r="I18" t="s">
        <v>2714</v>
      </c>
      <c r="J18" t="s">
        <v>2717</v>
      </c>
      <c r="K18" t="s">
        <v>2816</v>
      </c>
      <c r="L18" t="s">
        <v>2817</v>
      </c>
      <c r="M18">
        <v>3</v>
      </c>
      <c r="N18" t="s">
        <v>2720</v>
      </c>
      <c r="O18" t="s">
        <v>2839</v>
      </c>
      <c r="P18" s="1">
        <v>45572</v>
      </c>
      <c r="Q18">
        <v>1</v>
      </c>
      <c r="R18">
        <v>23</v>
      </c>
      <c r="U18" t="s">
        <v>2840</v>
      </c>
      <c r="V18" t="s">
        <v>2841</v>
      </c>
      <c r="W18" t="s">
        <v>2842</v>
      </c>
      <c r="X18" t="s">
        <v>2688</v>
      </c>
      <c r="Y18" t="s">
        <v>2688</v>
      </c>
      <c r="Z18" t="s">
        <v>2689</v>
      </c>
      <c r="AA18" t="s">
        <v>2689</v>
      </c>
      <c r="AG18" t="s">
        <v>2843</v>
      </c>
      <c r="AH18" t="s">
        <v>2737</v>
      </c>
      <c r="AI18" t="s">
        <v>2844</v>
      </c>
      <c r="AJ18" t="s">
        <v>2845</v>
      </c>
    </row>
    <row r="19" spans="1:36" x14ac:dyDescent="0.4">
      <c r="A19" t="s">
        <v>2849</v>
      </c>
      <c r="B19" t="s">
        <v>2846</v>
      </c>
      <c r="C19" t="s">
        <v>2714</v>
      </c>
      <c r="D19" t="s">
        <v>2847</v>
      </c>
      <c r="E19" t="s">
        <v>2679</v>
      </c>
      <c r="F19" t="s">
        <v>2848</v>
      </c>
      <c r="G19">
        <v>40.400840000000002</v>
      </c>
      <c r="H19">
        <v>-123.00058</v>
      </c>
      <c r="I19" t="s">
        <v>2714</v>
      </c>
      <c r="J19" t="s">
        <v>2717</v>
      </c>
      <c r="K19" t="s">
        <v>2816</v>
      </c>
      <c r="L19" t="s">
        <v>2817</v>
      </c>
      <c r="M19">
        <v>4</v>
      </c>
      <c r="N19" t="s">
        <v>2720</v>
      </c>
      <c r="O19" t="s">
        <v>2849</v>
      </c>
      <c r="P19" s="1">
        <v>45572</v>
      </c>
      <c r="R19">
        <v>1</v>
      </c>
      <c r="V19" t="s">
        <v>2850</v>
      </c>
      <c r="W19" t="s">
        <v>2851</v>
      </c>
      <c r="X19" t="s">
        <v>2688</v>
      </c>
      <c r="Y19" t="s">
        <v>2688</v>
      </c>
      <c r="Z19" t="s">
        <v>2689</v>
      </c>
      <c r="AA19" t="s">
        <v>2689</v>
      </c>
      <c r="AG19" t="s">
        <v>2852</v>
      </c>
      <c r="AH19" t="s">
        <v>2737</v>
      </c>
      <c r="AI19" t="s">
        <v>2853</v>
      </c>
      <c r="AJ19" t="s">
        <v>2854</v>
      </c>
    </row>
    <row r="20" spans="1:36" x14ac:dyDescent="0.4">
      <c r="A20" t="s">
        <v>2858</v>
      </c>
      <c r="B20" t="s">
        <v>2855</v>
      </c>
      <c r="C20" t="s">
        <v>2714</v>
      </c>
      <c r="D20" t="s">
        <v>2856</v>
      </c>
      <c r="E20" t="s">
        <v>2679</v>
      </c>
      <c r="F20" t="s">
        <v>2857</v>
      </c>
      <c r="G20">
        <v>40.400759999999998</v>
      </c>
      <c r="H20">
        <v>-123.00037</v>
      </c>
      <c r="I20" t="s">
        <v>2714</v>
      </c>
      <c r="J20" t="s">
        <v>2717</v>
      </c>
      <c r="K20" t="s">
        <v>2816</v>
      </c>
      <c r="L20" t="s">
        <v>2817</v>
      </c>
      <c r="M20">
        <v>5</v>
      </c>
      <c r="N20" t="s">
        <v>2720</v>
      </c>
      <c r="O20" t="s">
        <v>2858</v>
      </c>
      <c r="P20" s="1">
        <v>45572</v>
      </c>
      <c r="Q20">
        <v>10</v>
      </c>
      <c r="R20">
        <v>4</v>
      </c>
      <c r="U20" t="s">
        <v>2722</v>
      </c>
      <c r="V20" t="s">
        <v>2859</v>
      </c>
      <c r="W20" t="s">
        <v>2860</v>
      </c>
      <c r="X20" t="s">
        <v>2688</v>
      </c>
      <c r="Y20" t="s">
        <v>2688</v>
      </c>
      <c r="Z20" t="s">
        <v>2689</v>
      </c>
      <c r="AA20" t="s">
        <v>2689</v>
      </c>
      <c r="AG20" t="s">
        <v>2861</v>
      </c>
      <c r="AH20" t="s">
        <v>2737</v>
      </c>
      <c r="AI20" t="s">
        <v>2862</v>
      </c>
      <c r="AJ20" t="s">
        <v>2845</v>
      </c>
    </row>
    <row r="21" spans="1:36" x14ac:dyDescent="0.4">
      <c r="A21" t="s">
        <v>2868</v>
      </c>
      <c r="B21" t="s">
        <v>2863</v>
      </c>
      <c r="C21" t="s">
        <v>2722</v>
      </c>
      <c r="D21" t="s">
        <v>2864</v>
      </c>
      <c r="E21" t="s">
        <v>2679</v>
      </c>
      <c r="F21" t="s">
        <v>2865</v>
      </c>
      <c r="G21">
        <v>39.90052</v>
      </c>
      <c r="H21">
        <v>-122.94738</v>
      </c>
      <c r="I21" t="s">
        <v>2722</v>
      </c>
      <c r="J21" t="s">
        <v>2717</v>
      </c>
      <c r="K21" t="s">
        <v>2866</v>
      </c>
      <c r="L21" t="s">
        <v>2867</v>
      </c>
      <c r="M21">
        <v>1</v>
      </c>
      <c r="N21" t="s">
        <v>2720</v>
      </c>
      <c r="O21" t="s">
        <v>2868</v>
      </c>
      <c r="P21" s="1">
        <v>45573</v>
      </c>
      <c r="Q21">
        <v>-2</v>
      </c>
      <c r="R21">
        <v>1.5</v>
      </c>
      <c r="U21" t="s">
        <v>2869</v>
      </c>
      <c r="V21" t="s">
        <v>2870</v>
      </c>
      <c r="W21" t="s">
        <v>2871</v>
      </c>
      <c r="X21" t="s">
        <v>2688</v>
      </c>
      <c r="Y21" t="s">
        <v>2688</v>
      </c>
      <c r="Z21" t="s">
        <v>2689</v>
      </c>
      <c r="AA21" t="s">
        <v>2689</v>
      </c>
      <c r="AD21" t="s">
        <v>2872</v>
      </c>
      <c r="AG21" t="s">
        <v>2873</v>
      </c>
      <c r="AH21" t="s">
        <v>2737</v>
      </c>
      <c r="AI21" t="s">
        <v>2874</v>
      </c>
      <c r="AJ21" t="s">
        <v>2875</v>
      </c>
    </row>
    <row r="22" spans="1:36" x14ac:dyDescent="0.4">
      <c r="A22" t="s">
        <v>2879</v>
      </c>
      <c r="B22" t="s">
        <v>2876</v>
      </c>
      <c r="C22" t="s">
        <v>2722</v>
      </c>
      <c r="D22" t="s">
        <v>2877</v>
      </c>
      <c r="E22" t="s">
        <v>2679</v>
      </c>
      <c r="F22" t="s">
        <v>2878</v>
      </c>
      <c r="G22">
        <v>39.900829999999999</v>
      </c>
      <c r="H22">
        <v>-122.94776</v>
      </c>
      <c r="I22" t="s">
        <v>2722</v>
      </c>
      <c r="J22" t="s">
        <v>2717</v>
      </c>
      <c r="K22" t="s">
        <v>2866</v>
      </c>
      <c r="L22" t="s">
        <v>2867</v>
      </c>
      <c r="M22">
        <v>2</v>
      </c>
      <c r="N22" t="s">
        <v>2720</v>
      </c>
      <c r="O22" t="s">
        <v>2879</v>
      </c>
      <c r="P22" s="1">
        <v>45573</v>
      </c>
      <c r="R22">
        <v>0.8</v>
      </c>
      <c r="V22" t="s">
        <v>2880</v>
      </c>
      <c r="W22" t="s">
        <v>2881</v>
      </c>
      <c r="X22" t="s">
        <v>2688</v>
      </c>
      <c r="Y22" t="s">
        <v>2688</v>
      </c>
      <c r="Z22" t="s">
        <v>2689</v>
      </c>
      <c r="AA22" t="s">
        <v>2689</v>
      </c>
      <c r="AG22" t="s">
        <v>2882</v>
      </c>
      <c r="AH22" t="s">
        <v>2737</v>
      </c>
      <c r="AI22" t="s">
        <v>2883</v>
      </c>
      <c r="AJ22" t="s">
        <v>2884</v>
      </c>
    </row>
    <row r="23" spans="1:36" x14ac:dyDescent="0.4">
      <c r="A23" t="s">
        <v>2888</v>
      </c>
      <c r="B23" t="s">
        <v>2885</v>
      </c>
      <c r="C23" t="s">
        <v>2722</v>
      </c>
      <c r="D23" t="s">
        <v>2886</v>
      </c>
      <c r="E23" t="s">
        <v>2679</v>
      </c>
      <c r="F23" t="s">
        <v>2887</v>
      </c>
      <c r="G23">
        <v>39.900500000000001</v>
      </c>
      <c r="H23">
        <v>-122.94785</v>
      </c>
      <c r="I23" t="s">
        <v>2722</v>
      </c>
      <c r="J23" t="s">
        <v>2717</v>
      </c>
      <c r="K23" t="s">
        <v>2866</v>
      </c>
      <c r="L23" t="s">
        <v>2867</v>
      </c>
      <c r="M23">
        <v>3</v>
      </c>
      <c r="N23" t="s">
        <v>2720</v>
      </c>
      <c r="O23" t="s">
        <v>2888</v>
      </c>
      <c r="P23" s="1">
        <v>45573</v>
      </c>
      <c r="R23">
        <v>1.2</v>
      </c>
      <c r="U23" t="s">
        <v>2889</v>
      </c>
      <c r="V23" t="s">
        <v>2890</v>
      </c>
      <c r="W23" t="s">
        <v>2891</v>
      </c>
      <c r="X23" t="s">
        <v>2688</v>
      </c>
      <c r="Y23" t="s">
        <v>2688</v>
      </c>
      <c r="Z23" t="s">
        <v>2689</v>
      </c>
      <c r="AA23" t="s">
        <v>2689</v>
      </c>
      <c r="AG23" t="s">
        <v>2892</v>
      </c>
      <c r="AH23" t="s">
        <v>2737</v>
      </c>
      <c r="AI23" t="s">
        <v>2893</v>
      </c>
      <c r="AJ23" t="s">
        <v>2894</v>
      </c>
    </row>
    <row r="24" spans="1:36" x14ac:dyDescent="0.4">
      <c r="A24" t="s">
        <v>2898</v>
      </c>
      <c r="B24" t="s">
        <v>2895</v>
      </c>
      <c r="C24" t="s">
        <v>2722</v>
      </c>
      <c r="D24" t="s">
        <v>2896</v>
      </c>
      <c r="E24" t="s">
        <v>2679</v>
      </c>
      <c r="F24" t="s">
        <v>2897</v>
      </c>
      <c r="G24">
        <v>39.900170000000003</v>
      </c>
      <c r="H24">
        <v>-122.94768000000001</v>
      </c>
      <c r="I24" t="s">
        <v>2722</v>
      </c>
      <c r="J24" t="s">
        <v>2717</v>
      </c>
      <c r="K24" t="s">
        <v>2866</v>
      </c>
      <c r="L24" t="s">
        <v>2867</v>
      </c>
      <c r="M24">
        <v>4</v>
      </c>
      <c r="N24" t="s">
        <v>2720</v>
      </c>
      <c r="O24" t="s">
        <v>2898</v>
      </c>
      <c r="P24" s="1">
        <v>45573</v>
      </c>
      <c r="R24">
        <v>1.8</v>
      </c>
      <c r="V24" t="s">
        <v>2899</v>
      </c>
      <c r="W24" t="s">
        <v>2900</v>
      </c>
      <c r="X24" t="s">
        <v>2688</v>
      </c>
      <c r="Y24" t="s">
        <v>2688</v>
      </c>
      <c r="Z24" t="s">
        <v>2689</v>
      </c>
      <c r="AA24" t="s">
        <v>2689</v>
      </c>
      <c r="AG24" t="s">
        <v>2901</v>
      </c>
      <c r="AH24" t="s">
        <v>2737</v>
      </c>
      <c r="AI24" t="s">
        <v>2902</v>
      </c>
      <c r="AJ24" t="s">
        <v>2903</v>
      </c>
    </row>
    <row r="25" spans="1:36" x14ac:dyDescent="0.4">
      <c r="A25" t="s">
        <v>2907</v>
      </c>
      <c r="B25" t="s">
        <v>2904</v>
      </c>
      <c r="C25" t="s">
        <v>2722</v>
      </c>
      <c r="D25" t="s">
        <v>2905</v>
      </c>
      <c r="E25" t="s">
        <v>2679</v>
      </c>
      <c r="F25" t="s">
        <v>2906</v>
      </c>
      <c r="G25">
        <v>39.899909999999998</v>
      </c>
      <c r="H25">
        <v>-122.94799999999999</v>
      </c>
      <c r="I25" t="s">
        <v>2722</v>
      </c>
      <c r="J25" t="s">
        <v>2717</v>
      </c>
      <c r="K25" t="s">
        <v>2866</v>
      </c>
      <c r="L25" t="s">
        <v>2867</v>
      </c>
      <c r="M25">
        <v>5</v>
      </c>
      <c r="N25" t="s">
        <v>2720</v>
      </c>
      <c r="O25" t="s">
        <v>2907</v>
      </c>
      <c r="P25" s="1">
        <v>45573</v>
      </c>
      <c r="R25">
        <v>1.5</v>
      </c>
      <c r="U25" t="s">
        <v>2908</v>
      </c>
      <c r="V25" t="s">
        <v>2909</v>
      </c>
      <c r="W25" t="s">
        <v>2910</v>
      </c>
      <c r="X25" t="s">
        <v>2688</v>
      </c>
      <c r="Y25" t="s">
        <v>2688</v>
      </c>
      <c r="Z25" t="s">
        <v>2689</v>
      </c>
      <c r="AA25" t="s">
        <v>2689</v>
      </c>
      <c r="AD25" t="s">
        <v>2911</v>
      </c>
      <c r="AG25" t="s">
        <v>2912</v>
      </c>
      <c r="AH25" t="s">
        <v>2737</v>
      </c>
      <c r="AI25" t="s">
        <v>2913</v>
      </c>
      <c r="AJ25" t="s">
        <v>2914</v>
      </c>
    </row>
    <row r="26" spans="1:36" x14ac:dyDescent="0.4">
      <c r="A26" t="s">
        <v>2920</v>
      </c>
      <c r="B26" t="s">
        <v>2915</v>
      </c>
      <c r="C26" t="s">
        <v>2722</v>
      </c>
      <c r="D26" t="s">
        <v>2916</v>
      </c>
      <c r="E26" t="s">
        <v>2679</v>
      </c>
      <c r="F26" t="s">
        <v>2917</v>
      </c>
      <c r="G26">
        <v>39.466000000000001</v>
      </c>
      <c r="H26">
        <v>-121.292</v>
      </c>
      <c r="I26" t="s">
        <v>2722</v>
      </c>
      <c r="J26" t="s">
        <v>2717</v>
      </c>
      <c r="K26" t="s">
        <v>2918</v>
      </c>
      <c r="L26" t="s">
        <v>2919</v>
      </c>
      <c r="M26">
        <v>1</v>
      </c>
      <c r="N26" t="s">
        <v>2720</v>
      </c>
      <c r="O26" t="s">
        <v>2920</v>
      </c>
      <c r="P26" s="1">
        <v>45574</v>
      </c>
      <c r="R26">
        <v>1.8</v>
      </c>
      <c r="U26" t="s">
        <v>2921</v>
      </c>
      <c r="V26" t="s">
        <v>2922</v>
      </c>
      <c r="W26" t="s">
        <v>2923</v>
      </c>
      <c r="X26" t="s">
        <v>2688</v>
      </c>
      <c r="Y26" t="s">
        <v>2688</v>
      </c>
      <c r="Z26" t="s">
        <v>2689</v>
      </c>
      <c r="AA26" t="s">
        <v>2689</v>
      </c>
      <c r="AD26" t="s">
        <v>2924</v>
      </c>
      <c r="AG26" t="s">
        <v>2925</v>
      </c>
      <c r="AH26" t="s">
        <v>2737</v>
      </c>
      <c r="AI26" t="s">
        <v>2926</v>
      </c>
      <c r="AJ26" t="s">
        <v>2927</v>
      </c>
    </row>
    <row r="27" spans="1:36" x14ac:dyDescent="0.4">
      <c r="A27" t="s">
        <v>2931</v>
      </c>
      <c r="B27" t="s">
        <v>2928</v>
      </c>
      <c r="C27" t="s">
        <v>2722</v>
      </c>
      <c r="D27" t="s">
        <v>2929</v>
      </c>
      <c r="E27" t="s">
        <v>2679</v>
      </c>
      <c r="F27" t="s">
        <v>2930</v>
      </c>
      <c r="G27">
        <v>39.456359999999997</v>
      </c>
      <c r="H27">
        <v>-121.29168</v>
      </c>
      <c r="I27" t="s">
        <v>2722</v>
      </c>
      <c r="J27" t="s">
        <v>2717</v>
      </c>
      <c r="K27" t="s">
        <v>2918</v>
      </c>
      <c r="L27" t="s">
        <v>2919</v>
      </c>
      <c r="M27">
        <v>2</v>
      </c>
      <c r="N27" t="s">
        <v>2720</v>
      </c>
      <c r="O27" t="s">
        <v>2931</v>
      </c>
      <c r="P27" s="1">
        <v>45574</v>
      </c>
      <c r="R27">
        <v>2</v>
      </c>
      <c r="U27" t="s">
        <v>2932</v>
      </c>
      <c r="V27" t="s">
        <v>2933</v>
      </c>
      <c r="W27" t="s">
        <v>2934</v>
      </c>
      <c r="X27" t="s">
        <v>2688</v>
      </c>
      <c r="Y27" t="s">
        <v>2688</v>
      </c>
      <c r="Z27" t="s">
        <v>2689</v>
      </c>
      <c r="AA27" t="s">
        <v>2689</v>
      </c>
      <c r="AG27" t="s">
        <v>2935</v>
      </c>
      <c r="AH27" t="s">
        <v>2737</v>
      </c>
      <c r="AI27" t="s">
        <v>2936</v>
      </c>
      <c r="AJ27" t="s">
        <v>2937</v>
      </c>
    </row>
    <row r="28" spans="1:36" x14ac:dyDescent="0.4">
      <c r="A28" t="s">
        <v>2941</v>
      </c>
      <c r="B28" t="s">
        <v>2938</v>
      </c>
      <c r="C28" t="s">
        <v>2722</v>
      </c>
      <c r="D28" t="s">
        <v>2939</v>
      </c>
      <c r="E28" t="s">
        <v>2679</v>
      </c>
      <c r="F28" t="s">
        <v>2940</v>
      </c>
      <c r="G28">
        <v>39.466259999999998</v>
      </c>
      <c r="H28">
        <v>-121.29161999999999</v>
      </c>
      <c r="I28" t="s">
        <v>2722</v>
      </c>
      <c r="J28" t="s">
        <v>2717</v>
      </c>
      <c r="K28" t="s">
        <v>2918</v>
      </c>
      <c r="L28" t="s">
        <v>2919</v>
      </c>
      <c r="M28">
        <v>3</v>
      </c>
      <c r="N28" t="s">
        <v>2720</v>
      </c>
      <c r="O28" t="s">
        <v>2941</v>
      </c>
      <c r="P28" s="1">
        <v>45574</v>
      </c>
      <c r="Q28">
        <v>3</v>
      </c>
      <c r="R28">
        <v>3.5</v>
      </c>
      <c r="U28" t="s">
        <v>2942</v>
      </c>
      <c r="V28" t="s">
        <v>2943</v>
      </c>
      <c r="W28" t="s">
        <v>2944</v>
      </c>
      <c r="X28" t="s">
        <v>2688</v>
      </c>
      <c r="Y28" t="s">
        <v>2688</v>
      </c>
      <c r="Z28" t="s">
        <v>2689</v>
      </c>
      <c r="AA28" t="s">
        <v>2689</v>
      </c>
      <c r="AG28" t="s">
        <v>2945</v>
      </c>
      <c r="AH28" t="s">
        <v>2737</v>
      </c>
      <c r="AI28" t="s">
        <v>2946</v>
      </c>
      <c r="AJ28" t="s">
        <v>2947</v>
      </c>
    </row>
    <row r="29" spans="1:36" x14ac:dyDescent="0.4">
      <c r="A29" t="s">
        <v>2951</v>
      </c>
      <c r="B29" t="s">
        <v>2948</v>
      </c>
      <c r="C29" t="s">
        <v>2722</v>
      </c>
      <c r="D29" t="s">
        <v>2949</v>
      </c>
      <c r="E29" t="s">
        <v>2679</v>
      </c>
      <c r="F29" t="s">
        <v>2950</v>
      </c>
      <c r="G29">
        <v>39.4666</v>
      </c>
      <c r="H29">
        <v>-121.29205</v>
      </c>
      <c r="I29" t="s">
        <v>2722</v>
      </c>
      <c r="J29" t="s">
        <v>2717</v>
      </c>
      <c r="K29" t="s">
        <v>2918</v>
      </c>
      <c r="L29" t="s">
        <v>2919</v>
      </c>
      <c r="M29">
        <v>4</v>
      </c>
      <c r="N29" t="s">
        <v>2720</v>
      </c>
      <c r="O29" t="s">
        <v>2951</v>
      </c>
      <c r="P29" s="1">
        <v>45574</v>
      </c>
      <c r="R29">
        <v>2.5</v>
      </c>
      <c r="U29" t="s">
        <v>2952</v>
      </c>
      <c r="V29" t="s">
        <v>2953</v>
      </c>
      <c r="W29" t="s">
        <v>2954</v>
      </c>
      <c r="X29" t="s">
        <v>2688</v>
      </c>
      <c r="Y29" t="s">
        <v>2688</v>
      </c>
      <c r="Z29" t="s">
        <v>2689</v>
      </c>
      <c r="AA29" t="s">
        <v>2689</v>
      </c>
      <c r="AG29" t="s">
        <v>2955</v>
      </c>
      <c r="AH29" t="s">
        <v>2737</v>
      </c>
      <c r="AI29" t="s">
        <v>2956</v>
      </c>
      <c r="AJ29" t="s">
        <v>2957</v>
      </c>
    </row>
    <row r="30" spans="1:36" x14ac:dyDescent="0.4">
      <c r="A30" t="s">
        <v>2961</v>
      </c>
      <c r="B30" t="s">
        <v>2958</v>
      </c>
      <c r="C30" t="s">
        <v>2722</v>
      </c>
      <c r="D30" t="s">
        <v>2959</v>
      </c>
      <c r="E30" t="s">
        <v>2679</v>
      </c>
      <c r="F30" t="s">
        <v>2960</v>
      </c>
      <c r="G30">
        <v>39.466769999999997</v>
      </c>
      <c r="H30">
        <v>-121.29197000000001</v>
      </c>
      <c r="I30" t="s">
        <v>2722</v>
      </c>
      <c r="J30" t="s">
        <v>2717</v>
      </c>
      <c r="K30" t="s">
        <v>2918</v>
      </c>
      <c r="L30" t="s">
        <v>2919</v>
      </c>
      <c r="M30">
        <v>5</v>
      </c>
      <c r="N30" t="s">
        <v>2720</v>
      </c>
      <c r="O30" t="s">
        <v>2961</v>
      </c>
      <c r="P30" s="1">
        <v>45574</v>
      </c>
      <c r="U30" t="s">
        <v>2962</v>
      </c>
      <c r="V30" t="s">
        <v>2963</v>
      </c>
      <c r="W30" t="s">
        <v>2964</v>
      </c>
      <c r="X30" t="s">
        <v>2688</v>
      </c>
      <c r="Y30" t="s">
        <v>2688</v>
      </c>
      <c r="Z30" t="s">
        <v>2689</v>
      </c>
      <c r="AA30" t="s">
        <v>2689</v>
      </c>
      <c r="AG30" t="s">
        <v>2965</v>
      </c>
      <c r="AH30" t="s">
        <v>2737</v>
      </c>
      <c r="AI30" t="s">
        <v>2966</v>
      </c>
      <c r="AJ30" t="s">
        <v>2967</v>
      </c>
    </row>
    <row r="31" spans="1:36" x14ac:dyDescent="0.4">
      <c r="A31" t="s">
        <v>2976</v>
      </c>
      <c r="B31" t="s">
        <v>2968</v>
      </c>
      <c r="C31" t="s">
        <v>2969</v>
      </c>
      <c r="D31" t="s">
        <v>2970</v>
      </c>
      <c r="E31" t="s">
        <v>2679</v>
      </c>
      <c r="F31" t="s">
        <v>2971</v>
      </c>
      <c r="G31">
        <v>48.503790000000002</v>
      </c>
      <c r="H31">
        <v>-123.04203</v>
      </c>
      <c r="I31" t="s">
        <v>2969</v>
      </c>
      <c r="J31" t="s">
        <v>2972</v>
      </c>
      <c r="K31" t="s">
        <v>2973</v>
      </c>
      <c r="L31" t="s">
        <v>2974</v>
      </c>
      <c r="M31">
        <v>1</v>
      </c>
      <c r="N31" t="s">
        <v>2975</v>
      </c>
      <c r="O31" t="s">
        <v>2976</v>
      </c>
      <c r="P31" s="1">
        <v>45558</v>
      </c>
      <c r="Q31">
        <v>75</v>
      </c>
      <c r="R31">
        <v>13</v>
      </c>
      <c r="W31" t="s">
        <v>2977</v>
      </c>
      <c r="X31" t="s">
        <v>2689</v>
      </c>
      <c r="Y31" t="s">
        <v>2688</v>
      </c>
      <c r="Z31" t="s">
        <v>2689</v>
      </c>
      <c r="AA31" t="s">
        <v>2689</v>
      </c>
      <c r="AH31" t="s">
        <v>2978</v>
      </c>
      <c r="AI31" t="s">
        <v>2979</v>
      </c>
      <c r="AJ31" t="s">
        <v>2980</v>
      </c>
    </row>
    <row r="32" spans="1:36" x14ac:dyDescent="0.4">
      <c r="A32" t="s">
        <v>2984</v>
      </c>
      <c r="B32" t="s">
        <v>2981</v>
      </c>
      <c r="C32" t="s">
        <v>2969</v>
      </c>
      <c r="D32" t="s">
        <v>2982</v>
      </c>
      <c r="E32" t="s">
        <v>2679</v>
      </c>
      <c r="F32" t="s">
        <v>2983</v>
      </c>
      <c r="G32">
        <v>48.506540000000001</v>
      </c>
      <c r="H32">
        <v>-123.04151</v>
      </c>
      <c r="I32" t="s">
        <v>2969</v>
      </c>
      <c r="J32" t="s">
        <v>2972</v>
      </c>
      <c r="K32" t="s">
        <v>2973</v>
      </c>
      <c r="L32" t="s">
        <v>2974</v>
      </c>
      <c r="M32">
        <v>2</v>
      </c>
      <c r="N32" t="s">
        <v>2975</v>
      </c>
      <c r="O32" t="s">
        <v>2984</v>
      </c>
      <c r="P32" s="1">
        <v>45558</v>
      </c>
      <c r="Q32">
        <v>55</v>
      </c>
      <c r="R32">
        <v>16</v>
      </c>
      <c r="W32" t="s">
        <v>2985</v>
      </c>
      <c r="X32" t="s">
        <v>2689</v>
      </c>
      <c r="Y32" t="s">
        <v>2688</v>
      </c>
      <c r="Z32" t="s">
        <v>2689</v>
      </c>
      <c r="AA32" t="s">
        <v>2689</v>
      </c>
      <c r="AH32" t="s">
        <v>2978</v>
      </c>
      <c r="AI32" t="s">
        <v>2986</v>
      </c>
      <c r="AJ32" t="s">
        <v>2987</v>
      </c>
    </row>
    <row r="33" spans="1:42" x14ac:dyDescent="0.4">
      <c r="A33" t="s">
        <v>2991</v>
      </c>
      <c r="B33" t="s">
        <v>2988</v>
      </c>
      <c r="C33" t="s">
        <v>2969</v>
      </c>
      <c r="D33" t="s">
        <v>2989</v>
      </c>
      <c r="E33" t="s">
        <v>2679</v>
      </c>
      <c r="F33" t="s">
        <v>2990</v>
      </c>
      <c r="G33">
        <v>48.545083329999997</v>
      </c>
      <c r="H33">
        <v>-123.01361110000001</v>
      </c>
      <c r="I33" t="s">
        <v>2969</v>
      </c>
      <c r="J33" t="s">
        <v>2972</v>
      </c>
      <c r="K33" t="s">
        <v>2973</v>
      </c>
      <c r="L33" t="s">
        <v>2974</v>
      </c>
      <c r="M33">
        <v>3</v>
      </c>
      <c r="N33" t="s">
        <v>2975</v>
      </c>
      <c r="O33" t="s">
        <v>2991</v>
      </c>
      <c r="P33" s="1">
        <v>45558</v>
      </c>
      <c r="Q33">
        <v>75</v>
      </c>
      <c r="R33">
        <v>10</v>
      </c>
      <c r="W33" t="s">
        <v>2992</v>
      </c>
      <c r="X33" t="s">
        <v>2689</v>
      </c>
      <c r="Y33" t="s">
        <v>2688</v>
      </c>
      <c r="Z33" t="s">
        <v>2689</v>
      </c>
      <c r="AA33" t="s">
        <v>2689</v>
      </c>
      <c r="AH33" t="s">
        <v>2978</v>
      </c>
      <c r="AI33" t="s">
        <v>2993</v>
      </c>
      <c r="AJ33" t="s">
        <v>2994</v>
      </c>
    </row>
    <row r="34" spans="1:42" x14ac:dyDescent="0.4">
      <c r="A34" t="s">
        <v>2998</v>
      </c>
      <c r="B34" t="s">
        <v>2995</v>
      </c>
      <c r="C34" t="s">
        <v>2969</v>
      </c>
      <c r="D34" t="s">
        <v>2996</v>
      </c>
      <c r="E34" t="s">
        <v>2679</v>
      </c>
      <c r="F34" t="s">
        <v>2997</v>
      </c>
      <c r="G34">
        <v>48.580145000000002</v>
      </c>
      <c r="H34">
        <v>-123.143823</v>
      </c>
      <c r="I34" t="s">
        <v>2969</v>
      </c>
      <c r="J34" t="s">
        <v>2972</v>
      </c>
      <c r="K34" t="s">
        <v>2973</v>
      </c>
      <c r="L34" t="s">
        <v>2974</v>
      </c>
      <c r="M34">
        <v>4</v>
      </c>
      <c r="N34" t="s">
        <v>2975</v>
      </c>
      <c r="O34" t="s">
        <v>2998</v>
      </c>
      <c r="P34" s="1">
        <v>45559</v>
      </c>
      <c r="Q34">
        <v>80</v>
      </c>
      <c r="V34" t="s">
        <v>2999</v>
      </c>
      <c r="W34" t="s">
        <v>3000</v>
      </c>
      <c r="X34" t="s">
        <v>2689</v>
      </c>
      <c r="Y34" t="s">
        <v>2688</v>
      </c>
      <c r="Z34" t="s">
        <v>2689</v>
      </c>
      <c r="AA34" t="s">
        <v>2689</v>
      </c>
      <c r="AH34" t="s">
        <v>2978</v>
      </c>
      <c r="AI34" t="s">
        <v>3001</v>
      </c>
      <c r="AJ34" t="s">
        <v>3002</v>
      </c>
    </row>
    <row r="35" spans="1:42" x14ac:dyDescent="0.4">
      <c r="A35" t="s">
        <v>3006</v>
      </c>
      <c r="B35" t="s">
        <v>3003</v>
      </c>
      <c r="C35" t="s">
        <v>2969</v>
      </c>
      <c r="D35" t="s">
        <v>3004</v>
      </c>
      <c r="E35" t="s">
        <v>2679</v>
      </c>
      <c r="F35" t="s">
        <v>3005</v>
      </c>
      <c r="G35">
        <v>48.575688</v>
      </c>
      <c r="H35">
        <v>-123.140643</v>
      </c>
      <c r="I35" t="s">
        <v>2969</v>
      </c>
      <c r="J35" t="s">
        <v>2972</v>
      </c>
      <c r="K35" t="s">
        <v>2973</v>
      </c>
      <c r="L35" t="s">
        <v>2974</v>
      </c>
      <c r="M35">
        <v>5</v>
      </c>
      <c r="N35" t="s">
        <v>2975</v>
      </c>
      <c r="O35" t="s">
        <v>3006</v>
      </c>
      <c r="P35" s="1">
        <v>45559</v>
      </c>
      <c r="Q35">
        <v>100</v>
      </c>
      <c r="R35">
        <v>15</v>
      </c>
      <c r="V35" t="s">
        <v>3007</v>
      </c>
      <c r="W35" t="s">
        <v>3008</v>
      </c>
      <c r="X35" t="s">
        <v>2689</v>
      </c>
      <c r="Y35" t="s">
        <v>2688</v>
      </c>
      <c r="Z35" t="s">
        <v>2689</v>
      </c>
      <c r="AA35" t="s">
        <v>2689</v>
      </c>
      <c r="AH35" t="s">
        <v>2978</v>
      </c>
      <c r="AI35" t="s">
        <v>3009</v>
      </c>
      <c r="AJ35" t="s">
        <v>3010</v>
      </c>
    </row>
    <row r="36" spans="1:42" x14ac:dyDescent="0.4">
      <c r="A36" t="s">
        <v>3018</v>
      </c>
      <c r="B36" t="s">
        <v>3011</v>
      </c>
      <c r="C36" t="s">
        <v>2714</v>
      </c>
      <c r="D36" t="s">
        <v>3012</v>
      </c>
      <c r="E36" t="s">
        <v>2679</v>
      </c>
      <c r="F36" t="s">
        <v>3013</v>
      </c>
      <c r="G36">
        <v>42.23339833</v>
      </c>
      <c r="H36">
        <v>-123.66572170000001</v>
      </c>
      <c r="I36" t="s">
        <v>2714</v>
      </c>
      <c r="J36" t="s">
        <v>3014</v>
      </c>
      <c r="K36" t="s">
        <v>3015</v>
      </c>
      <c r="L36" t="s">
        <v>3016</v>
      </c>
      <c r="M36">
        <v>1</v>
      </c>
      <c r="N36" t="s">
        <v>3017</v>
      </c>
      <c r="O36" t="s">
        <v>3018</v>
      </c>
      <c r="P36" s="1">
        <v>45572</v>
      </c>
      <c r="W36" t="s">
        <v>3019</v>
      </c>
      <c r="X36" t="s">
        <v>2689</v>
      </c>
      <c r="Y36" t="s">
        <v>2688</v>
      </c>
      <c r="Z36" t="s">
        <v>2689</v>
      </c>
      <c r="AA36" t="s">
        <v>2689</v>
      </c>
      <c r="AH36" t="s">
        <v>3020</v>
      </c>
      <c r="AI36" t="s">
        <v>3021</v>
      </c>
      <c r="AJ36" t="s">
        <v>3022</v>
      </c>
    </row>
    <row r="37" spans="1:42" x14ac:dyDescent="0.4">
      <c r="A37" t="s">
        <v>3027</v>
      </c>
      <c r="B37" t="s">
        <v>3023</v>
      </c>
      <c r="C37" t="s">
        <v>3024</v>
      </c>
      <c r="D37" t="s">
        <v>3025</v>
      </c>
      <c r="E37" t="s">
        <v>2679</v>
      </c>
      <c r="F37" t="s">
        <v>3026</v>
      </c>
      <c r="G37">
        <v>42.237166670000001</v>
      </c>
      <c r="H37">
        <v>-123.6691383</v>
      </c>
      <c r="I37" t="s">
        <v>3024</v>
      </c>
      <c r="J37" t="s">
        <v>3014</v>
      </c>
      <c r="K37" t="s">
        <v>3015</v>
      </c>
      <c r="L37" t="s">
        <v>3016</v>
      </c>
      <c r="M37">
        <v>2</v>
      </c>
      <c r="N37" t="s">
        <v>3017</v>
      </c>
      <c r="O37" t="s">
        <v>3027</v>
      </c>
      <c r="P37" s="1">
        <v>45572</v>
      </c>
      <c r="W37" t="s">
        <v>3028</v>
      </c>
      <c r="X37" t="s">
        <v>2689</v>
      </c>
      <c r="Y37" t="s">
        <v>2688</v>
      </c>
      <c r="Z37" t="s">
        <v>2689</v>
      </c>
      <c r="AA37" t="s">
        <v>2689</v>
      </c>
      <c r="AH37" t="s">
        <v>3020</v>
      </c>
      <c r="AI37" t="s">
        <v>3029</v>
      </c>
      <c r="AJ37" t="s">
        <v>3030</v>
      </c>
    </row>
    <row r="38" spans="1:42" x14ac:dyDescent="0.4">
      <c r="A38" t="s">
        <v>3035</v>
      </c>
      <c r="B38" t="s">
        <v>3031</v>
      </c>
      <c r="C38" t="s">
        <v>3032</v>
      </c>
      <c r="D38" t="s">
        <v>3033</v>
      </c>
      <c r="E38" t="s">
        <v>2679</v>
      </c>
      <c r="F38" t="s">
        <v>3034</v>
      </c>
      <c r="G38">
        <v>42.231888329999997</v>
      </c>
      <c r="H38">
        <v>-123.643215</v>
      </c>
      <c r="I38" t="s">
        <v>3032</v>
      </c>
      <c r="J38" t="s">
        <v>3014</v>
      </c>
      <c r="K38" t="s">
        <v>3015</v>
      </c>
      <c r="L38" t="s">
        <v>3016</v>
      </c>
      <c r="M38">
        <v>3</v>
      </c>
      <c r="N38" t="s">
        <v>3017</v>
      </c>
      <c r="O38" t="s">
        <v>3035</v>
      </c>
      <c r="P38" s="1">
        <v>45572</v>
      </c>
      <c r="W38" t="s">
        <v>3036</v>
      </c>
      <c r="X38" t="s">
        <v>2689</v>
      </c>
      <c r="Y38" t="s">
        <v>2688</v>
      </c>
      <c r="Z38" t="s">
        <v>2689</v>
      </c>
      <c r="AA38" t="s">
        <v>2689</v>
      </c>
      <c r="AH38" t="s">
        <v>3020</v>
      </c>
      <c r="AI38" t="s">
        <v>3037</v>
      </c>
      <c r="AJ38" t="s">
        <v>3038</v>
      </c>
    </row>
    <row r="39" spans="1:42" x14ac:dyDescent="0.4">
      <c r="A39" t="s">
        <v>3044</v>
      </c>
      <c r="B39" t="s">
        <v>3039</v>
      </c>
      <c r="C39" t="s">
        <v>3032</v>
      </c>
      <c r="D39" t="s">
        <v>3040</v>
      </c>
      <c r="E39" t="s">
        <v>2679</v>
      </c>
      <c r="F39" t="s">
        <v>3041</v>
      </c>
      <c r="G39">
        <v>42.376108330000001</v>
      </c>
      <c r="H39">
        <v>-123.55893829999999</v>
      </c>
      <c r="I39" t="s">
        <v>3032</v>
      </c>
      <c r="J39" t="s">
        <v>3014</v>
      </c>
      <c r="K39" t="s">
        <v>3042</v>
      </c>
      <c r="L39" t="s">
        <v>3043</v>
      </c>
      <c r="M39">
        <v>4</v>
      </c>
      <c r="N39" t="s">
        <v>3017</v>
      </c>
      <c r="O39" t="s">
        <v>3044</v>
      </c>
      <c r="P39" s="1">
        <v>45572</v>
      </c>
      <c r="W39" t="s">
        <v>3045</v>
      </c>
      <c r="X39" t="s">
        <v>2689</v>
      </c>
      <c r="Y39" t="s">
        <v>2688</v>
      </c>
      <c r="Z39" t="s">
        <v>2689</v>
      </c>
      <c r="AA39" t="s">
        <v>2689</v>
      </c>
      <c r="AH39" t="s">
        <v>3020</v>
      </c>
      <c r="AI39" t="s">
        <v>3046</v>
      </c>
      <c r="AJ39" t="s">
        <v>3047</v>
      </c>
    </row>
    <row r="40" spans="1:42" x14ac:dyDescent="0.4">
      <c r="A40" t="s">
        <v>3053</v>
      </c>
      <c r="B40" t="s">
        <v>3048</v>
      </c>
      <c r="C40" t="s">
        <v>3032</v>
      </c>
      <c r="D40" t="s">
        <v>3049</v>
      </c>
      <c r="E40" t="s">
        <v>2679</v>
      </c>
      <c r="F40" t="s">
        <v>3050</v>
      </c>
      <c r="G40">
        <v>42.410400000000003</v>
      </c>
      <c r="H40">
        <v>-123.1290833</v>
      </c>
      <c r="I40" t="s">
        <v>3032</v>
      </c>
      <c r="J40" t="s">
        <v>3014</v>
      </c>
      <c r="K40" t="s">
        <v>3051</v>
      </c>
      <c r="L40" t="s">
        <v>3052</v>
      </c>
      <c r="M40">
        <v>5</v>
      </c>
      <c r="N40" t="s">
        <v>3017</v>
      </c>
      <c r="O40" t="s">
        <v>3053</v>
      </c>
      <c r="P40" s="1">
        <v>45572</v>
      </c>
      <c r="V40" t="s">
        <v>3054</v>
      </c>
      <c r="W40" t="s">
        <v>3055</v>
      </c>
      <c r="X40" t="s">
        <v>2689</v>
      </c>
      <c r="Y40" t="s">
        <v>2688</v>
      </c>
      <c r="Z40" t="s">
        <v>2689</v>
      </c>
      <c r="AA40" t="s">
        <v>2689</v>
      </c>
      <c r="AH40" t="s">
        <v>3020</v>
      </c>
      <c r="AI40" t="s">
        <v>3056</v>
      </c>
      <c r="AJ40" t="s">
        <v>3057</v>
      </c>
    </row>
    <row r="41" spans="1:42" x14ac:dyDescent="0.4">
      <c r="A41" t="s">
        <v>3063</v>
      </c>
      <c r="B41" t="s">
        <v>3058</v>
      </c>
      <c r="C41" t="s">
        <v>3032</v>
      </c>
      <c r="D41" t="s">
        <v>3059</v>
      </c>
      <c r="E41" t="s">
        <v>2679</v>
      </c>
      <c r="F41" t="s">
        <v>3060</v>
      </c>
      <c r="G41">
        <v>41.995771670000003</v>
      </c>
      <c r="H41">
        <v>-122.6168667</v>
      </c>
      <c r="I41" t="s">
        <v>3032</v>
      </c>
      <c r="J41" t="s">
        <v>2717</v>
      </c>
      <c r="K41" t="s">
        <v>3061</v>
      </c>
      <c r="L41" t="s">
        <v>3062</v>
      </c>
      <c r="M41">
        <v>6</v>
      </c>
      <c r="N41" t="s">
        <v>3017</v>
      </c>
      <c r="O41" t="s">
        <v>3063</v>
      </c>
      <c r="P41" s="1">
        <v>45572</v>
      </c>
      <c r="V41" t="s">
        <v>3064</v>
      </c>
      <c r="W41" t="s">
        <v>3065</v>
      </c>
      <c r="X41" t="s">
        <v>2689</v>
      </c>
      <c r="Y41" t="s">
        <v>2688</v>
      </c>
      <c r="Z41" t="s">
        <v>2689</v>
      </c>
      <c r="AA41" t="s">
        <v>2689</v>
      </c>
      <c r="AH41" t="s">
        <v>3020</v>
      </c>
      <c r="AI41" t="s">
        <v>3066</v>
      </c>
      <c r="AJ41" t="s">
        <v>3067</v>
      </c>
    </row>
    <row r="42" spans="1:42" x14ac:dyDescent="0.4">
      <c r="A42" t="s">
        <v>3071</v>
      </c>
      <c r="B42" t="s">
        <v>3068</v>
      </c>
      <c r="C42" t="s">
        <v>3032</v>
      </c>
      <c r="D42" t="s">
        <v>3069</v>
      </c>
      <c r="E42" t="s">
        <v>2679</v>
      </c>
      <c r="F42" t="s">
        <v>3070</v>
      </c>
      <c r="G42">
        <v>41.899884999999998</v>
      </c>
      <c r="H42">
        <v>-122.5667583</v>
      </c>
      <c r="I42" t="s">
        <v>3032</v>
      </c>
      <c r="J42" t="s">
        <v>2717</v>
      </c>
      <c r="K42" t="s">
        <v>3061</v>
      </c>
      <c r="L42" t="s">
        <v>3062</v>
      </c>
      <c r="M42">
        <v>7</v>
      </c>
      <c r="N42" t="s">
        <v>3017</v>
      </c>
      <c r="O42" t="s">
        <v>3071</v>
      </c>
      <c r="P42" s="1">
        <v>45572</v>
      </c>
      <c r="W42" t="s">
        <v>3072</v>
      </c>
      <c r="X42" t="s">
        <v>2689</v>
      </c>
      <c r="Y42" t="s">
        <v>2688</v>
      </c>
      <c r="Z42" t="s">
        <v>2689</v>
      </c>
      <c r="AA42" t="s">
        <v>2689</v>
      </c>
      <c r="AH42" t="s">
        <v>3020</v>
      </c>
      <c r="AI42" t="s">
        <v>3073</v>
      </c>
      <c r="AJ42" t="s">
        <v>3074</v>
      </c>
    </row>
    <row r="43" spans="1:42" x14ac:dyDescent="0.4">
      <c r="A43" t="s">
        <v>3080</v>
      </c>
      <c r="B43" t="s">
        <v>3075</v>
      </c>
      <c r="C43" t="s">
        <v>3032</v>
      </c>
      <c r="D43" t="s">
        <v>3076</v>
      </c>
      <c r="E43" t="s">
        <v>2679</v>
      </c>
      <c r="F43" t="s">
        <v>3077</v>
      </c>
      <c r="G43">
        <v>41.148176669999998</v>
      </c>
      <c r="H43">
        <v>-122.3150833</v>
      </c>
      <c r="I43" t="s">
        <v>3032</v>
      </c>
      <c r="J43" t="s">
        <v>2717</v>
      </c>
      <c r="K43" t="s">
        <v>3078</v>
      </c>
      <c r="L43" t="s">
        <v>3079</v>
      </c>
      <c r="M43">
        <v>8</v>
      </c>
      <c r="N43" t="s">
        <v>3017</v>
      </c>
      <c r="O43" t="s">
        <v>3080</v>
      </c>
      <c r="P43" s="1">
        <v>45572</v>
      </c>
      <c r="V43" t="s">
        <v>3081</v>
      </c>
      <c r="W43" t="s">
        <v>3082</v>
      </c>
      <c r="X43" t="s">
        <v>2689</v>
      </c>
      <c r="Y43" t="s">
        <v>2688</v>
      </c>
      <c r="Z43" t="s">
        <v>2689</v>
      </c>
      <c r="AA43" t="s">
        <v>2689</v>
      </c>
      <c r="AH43" t="s">
        <v>3020</v>
      </c>
      <c r="AI43" t="s">
        <v>3083</v>
      </c>
      <c r="AJ43" t="s">
        <v>3084</v>
      </c>
    </row>
    <row r="44" spans="1:42" x14ac:dyDescent="0.4">
      <c r="A44" t="s">
        <v>3088</v>
      </c>
      <c r="B44" t="s">
        <v>3085</v>
      </c>
      <c r="C44" t="s">
        <v>2714</v>
      </c>
      <c r="D44" t="s">
        <v>3086</v>
      </c>
      <c r="E44" t="s">
        <v>2679</v>
      </c>
      <c r="F44" t="s">
        <v>3087</v>
      </c>
      <c r="G44">
        <v>40.159790000000001</v>
      </c>
      <c r="H44">
        <v>-121.60242</v>
      </c>
      <c r="I44" t="s">
        <v>2714</v>
      </c>
      <c r="J44" t="s">
        <v>2717</v>
      </c>
      <c r="K44" t="s">
        <v>2718</v>
      </c>
      <c r="L44" t="s">
        <v>2719</v>
      </c>
      <c r="M44">
        <v>2</v>
      </c>
      <c r="N44" t="s">
        <v>2720</v>
      </c>
      <c r="O44" t="s">
        <v>3088</v>
      </c>
      <c r="P44" s="1">
        <v>45571</v>
      </c>
      <c r="Q44">
        <v>10</v>
      </c>
      <c r="R44">
        <v>4</v>
      </c>
      <c r="U44" t="s">
        <v>3089</v>
      </c>
      <c r="V44" t="s">
        <v>3090</v>
      </c>
      <c r="W44" t="s">
        <v>3091</v>
      </c>
      <c r="X44" t="s">
        <v>2688</v>
      </c>
      <c r="Y44" t="s">
        <v>2688</v>
      </c>
      <c r="Z44" t="s">
        <v>2689</v>
      </c>
      <c r="AA44" t="s">
        <v>2689</v>
      </c>
      <c r="AG44" t="s">
        <v>3092</v>
      </c>
      <c r="AH44" t="s">
        <v>2737</v>
      </c>
      <c r="AI44" t="s">
        <v>3093</v>
      </c>
      <c r="AJ44" t="s">
        <v>2739</v>
      </c>
    </row>
    <row r="45" spans="1:42" ht="335.15" x14ac:dyDescent="0.4">
      <c r="A45" t="s">
        <v>3100</v>
      </c>
      <c r="B45" t="s">
        <v>3094</v>
      </c>
      <c r="C45" t="s">
        <v>1411</v>
      </c>
      <c r="D45" t="s">
        <v>3095</v>
      </c>
      <c r="E45" t="s">
        <v>2679</v>
      </c>
      <c r="F45" t="s">
        <v>3096</v>
      </c>
      <c r="G45">
        <v>44.659106710000003</v>
      </c>
      <c r="H45">
        <v>-104.328293</v>
      </c>
      <c r="I45" t="s">
        <v>1411</v>
      </c>
      <c r="J45" t="s">
        <v>3097</v>
      </c>
      <c r="K45" t="s">
        <v>3098</v>
      </c>
      <c r="L45" t="s">
        <v>3099</v>
      </c>
      <c r="M45">
        <v>5</v>
      </c>
      <c r="N45" t="s">
        <v>2684</v>
      </c>
      <c r="O45" t="s">
        <v>3100</v>
      </c>
      <c r="P45" s="1">
        <v>45449</v>
      </c>
      <c r="Q45">
        <v>24</v>
      </c>
      <c r="T45" t="s">
        <v>2688</v>
      </c>
      <c r="U45" s="10" t="s">
        <v>3101</v>
      </c>
      <c r="V45" t="s">
        <v>3102</v>
      </c>
      <c r="W45" t="s">
        <v>3103</v>
      </c>
      <c r="X45" t="s">
        <v>2688</v>
      </c>
      <c r="Z45" t="s">
        <v>2689</v>
      </c>
      <c r="AA45" t="s">
        <v>2689</v>
      </c>
      <c r="AD45" t="s">
        <v>3104</v>
      </c>
      <c r="AH45" t="s">
        <v>1225</v>
      </c>
      <c r="AJ45" s="10" t="s">
        <v>3105</v>
      </c>
      <c r="AO45" s="1">
        <v>45550</v>
      </c>
      <c r="AP45">
        <v>259</v>
      </c>
    </row>
    <row r="46" spans="1:42" ht="393.45" x14ac:dyDescent="0.4">
      <c r="A46" t="s">
        <v>3109</v>
      </c>
      <c r="B46" t="s">
        <v>3106</v>
      </c>
      <c r="C46" t="s">
        <v>1411</v>
      </c>
      <c r="D46" t="s">
        <v>3107</v>
      </c>
      <c r="E46" t="s">
        <v>2679</v>
      </c>
      <c r="F46" t="s">
        <v>3108</v>
      </c>
      <c r="G46">
        <v>44.658644000000002</v>
      </c>
      <c r="H46">
        <v>-104.32969919999999</v>
      </c>
      <c r="I46" t="s">
        <v>1411</v>
      </c>
      <c r="J46" t="s">
        <v>3097</v>
      </c>
      <c r="K46" t="s">
        <v>3098</v>
      </c>
      <c r="L46" t="s">
        <v>3099</v>
      </c>
      <c r="M46">
        <v>4</v>
      </c>
      <c r="N46" t="s">
        <v>2684</v>
      </c>
      <c r="O46" t="s">
        <v>3109</v>
      </c>
      <c r="P46" s="1">
        <v>45449</v>
      </c>
      <c r="Q46">
        <v>7</v>
      </c>
      <c r="T46" t="s">
        <v>2688</v>
      </c>
      <c r="U46" t="s">
        <v>3110</v>
      </c>
      <c r="V46" t="s">
        <v>3102</v>
      </c>
      <c r="W46" t="s">
        <v>3103</v>
      </c>
      <c r="X46" t="s">
        <v>2688</v>
      </c>
      <c r="Y46" t="s">
        <v>2688</v>
      </c>
      <c r="Z46" t="s">
        <v>2689</v>
      </c>
      <c r="AA46" t="s">
        <v>2689</v>
      </c>
      <c r="AD46" t="s">
        <v>3111</v>
      </c>
      <c r="AH46" t="s">
        <v>1225</v>
      </c>
      <c r="AJ46" s="10" t="s">
        <v>3112</v>
      </c>
      <c r="AO46" s="1">
        <v>45550</v>
      </c>
      <c r="AP46">
        <v>229</v>
      </c>
    </row>
    <row r="47" spans="1:42" ht="247.75" x14ac:dyDescent="0.4">
      <c r="A47" t="s">
        <v>3116</v>
      </c>
      <c r="B47" t="s">
        <v>3113</v>
      </c>
      <c r="C47" t="s">
        <v>1411</v>
      </c>
      <c r="D47" t="s">
        <v>3114</v>
      </c>
      <c r="E47" t="s">
        <v>2679</v>
      </c>
      <c r="F47" t="s">
        <v>3115</v>
      </c>
      <c r="G47">
        <v>44.657996699999998</v>
      </c>
      <c r="H47">
        <v>-104.3302075</v>
      </c>
      <c r="I47" t="s">
        <v>1411</v>
      </c>
      <c r="J47" t="s">
        <v>3097</v>
      </c>
      <c r="K47" t="s">
        <v>3098</v>
      </c>
      <c r="L47" t="s">
        <v>3099</v>
      </c>
      <c r="M47">
        <v>3</v>
      </c>
      <c r="N47" t="s">
        <v>2684</v>
      </c>
      <c r="O47" t="s">
        <v>3116</v>
      </c>
      <c r="P47" s="1">
        <v>45449</v>
      </c>
      <c r="Q47">
        <v>34</v>
      </c>
      <c r="T47" t="s">
        <v>2688</v>
      </c>
      <c r="U47" t="s">
        <v>3117</v>
      </c>
      <c r="V47" t="s">
        <v>3102</v>
      </c>
      <c r="W47" t="s">
        <v>3103</v>
      </c>
      <c r="X47" t="s">
        <v>2688</v>
      </c>
      <c r="Y47" t="s">
        <v>2688</v>
      </c>
      <c r="Z47" t="s">
        <v>2689</v>
      </c>
      <c r="AA47" t="s">
        <v>2689</v>
      </c>
      <c r="AD47" t="s">
        <v>3118</v>
      </c>
      <c r="AH47" t="s">
        <v>1225</v>
      </c>
      <c r="AJ47" s="10" t="s">
        <v>3119</v>
      </c>
      <c r="AO47" s="1">
        <v>45550</v>
      </c>
      <c r="AP47">
        <v>250</v>
      </c>
    </row>
    <row r="48" spans="1:42" ht="247.75" x14ac:dyDescent="0.4">
      <c r="A48" t="s">
        <v>3123</v>
      </c>
      <c r="B48" t="s">
        <v>3120</v>
      </c>
      <c r="C48" t="s">
        <v>1411</v>
      </c>
      <c r="D48" t="s">
        <v>3121</v>
      </c>
      <c r="E48" t="s">
        <v>2679</v>
      </c>
      <c r="F48" t="s">
        <v>3122</v>
      </c>
      <c r="G48">
        <v>44.657589399999999</v>
      </c>
      <c r="H48">
        <v>-104.33043240000001</v>
      </c>
      <c r="I48" t="s">
        <v>1411</v>
      </c>
      <c r="J48" t="s">
        <v>3097</v>
      </c>
      <c r="K48" t="s">
        <v>3098</v>
      </c>
      <c r="L48" t="s">
        <v>3099</v>
      </c>
      <c r="M48">
        <v>2</v>
      </c>
      <c r="N48" t="s">
        <v>2684</v>
      </c>
      <c r="O48" t="s">
        <v>3123</v>
      </c>
      <c r="P48" s="1">
        <v>45449</v>
      </c>
      <c r="Q48">
        <v>21</v>
      </c>
      <c r="T48" t="s">
        <v>2688</v>
      </c>
      <c r="U48" t="s">
        <v>3124</v>
      </c>
      <c r="V48" t="s">
        <v>3102</v>
      </c>
      <c r="W48" t="s">
        <v>3103</v>
      </c>
      <c r="X48" t="s">
        <v>2688</v>
      </c>
      <c r="Y48" t="s">
        <v>2688</v>
      </c>
      <c r="Z48" t="s">
        <v>2689</v>
      </c>
      <c r="AA48" t="s">
        <v>2689</v>
      </c>
      <c r="AD48" t="s">
        <v>3125</v>
      </c>
      <c r="AH48" t="s">
        <v>1225</v>
      </c>
      <c r="AJ48" s="10" t="s">
        <v>3126</v>
      </c>
      <c r="AO48" s="1">
        <v>45550</v>
      </c>
      <c r="AP48">
        <v>64</v>
      </c>
    </row>
    <row r="49" spans="1:42" ht="409.6" x14ac:dyDescent="0.4">
      <c r="A49" t="s">
        <v>3130</v>
      </c>
      <c r="B49" t="s">
        <v>3127</v>
      </c>
      <c r="C49" t="s">
        <v>1411</v>
      </c>
      <c r="D49" t="s">
        <v>3128</v>
      </c>
      <c r="E49" t="s">
        <v>2679</v>
      </c>
      <c r="F49" t="s">
        <v>3129</v>
      </c>
      <c r="G49">
        <v>44.657424050000003</v>
      </c>
      <c r="H49">
        <v>-104.3302218</v>
      </c>
      <c r="I49" t="s">
        <v>1411</v>
      </c>
      <c r="J49" t="s">
        <v>3097</v>
      </c>
      <c r="K49" t="s">
        <v>3098</v>
      </c>
      <c r="L49" t="s">
        <v>3099</v>
      </c>
      <c r="M49">
        <v>1</v>
      </c>
      <c r="N49" t="s">
        <v>2684</v>
      </c>
      <c r="O49" t="s">
        <v>3130</v>
      </c>
      <c r="P49" s="1">
        <v>45449</v>
      </c>
      <c r="Q49">
        <v>18</v>
      </c>
      <c r="T49" t="s">
        <v>2688</v>
      </c>
      <c r="U49" t="s">
        <v>3131</v>
      </c>
      <c r="V49" t="s">
        <v>3102</v>
      </c>
      <c r="W49" t="s">
        <v>3103</v>
      </c>
      <c r="X49" t="s">
        <v>2688</v>
      </c>
      <c r="Y49" t="s">
        <v>2688</v>
      </c>
      <c r="Z49" t="s">
        <v>2689</v>
      </c>
      <c r="AA49" t="s">
        <v>2689</v>
      </c>
      <c r="AD49" t="s">
        <v>3132</v>
      </c>
      <c r="AH49" t="s">
        <v>1225</v>
      </c>
      <c r="AJ49" s="10" t="s">
        <v>3133</v>
      </c>
      <c r="AO49" s="1">
        <v>45550</v>
      </c>
      <c r="AP49">
        <v>65</v>
      </c>
    </row>
    <row r="50" spans="1:42" ht="409.6" x14ac:dyDescent="0.4">
      <c r="A50" t="s">
        <v>3138</v>
      </c>
      <c r="B50" t="s">
        <v>3134</v>
      </c>
      <c r="C50" t="s">
        <v>1411</v>
      </c>
      <c r="D50" t="s">
        <v>3135</v>
      </c>
      <c r="E50" t="s">
        <v>2679</v>
      </c>
      <c r="F50" t="s">
        <v>3136</v>
      </c>
      <c r="G50">
        <v>44.350109699999997</v>
      </c>
      <c r="H50">
        <v>-103.9442713</v>
      </c>
      <c r="I50" t="s">
        <v>1411</v>
      </c>
      <c r="J50" t="s">
        <v>2472</v>
      </c>
      <c r="K50" t="s">
        <v>3137</v>
      </c>
      <c r="L50" t="s">
        <v>2486</v>
      </c>
      <c r="M50">
        <v>5</v>
      </c>
      <c r="N50" t="s">
        <v>2684</v>
      </c>
      <c r="O50" t="s">
        <v>3138</v>
      </c>
      <c r="P50" s="1">
        <v>45449</v>
      </c>
      <c r="Q50">
        <v>20</v>
      </c>
      <c r="T50" t="s">
        <v>2688</v>
      </c>
      <c r="U50" t="s">
        <v>3139</v>
      </c>
      <c r="V50" t="s">
        <v>3140</v>
      </c>
      <c r="W50" t="s">
        <v>3141</v>
      </c>
      <c r="X50" t="s">
        <v>2688</v>
      </c>
      <c r="Z50" t="s">
        <v>2689</v>
      </c>
      <c r="AA50" t="s">
        <v>2689</v>
      </c>
      <c r="AD50" t="s">
        <v>3142</v>
      </c>
      <c r="AH50" t="s">
        <v>1225</v>
      </c>
      <c r="AJ50" s="10" t="s">
        <v>3143</v>
      </c>
      <c r="AO50" s="1">
        <v>45549</v>
      </c>
      <c r="AP50">
        <v>99</v>
      </c>
    </row>
    <row r="51" spans="1:42" ht="409.6" x14ac:dyDescent="0.4">
      <c r="A51" t="s">
        <v>3147</v>
      </c>
      <c r="B51" t="s">
        <v>3144</v>
      </c>
      <c r="C51" t="s">
        <v>1411</v>
      </c>
      <c r="D51" t="s">
        <v>3145</v>
      </c>
      <c r="E51" t="s">
        <v>2679</v>
      </c>
      <c r="F51" t="s">
        <v>3146</v>
      </c>
      <c r="G51">
        <v>44.350119810000002</v>
      </c>
      <c r="H51">
        <v>-103.9438555</v>
      </c>
      <c r="I51" t="s">
        <v>1411</v>
      </c>
      <c r="J51" t="s">
        <v>2472</v>
      </c>
      <c r="K51" t="s">
        <v>3137</v>
      </c>
      <c r="L51" t="s">
        <v>2486</v>
      </c>
      <c r="M51">
        <v>4</v>
      </c>
      <c r="N51" t="s">
        <v>2684</v>
      </c>
      <c r="O51" t="s">
        <v>3147</v>
      </c>
      <c r="P51" s="1">
        <v>45449</v>
      </c>
      <c r="Q51">
        <v>20</v>
      </c>
      <c r="T51" t="s">
        <v>2688</v>
      </c>
      <c r="U51" t="s">
        <v>3148</v>
      </c>
      <c r="V51" t="s">
        <v>3140</v>
      </c>
      <c r="W51" t="s">
        <v>3141</v>
      </c>
      <c r="X51" t="s">
        <v>2688</v>
      </c>
      <c r="Y51" t="s">
        <v>2688</v>
      </c>
      <c r="Z51" t="s">
        <v>2689</v>
      </c>
      <c r="AA51" t="s">
        <v>2689</v>
      </c>
      <c r="AD51" t="s">
        <v>3149</v>
      </c>
      <c r="AH51" t="s">
        <v>1225</v>
      </c>
      <c r="AJ51" s="10" t="s">
        <v>3150</v>
      </c>
      <c r="AO51" s="1">
        <v>45549</v>
      </c>
      <c r="AP51">
        <v>268</v>
      </c>
    </row>
    <row r="52" spans="1:42" ht="409.6" x14ac:dyDescent="0.4">
      <c r="A52" t="s">
        <v>3155</v>
      </c>
      <c r="B52" t="s">
        <v>3151</v>
      </c>
      <c r="C52" t="s">
        <v>1411</v>
      </c>
      <c r="D52" t="s">
        <v>3152</v>
      </c>
      <c r="E52" t="s">
        <v>2679</v>
      </c>
      <c r="F52" t="s">
        <v>3153</v>
      </c>
      <c r="G52">
        <v>44.350031000000001</v>
      </c>
      <c r="H52">
        <v>-103.9430899</v>
      </c>
      <c r="I52" t="s">
        <v>1411</v>
      </c>
      <c r="J52" t="s">
        <v>2472</v>
      </c>
      <c r="K52" t="s">
        <v>3137</v>
      </c>
      <c r="L52" t="s">
        <v>3154</v>
      </c>
      <c r="M52">
        <v>3</v>
      </c>
      <c r="N52" t="s">
        <v>2684</v>
      </c>
      <c r="O52" t="s">
        <v>3155</v>
      </c>
      <c r="P52" s="1">
        <v>45471</v>
      </c>
      <c r="Q52">
        <v>11</v>
      </c>
      <c r="T52" t="s">
        <v>2688</v>
      </c>
      <c r="U52" s="10" t="s">
        <v>3156</v>
      </c>
      <c r="V52" t="s">
        <v>3140</v>
      </c>
      <c r="W52" t="s">
        <v>3141</v>
      </c>
      <c r="X52" t="s">
        <v>2688</v>
      </c>
      <c r="Y52" t="s">
        <v>2688</v>
      </c>
      <c r="Z52" t="s">
        <v>2689</v>
      </c>
      <c r="AA52" t="s">
        <v>2689</v>
      </c>
      <c r="AD52" t="s">
        <v>3157</v>
      </c>
      <c r="AH52" t="s">
        <v>1225</v>
      </c>
      <c r="AJ52" s="10" t="s">
        <v>3158</v>
      </c>
      <c r="AO52" s="1">
        <v>45549</v>
      </c>
      <c r="AP52">
        <v>267</v>
      </c>
    </row>
    <row r="53" spans="1:42" ht="409.6" x14ac:dyDescent="0.4">
      <c r="A53" t="s">
        <v>3162</v>
      </c>
      <c r="B53" t="s">
        <v>3159</v>
      </c>
      <c r="C53" t="s">
        <v>1411</v>
      </c>
      <c r="D53" t="s">
        <v>3160</v>
      </c>
      <c r="E53" t="s">
        <v>2679</v>
      </c>
      <c r="F53" t="s">
        <v>3161</v>
      </c>
      <c r="G53">
        <v>44.350933740000002</v>
      </c>
      <c r="H53">
        <v>-103.9452397</v>
      </c>
      <c r="I53" t="s">
        <v>1411</v>
      </c>
      <c r="J53" t="s">
        <v>2472</v>
      </c>
      <c r="K53" t="s">
        <v>3137</v>
      </c>
      <c r="L53" t="s">
        <v>2486</v>
      </c>
      <c r="M53">
        <v>2</v>
      </c>
      <c r="N53" t="s">
        <v>2684</v>
      </c>
      <c r="O53" t="s">
        <v>3162</v>
      </c>
      <c r="P53" s="1">
        <v>45449</v>
      </c>
      <c r="Q53">
        <v>10</v>
      </c>
      <c r="T53" t="s">
        <v>2688</v>
      </c>
      <c r="U53" s="10" t="s">
        <v>3163</v>
      </c>
      <c r="V53" t="s">
        <v>3140</v>
      </c>
      <c r="W53" t="s">
        <v>3141</v>
      </c>
      <c r="X53" t="s">
        <v>2688</v>
      </c>
      <c r="Z53" t="s">
        <v>2689</v>
      </c>
      <c r="AA53" t="s">
        <v>2689</v>
      </c>
      <c r="AD53" t="s">
        <v>3164</v>
      </c>
      <c r="AH53" t="s">
        <v>1225</v>
      </c>
      <c r="AJ53" s="10" t="s">
        <v>3165</v>
      </c>
      <c r="AO53" s="1">
        <v>45549</v>
      </c>
      <c r="AP53">
        <v>266</v>
      </c>
    </row>
    <row r="54" spans="1:42" ht="409.6" x14ac:dyDescent="0.4">
      <c r="A54" t="s">
        <v>3169</v>
      </c>
      <c r="B54" t="s">
        <v>3166</v>
      </c>
      <c r="C54" t="s">
        <v>1411</v>
      </c>
      <c r="D54" t="s">
        <v>3167</v>
      </c>
      <c r="E54" t="s">
        <v>2679</v>
      </c>
      <c r="F54" t="s">
        <v>3168</v>
      </c>
      <c r="G54">
        <v>44.350951369999997</v>
      </c>
      <c r="H54">
        <v>-103.946243</v>
      </c>
      <c r="I54" t="s">
        <v>1411</v>
      </c>
      <c r="J54" t="s">
        <v>2472</v>
      </c>
      <c r="K54" t="s">
        <v>3137</v>
      </c>
      <c r="L54" t="s">
        <v>2486</v>
      </c>
      <c r="M54">
        <v>1</v>
      </c>
      <c r="N54" t="s">
        <v>2684</v>
      </c>
      <c r="O54" t="s">
        <v>3169</v>
      </c>
      <c r="P54" s="1">
        <v>45449</v>
      </c>
      <c r="Q54">
        <v>21</v>
      </c>
      <c r="T54" t="s">
        <v>2688</v>
      </c>
      <c r="U54" s="10" t="s">
        <v>3170</v>
      </c>
      <c r="V54" t="s">
        <v>3140</v>
      </c>
      <c r="W54" t="s">
        <v>3141</v>
      </c>
      <c r="X54" t="s">
        <v>2688</v>
      </c>
      <c r="Y54" t="s">
        <v>2688</v>
      </c>
      <c r="Z54" t="s">
        <v>2689</v>
      </c>
      <c r="AA54" t="s">
        <v>2689</v>
      </c>
      <c r="AD54" t="s">
        <v>3171</v>
      </c>
      <c r="AH54" t="s">
        <v>1225</v>
      </c>
      <c r="AI54" s="10" t="s">
        <v>3172</v>
      </c>
      <c r="AJ54" s="10" t="s">
        <v>3173</v>
      </c>
      <c r="AO54" s="1">
        <v>45549</v>
      </c>
      <c r="AP54">
        <v>265</v>
      </c>
    </row>
    <row r="55" spans="1:42" ht="349.75" x14ac:dyDescent="0.4">
      <c r="A55" t="s">
        <v>3179</v>
      </c>
      <c r="B55" t="s">
        <v>3174</v>
      </c>
      <c r="C55" t="s">
        <v>1411</v>
      </c>
      <c r="D55" t="s">
        <v>3175</v>
      </c>
      <c r="E55" t="s">
        <v>2679</v>
      </c>
      <c r="F55" t="s">
        <v>3176</v>
      </c>
      <c r="G55">
        <v>43.778775199999998</v>
      </c>
      <c r="H55">
        <v>-103.4147397</v>
      </c>
      <c r="I55" t="s">
        <v>1411</v>
      </c>
      <c r="J55" t="s">
        <v>2472</v>
      </c>
      <c r="K55" t="s">
        <v>3177</v>
      </c>
      <c r="L55" t="s">
        <v>3178</v>
      </c>
      <c r="M55">
        <v>5</v>
      </c>
      <c r="N55" t="s">
        <v>2684</v>
      </c>
      <c r="O55" t="s">
        <v>3179</v>
      </c>
      <c r="P55" s="1">
        <v>45449</v>
      </c>
      <c r="Q55">
        <v>5</v>
      </c>
      <c r="T55" t="s">
        <v>2688</v>
      </c>
      <c r="U55" t="s">
        <v>3180</v>
      </c>
      <c r="V55" t="s">
        <v>3181</v>
      </c>
      <c r="W55" t="s">
        <v>3182</v>
      </c>
      <c r="X55" t="s">
        <v>2689</v>
      </c>
      <c r="Y55" t="s">
        <v>2688</v>
      </c>
      <c r="Z55" t="s">
        <v>2689</v>
      </c>
      <c r="AA55" t="s">
        <v>2689</v>
      </c>
      <c r="AD55" t="s">
        <v>3183</v>
      </c>
      <c r="AH55" t="s">
        <v>1225</v>
      </c>
      <c r="AJ55" s="10" t="s">
        <v>3184</v>
      </c>
      <c r="AO55" s="1">
        <v>45549</v>
      </c>
      <c r="AP55">
        <v>275</v>
      </c>
    </row>
    <row r="56" spans="1:42" ht="409.6" x14ac:dyDescent="0.4">
      <c r="A56" t="s">
        <v>3188</v>
      </c>
      <c r="B56" t="s">
        <v>3185</v>
      </c>
      <c r="C56" t="s">
        <v>1411</v>
      </c>
      <c r="D56" t="s">
        <v>3186</v>
      </c>
      <c r="E56" t="s">
        <v>2679</v>
      </c>
      <c r="F56" t="s">
        <v>3187</v>
      </c>
      <c r="G56">
        <v>43.778587369999997</v>
      </c>
      <c r="H56">
        <v>-103.4149409</v>
      </c>
      <c r="I56" t="s">
        <v>1411</v>
      </c>
      <c r="J56" t="s">
        <v>2472</v>
      </c>
      <c r="K56" t="s">
        <v>3177</v>
      </c>
      <c r="L56" t="s">
        <v>3178</v>
      </c>
      <c r="M56">
        <v>4</v>
      </c>
      <c r="N56" t="s">
        <v>2684</v>
      </c>
      <c r="O56" t="s">
        <v>3188</v>
      </c>
      <c r="P56" s="1">
        <v>45449</v>
      </c>
      <c r="Q56">
        <v>5</v>
      </c>
      <c r="T56" t="s">
        <v>2688</v>
      </c>
      <c r="U56" t="s">
        <v>3189</v>
      </c>
      <c r="V56" t="s">
        <v>3181</v>
      </c>
      <c r="W56" t="s">
        <v>3182</v>
      </c>
      <c r="X56" t="s">
        <v>2688</v>
      </c>
      <c r="Y56" t="s">
        <v>2688</v>
      </c>
      <c r="Z56" t="s">
        <v>2689</v>
      </c>
      <c r="AA56" t="s">
        <v>2689</v>
      </c>
      <c r="AD56" t="s">
        <v>3190</v>
      </c>
      <c r="AH56" t="s">
        <v>1225</v>
      </c>
      <c r="AI56" s="10" t="s">
        <v>3191</v>
      </c>
      <c r="AO56" s="1">
        <v>45549</v>
      </c>
      <c r="AP56">
        <v>274</v>
      </c>
    </row>
    <row r="57" spans="1:42" ht="291.45" x14ac:dyDescent="0.4">
      <c r="A57" t="s">
        <v>3195</v>
      </c>
      <c r="B57" t="s">
        <v>3192</v>
      </c>
      <c r="C57" t="s">
        <v>1411</v>
      </c>
      <c r="D57" t="s">
        <v>3193</v>
      </c>
      <c r="E57" t="s">
        <v>2679</v>
      </c>
      <c r="F57" t="s">
        <v>3194</v>
      </c>
      <c r="G57">
        <v>43.767518889999998</v>
      </c>
      <c r="H57">
        <v>-103.4568565</v>
      </c>
      <c r="I57" t="s">
        <v>1411</v>
      </c>
      <c r="J57" t="s">
        <v>2472</v>
      </c>
      <c r="K57" t="s">
        <v>3177</v>
      </c>
      <c r="L57" t="s">
        <v>3178</v>
      </c>
      <c r="M57">
        <v>3</v>
      </c>
      <c r="N57" t="s">
        <v>2684</v>
      </c>
      <c r="O57" t="s">
        <v>3195</v>
      </c>
      <c r="P57" s="1">
        <v>45449</v>
      </c>
      <c r="Q57">
        <v>12</v>
      </c>
      <c r="T57" t="s">
        <v>2688</v>
      </c>
      <c r="U57" s="10" t="s">
        <v>3196</v>
      </c>
      <c r="V57" t="s">
        <v>3181</v>
      </c>
      <c r="W57" t="s">
        <v>3182</v>
      </c>
      <c r="X57" t="s">
        <v>2688</v>
      </c>
      <c r="Y57" t="s">
        <v>2688</v>
      </c>
      <c r="Z57" t="s">
        <v>2689</v>
      </c>
      <c r="AA57" t="s">
        <v>2689</v>
      </c>
      <c r="AD57" t="s">
        <v>3197</v>
      </c>
      <c r="AH57" t="s">
        <v>1225</v>
      </c>
      <c r="AJ57" s="10" t="s">
        <v>3198</v>
      </c>
      <c r="AO57" s="1">
        <v>45549</v>
      </c>
      <c r="AP57">
        <v>263</v>
      </c>
    </row>
    <row r="58" spans="1:42" ht="262.3" x14ac:dyDescent="0.4">
      <c r="A58" t="s">
        <v>3202</v>
      </c>
      <c r="B58" t="s">
        <v>3199</v>
      </c>
      <c r="C58" t="s">
        <v>1411</v>
      </c>
      <c r="D58" t="s">
        <v>3200</v>
      </c>
      <c r="E58" t="s">
        <v>2679</v>
      </c>
      <c r="F58" t="s">
        <v>3201</v>
      </c>
      <c r="G58">
        <v>43.767473979999998</v>
      </c>
      <c r="H58">
        <v>-103.4571564</v>
      </c>
      <c r="I58" t="s">
        <v>1411</v>
      </c>
      <c r="J58" t="s">
        <v>2472</v>
      </c>
      <c r="K58" t="s">
        <v>3177</v>
      </c>
      <c r="L58" t="s">
        <v>3178</v>
      </c>
      <c r="M58">
        <v>2</v>
      </c>
      <c r="N58" t="s">
        <v>2684</v>
      </c>
      <c r="O58" t="s">
        <v>3202</v>
      </c>
      <c r="P58" s="1">
        <v>45449</v>
      </c>
      <c r="Q58">
        <v>10</v>
      </c>
      <c r="T58" t="s">
        <v>2688</v>
      </c>
      <c r="U58" s="10" t="s">
        <v>3203</v>
      </c>
      <c r="V58" t="s">
        <v>3181</v>
      </c>
      <c r="W58" t="s">
        <v>3182</v>
      </c>
      <c r="X58" t="s">
        <v>2688</v>
      </c>
      <c r="Y58" t="s">
        <v>2688</v>
      </c>
      <c r="Z58" t="s">
        <v>2689</v>
      </c>
      <c r="AA58" t="s">
        <v>2689</v>
      </c>
      <c r="AD58" t="s">
        <v>3204</v>
      </c>
      <c r="AH58" t="s">
        <v>1225</v>
      </c>
      <c r="AJ58" s="10" t="s">
        <v>3205</v>
      </c>
      <c r="AO58" s="1">
        <v>45549</v>
      </c>
      <c r="AP58">
        <v>262</v>
      </c>
    </row>
    <row r="59" spans="1:42" ht="276.89999999999998" x14ac:dyDescent="0.4">
      <c r="A59" t="s">
        <v>3209</v>
      </c>
      <c r="B59" t="s">
        <v>3206</v>
      </c>
      <c r="C59" t="s">
        <v>1411</v>
      </c>
      <c r="D59" t="s">
        <v>3207</v>
      </c>
      <c r="E59" t="s">
        <v>2679</v>
      </c>
      <c r="F59" t="s">
        <v>3208</v>
      </c>
      <c r="G59">
        <v>43.767617899999998</v>
      </c>
      <c r="H59">
        <v>-103.4571866</v>
      </c>
      <c r="I59" t="s">
        <v>1411</v>
      </c>
      <c r="J59" t="s">
        <v>2472</v>
      </c>
      <c r="K59" t="s">
        <v>3177</v>
      </c>
      <c r="L59" t="s">
        <v>3178</v>
      </c>
      <c r="M59">
        <v>1</v>
      </c>
      <c r="N59" t="s">
        <v>2684</v>
      </c>
      <c r="O59" t="s">
        <v>3209</v>
      </c>
      <c r="P59" s="1">
        <v>45449</v>
      </c>
      <c r="Q59">
        <v>14</v>
      </c>
      <c r="T59" t="s">
        <v>2688</v>
      </c>
      <c r="U59" s="10" t="s">
        <v>3210</v>
      </c>
      <c r="V59" t="s">
        <v>3181</v>
      </c>
      <c r="W59" t="s">
        <v>3182</v>
      </c>
      <c r="X59" t="s">
        <v>2688</v>
      </c>
      <c r="Y59" t="s">
        <v>2689</v>
      </c>
      <c r="Z59" t="s">
        <v>2689</v>
      </c>
      <c r="AA59" t="s">
        <v>2689</v>
      </c>
      <c r="AD59" t="s">
        <v>3211</v>
      </c>
      <c r="AH59" t="s">
        <v>1225</v>
      </c>
      <c r="AJ59" s="10" t="s">
        <v>3212</v>
      </c>
      <c r="AO59" s="1">
        <v>45549</v>
      </c>
      <c r="AP59">
        <v>261</v>
      </c>
    </row>
    <row r="60" spans="1:42" ht="335.15" x14ac:dyDescent="0.4">
      <c r="A60" t="s">
        <v>3218</v>
      </c>
      <c r="B60" t="s">
        <v>3213</v>
      </c>
      <c r="C60" t="s">
        <v>1411</v>
      </c>
      <c r="D60" t="s">
        <v>3214</v>
      </c>
      <c r="E60" t="s">
        <v>2679</v>
      </c>
      <c r="F60" t="s">
        <v>3215</v>
      </c>
      <c r="G60">
        <v>43.657970390000003</v>
      </c>
      <c r="H60">
        <v>-103.4147059</v>
      </c>
      <c r="I60" t="s">
        <v>1411</v>
      </c>
      <c r="J60" t="s">
        <v>2472</v>
      </c>
      <c r="K60" t="s">
        <v>3216</v>
      </c>
      <c r="L60" t="s">
        <v>3217</v>
      </c>
      <c r="M60">
        <v>4</v>
      </c>
      <c r="N60" t="s">
        <v>2684</v>
      </c>
      <c r="O60" t="s">
        <v>3218</v>
      </c>
      <c r="P60" s="1">
        <v>45445</v>
      </c>
      <c r="Q60">
        <v>32</v>
      </c>
      <c r="T60" t="s">
        <v>2688</v>
      </c>
      <c r="U60" s="10" t="s">
        <v>3219</v>
      </c>
      <c r="V60" t="s">
        <v>3220</v>
      </c>
      <c r="W60" t="s">
        <v>3221</v>
      </c>
      <c r="X60" t="s">
        <v>2688</v>
      </c>
      <c r="Y60" t="s">
        <v>2688</v>
      </c>
      <c r="Z60" t="s">
        <v>2689</v>
      </c>
      <c r="AA60" t="s">
        <v>2689</v>
      </c>
      <c r="AD60" t="s">
        <v>3222</v>
      </c>
      <c r="AH60" t="s">
        <v>1225</v>
      </c>
      <c r="AJ60" s="10" t="s">
        <v>3223</v>
      </c>
      <c r="AO60" s="1">
        <v>45549</v>
      </c>
      <c r="AP60">
        <v>277</v>
      </c>
    </row>
    <row r="61" spans="1:42" ht="364.3" x14ac:dyDescent="0.4">
      <c r="A61" t="s">
        <v>3227</v>
      </c>
      <c r="B61" t="s">
        <v>3224</v>
      </c>
      <c r="C61" t="s">
        <v>1411</v>
      </c>
      <c r="D61" t="s">
        <v>3225</v>
      </c>
      <c r="E61" t="s">
        <v>2679</v>
      </c>
      <c r="F61" t="s">
        <v>3226</v>
      </c>
      <c r="G61">
        <v>43.657961</v>
      </c>
      <c r="H61">
        <v>-103.41454899999999</v>
      </c>
      <c r="I61" t="s">
        <v>1411</v>
      </c>
      <c r="J61" t="s">
        <v>2472</v>
      </c>
      <c r="K61" t="s">
        <v>3216</v>
      </c>
      <c r="L61" t="s">
        <v>3217</v>
      </c>
      <c r="M61">
        <v>3</v>
      </c>
      <c r="N61" t="s">
        <v>2684</v>
      </c>
      <c r="O61" t="s">
        <v>3227</v>
      </c>
      <c r="P61" s="1">
        <v>45445</v>
      </c>
      <c r="Q61">
        <v>36</v>
      </c>
      <c r="T61" t="s">
        <v>2688</v>
      </c>
      <c r="U61" t="s">
        <v>3228</v>
      </c>
      <c r="V61" t="s">
        <v>3220</v>
      </c>
      <c r="W61" t="s">
        <v>3221</v>
      </c>
      <c r="X61" t="s">
        <v>2688</v>
      </c>
      <c r="Y61" t="s">
        <v>2688</v>
      </c>
      <c r="Z61" t="s">
        <v>2689</v>
      </c>
      <c r="AA61" t="s">
        <v>2689</v>
      </c>
      <c r="AD61" t="s">
        <v>3229</v>
      </c>
      <c r="AH61" t="s">
        <v>1225</v>
      </c>
      <c r="AJ61" s="10" t="s">
        <v>3230</v>
      </c>
      <c r="AO61" s="1">
        <v>45549</v>
      </c>
      <c r="AP61">
        <v>278</v>
      </c>
    </row>
    <row r="62" spans="1:42" ht="408" x14ac:dyDescent="0.4">
      <c r="A62" t="s">
        <v>3234</v>
      </c>
      <c r="B62" t="s">
        <v>3231</v>
      </c>
      <c r="C62" t="s">
        <v>1411</v>
      </c>
      <c r="D62" t="s">
        <v>3232</v>
      </c>
      <c r="E62" t="s">
        <v>2679</v>
      </c>
      <c r="F62" t="s">
        <v>3233</v>
      </c>
      <c r="G62">
        <v>43.658017000000001</v>
      </c>
      <c r="H62">
        <v>-103.41437569999999</v>
      </c>
      <c r="I62" t="s">
        <v>1411</v>
      </c>
      <c r="J62" t="s">
        <v>2472</v>
      </c>
      <c r="K62" t="s">
        <v>3216</v>
      </c>
      <c r="L62" t="s">
        <v>3217</v>
      </c>
      <c r="M62">
        <v>2</v>
      </c>
      <c r="N62" t="s">
        <v>2684</v>
      </c>
      <c r="O62" t="s">
        <v>3234</v>
      </c>
      <c r="P62" s="1">
        <v>45445</v>
      </c>
      <c r="Q62">
        <v>35</v>
      </c>
      <c r="T62" t="s">
        <v>2688</v>
      </c>
      <c r="U62" s="10" t="s">
        <v>3235</v>
      </c>
      <c r="V62" s="10" t="s">
        <v>3236</v>
      </c>
      <c r="W62" t="s">
        <v>3221</v>
      </c>
      <c r="X62" t="s">
        <v>2688</v>
      </c>
      <c r="Y62" t="s">
        <v>2688</v>
      </c>
      <c r="Z62" t="s">
        <v>2689</v>
      </c>
      <c r="AA62" t="s">
        <v>2689</v>
      </c>
      <c r="AD62" t="s">
        <v>3237</v>
      </c>
      <c r="AH62" t="s">
        <v>1225</v>
      </c>
      <c r="AJ62" s="10" t="s">
        <v>3238</v>
      </c>
      <c r="AO62" s="1">
        <v>45549</v>
      </c>
      <c r="AP62">
        <v>264</v>
      </c>
    </row>
    <row r="63" spans="1:42" ht="409.6" x14ac:dyDescent="0.4">
      <c r="A63" t="s">
        <v>3242</v>
      </c>
      <c r="B63" t="s">
        <v>3239</v>
      </c>
      <c r="C63" t="s">
        <v>1411</v>
      </c>
      <c r="D63" t="s">
        <v>3240</v>
      </c>
      <c r="E63" t="s">
        <v>2679</v>
      </c>
      <c r="F63" t="s">
        <v>3241</v>
      </c>
      <c r="G63">
        <v>43.658163999999999</v>
      </c>
      <c r="H63">
        <v>-103.4142003</v>
      </c>
      <c r="I63" t="s">
        <v>1411</v>
      </c>
      <c r="J63" t="s">
        <v>2472</v>
      </c>
      <c r="K63" t="s">
        <v>3216</v>
      </c>
      <c r="L63" t="s">
        <v>3217</v>
      </c>
      <c r="M63">
        <v>1</v>
      </c>
      <c r="N63" t="s">
        <v>2684</v>
      </c>
      <c r="O63" t="s">
        <v>3242</v>
      </c>
      <c r="P63" s="1">
        <v>45445</v>
      </c>
      <c r="Q63">
        <v>48</v>
      </c>
      <c r="T63" t="s">
        <v>2688</v>
      </c>
      <c r="U63" s="10" t="s">
        <v>3243</v>
      </c>
      <c r="V63" t="s">
        <v>3220</v>
      </c>
      <c r="W63" t="s">
        <v>3221</v>
      </c>
      <c r="X63" t="s">
        <v>2688</v>
      </c>
      <c r="Y63" t="s">
        <v>2688</v>
      </c>
      <c r="Z63" t="s">
        <v>2689</v>
      </c>
      <c r="AA63" t="s">
        <v>2689</v>
      </c>
      <c r="AH63" t="s">
        <v>1225</v>
      </c>
      <c r="AJ63" s="10" t="s">
        <v>3244</v>
      </c>
      <c r="AO63" s="1">
        <v>45549</v>
      </c>
    </row>
    <row r="64" spans="1:42" ht="408" x14ac:dyDescent="0.4">
      <c r="A64" t="s">
        <v>3248</v>
      </c>
      <c r="B64" t="s">
        <v>3245</v>
      </c>
      <c r="C64" t="s">
        <v>1411</v>
      </c>
      <c r="D64" t="s">
        <v>3246</v>
      </c>
      <c r="E64" t="s">
        <v>2679</v>
      </c>
      <c r="F64" t="s">
        <v>3247</v>
      </c>
      <c r="G64">
        <v>43.657997309999999</v>
      </c>
      <c r="H64">
        <v>-103.41490210000001</v>
      </c>
      <c r="I64" t="s">
        <v>1411</v>
      </c>
      <c r="J64" t="s">
        <v>2472</v>
      </c>
      <c r="K64" t="s">
        <v>3216</v>
      </c>
      <c r="L64" t="s">
        <v>3217</v>
      </c>
      <c r="M64">
        <v>5</v>
      </c>
      <c r="N64" t="s">
        <v>2684</v>
      </c>
      <c r="O64" t="s">
        <v>3248</v>
      </c>
      <c r="P64" s="1">
        <v>45471</v>
      </c>
      <c r="Q64">
        <v>56</v>
      </c>
      <c r="T64" t="s">
        <v>2688</v>
      </c>
      <c r="U64" t="s">
        <v>3249</v>
      </c>
      <c r="V64" t="s">
        <v>3220</v>
      </c>
      <c r="W64" t="s">
        <v>3221</v>
      </c>
      <c r="X64" t="s">
        <v>2688</v>
      </c>
      <c r="Y64" t="s">
        <v>2688</v>
      </c>
      <c r="Z64" t="s">
        <v>2689</v>
      </c>
      <c r="AA64" t="s">
        <v>2689</v>
      </c>
      <c r="AD64" t="s">
        <v>3250</v>
      </c>
      <c r="AH64" t="s">
        <v>1225</v>
      </c>
      <c r="AJ64" s="10" t="s">
        <v>3251</v>
      </c>
      <c r="AO64" s="1">
        <v>45549</v>
      </c>
      <c r="AP64">
        <v>276</v>
      </c>
    </row>
    <row r="65" spans="1:41" x14ac:dyDescent="0.4">
      <c r="A65" t="s">
        <v>3259</v>
      </c>
      <c r="B65" t="s">
        <v>3252</v>
      </c>
      <c r="C65" t="s">
        <v>2677</v>
      </c>
      <c r="D65" t="s">
        <v>3253</v>
      </c>
      <c r="E65" t="s">
        <v>2679</v>
      </c>
      <c r="F65" t="s">
        <v>3254</v>
      </c>
      <c r="G65">
        <v>29.328824999999998</v>
      </c>
      <c r="H65">
        <v>-108.1963389</v>
      </c>
      <c r="I65" t="s">
        <v>2677</v>
      </c>
      <c r="J65" t="s">
        <v>3255</v>
      </c>
      <c r="K65" t="s">
        <v>3256</v>
      </c>
      <c r="L65" t="s">
        <v>3257</v>
      </c>
      <c r="M65">
        <v>3</v>
      </c>
      <c r="N65" t="s">
        <v>3258</v>
      </c>
      <c r="O65" t="s">
        <v>3259</v>
      </c>
      <c r="P65" s="1">
        <v>45573</v>
      </c>
      <c r="W65" t="s">
        <v>2389</v>
      </c>
      <c r="X65" t="s">
        <v>2688</v>
      </c>
      <c r="Y65" t="s">
        <v>2688</v>
      </c>
      <c r="Z65" t="s">
        <v>2689</v>
      </c>
      <c r="AA65" t="s">
        <v>2689</v>
      </c>
      <c r="AB65" t="s">
        <v>3260</v>
      </c>
      <c r="AD65" t="s">
        <v>3261</v>
      </c>
      <c r="AE65" t="s">
        <v>3262</v>
      </c>
      <c r="AH65" t="s">
        <v>3263</v>
      </c>
      <c r="AI65" t="s">
        <v>3264</v>
      </c>
      <c r="AJ65" t="s">
        <v>3265</v>
      </c>
      <c r="AO65" s="1">
        <v>45589</v>
      </c>
    </row>
    <row r="66" spans="1:41" x14ac:dyDescent="0.4">
      <c r="A66" t="s">
        <v>3269</v>
      </c>
      <c r="B66" t="s">
        <v>3266</v>
      </c>
      <c r="C66" t="s">
        <v>2677</v>
      </c>
      <c r="D66" t="s">
        <v>3267</v>
      </c>
      <c r="E66" t="s">
        <v>2679</v>
      </c>
      <c r="F66" t="s">
        <v>3268</v>
      </c>
      <c r="G66">
        <v>29.328633329999999</v>
      </c>
      <c r="H66">
        <v>-108.1974</v>
      </c>
      <c r="I66" t="s">
        <v>2677</v>
      </c>
      <c r="J66" t="s">
        <v>3255</v>
      </c>
      <c r="K66" t="s">
        <v>3256</v>
      </c>
      <c r="L66" t="s">
        <v>3257</v>
      </c>
      <c r="M66">
        <v>2</v>
      </c>
      <c r="N66" t="s">
        <v>3258</v>
      </c>
      <c r="O66" t="s">
        <v>3269</v>
      </c>
      <c r="P66" s="1">
        <v>45573</v>
      </c>
      <c r="V66" t="s">
        <v>3270</v>
      </c>
      <c r="W66" t="s">
        <v>3271</v>
      </c>
      <c r="X66" t="s">
        <v>2688</v>
      </c>
      <c r="Y66" t="s">
        <v>2688</v>
      </c>
      <c r="Z66" t="s">
        <v>2689</v>
      </c>
      <c r="AA66" t="s">
        <v>2689</v>
      </c>
      <c r="AB66" t="s">
        <v>3272</v>
      </c>
      <c r="AH66" t="s">
        <v>3263</v>
      </c>
      <c r="AI66" t="s">
        <v>3273</v>
      </c>
      <c r="AJ66" t="s">
        <v>3265</v>
      </c>
      <c r="AO66" s="1">
        <v>45589</v>
      </c>
    </row>
    <row r="67" spans="1:41" x14ac:dyDescent="0.4">
      <c r="A67" t="s">
        <v>3277</v>
      </c>
      <c r="B67" t="s">
        <v>3274</v>
      </c>
      <c r="C67" t="s">
        <v>2677</v>
      </c>
      <c r="D67" t="s">
        <v>3275</v>
      </c>
      <c r="E67" t="s">
        <v>2679</v>
      </c>
      <c r="F67" t="s">
        <v>3276</v>
      </c>
      <c r="G67">
        <v>29.32845833</v>
      </c>
      <c r="H67">
        <v>-108.19798059999999</v>
      </c>
      <c r="I67" t="s">
        <v>2677</v>
      </c>
      <c r="J67" t="s">
        <v>3255</v>
      </c>
      <c r="K67" t="s">
        <v>3256</v>
      </c>
      <c r="L67" t="s">
        <v>3257</v>
      </c>
      <c r="M67">
        <v>1</v>
      </c>
      <c r="N67" t="s">
        <v>3258</v>
      </c>
      <c r="O67" t="s">
        <v>3277</v>
      </c>
      <c r="P67" s="1">
        <v>45573</v>
      </c>
      <c r="V67" t="s">
        <v>3270</v>
      </c>
      <c r="W67" t="s">
        <v>3271</v>
      </c>
      <c r="X67" t="s">
        <v>2688</v>
      </c>
      <c r="Y67" t="s">
        <v>2688</v>
      </c>
      <c r="Z67" t="s">
        <v>2689</v>
      </c>
      <c r="AA67" t="s">
        <v>2689</v>
      </c>
      <c r="AB67" t="s">
        <v>3278</v>
      </c>
      <c r="AE67" t="s">
        <v>3279</v>
      </c>
      <c r="AH67" t="s">
        <v>3263</v>
      </c>
      <c r="AI67" t="s">
        <v>3280</v>
      </c>
      <c r="AJ67" t="s">
        <v>3265</v>
      </c>
      <c r="AO67" s="1">
        <v>45589</v>
      </c>
    </row>
    <row r="68" spans="1:41" x14ac:dyDescent="0.4">
      <c r="A68" t="s">
        <v>3288</v>
      </c>
      <c r="B68" t="s">
        <v>3281</v>
      </c>
      <c r="C68" t="s">
        <v>3282</v>
      </c>
      <c r="D68" t="s">
        <v>3283</v>
      </c>
      <c r="E68" t="s">
        <v>2679</v>
      </c>
      <c r="F68" t="s">
        <v>3284</v>
      </c>
      <c r="G68">
        <v>39.484454800000002</v>
      </c>
      <c r="H68">
        <v>-105.0007974</v>
      </c>
      <c r="I68" t="s">
        <v>3282</v>
      </c>
      <c r="J68" t="s">
        <v>3285</v>
      </c>
      <c r="K68" t="s">
        <v>3286</v>
      </c>
      <c r="L68" t="s">
        <v>3287</v>
      </c>
      <c r="M68">
        <v>573</v>
      </c>
      <c r="N68" t="s">
        <v>2684</v>
      </c>
      <c r="O68" t="s">
        <v>3288</v>
      </c>
      <c r="P68" s="1">
        <v>45485</v>
      </c>
      <c r="Q68">
        <v>20</v>
      </c>
      <c r="V68" t="s">
        <v>3289</v>
      </c>
      <c r="W68" t="s">
        <v>3290</v>
      </c>
      <c r="X68" t="s">
        <v>2688</v>
      </c>
      <c r="Y68" t="s">
        <v>2688</v>
      </c>
      <c r="Z68" t="s">
        <v>2747</v>
      </c>
      <c r="AH68" t="s">
        <v>3291</v>
      </c>
      <c r="AI68" t="s">
        <v>3292</v>
      </c>
      <c r="AJ68" t="s">
        <v>3293</v>
      </c>
      <c r="AO68" s="1">
        <v>45588</v>
      </c>
    </row>
    <row r="69" spans="1:41" x14ac:dyDescent="0.4">
      <c r="A69" t="s">
        <v>3300</v>
      </c>
      <c r="B69" t="s">
        <v>3294</v>
      </c>
      <c r="C69" t="s">
        <v>3295</v>
      </c>
      <c r="D69" t="s">
        <v>3296</v>
      </c>
      <c r="E69" t="s">
        <v>2679</v>
      </c>
      <c r="F69" t="s">
        <v>3297</v>
      </c>
      <c r="G69">
        <v>38.502270379999999</v>
      </c>
      <c r="H69">
        <v>-105.1062797</v>
      </c>
      <c r="I69" t="s">
        <v>3295</v>
      </c>
      <c r="J69" t="s">
        <v>3285</v>
      </c>
      <c r="K69" t="s">
        <v>3298</v>
      </c>
      <c r="L69" t="s">
        <v>3299</v>
      </c>
      <c r="M69">
        <v>567</v>
      </c>
      <c r="N69" t="s">
        <v>2684</v>
      </c>
      <c r="O69" t="s">
        <v>3300</v>
      </c>
      <c r="P69" s="1">
        <v>45485</v>
      </c>
      <c r="Q69">
        <v>15</v>
      </c>
      <c r="V69" t="s">
        <v>3301</v>
      </c>
      <c r="W69" t="s">
        <v>3302</v>
      </c>
      <c r="X69" t="s">
        <v>2688</v>
      </c>
      <c r="Y69" t="s">
        <v>2688</v>
      </c>
      <c r="Z69" t="s">
        <v>2747</v>
      </c>
      <c r="AH69" t="s">
        <v>3291</v>
      </c>
      <c r="AI69" t="s">
        <v>3303</v>
      </c>
      <c r="AJ69" t="s">
        <v>3304</v>
      </c>
    </row>
    <row r="70" spans="1:41" x14ac:dyDescent="0.4">
      <c r="A70" t="s">
        <v>3311</v>
      </c>
      <c r="B70" t="s">
        <v>3305</v>
      </c>
      <c r="C70" t="s">
        <v>3306</v>
      </c>
      <c r="D70" t="s">
        <v>3307</v>
      </c>
      <c r="E70" t="s">
        <v>2679</v>
      </c>
      <c r="F70" t="s">
        <v>3308</v>
      </c>
      <c r="G70">
        <v>37.141873500000003</v>
      </c>
      <c r="H70">
        <v>-103.08294960000001</v>
      </c>
      <c r="I70" t="s">
        <v>3306</v>
      </c>
      <c r="J70" t="s">
        <v>3285</v>
      </c>
      <c r="K70" t="s">
        <v>3309</v>
      </c>
      <c r="L70" t="s">
        <v>3310</v>
      </c>
      <c r="M70">
        <v>563</v>
      </c>
      <c r="N70" t="s">
        <v>2684</v>
      </c>
      <c r="O70" t="s">
        <v>3311</v>
      </c>
      <c r="P70" s="1">
        <v>45485</v>
      </c>
      <c r="Q70">
        <v>10</v>
      </c>
      <c r="V70" t="s">
        <v>3312</v>
      </c>
      <c r="W70" t="s">
        <v>3313</v>
      </c>
      <c r="X70" t="s">
        <v>2688</v>
      </c>
      <c r="Y70" t="s">
        <v>2688</v>
      </c>
      <c r="Z70" t="s">
        <v>2747</v>
      </c>
      <c r="AH70" t="s">
        <v>3291</v>
      </c>
      <c r="AI70" t="s">
        <v>3314</v>
      </c>
      <c r="AJ70" t="s">
        <v>3315</v>
      </c>
    </row>
    <row r="71" spans="1:41" x14ac:dyDescent="0.4">
      <c r="A71" t="s">
        <v>3319</v>
      </c>
      <c r="B71" t="s">
        <v>3316</v>
      </c>
      <c r="C71" t="s">
        <v>3295</v>
      </c>
      <c r="D71" t="s">
        <v>3317</v>
      </c>
      <c r="E71" t="s">
        <v>2679</v>
      </c>
      <c r="F71" t="s">
        <v>3318</v>
      </c>
      <c r="G71">
        <v>38.517457909999997</v>
      </c>
      <c r="H71">
        <v>-105.11878660000001</v>
      </c>
      <c r="I71" t="s">
        <v>3295</v>
      </c>
      <c r="J71" t="s">
        <v>3285</v>
      </c>
      <c r="K71" t="s">
        <v>3298</v>
      </c>
      <c r="L71" t="s">
        <v>3299</v>
      </c>
      <c r="M71">
        <v>566</v>
      </c>
      <c r="N71" t="s">
        <v>2684</v>
      </c>
      <c r="O71" t="s">
        <v>3319</v>
      </c>
      <c r="P71" s="1">
        <v>45485</v>
      </c>
      <c r="Q71">
        <v>7</v>
      </c>
      <c r="V71" t="s">
        <v>3301</v>
      </c>
      <c r="W71" t="s">
        <v>3302</v>
      </c>
      <c r="X71" t="s">
        <v>2688</v>
      </c>
      <c r="Y71" t="s">
        <v>2688</v>
      </c>
      <c r="Z71" t="s">
        <v>2747</v>
      </c>
      <c r="AH71" t="s">
        <v>3291</v>
      </c>
      <c r="AI71" t="s">
        <v>3320</v>
      </c>
      <c r="AJ71" t="s">
        <v>3321</v>
      </c>
    </row>
    <row r="72" spans="1:41" x14ac:dyDescent="0.4">
      <c r="A72" t="s">
        <v>3325</v>
      </c>
      <c r="B72" t="s">
        <v>3322</v>
      </c>
      <c r="C72" t="s">
        <v>3282</v>
      </c>
      <c r="D72" t="s">
        <v>3323</v>
      </c>
      <c r="E72" t="s">
        <v>2679</v>
      </c>
      <c r="F72" t="s">
        <v>3324</v>
      </c>
      <c r="G72">
        <v>39.4778679</v>
      </c>
      <c r="H72">
        <v>-105.00377899999999</v>
      </c>
      <c r="I72" t="s">
        <v>3282</v>
      </c>
      <c r="J72" t="s">
        <v>3285</v>
      </c>
      <c r="K72" t="s">
        <v>3286</v>
      </c>
      <c r="L72" t="s">
        <v>3287</v>
      </c>
      <c r="M72">
        <v>570</v>
      </c>
      <c r="N72" t="s">
        <v>2684</v>
      </c>
      <c r="O72" t="s">
        <v>3325</v>
      </c>
      <c r="P72" s="1">
        <v>45485</v>
      </c>
      <c r="Q72">
        <v>22</v>
      </c>
      <c r="V72" t="s">
        <v>3289</v>
      </c>
      <c r="W72" t="s">
        <v>3290</v>
      </c>
      <c r="X72" t="s">
        <v>2688</v>
      </c>
      <c r="Y72" t="s">
        <v>2688</v>
      </c>
      <c r="Z72" t="s">
        <v>2747</v>
      </c>
      <c r="AH72" t="s">
        <v>3291</v>
      </c>
      <c r="AI72" t="s">
        <v>3326</v>
      </c>
      <c r="AJ72" t="s">
        <v>3327</v>
      </c>
    </row>
    <row r="73" spans="1:41" x14ac:dyDescent="0.4">
      <c r="A73" t="s">
        <v>3331</v>
      </c>
      <c r="B73" t="s">
        <v>3328</v>
      </c>
      <c r="C73" t="s">
        <v>3282</v>
      </c>
      <c r="D73" t="s">
        <v>3329</v>
      </c>
      <c r="E73" t="s">
        <v>2679</v>
      </c>
      <c r="F73" t="s">
        <v>3330</v>
      </c>
      <c r="G73">
        <v>39.484636010000003</v>
      </c>
      <c r="H73">
        <v>-105.0012964</v>
      </c>
      <c r="I73" t="s">
        <v>3282</v>
      </c>
      <c r="J73" t="s">
        <v>3285</v>
      </c>
      <c r="K73" t="s">
        <v>3286</v>
      </c>
      <c r="L73" t="s">
        <v>3287</v>
      </c>
      <c r="M73">
        <v>574</v>
      </c>
      <c r="N73" t="s">
        <v>2684</v>
      </c>
      <c r="O73" t="s">
        <v>3331</v>
      </c>
      <c r="P73" s="1">
        <v>45485</v>
      </c>
      <c r="Q73">
        <v>8</v>
      </c>
      <c r="V73" t="s">
        <v>3289</v>
      </c>
      <c r="W73" t="s">
        <v>3290</v>
      </c>
      <c r="X73" t="s">
        <v>2688</v>
      </c>
      <c r="Y73" t="s">
        <v>2688</v>
      </c>
      <c r="Z73" t="s">
        <v>2747</v>
      </c>
      <c r="AH73" t="s">
        <v>3291</v>
      </c>
      <c r="AI73" t="s">
        <v>3332</v>
      </c>
      <c r="AJ73" t="s">
        <v>3333</v>
      </c>
    </row>
    <row r="74" spans="1:41" x14ac:dyDescent="0.4">
      <c r="A74" t="s">
        <v>3337</v>
      </c>
      <c r="B74" t="s">
        <v>3334</v>
      </c>
      <c r="C74" t="s">
        <v>3295</v>
      </c>
      <c r="D74" t="s">
        <v>3335</v>
      </c>
      <c r="E74" t="s">
        <v>2679</v>
      </c>
      <c r="F74" t="s">
        <v>3336</v>
      </c>
      <c r="G74">
        <v>38.502404720000001</v>
      </c>
      <c r="H74">
        <v>-105.106166</v>
      </c>
      <c r="I74" t="s">
        <v>3295</v>
      </c>
      <c r="J74" t="s">
        <v>3285</v>
      </c>
      <c r="K74" t="s">
        <v>3298</v>
      </c>
      <c r="L74" t="s">
        <v>3299</v>
      </c>
      <c r="M74">
        <v>569</v>
      </c>
      <c r="N74" t="s">
        <v>2684</v>
      </c>
      <c r="O74" t="s">
        <v>3337</v>
      </c>
      <c r="P74" s="1">
        <v>45485</v>
      </c>
      <c r="Q74">
        <v>7</v>
      </c>
      <c r="V74" t="s">
        <v>3301</v>
      </c>
      <c r="W74" t="s">
        <v>3302</v>
      </c>
      <c r="X74" t="s">
        <v>2688</v>
      </c>
      <c r="Y74" t="s">
        <v>2688</v>
      </c>
      <c r="Z74" t="s">
        <v>2747</v>
      </c>
      <c r="AH74" t="s">
        <v>3291</v>
      </c>
      <c r="AI74" t="s">
        <v>3338</v>
      </c>
      <c r="AJ74" t="s">
        <v>3339</v>
      </c>
    </row>
    <row r="75" spans="1:41" x14ac:dyDescent="0.4">
      <c r="A75" t="s">
        <v>3343</v>
      </c>
      <c r="B75" t="s">
        <v>3340</v>
      </c>
      <c r="C75" t="s">
        <v>3282</v>
      </c>
      <c r="D75" t="s">
        <v>3341</v>
      </c>
      <c r="E75" t="s">
        <v>2679</v>
      </c>
      <c r="F75" t="s">
        <v>3342</v>
      </c>
      <c r="G75">
        <v>39.47762445</v>
      </c>
      <c r="H75">
        <v>-105.0036218</v>
      </c>
      <c r="I75" t="s">
        <v>3282</v>
      </c>
      <c r="J75" t="s">
        <v>3285</v>
      </c>
      <c r="K75" t="s">
        <v>3286</v>
      </c>
      <c r="L75" t="s">
        <v>3287</v>
      </c>
      <c r="M75">
        <v>572</v>
      </c>
      <c r="N75" t="s">
        <v>2684</v>
      </c>
      <c r="O75" t="s">
        <v>3343</v>
      </c>
      <c r="P75" s="1">
        <v>45485</v>
      </c>
      <c r="Q75">
        <v>10</v>
      </c>
      <c r="V75" t="s">
        <v>3289</v>
      </c>
      <c r="W75" t="s">
        <v>3290</v>
      </c>
      <c r="X75" t="s">
        <v>2688</v>
      </c>
      <c r="Y75" t="s">
        <v>2688</v>
      </c>
      <c r="Z75" t="s">
        <v>2747</v>
      </c>
      <c r="AH75" t="s">
        <v>3291</v>
      </c>
      <c r="AI75" t="s">
        <v>3344</v>
      </c>
      <c r="AJ75" t="s">
        <v>3345</v>
      </c>
    </row>
    <row r="76" spans="1:41" x14ac:dyDescent="0.4">
      <c r="A76" t="s">
        <v>3349</v>
      </c>
      <c r="B76" t="s">
        <v>3346</v>
      </c>
      <c r="C76" t="s">
        <v>3282</v>
      </c>
      <c r="D76" t="s">
        <v>3347</v>
      </c>
      <c r="E76" t="s">
        <v>2679</v>
      </c>
      <c r="F76" t="s">
        <v>3348</v>
      </c>
      <c r="G76">
        <v>39.478003440000002</v>
      </c>
      <c r="H76">
        <v>-105.00393870000001</v>
      </c>
      <c r="I76" t="s">
        <v>3282</v>
      </c>
      <c r="J76" t="s">
        <v>3285</v>
      </c>
      <c r="K76" t="s">
        <v>3286</v>
      </c>
      <c r="L76" t="s">
        <v>3287</v>
      </c>
      <c r="M76">
        <v>571</v>
      </c>
      <c r="N76" t="s">
        <v>2684</v>
      </c>
      <c r="O76" t="s">
        <v>3349</v>
      </c>
      <c r="P76" s="1">
        <v>45485</v>
      </c>
      <c r="Q76">
        <v>30</v>
      </c>
      <c r="V76" t="s">
        <v>3289</v>
      </c>
      <c r="W76" t="s">
        <v>3290</v>
      </c>
      <c r="X76" t="s">
        <v>2688</v>
      </c>
      <c r="Y76" t="s">
        <v>2688</v>
      </c>
      <c r="Z76" t="s">
        <v>2747</v>
      </c>
      <c r="AH76" t="s">
        <v>3291</v>
      </c>
      <c r="AI76" t="s">
        <v>3350</v>
      </c>
      <c r="AJ76" t="s">
        <v>3351</v>
      </c>
    </row>
    <row r="77" spans="1:41" x14ac:dyDescent="0.4">
      <c r="A77" t="s">
        <v>3355</v>
      </c>
      <c r="B77" t="s">
        <v>3352</v>
      </c>
      <c r="C77" t="s">
        <v>3295</v>
      </c>
      <c r="D77" t="s">
        <v>3353</v>
      </c>
      <c r="E77" t="s">
        <v>2679</v>
      </c>
      <c r="F77" t="s">
        <v>3354</v>
      </c>
      <c r="G77">
        <v>38.502383680000001</v>
      </c>
      <c r="H77">
        <v>-105.1060233</v>
      </c>
      <c r="I77" t="s">
        <v>3295</v>
      </c>
      <c r="J77" t="s">
        <v>3285</v>
      </c>
      <c r="K77" t="s">
        <v>3298</v>
      </c>
      <c r="L77" t="s">
        <v>3299</v>
      </c>
      <c r="M77">
        <v>568</v>
      </c>
      <c r="N77" t="s">
        <v>2684</v>
      </c>
      <c r="O77" t="s">
        <v>3355</v>
      </c>
      <c r="P77" s="1">
        <v>45485</v>
      </c>
      <c r="Q77">
        <v>12</v>
      </c>
      <c r="V77" t="s">
        <v>3301</v>
      </c>
      <c r="W77" t="s">
        <v>3302</v>
      </c>
      <c r="X77" t="s">
        <v>2688</v>
      </c>
      <c r="Y77" t="s">
        <v>2688</v>
      </c>
      <c r="Z77" t="s">
        <v>2747</v>
      </c>
      <c r="AH77" t="s">
        <v>3291</v>
      </c>
      <c r="AI77" t="s">
        <v>3356</v>
      </c>
      <c r="AJ77" t="s">
        <v>3357</v>
      </c>
    </row>
    <row r="78" spans="1:41" x14ac:dyDescent="0.4">
      <c r="A78" t="s">
        <v>3361</v>
      </c>
      <c r="B78" t="s">
        <v>3358</v>
      </c>
      <c r="C78" t="s">
        <v>3295</v>
      </c>
      <c r="D78" t="s">
        <v>3359</v>
      </c>
      <c r="E78" t="s">
        <v>2679</v>
      </c>
      <c r="F78" t="s">
        <v>3360</v>
      </c>
      <c r="G78">
        <v>38.517343539999999</v>
      </c>
      <c r="H78">
        <v>-105.1189569</v>
      </c>
      <c r="I78" t="s">
        <v>3295</v>
      </c>
      <c r="J78" t="s">
        <v>3285</v>
      </c>
      <c r="K78" t="s">
        <v>3298</v>
      </c>
      <c r="L78" t="s">
        <v>3299</v>
      </c>
      <c r="M78">
        <v>565</v>
      </c>
      <c r="N78" t="s">
        <v>2684</v>
      </c>
      <c r="O78" t="s">
        <v>3361</v>
      </c>
      <c r="P78" s="1">
        <v>45485</v>
      </c>
      <c r="Q78">
        <v>25</v>
      </c>
      <c r="V78" t="s">
        <v>3301</v>
      </c>
      <c r="W78" t="s">
        <v>3302</v>
      </c>
      <c r="X78" t="s">
        <v>2688</v>
      </c>
      <c r="Y78" t="s">
        <v>2688</v>
      </c>
      <c r="Z78" t="s">
        <v>2747</v>
      </c>
      <c r="AH78" t="s">
        <v>3291</v>
      </c>
      <c r="AI78" t="s">
        <v>3362</v>
      </c>
      <c r="AJ78" t="s">
        <v>3363</v>
      </c>
    </row>
    <row r="79" spans="1:41" x14ac:dyDescent="0.4">
      <c r="A79" t="s">
        <v>3367</v>
      </c>
      <c r="B79" t="s">
        <v>3364</v>
      </c>
      <c r="C79" t="s">
        <v>3306</v>
      </c>
      <c r="D79" t="s">
        <v>3365</v>
      </c>
      <c r="E79" t="s">
        <v>2679</v>
      </c>
      <c r="F79" t="s">
        <v>3366</v>
      </c>
      <c r="G79">
        <v>37.142079119999998</v>
      </c>
      <c r="H79">
        <v>-103.0832683</v>
      </c>
      <c r="I79" t="s">
        <v>3306</v>
      </c>
      <c r="J79" t="s">
        <v>3285</v>
      </c>
      <c r="K79" t="s">
        <v>3309</v>
      </c>
      <c r="L79" t="s">
        <v>3310</v>
      </c>
      <c r="M79">
        <v>564</v>
      </c>
      <c r="N79" t="s">
        <v>2684</v>
      </c>
      <c r="O79" t="s">
        <v>3367</v>
      </c>
      <c r="P79" s="1">
        <v>45484</v>
      </c>
      <c r="Q79">
        <v>18</v>
      </c>
      <c r="V79" t="s">
        <v>3312</v>
      </c>
      <c r="W79" t="s">
        <v>3313</v>
      </c>
      <c r="X79" t="s">
        <v>2688</v>
      </c>
      <c r="Y79" t="s">
        <v>2688</v>
      </c>
      <c r="Z79" t="s">
        <v>2747</v>
      </c>
      <c r="AH79" t="s">
        <v>3291</v>
      </c>
      <c r="AI79" t="s">
        <v>3368</v>
      </c>
      <c r="AJ79" t="s">
        <v>3369</v>
      </c>
    </row>
    <row r="80" spans="1:41" x14ac:dyDescent="0.4">
      <c r="A80" t="s">
        <v>3373</v>
      </c>
      <c r="B80" t="s">
        <v>3370</v>
      </c>
      <c r="C80" t="s">
        <v>3306</v>
      </c>
      <c r="D80" t="s">
        <v>3371</v>
      </c>
      <c r="E80" t="s">
        <v>2679</v>
      </c>
      <c r="F80" t="s">
        <v>3372</v>
      </c>
      <c r="G80">
        <v>37.142139589999999</v>
      </c>
      <c r="H80">
        <v>-103.0825514</v>
      </c>
      <c r="I80" t="s">
        <v>3306</v>
      </c>
      <c r="J80" t="s">
        <v>3285</v>
      </c>
      <c r="K80" t="s">
        <v>3309</v>
      </c>
      <c r="L80" t="s">
        <v>3310</v>
      </c>
      <c r="M80">
        <v>562</v>
      </c>
      <c r="N80" t="s">
        <v>2684</v>
      </c>
      <c r="O80" t="s">
        <v>3373</v>
      </c>
      <c r="P80" s="1">
        <v>45484</v>
      </c>
      <c r="Q80">
        <v>10</v>
      </c>
      <c r="V80" t="s">
        <v>3312</v>
      </c>
      <c r="W80" t="s">
        <v>3313</v>
      </c>
      <c r="X80" t="s">
        <v>2688</v>
      </c>
      <c r="Y80" t="s">
        <v>2688</v>
      </c>
      <c r="Z80" t="s">
        <v>2747</v>
      </c>
      <c r="AH80" t="s">
        <v>3291</v>
      </c>
      <c r="AI80" t="s">
        <v>3374</v>
      </c>
      <c r="AJ80" t="s">
        <v>3375</v>
      </c>
    </row>
    <row r="81" spans="1:36" x14ac:dyDescent="0.4">
      <c r="A81" t="s">
        <v>3379</v>
      </c>
      <c r="B81" t="s">
        <v>3376</v>
      </c>
      <c r="C81" t="s">
        <v>3306</v>
      </c>
      <c r="D81" t="s">
        <v>3377</v>
      </c>
      <c r="E81" t="s">
        <v>2679</v>
      </c>
      <c r="F81" t="s">
        <v>3378</v>
      </c>
      <c r="G81">
        <v>37.142268100000003</v>
      </c>
      <c r="H81">
        <v>-103.0825571</v>
      </c>
      <c r="I81" t="s">
        <v>3306</v>
      </c>
      <c r="J81" t="s">
        <v>3285</v>
      </c>
      <c r="K81" t="s">
        <v>3309</v>
      </c>
      <c r="L81" t="s">
        <v>3310</v>
      </c>
      <c r="M81">
        <v>561</v>
      </c>
      <c r="N81" t="s">
        <v>2684</v>
      </c>
      <c r="O81" t="s">
        <v>3379</v>
      </c>
      <c r="P81" s="1">
        <v>45484</v>
      </c>
      <c r="Q81">
        <v>15</v>
      </c>
      <c r="V81" t="s">
        <v>3312</v>
      </c>
      <c r="W81" t="s">
        <v>3313</v>
      </c>
      <c r="X81" t="s">
        <v>2688</v>
      </c>
      <c r="Y81" t="s">
        <v>2688</v>
      </c>
      <c r="Z81" t="s">
        <v>2747</v>
      </c>
      <c r="AH81" t="s">
        <v>3291</v>
      </c>
      <c r="AI81" t="s">
        <v>3380</v>
      </c>
      <c r="AJ81" t="s">
        <v>3381</v>
      </c>
    </row>
    <row r="82" spans="1:36" x14ac:dyDescent="0.4">
      <c r="A82" t="s">
        <v>3385</v>
      </c>
      <c r="B82" t="s">
        <v>3382</v>
      </c>
      <c r="C82" t="s">
        <v>3282</v>
      </c>
      <c r="D82" t="s">
        <v>3383</v>
      </c>
      <c r="E82" t="s">
        <v>2679</v>
      </c>
      <c r="F82" t="s">
        <v>3384</v>
      </c>
      <c r="G82">
        <v>37.142030409999997</v>
      </c>
      <c r="H82">
        <v>-103.0831021</v>
      </c>
      <c r="I82" t="s">
        <v>3282</v>
      </c>
      <c r="J82" t="s">
        <v>3285</v>
      </c>
      <c r="K82" t="s">
        <v>3309</v>
      </c>
      <c r="L82" t="s">
        <v>3310</v>
      </c>
      <c r="M82">
        <v>560</v>
      </c>
      <c r="N82" t="s">
        <v>2684</v>
      </c>
      <c r="O82" t="s">
        <v>3385</v>
      </c>
      <c r="P82" s="1">
        <v>45484</v>
      </c>
      <c r="Q82">
        <v>16</v>
      </c>
      <c r="V82" t="s">
        <v>3312</v>
      </c>
      <c r="W82" t="s">
        <v>3313</v>
      </c>
      <c r="X82" t="s">
        <v>2688</v>
      </c>
      <c r="Y82" t="s">
        <v>2688</v>
      </c>
      <c r="Z82" t="s">
        <v>2747</v>
      </c>
      <c r="AH82" t="s">
        <v>3291</v>
      </c>
      <c r="AI82" t="s">
        <v>3386</v>
      </c>
      <c r="AJ82" t="s">
        <v>3387</v>
      </c>
    </row>
    <row r="83" spans="1:36" x14ac:dyDescent="0.4">
      <c r="A83" t="s">
        <v>3391</v>
      </c>
      <c r="B83" t="s">
        <v>3388</v>
      </c>
      <c r="C83" t="s">
        <v>3282</v>
      </c>
      <c r="D83" t="s">
        <v>3389</v>
      </c>
      <c r="E83" t="s">
        <v>2679</v>
      </c>
      <c r="F83" t="s">
        <v>3390</v>
      </c>
      <c r="G83">
        <v>37.142165110000001</v>
      </c>
      <c r="H83">
        <v>-103.0828688</v>
      </c>
      <c r="I83" t="s">
        <v>3282</v>
      </c>
      <c r="J83" t="s">
        <v>3285</v>
      </c>
      <c r="K83" t="s">
        <v>3309</v>
      </c>
      <c r="L83" t="s">
        <v>3310</v>
      </c>
      <c r="M83">
        <v>559</v>
      </c>
      <c r="N83" t="s">
        <v>2684</v>
      </c>
      <c r="O83" t="s">
        <v>3391</v>
      </c>
      <c r="P83" s="1">
        <v>45484</v>
      </c>
      <c r="Q83">
        <v>15</v>
      </c>
      <c r="V83" t="s">
        <v>3312</v>
      </c>
      <c r="W83" t="s">
        <v>3313</v>
      </c>
      <c r="X83" t="s">
        <v>2688</v>
      </c>
      <c r="Y83" t="s">
        <v>2688</v>
      </c>
      <c r="Z83" t="s">
        <v>2747</v>
      </c>
      <c r="AH83" t="s">
        <v>3291</v>
      </c>
      <c r="AI83" t="s">
        <v>3392</v>
      </c>
      <c r="AJ83" t="s">
        <v>3393</v>
      </c>
    </row>
    <row r="84" spans="1:36" x14ac:dyDescent="0.4">
      <c r="A84" t="s">
        <v>3397</v>
      </c>
      <c r="B84" t="s">
        <v>3394</v>
      </c>
      <c r="C84" t="s">
        <v>3282</v>
      </c>
      <c r="D84" t="s">
        <v>3395</v>
      </c>
      <c r="E84" t="s">
        <v>2679</v>
      </c>
      <c r="F84" t="s">
        <v>3396</v>
      </c>
      <c r="G84">
        <v>37.142479629999997</v>
      </c>
      <c r="H84">
        <v>-103.0832024</v>
      </c>
      <c r="I84" t="s">
        <v>3282</v>
      </c>
      <c r="J84" t="s">
        <v>3285</v>
      </c>
      <c r="K84" t="s">
        <v>3309</v>
      </c>
      <c r="L84" t="s">
        <v>3310</v>
      </c>
      <c r="M84">
        <v>556</v>
      </c>
      <c r="N84" t="s">
        <v>2684</v>
      </c>
      <c r="O84" t="s">
        <v>3397</v>
      </c>
      <c r="P84" s="1">
        <v>45484</v>
      </c>
      <c r="Q84">
        <v>58</v>
      </c>
      <c r="T84" t="s">
        <v>2747</v>
      </c>
      <c r="V84" t="s">
        <v>3312</v>
      </c>
      <c r="W84" t="s">
        <v>3313</v>
      </c>
      <c r="X84" t="s">
        <v>2688</v>
      </c>
      <c r="Y84" t="s">
        <v>2688</v>
      </c>
      <c r="Z84" t="s">
        <v>2689</v>
      </c>
      <c r="AA84" t="s">
        <v>2689</v>
      </c>
      <c r="AH84" t="s">
        <v>3291</v>
      </c>
      <c r="AI84" t="s">
        <v>3398</v>
      </c>
      <c r="AJ84" t="s">
        <v>3399</v>
      </c>
    </row>
    <row r="85" spans="1:36" x14ac:dyDescent="0.4">
      <c r="A85" t="s">
        <v>3403</v>
      </c>
      <c r="B85" t="s">
        <v>3400</v>
      </c>
      <c r="C85" t="s">
        <v>3282</v>
      </c>
      <c r="D85" t="s">
        <v>3401</v>
      </c>
      <c r="E85" t="s">
        <v>2679</v>
      </c>
      <c r="F85" t="s">
        <v>3402</v>
      </c>
      <c r="G85">
        <v>37.142310500000001</v>
      </c>
      <c r="H85">
        <v>-103.0831799</v>
      </c>
      <c r="I85" t="s">
        <v>3282</v>
      </c>
      <c r="J85" t="s">
        <v>3285</v>
      </c>
      <c r="K85" t="s">
        <v>3309</v>
      </c>
      <c r="L85" t="s">
        <v>3310</v>
      </c>
      <c r="M85">
        <v>557</v>
      </c>
      <c r="N85" t="s">
        <v>2684</v>
      </c>
      <c r="O85" t="s">
        <v>3403</v>
      </c>
      <c r="P85" s="1">
        <v>45484</v>
      </c>
      <c r="V85" t="s">
        <v>3312</v>
      </c>
      <c r="W85" t="s">
        <v>3313</v>
      </c>
      <c r="X85" t="s">
        <v>2688</v>
      </c>
      <c r="Y85" t="s">
        <v>2688</v>
      </c>
      <c r="Z85" t="s">
        <v>2747</v>
      </c>
      <c r="AH85" t="s">
        <v>3291</v>
      </c>
      <c r="AI85" t="s">
        <v>3398</v>
      </c>
      <c r="AJ85" t="s">
        <v>3404</v>
      </c>
    </row>
    <row r="86" spans="1:36" x14ac:dyDescent="0.4">
      <c r="A86" t="s">
        <v>3410</v>
      </c>
      <c r="B86" t="s">
        <v>3405</v>
      </c>
      <c r="C86" t="s">
        <v>2677</v>
      </c>
      <c r="D86" t="s">
        <v>3406</v>
      </c>
      <c r="E86" t="s">
        <v>2679</v>
      </c>
      <c r="F86" t="s">
        <v>3407</v>
      </c>
      <c r="G86">
        <v>38.498593999999997</v>
      </c>
      <c r="H86">
        <v>-106.01401</v>
      </c>
      <c r="I86" t="s">
        <v>2677</v>
      </c>
      <c r="J86" t="s">
        <v>3285</v>
      </c>
      <c r="K86" t="s">
        <v>3408</v>
      </c>
      <c r="L86" t="s">
        <v>3409</v>
      </c>
      <c r="M86">
        <v>2</v>
      </c>
      <c r="N86" t="s">
        <v>2684</v>
      </c>
      <c r="O86" t="s">
        <v>3410</v>
      </c>
      <c r="P86" s="1">
        <v>45436</v>
      </c>
      <c r="Q86">
        <v>5</v>
      </c>
      <c r="U86" t="s">
        <v>3411</v>
      </c>
      <c r="V86" t="s">
        <v>3412</v>
      </c>
      <c r="W86" t="s">
        <v>3413</v>
      </c>
      <c r="X86" t="s">
        <v>2688</v>
      </c>
      <c r="Y86" t="s">
        <v>2689</v>
      </c>
      <c r="Z86" t="s">
        <v>2689</v>
      </c>
      <c r="AA86" t="s">
        <v>2689</v>
      </c>
      <c r="AD86" t="s">
        <v>3414</v>
      </c>
      <c r="AH86" t="s">
        <v>3415</v>
      </c>
      <c r="AJ86" t="s">
        <v>3416</v>
      </c>
    </row>
    <row r="87" spans="1:36" x14ac:dyDescent="0.4">
      <c r="A87" t="s">
        <v>3420</v>
      </c>
      <c r="B87" t="s">
        <v>3417</v>
      </c>
      <c r="C87" t="s">
        <v>2677</v>
      </c>
      <c r="D87" t="s">
        <v>3418</v>
      </c>
      <c r="E87" t="s">
        <v>2679</v>
      </c>
      <c r="F87" t="s">
        <v>3419</v>
      </c>
      <c r="G87">
        <v>38.497838659999999</v>
      </c>
      <c r="H87">
        <v>-106.0043033</v>
      </c>
      <c r="I87" t="s">
        <v>2677</v>
      </c>
      <c r="J87" t="s">
        <v>3285</v>
      </c>
      <c r="K87" t="s">
        <v>3408</v>
      </c>
      <c r="L87" t="s">
        <v>3409</v>
      </c>
      <c r="M87">
        <v>4</v>
      </c>
      <c r="N87" t="s">
        <v>2684</v>
      </c>
      <c r="O87" t="s">
        <v>3420</v>
      </c>
      <c r="P87" s="1">
        <v>45436</v>
      </c>
      <c r="Q87">
        <v>5</v>
      </c>
      <c r="U87" t="s">
        <v>3411</v>
      </c>
      <c r="V87" t="s">
        <v>3412</v>
      </c>
      <c r="W87" t="s">
        <v>3413</v>
      </c>
      <c r="X87" t="s">
        <v>2688</v>
      </c>
      <c r="Y87" t="s">
        <v>2689</v>
      </c>
      <c r="Z87" t="s">
        <v>2689</v>
      </c>
      <c r="AA87" t="s">
        <v>2689</v>
      </c>
      <c r="AD87" t="s">
        <v>3421</v>
      </c>
      <c r="AH87" t="s">
        <v>3415</v>
      </c>
      <c r="AJ87" t="s">
        <v>3422</v>
      </c>
    </row>
    <row r="88" spans="1:36" x14ac:dyDescent="0.4">
      <c r="A88" t="s">
        <v>3426</v>
      </c>
      <c r="B88" t="s">
        <v>3423</v>
      </c>
      <c r="C88" t="s">
        <v>2677</v>
      </c>
      <c r="D88" t="s">
        <v>3424</v>
      </c>
      <c r="E88" t="s">
        <v>2679</v>
      </c>
      <c r="F88" t="s">
        <v>3425</v>
      </c>
      <c r="G88">
        <v>38.497026599999998</v>
      </c>
      <c r="H88">
        <v>-106.004199</v>
      </c>
      <c r="I88" t="s">
        <v>2677</v>
      </c>
      <c r="J88" t="s">
        <v>3285</v>
      </c>
      <c r="K88" t="s">
        <v>3408</v>
      </c>
      <c r="L88" t="s">
        <v>3409</v>
      </c>
      <c r="M88">
        <v>3</v>
      </c>
      <c r="N88" t="s">
        <v>2684</v>
      </c>
      <c r="O88" t="s">
        <v>3426</v>
      </c>
      <c r="P88" s="1">
        <v>45436</v>
      </c>
      <c r="Q88">
        <v>5</v>
      </c>
      <c r="S88" t="s">
        <v>3427</v>
      </c>
      <c r="U88" t="s">
        <v>3411</v>
      </c>
      <c r="V88" t="s">
        <v>3412</v>
      </c>
      <c r="W88" t="s">
        <v>3413</v>
      </c>
      <c r="X88" t="s">
        <v>2688</v>
      </c>
      <c r="Y88" t="s">
        <v>2689</v>
      </c>
      <c r="Z88" t="s">
        <v>2747</v>
      </c>
      <c r="AH88" t="s">
        <v>3415</v>
      </c>
      <c r="AJ88" t="s">
        <v>3428</v>
      </c>
    </row>
    <row r="89" spans="1:36" x14ac:dyDescent="0.4">
      <c r="A89" t="s">
        <v>3432</v>
      </c>
      <c r="B89" t="s">
        <v>3429</v>
      </c>
      <c r="C89" t="s">
        <v>2677</v>
      </c>
      <c r="D89" t="s">
        <v>3430</v>
      </c>
      <c r="E89" t="s">
        <v>2679</v>
      </c>
      <c r="F89" t="s">
        <v>3431</v>
      </c>
      <c r="G89">
        <v>38.498408044999998</v>
      </c>
      <c r="H89">
        <v>-106.014191</v>
      </c>
      <c r="I89" t="s">
        <v>2677</v>
      </c>
      <c r="J89" t="s">
        <v>3285</v>
      </c>
      <c r="K89" t="s">
        <v>3408</v>
      </c>
      <c r="L89" t="s">
        <v>3409</v>
      </c>
      <c r="M89">
        <v>1</v>
      </c>
      <c r="N89" t="s">
        <v>2684</v>
      </c>
      <c r="O89" t="s">
        <v>3432</v>
      </c>
      <c r="P89" s="1">
        <v>45436</v>
      </c>
      <c r="Q89">
        <v>5</v>
      </c>
      <c r="U89" t="s">
        <v>3411</v>
      </c>
      <c r="V89" t="s">
        <v>3412</v>
      </c>
      <c r="W89" t="s">
        <v>3413</v>
      </c>
      <c r="X89" t="s">
        <v>2688</v>
      </c>
      <c r="Y89" t="s">
        <v>2688</v>
      </c>
      <c r="Z89" t="s">
        <v>2689</v>
      </c>
      <c r="AA89" t="s">
        <v>2689</v>
      </c>
      <c r="AD89" t="s">
        <v>3433</v>
      </c>
      <c r="AH89" t="s">
        <v>3415</v>
      </c>
      <c r="AJ89" t="s">
        <v>3434</v>
      </c>
    </row>
    <row r="90" spans="1:36" ht="116.6" x14ac:dyDescent="0.4">
      <c r="A90" t="s">
        <v>961</v>
      </c>
      <c r="B90" t="s">
        <v>3435</v>
      </c>
      <c r="C90" t="s">
        <v>1411</v>
      </c>
      <c r="D90" t="s">
        <v>3436</v>
      </c>
      <c r="E90" t="s">
        <v>2679</v>
      </c>
      <c r="F90" t="s">
        <v>3437</v>
      </c>
      <c r="G90">
        <v>42.084762048899997</v>
      </c>
      <c r="H90">
        <v>-73.385214340000005</v>
      </c>
      <c r="I90" t="s">
        <v>1411</v>
      </c>
      <c r="J90" t="s">
        <v>2431</v>
      </c>
      <c r="K90" t="s">
        <v>952</v>
      </c>
      <c r="L90" t="s">
        <v>2435</v>
      </c>
      <c r="M90">
        <v>406</v>
      </c>
      <c r="N90" t="s">
        <v>3438</v>
      </c>
      <c r="O90" t="s">
        <v>961</v>
      </c>
      <c r="P90" s="1">
        <v>44795</v>
      </c>
      <c r="Q90">
        <v>57.9</v>
      </c>
      <c r="R90">
        <v>27</v>
      </c>
      <c r="S90" t="s">
        <v>3427</v>
      </c>
      <c r="T90" t="s">
        <v>2689</v>
      </c>
      <c r="U90" s="10" t="s">
        <v>3439</v>
      </c>
      <c r="V90" t="s">
        <v>3440</v>
      </c>
      <c r="W90" t="s">
        <v>3441</v>
      </c>
      <c r="X90" t="s">
        <v>2688</v>
      </c>
      <c r="Y90" t="s">
        <v>2688</v>
      </c>
      <c r="Z90" t="s">
        <v>2688</v>
      </c>
      <c r="AA90" t="s">
        <v>2688</v>
      </c>
      <c r="AB90" t="s">
        <v>3442</v>
      </c>
      <c r="AD90" t="s">
        <v>3443</v>
      </c>
      <c r="AE90" t="s">
        <v>3444</v>
      </c>
      <c r="AH90" t="s">
        <v>3445</v>
      </c>
      <c r="AJ90" s="10" t="s">
        <v>3446</v>
      </c>
    </row>
    <row r="91" spans="1:36" ht="102" x14ac:dyDescent="0.4">
      <c r="A91" t="s">
        <v>1280</v>
      </c>
      <c r="B91" t="s">
        <v>3447</v>
      </c>
      <c r="C91" t="s">
        <v>3448</v>
      </c>
      <c r="D91" t="s">
        <v>3449</v>
      </c>
      <c r="E91" t="s">
        <v>2679</v>
      </c>
      <c r="F91" t="s">
        <v>3450</v>
      </c>
      <c r="G91">
        <v>45.424320600000001</v>
      </c>
      <c r="H91">
        <v>-93.200211499999995</v>
      </c>
      <c r="I91" t="s">
        <v>3448</v>
      </c>
      <c r="J91" t="s">
        <v>2439</v>
      </c>
      <c r="K91" t="s">
        <v>3451</v>
      </c>
      <c r="L91" t="s">
        <v>2440</v>
      </c>
      <c r="M91">
        <v>221</v>
      </c>
      <c r="N91" t="s">
        <v>3452</v>
      </c>
      <c r="O91" t="s">
        <v>1280</v>
      </c>
      <c r="P91" s="1">
        <v>44799</v>
      </c>
      <c r="Q91">
        <v>24</v>
      </c>
      <c r="R91">
        <v>17</v>
      </c>
      <c r="S91" t="s">
        <v>3427</v>
      </c>
      <c r="T91" t="s">
        <v>2689</v>
      </c>
      <c r="U91" s="10" t="s">
        <v>3453</v>
      </c>
      <c r="V91" s="10" t="s">
        <v>3454</v>
      </c>
      <c r="W91" s="10" t="s">
        <v>3455</v>
      </c>
      <c r="X91" t="s">
        <v>2688</v>
      </c>
      <c r="Y91" t="s">
        <v>2688</v>
      </c>
      <c r="Z91" t="s">
        <v>2689</v>
      </c>
      <c r="AA91" t="s">
        <v>2689</v>
      </c>
      <c r="AB91" t="s">
        <v>3456</v>
      </c>
      <c r="AC91" t="s">
        <v>3457</v>
      </c>
      <c r="AD91" t="s">
        <v>3458</v>
      </c>
      <c r="AE91" t="s">
        <v>3459</v>
      </c>
      <c r="AH91" t="s">
        <v>3460</v>
      </c>
    </row>
    <row r="92" spans="1:36" x14ac:dyDescent="0.4">
      <c r="A92" t="s">
        <v>1265</v>
      </c>
      <c r="B92" t="s">
        <v>3461</v>
      </c>
      <c r="C92" t="s">
        <v>1411</v>
      </c>
      <c r="D92" t="s">
        <v>3462</v>
      </c>
      <c r="E92" t="s">
        <v>2679</v>
      </c>
      <c r="F92" t="s">
        <v>3463</v>
      </c>
      <c r="G92">
        <v>45.397771499999998</v>
      </c>
      <c r="H92">
        <v>-93.182542900000001</v>
      </c>
      <c r="I92" t="s">
        <v>1411</v>
      </c>
      <c r="J92" t="s">
        <v>2439</v>
      </c>
      <c r="K92" t="s">
        <v>3451</v>
      </c>
      <c r="L92" t="s">
        <v>2440</v>
      </c>
      <c r="M92">
        <v>216</v>
      </c>
      <c r="N92" t="s">
        <v>3452</v>
      </c>
      <c r="O92" t="s">
        <v>1265</v>
      </c>
      <c r="P92" s="1">
        <v>44784</v>
      </c>
      <c r="Q92">
        <v>39</v>
      </c>
      <c r="R92">
        <v>16</v>
      </c>
      <c r="S92" t="s">
        <v>3464</v>
      </c>
      <c r="U92" t="s">
        <v>3465</v>
      </c>
      <c r="V92" t="s">
        <v>3466</v>
      </c>
      <c r="W92" t="s">
        <v>3467</v>
      </c>
      <c r="X92" t="s">
        <v>2688</v>
      </c>
      <c r="Y92" t="s">
        <v>2688</v>
      </c>
      <c r="Z92" t="s">
        <v>2689</v>
      </c>
      <c r="AA92" t="s">
        <v>2689</v>
      </c>
      <c r="AB92" t="s">
        <v>3468</v>
      </c>
      <c r="AD92" t="s">
        <v>3469</v>
      </c>
      <c r="AE92" t="s">
        <v>3470</v>
      </c>
      <c r="AH92" t="s">
        <v>3460</v>
      </c>
      <c r="AJ92" t="s">
        <v>3471</v>
      </c>
    </row>
    <row r="93" spans="1:36" x14ac:dyDescent="0.4">
      <c r="A93" t="s">
        <v>1258</v>
      </c>
      <c r="B93" t="s">
        <v>3472</v>
      </c>
      <c r="C93" t="s">
        <v>1411</v>
      </c>
      <c r="D93" t="s">
        <v>3473</v>
      </c>
      <c r="E93" t="s">
        <v>2679</v>
      </c>
      <c r="F93" t="s">
        <v>3474</v>
      </c>
      <c r="G93">
        <v>45.398007300000003</v>
      </c>
      <c r="H93">
        <v>-93.182817099999994</v>
      </c>
      <c r="I93" t="s">
        <v>1411</v>
      </c>
      <c r="J93" t="s">
        <v>2439</v>
      </c>
      <c r="K93" t="s">
        <v>3451</v>
      </c>
      <c r="L93" t="s">
        <v>2440</v>
      </c>
      <c r="M93">
        <v>215</v>
      </c>
      <c r="N93" t="s">
        <v>3452</v>
      </c>
      <c r="O93" t="s">
        <v>1258</v>
      </c>
      <c r="P93" s="1">
        <v>44784</v>
      </c>
      <c r="Q93">
        <v>61.7</v>
      </c>
      <c r="R93">
        <v>20</v>
      </c>
      <c r="S93" t="s">
        <v>3427</v>
      </c>
      <c r="T93" t="s">
        <v>2689</v>
      </c>
      <c r="U93" t="s">
        <v>3475</v>
      </c>
      <c r="V93" t="s">
        <v>3476</v>
      </c>
      <c r="W93" t="s">
        <v>3477</v>
      </c>
      <c r="X93" t="s">
        <v>2688</v>
      </c>
      <c r="Y93" t="s">
        <v>2688</v>
      </c>
      <c r="Z93" t="s">
        <v>2689</v>
      </c>
      <c r="AB93" t="s">
        <v>3478</v>
      </c>
      <c r="AD93" t="s">
        <v>3479</v>
      </c>
      <c r="AE93" t="s">
        <v>3480</v>
      </c>
      <c r="AF93" t="s">
        <v>3481</v>
      </c>
      <c r="AH93" t="s">
        <v>3460</v>
      </c>
      <c r="AJ93" t="s">
        <v>3482</v>
      </c>
    </row>
    <row r="94" spans="1:36" x14ac:dyDescent="0.4">
      <c r="A94" t="s">
        <v>1268</v>
      </c>
      <c r="B94" t="s">
        <v>3483</v>
      </c>
      <c r="C94" t="s">
        <v>1411</v>
      </c>
      <c r="D94" t="s">
        <v>3484</v>
      </c>
      <c r="E94" t="s">
        <v>2679</v>
      </c>
      <c r="F94" t="s">
        <v>3485</v>
      </c>
      <c r="G94">
        <v>45.399020100000001</v>
      </c>
      <c r="H94">
        <v>-93.183098299999997</v>
      </c>
      <c r="I94" t="s">
        <v>1411</v>
      </c>
      <c r="J94" t="s">
        <v>2439</v>
      </c>
      <c r="K94" t="s">
        <v>3451</v>
      </c>
      <c r="L94" t="s">
        <v>2440</v>
      </c>
      <c r="M94">
        <v>217</v>
      </c>
      <c r="N94" t="s">
        <v>3452</v>
      </c>
      <c r="O94" t="s">
        <v>1268</v>
      </c>
      <c r="P94" s="1">
        <v>44784</v>
      </c>
      <c r="Q94">
        <v>17.8</v>
      </c>
      <c r="R94">
        <v>8</v>
      </c>
      <c r="S94" t="s">
        <v>3464</v>
      </c>
      <c r="T94" t="s">
        <v>2689</v>
      </c>
      <c r="U94" t="s">
        <v>3486</v>
      </c>
      <c r="V94" t="s">
        <v>3487</v>
      </c>
      <c r="W94" t="s">
        <v>3488</v>
      </c>
      <c r="X94" t="s">
        <v>2688</v>
      </c>
      <c r="Y94" t="s">
        <v>2688</v>
      </c>
      <c r="Z94" t="s">
        <v>2689</v>
      </c>
      <c r="AA94" t="s">
        <v>2689</v>
      </c>
      <c r="AB94" t="s">
        <v>3489</v>
      </c>
      <c r="AD94" t="s">
        <v>3490</v>
      </c>
      <c r="AE94" t="s">
        <v>3491</v>
      </c>
      <c r="AH94" t="s">
        <v>3460</v>
      </c>
      <c r="AJ94" t="s">
        <v>3492</v>
      </c>
    </row>
    <row r="95" spans="1:36" x14ac:dyDescent="0.4">
      <c r="A95" t="s">
        <v>1274</v>
      </c>
      <c r="B95" t="s">
        <v>3493</v>
      </c>
      <c r="C95" t="s">
        <v>1411</v>
      </c>
      <c r="D95" t="s">
        <v>3494</v>
      </c>
      <c r="E95" t="s">
        <v>2679</v>
      </c>
      <c r="F95" t="s">
        <v>3495</v>
      </c>
      <c r="G95">
        <v>45.4001406</v>
      </c>
      <c r="H95">
        <v>-93.183275899999998</v>
      </c>
      <c r="I95" t="s">
        <v>1411</v>
      </c>
      <c r="J95" t="s">
        <v>2439</v>
      </c>
      <c r="K95" t="s">
        <v>3451</v>
      </c>
      <c r="L95" t="s">
        <v>2440</v>
      </c>
      <c r="M95">
        <v>219</v>
      </c>
      <c r="N95" t="s">
        <v>3452</v>
      </c>
      <c r="O95" t="s">
        <v>1274</v>
      </c>
      <c r="P95" s="1">
        <v>44784</v>
      </c>
      <c r="Q95">
        <v>14.8</v>
      </c>
      <c r="R95">
        <v>8</v>
      </c>
      <c r="S95" t="s">
        <v>3464</v>
      </c>
      <c r="T95" t="s">
        <v>2689</v>
      </c>
      <c r="U95" t="s">
        <v>3496</v>
      </c>
      <c r="V95" t="s">
        <v>3497</v>
      </c>
      <c r="W95" t="s">
        <v>3498</v>
      </c>
      <c r="X95" t="s">
        <v>2688</v>
      </c>
      <c r="Y95" t="s">
        <v>2688</v>
      </c>
      <c r="Z95" t="s">
        <v>2689</v>
      </c>
      <c r="AA95" t="s">
        <v>2689</v>
      </c>
      <c r="AB95" t="s">
        <v>3499</v>
      </c>
      <c r="AC95" t="s">
        <v>3500</v>
      </c>
      <c r="AD95" t="s">
        <v>3501</v>
      </c>
      <c r="AE95" t="s">
        <v>3502</v>
      </c>
      <c r="AH95" t="s">
        <v>3460</v>
      </c>
      <c r="AJ95" t="s">
        <v>3503</v>
      </c>
    </row>
    <row r="96" spans="1:36" x14ac:dyDescent="0.4">
      <c r="A96" t="s">
        <v>2306</v>
      </c>
      <c r="B96" t="s">
        <v>3504</v>
      </c>
      <c r="C96" t="s">
        <v>3448</v>
      </c>
      <c r="D96" t="s">
        <v>3505</v>
      </c>
      <c r="E96" t="s">
        <v>2679</v>
      </c>
      <c r="F96" t="s">
        <v>3506</v>
      </c>
      <c r="G96">
        <v>46.3325446626</v>
      </c>
      <c r="H96">
        <v>-91.507639065800007</v>
      </c>
      <c r="I96" t="s">
        <v>3448</v>
      </c>
      <c r="J96" t="s">
        <v>2468</v>
      </c>
      <c r="K96" t="s">
        <v>2300</v>
      </c>
      <c r="L96" t="s">
        <v>2469</v>
      </c>
      <c r="M96">
        <v>231</v>
      </c>
      <c r="N96" t="s">
        <v>3438</v>
      </c>
      <c r="O96" t="s">
        <v>2306</v>
      </c>
      <c r="P96" s="1">
        <v>44763</v>
      </c>
      <c r="Q96">
        <v>4.3</v>
      </c>
      <c r="R96">
        <v>8</v>
      </c>
      <c r="S96" t="s">
        <v>3464</v>
      </c>
      <c r="T96" t="s">
        <v>2689</v>
      </c>
      <c r="U96" t="s">
        <v>3507</v>
      </c>
      <c r="V96" t="s">
        <v>3508</v>
      </c>
      <c r="W96" t="s">
        <v>3509</v>
      </c>
      <c r="X96" t="s">
        <v>2688</v>
      </c>
      <c r="Y96" t="s">
        <v>2688</v>
      </c>
      <c r="Z96" t="s">
        <v>2747</v>
      </c>
      <c r="AA96" t="s">
        <v>2689</v>
      </c>
      <c r="AB96" t="s">
        <v>3510</v>
      </c>
      <c r="AC96" t="s">
        <v>3511</v>
      </c>
      <c r="AD96" t="s">
        <v>3512</v>
      </c>
      <c r="AE96" t="s">
        <v>3513</v>
      </c>
      <c r="AH96" t="s">
        <v>3445</v>
      </c>
      <c r="AJ96" t="s">
        <v>3514</v>
      </c>
    </row>
    <row r="97" spans="1:36" ht="43.75" x14ac:dyDescent="0.4">
      <c r="A97" t="s">
        <v>2318</v>
      </c>
      <c r="B97" t="s">
        <v>3515</v>
      </c>
      <c r="C97" t="s">
        <v>1411</v>
      </c>
      <c r="D97" t="s">
        <v>3516</v>
      </c>
      <c r="E97" t="s">
        <v>2679</v>
      </c>
      <c r="F97" t="s">
        <v>3517</v>
      </c>
      <c r="G97">
        <v>46.331629874800001</v>
      </c>
      <c r="H97">
        <v>-91.506607114199994</v>
      </c>
      <c r="I97" t="s">
        <v>1411</v>
      </c>
      <c r="J97" t="s">
        <v>2468</v>
      </c>
      <c r="K97" t="s">
        <v>2300</v>
      </c>
      <c r="L97" t="s">
        <v>2469</v>
      </c>
      <c r="M97">
        <v>235</v>
      </c>
      <c r="N97" t="s">
        <v>3438</v>
      </c>
      <c r="O97" t="s">
        <v>2318</v>
      </c>
      <c r="P97" s="1">
        <v>44763</v>
      </c>
      <c r="Q97">
        <v>14.8</v>
      </c>
      <c r="R97">
        <v>19</v>
      </c>
      <c r="S97" t="s">
        <v>3518</v>
      </c>
      <c r="T97" t="s">
        <v>2689</v>
      </c>
      <c r="U97" s="10" t="s">
        <v>3519</v>
      </c>
      <c r="V97" t="s">
        <v>3520</v>
      </c>
      <c r="W97" t="s">
        <v>3509</v>
      </c>
      <c r="X97" t="s">
        <v>2688</v>
      </c>
      <c r="Y97" t="s">
        <v>2688</v>
      </c>
      <c r="Z97" t="s">
        <v>2689</v>
      </c>
      <c r="AA97" t="s">
        <v>2689</v>
      </c>
      <c r="AB97" t="s">
        <v>3521</v>
      </c>
      <c r="AD97" t="s">
        <v>3522</v>
      </c>
      <c r="AE97" t="s">
        <v>3523</v>
      </c>
      <c r="AH97" t="s">
        <v>3445</v>
      </c>
    </row>
    <row r="98" spans="1:36" ht="131.15" x14ac:dyDescent="0.4">
      <c r="A98" t="s">
        <v>2297</v>
      </c>
      <c r="B98" t="s">
        <v>3524</v>
      </c>
      <c r="C98" t="s">
        <v>3448</v>
      </c>
      <c r="D98" t="s">
        <v>3525</v>
      </c>
      <c r="E98" t="s">
        <v>2679</v>
      </c>
      <c r="F98" t="s">
        <v>3526</v>
      </c>
      <c r="G98">
        <v>46.332130001400003</v>
      </c>
      <c r="H98">
        <v>-91.5071266243</v>
      </c>
      <c r="I98" t="s">
        <v>3448</v>
      </c>
      <c r="J98" t="s">
        <v>2468</v>
      </c>
      <c r="K98" t="s">
        <v>2300</v>
      </c>
      <c r="L98" t="s">
        <v>2469</v>
      </c>
      <c r="M98">
        <v>229</v>
      </c>
      <c r="N98" t="s">
        <v>3438</v>
      </c>
      <c r="O98" t="s">
        <v>2297</v>
      </c>
      <c r="P98" s="1">
        <v>44763</v>
      </c>
      <c r="Q98">
        <v>7.7</v>
      </c>
      <c r="R98">
        <v>13</v>
      </c>
      <c r="S98" t="s">
        <v>3464</v>
      </c>
      <c r="T98" t="s">
        <v>2689</v>
      </c>
      <c r="U98" t="s">
        <v>3527</v>
      </c>
      <c r="V98" s="10" t="s">
        <v>3528</v>
      </c>
      <c r="W98" t="s">
        <v>3509</v>
      </c>
      <c r="X98" t="s">
        <v>2688</v>
      </c>
      <c r="Y98" t="s">
        <v>2688</v>
      </c>
      <c r="Z98" t="s">
        <v>2689</v>
      </c>
      <c r="AA98" t="s">
        <v>2689</v>
      </c>
      <c r="AB98" t="s">
        <v>3529</v>
      </c>
      <c r="AD98" t="s">
        <v>3530</v>
      </c>
      <c r="AE98" t="s">
        <v>3531</v>
      </c>
      <c r="AH98" t="s">
        <v>3445</v>
      </c>
    </row>
    <row r="99" spans="1:36" x14ac:dyDescent="0.4">
      <c r="A99" t="s">
        <v>2324</v>
      </c>
      <c r="B99" t="s">
        <v>3532</v>
      </c>
      <c r="C99" t="s">
        <v>1411</v>
      </c>
      <c r="D99" t="s">
        <v>3533</v>
      </c>
      <c r="E99" t="s">
        <v>2679</v>
      </c>
      <c r="F99" t="s">
        <v>3534</v>
      </c>
      <c r="G99">
        <v>46.330648421699998</v>
      </c>
      <c r="H99">
        <v>-91.507848365499996</v>
      </c>
      <c r="I99" t="s">
        <v>1411</v>
      </c>
      <c r="J99" t="s">
        <v>2468</v>
      </c>
      <c r="K99" t="s">
        <v>2300</v>
      </c>
      <c r="L99" t="s">
        <v>2469</v>
      </c>
      <c r="M99">
        <v>237</v>
      </c>
      <c r="N99" t="s">
        <v>3438</v>
      </c>
      <c r="O99" t="s">
        <v>2324</v>
      </c>
      <c r="P99" s="1">
        <v>44763</v>
      </c>
      <c r="Q99">
        <v>29</v>
      </c>
      <c r="R99">
        <v>18</v>
      </c>
      <c r="S99" t="s">
        <v>3518</v>
      </c>
      <c r="T99" t="s">
        <v>2689</v>
      </c>
      <c r="U99" t="s">
        <v>3535</v>
      </c>
      <c r="V99" t="s">
        <v>3536</v>
      </c>
      <c r="W99" t="s">
        <v>3537</v>
      </c>
      <c r="X99" t="s">
        <v>2688</v>
      </c>
      <c r="Y99" t="s">
        <v>2688</v>
      </c>
      <c r="Z99" t="s">
        <v>2747</v>
      </c>
      <c r="AA99" t="s">
        <v>2689</v>
      </c>
      <c r="AB99" t="s">
        <v>3538</v>
      </c>
      <c r="AD99" t="s">
        <v>3539</v>
      </c>
      <c r="AH99" t="s">
        <v>3445</v>
      </c>
    </row>
    <row r="100" spans="1:36" ht="43.75" x14ac:dyDescent="0.4">
      <c r="A100" t="s">
        <v>2315</v>
      </c>
      <c r="B100" t="s">
        <v>3540</v>
      </c>
      <c r="C100" t="s">
        <v>1411</v>
      </c>
      <c r="D100" t="s">
        <v>3541</v>
      </c>
      <c r="E100" t="s">
        <v>2679</v>
      </c>
      <c r="F100" t="s">
        <v>3542</v>
      </c>
      <c r="G100">
        <v>46.3308463033</v>
      </c>
      <c r="H100">
        <v>-91.506915873500006</v>
      </c>
      <c r="I100" t="s">
        <v>1411</v>
      </c>
      <c r="J100" t="s">
        <v>2468</v>
      </c>
      <c r="K100" t="s">
        <v>2300</v>
      </c>
      <c r="L100" t="s">
        <v>2469</v>
      </c>
      <c r="M100">
        <v>234</v>
      </c>
      <c r="N100" t="s">
        <v>3438</v>
      </c>
      <c r="O100" t="s">
        <v>2315</v>
      </c>
      <c r="P100" s="1">
        <v>44763</v>
      </c>
      <c r="Q100">
        <v>15.9</v>
      </c>
      <c r="R100">
        <v>18</v>
      </c>
      <c r="S100" t="s">
        <v>3518</v>
      </c>
      <c r="T100" t="s">
        <v>2689</v>
      </c>
      <c r="U100" s="10" t="s">
        <v>3543</v>
      </c>
      <c r="V100" t="s">
        <v>3544</v>
      </c>
      <c r="W100" t="s">
        <v>3509</v>
      </c>
      <c r="X100" t="s">
        <v>2688</v>
      </c>
      <c r="Y100" t="s">
        <v>2688</v>
      </c>
      <c r="Z100" t="s">
        <v>2689</v>
      </c>
      <c r="AA100" t="s">
        <v>2689</v>
      </c>
      <c r="AB100" t="s">
        <v>3545</v>
      </c>
      <c r="AD100" t="s">
        <v>3546</v>
      </c>
      <c r="AE100" t="s">
        <v>3547</v>
      </c>
      <c r="AH100" t="s">
        <v>3445</v>
      </c>
    </row>
    <row r="101" spans="1:36" ht="145.75" x14ac:dyDescent="0.4">
      <c r="A101" t="s">
        <v>2321</v>
      </c>
      <c r="B101" t="s">
        <v>3548</v>
      </c>
      <c r="C101" t="s">
        <v>1411</v>
      </c>
      <c r="D101" t="s">
        <v>3549</v>
      </c>
      <c r="E101" t="s">
        <v>2679</v>
      </c>
      <c r="F101" t="s">
        <v>3550</v>
      </c>
      <c r="G101">
        <v>46.3306647892</v>
      </c>
      <c r="H101">
        <v>-91.5069711676</v>
      </c>
      <c r="I101" t="s">
        <v>1411</v>
      </c>
      <c r="J101" t="s">
        <v>2468</v>
      </c>
      <c r="K101" t="s">
        <v>2300</v>
      </c>
      <c r="L101" t="s">
        <v>2469</v>
      </c>
      <c r="M101">
        <v>236</v>
      </c>
      <c r="N101" t="s">
        <v>3438</v>
      </c>
      <c r="O101" t="s">
        <v>2321</v>
      </c>
      <c r="P101" s="1">
        <v>44763</v>
      </c>
      <c r="Q101">
        <v>12.8</v>
      </c>
      <c r="R101">
        <v>12</v>
      </c>
      <c r="S101" t="s">
        <v>3518</v>
      </c>
      <c r="T101" t="s">
        <v>2689</v>
      </c>
      <c r="U101" s="10" t="s">
        <v>3551</v>
      </c>
      <c r="V101" t="s">
        <v>3552</v>
      </c>
      <c r="W101" t="s">
        <v>3537</v>
      </c>
      <c r="X101" t="s">
        <v>2688</v>
      </c>
      <c r="Y101" t="s">
        <v>2688</v>
      </c>
      <c r="Z101" t="s">
        <v>2689</v>
      </c>
      <c r="AA101" t="s">
        <v>2689</v>
      </c>
      <c r="AB101" t="s">
        <v>3553</v>
      </c>
      <c r="AD101" t="s">
        <v>3554</v>
      </c>
      <c r="AE101" t="s">
        <v>3555</v>
      </c>
      <c r="AH101" t="s">
        <v>3445</v>
      </c>
      <c r="AJ101" t="s">
        <v>3556</v>
      </c>
    </row>
    <row r="102" spans="1:36" x14ac:dyDescent="0.4">
      <c r="A102" t="s">
        <v>148</v>
      </c>
      <c r="B102" t="s">
        <v>3557</v>
      </c>
      <c r="C102" t="s">
        <v>1411</v>
      </c>
      <c r="D102" t="s">
        <v>3558</v>
      </c>
      <c r="E102" t="s">
        <v>2679</v>
      </c>
      <c r="F102" t="s">
        <v>3559</v>
      </c>
      <c r="G102">
        <v>41.973951936500001</v>
      </c>
      <c r="H102">
        <v>-91.722940980700002</v>
      </c>
      <c r="I102" t="s">
        <v>1411</v>
      </c>
      <c r="J102" t="s">
        <v>2406</v>
      </c>
      <c r="K102" t="s">
        <v>3560</v>
      </c>
      <c r="L102" t="s">
        <v>2403</v>
      </c>
      <c r="M102">
        <v>69</v>
      </c>
      <c r="N102" t="s">
        <v>3438</v>
      </c>
      <c r="O102" t="s">
        <v>148</v>
      </c>
      <c r="P102" s="1">
        <v>44722</v>
      </c>
      <c r="Q102">
        <v>74.5</v>
      </c>
      <c r="R102">
        <v>24</v>
      </c>
      <c r="S102" t="s">
        <v>3427</v>
      </c>
      <c r="T102" t="s">
        <v>2689</v>
      </c>
      <c r="U102" t="s">
        <v>3561</v>
      </c>
      <c r="V102" t="s">
        <v>3562</v>
      </c>
      <c r="W102" t="s">
        <v>3563</v>
      </c>
      <c r="X102" t="s">
        <v>2688</v>
      </c>
      <c r="Y102" t="s">
        <v>2688</v>
      </c>
      <c r="Z102" t="s">
        <v>2688</v>
      </c>
      <c r="AA102" t="s">
        <v>2688</v>
      </c>
      <c r="AB102" t="s">
        <v>3564</v>
      </c>
      <c r="AD102" t="s">
        <v>3565</v>
      </c>
      <c r="AE102" t="s">
        <v>3566</v>
      </c>
      <c r="AF102" t="s">
        <v>3567</v>
      </c>
      <c r="AH102" t="s">
        <v>3568</v>
      </c>
      <c r="AJ102" t="s">
        <v>3569</v>
      </c>
    </row>
    <row r="103" spans="1:36" ht="189.45" x14ac:dyDescent="0.4">
      <c r="A103" t="s">
        <v>138</v>
      </c>
      <c r="B103" t="s">
        <v>3570</v>
      </c>
      <c r="C103" t="s">
        <v>1411</v>
      </c>
      <c r="D103" t="s">
        <v>3571</v>
      </c>
      <c r="E103" t="s">
        <v>2679</v>
      </c>
      <c r="F103" t="s">
        <v>3572</v>
      </c>
      <c r="G103">
        <v>41.973659062599999</v>
      </c>
      <c r="H103">
        <v>-91.725383465099995</v>
      </c>
      <c r="I103" t="s">
        <v>1411</v>
      </c>
      <c r="J103" t="s">
        <v>2406</v>
      </c>
      <c r="K103" t="s">
        <v>3560</v>
      </c>
      <c r="L103" t="s">
        <v>2403</v>
      </c>
      <c r="M103">
        <v>67</v>
      </c>
      <c r="N103" t="s">
        <v>3438</v>
      </c>
      <c r="O103" t="s">
        <v>138</v>
      </c>
      <c r="P103" s="1">
        <v>44722</v>
      </c>
      <c r="Q103">
        <v>123</v>
      </c>
      <c r="R103">
        <v>21</v>
      </c>
      <c r="S103" t="s">
        <v>3518</v>
      </c>
      <c r="T103" t="s">
        <v>2689</v>
      </c>
      <c r="U103" t="s">
        <v>3561</v>
      </c>
      <c r="V103" t="s">
        <v>3573</v>
      </c>
      <c r="W103" t="s">
        <v>3574</v>
      </c>
      <c r="X103" t="s">
        <v>2688</v>
      </c>
      <c r="Y103" t="s">
        <v>2688</v>
      </c>
      <c r="Z103" t="s">
        <v>2688</v>
      </c>
      <c r="AA103" t="s">
        <v>2688</v>
      </c>
      <c r="AB103" t="s">
        <v>3575</v>
      </c>
      <c r="AD103" t="s">
        <v>3576</v>
      </c>
      <c r="AE103" t="s">
        <v>3577</v>
      </c>
      <c r="AF103" t="s">
        <v>3578</v>
      </c>
      <c r="AH103" t="s">
        <v>3568</v>
      </c>
      <c r="AJ103" s="10" t="s">
        <v>3579</v>
      </c>
    </row>
    <row r="104" spans="1:36" ht="174.9" x14ac:dyDescent="0.4">
      <c r="A104" t="s">
        <v>789</v>
      </c>
      <c r="B104" t="s">
        <v>3580</v>
      </c>
      <c r="C104" t="s">
        <v>1411</v>
      </c>
      <c r="D104" t="s">
        <v>3581</v>
      </c>
      <c r="E104" t="s">
        <v>2679</v>
      </c>
      <c r="F104" t="s">
        <v>3582</v>
      </c>
      <c r="G104">
        <v>38.272653671800001</v>
      </c>
      <c r="H104">
        <v>-84.2090486978</v>
      </c>
      <c r="I104" t="s">
        <v>1411</v>
      </c>
      <c r="J104" t="s">
        <v>2424</v>
      </c>
      <c r="K104" t="s">
        <v>3583</v>
      </c>
      <c r="L104" t="s">
        <v>2426</v>
      </c>
      <c r="M104">
        <v>181</v>
      </c>
      <c r="N104" t="s">
        <v>3438</v>
      </c>
      <c r="O104" t="s">
        <v>789</v>
      </c>
      <c r="P104" s="1">
        <v>44755</v>
      </c>
      <c r="Q104">
        <v>91</v>
      </c>
      <c r="R104">
        <v>25</v>
      </c>
      <c r="S104" t="s">
        <v>3584</v>
      </c>
      <c r="T104" t="s">
        <v>2689</v>
      </c>
      <c r="U104" t="s">
        <v>3585</v>
      </c>
      <c r="V104" s="10" t="s">
        <v>3586</v>
      </c>
      <c r="W104" t="s">
        <v>3587</v>
      </c>
      <c r="X104" t="s">
        <v>2688</v>
      </c>
      <c r="Y104" t="s">
        <v>2688</v>
      </c>
      <c r="Z104" t="s">
        <v>2689</v>
      </c>
      <c r="AA104" t="s">
        <v>2689</v>
      </c>
      <c r="AB104" t="s">
        <v>3588</v>
      </c>
      <c r="AC104" t="s">
        <v>3589</v>
      </c>
      <c r="AD104" t="s">
        <v>3590</v>
      </c>
      <c r="AE104" t="s">
        <v>3591</v>
      </c>
      <c r="AH104" t="s">
        <v>3592</v>
      </c>
    </row>
    <row r="105" spans="1:36" ht="174.9" x14ac:dyDescent="0.4">
      <c r="A105" t="s">
        <v>783</v>
      </c>
      <c r="B105" t="s">
        <v>3593</v>
      </c>
      <c r="C105" t="s">
        <v>3594</v>
      </c>
      <c r="D105" t="s">
        <v>3595</v>
      </c>
      <c r="E105" t="s">
        <v>2679</v>
      </c>
      <c r="F105" t="s">
        <v>3596</v>
      </c>
      <c r="G105">
        <v>38.271614944100001</v>
      </c>
      <c r="H105">
        <v>-84.2074907744</v>
      </c>
      <c r="I105" t="s">
        <v>3594</v>
      </c>
      <c r="J105" t="s">
        <v>2424</v>
      </c>
      <c r="K105" t="s">
        <v>3583</v>
      </c>
      <c r="L105" t="s">
        <v>2426</v>
      </c>
      <c r="M105">
        <v>179</v>
      </c>
      <c r="N105" t="s">
        <v>3438</v>
      </c>
      <c r="O105" t="s">
        <v>783</v>
      </c>
      <c r="P105" s="1">
        <v>44755</v>
      </c>
      <c r="Q105">
        <v>170</v>
      </c>
      <c r="R105">
        <v>22</v>
      </c>
      <c r="S105" t="s">
        <v>3464</v>
      </c>
      <c r="T105" t="s">
        <v>2689</v>
      </c>
      <c r="U105" t="s">
        <v>3597</v>
      </c>
      <c r="V105" s="10" t="s">
        <v>3598</v>
      </c>
      <c r="W105" t="s">
        <v>3587</v>
      </c>
      <c r="X105" t="s">
        <v>2688</v>
      </c>
      <c r="Y105" t="s">
        <v>2688</v>
      </c>
      <c r="Z105" t="s">
        <v>2689</v>
      </c>
      <c r="AA105" t="s">
        <v>2689</v>
      </c>
      <c r="AB105" t="s">
        <v>3599</v>
      </c>
      <c r="AC105" t="s">
        <v>3600</v>
      </c>
      <c r="AD105" t="s">
        <v>3601</v>
      </c>
      <c r="AE105" t="s">
        <v>3602</v>
      </c>
      <c r="AH105" t="s">
        <v>3592</v>
      </c>
    </row>
    <row r="106" spans="1:36" ht="218.6" x14ac:dyDescent="0.4">
      <c r="A106" t="s">
        <v>2115</v>
      </c>
      <c r="B106" t="s">
        <v>3603</v>
      </c>
      <c r="C106" t="s">
        <v>1411</v>
      </c>
      <c r="D106" t="s">
        <v>3604</v>
      </c>
      <c r="E106" t="s">
        <v>2679</v>
      </c>
      <c r="F106" t="s">
        <v>3605</v>
      </c>
      <c r="G106">
        <v>36.376564287900003</v>
      </c>
      <c r="H106">
        <v>-86.352108964400003</v>
      </c>
      <c r="I106" t="s">
        <v>1411</v>
      </c>
      <c r="J106" t="s">
        <v>2460</v>
      </c>
      <c r="K106" t="s">
        <v>3606</v>
      </c>
      <c r="L106" t="s">
        <v>2461</v>
      </c>
      <c r="M106">
        <v>151</v>
      </c>
      <c r="N106" t="s">
        <v>3438</v>
      </c>
      <c r="O106" t="s">
        <v>2115</v>
      </c>
      <c r="P106" s="1">
        <v>44753</v>
      </c>
      <c r="Q106">
        <v>28.8</v>
      </c>
      <c r="R106">
        <v>22</v>
      </c>
      <c r="S106" t="s">
        <v>3607</v>
      </c>
      <c r="T106" t="s">
        <v>2689</v>
      </c>
      <c r="U106" s="10" t="s">
        <v>3608</v>
      </c>
      <c r="V106" t="s">
        <v>3609</v>
      </c>
      <c r="W106" t="s">
        <v>3610</v>
      </c>
      <c r="X106" t="s">
        <v>2688</v>
      </c>
      <c r="Y106" t="s">
        <v>2688</v>
      </c>
      <c r="Z106" t="s">
        <v>2689</v>
      </c>
      <c r="AA106" t="s">
        <v>2689</v>
      </c>
      <c r="AB106" t="s">
        <v>3611</v>
      </c>
      <c r="AD106" t="s">
        <v>3612</v>
      </c>
      <c r="AE106" t="s">
        <v>3613</v>
      </c>
      <c r="AH106" t="s">
        <v>3614</v>
      </c>
    </row>
    <row r="107" spans="1:36" ht="145.75" x14ac:dyDescent="0.4">
      <c r="A107" t="s">
        <v>2127</v>
      </c>
      <c r="B107" t="s">
        <v>3615</v>
      </c>
      <c r="C107" t="s">
        <v>3448</v>
      </c>
      <c r="D107" t="s">
        <v>3616</v>
      </c>
      <c r="E107" t="s">
        <v>2679</v>
      </c>
      <c r="F107" t="s">
        <v>3617</v>
      </c>
      <c r="G107">
        <v>36.377469442900001</v>
      </c>
      <c r="H107">
        <v>-86.351291724299998</v>
      </c>
      <c r="I107" t="s">
        <v>3448</v>
      </c>
      <c r="J107" t="s">
        <v>2460</v>
      </c>
      <c r="K107" t="s">
        <v>3606</v>
      </c>
      <c r="L107" t="s">
        <v>2461</v>
      </c>
      <c r="M107">
        <v>155</v>
      </c>
      <c r="N107" t="s">
        <v>3438</v>
      </c>
      <c r="O107" t="s">
        <v>2127</v>
      </c>
      <c r="P107" s="1">
        <v>44753</v>
      </c>
      <c r="Q107">
        <v>8.4</v>
      </c>
      <c r="R107">
        <v>12</v>
      </c>
      <c r="S107" t="s">
        <v>3607</v>
      </c>
      <c r="T107" t="s">
        <v>2689</v>
      </c>
      <c r="U107" s="10" t="s">
        <v>3618</v>
      </c>
      <c r="V107" s="10" t="s">
        <v>3619</v>
      </c>
      <c r="W107" t="s">
        <v>3620</v>
      </c>
      <c r="X107" t="s">
        <v>2688</v>
      </c>
      <c r="Y107" t="s">
        <v>2688</v>
      </c>
      <c r="Z107" t="s">
        <v>2689</v>
      </c>
      <c r="AA107" t="s">
        <v>2689</v>
      </c>
      <c r="AB107" t="s">
        <v>3621</v>
      </c>
      <c r="AD107" t="s">
        <v>3622</v>
      </c>
      <c r="AE107" t="s">
        <v>3623</v>
      </c>
      <c r="AH107" t="s">
        <v>3614</v>
      </c>
      <c r="AJ107" t="s">
        <v>3624</v>
      </c>
    </row>
    <row r="108" spans="1:36" ht="102" x14ac:dyDescent="0.4">
      <c r="A108" t="s">
        <v>955</v>
      </c>
      <c r="B108" t="s">
        <v>3625</v>
      </c>
      <c r="C108" t="s">
        <v>1411</v>
      </c>
      <c r="D108" t="s">
        <v>3626</v>
      </c>
      <c r="E108" t="s">
        <v>2679</v>
      </c>
      <c r="F108" t="s">
        <v>3627</v>
      </c>
      <c r="G108">
        <v>42.084106793700002</v>
      </c>
      <c r="H108">
        <v>-73.385476944999994</v>
      </c>
      <c r="I108" t="s">
        <v>1411</v>
      </c>
      <c r="J108" t="s">
        <v>2431</v>
      </c>
      <c r="K108" t="s">
        <v>952</v>
      </c>
      <c r="L108" t="s">
        <v>2435</v>
      </c>
      <c r="M108">
        <v>404</v>
      </c>
      <c r="N108" t="s">
        <v>3438</v>
      </c>
      <c r="O108" t="s">
        <v>955</v>
      </c>
      <c r="P108" s="1">
        <v>44795</v>
      </c>
      <c r="Q108">
        <v>65.5</v>
      </c>
      <c r="R108">
        <v>26</v>
      </c>
      <c r="S108" t="s">
        <v>3607</v>
      </c>
      <c r="T108" t="s">
        <v>2689</v>
      </c>
      <c r="U108" s="10" t="s">
        <v>3628</v>
      </c>
      <c r="V108" t="s">
        <v>3629</v>
      </c>
      <c r="W108" t="s">
        <v>3630</v>
      </c>
      <c r="X108" t="s">
        <v>2688</v>
      </c>
      <c r="Y108" t="s">
        <v>2688</v>
      </c>
      <c r="Z108" t="s">
        <v>2689</v>
      </c>
      <c r="AA108" t="s">
        <v>2688</v>
      </c>
      <c r="AB108" t="s">
        <v>3631</v>
      </c>
      <c r="AC108" t="s">
        <v>3632</v>
      </c>
      <c r="AD108" t="s">
        <v>3633</v>
      </c>
      <c r="AE108" t="s">
        <v>3634</v>
      </c>
      <c r="AH108" t="s">
        <v>3635</v>
      </c>
      <c r="AJ108" s="10" t="s">
        <v>3636</v>
      </c>
    </row>
    <row r="109" spans="1:36" ht="87.45" x14ac:dyDescent="0.4">
      <c r="A109" t="s">
        <v>673</v>
      </c>
      <c r="B109" t="s">
        <v>3637</v>
      </c>
      <c r="C109" t="s">
        <v>3594</v>
      </c>
      <c r="D109" t="s">
        <v>3638</v>
      </c>
      <c r="E109" t="s">
        <v>2679</v>
      </c>
      <c r="F109" t="s">
        <v>3639</v>
      </c>
      <c r="G109">
        <v>38.980708293500001</v>
      </c>
      <c r="H109">
        <v>-94.789142198899995</v>
      </c>
      <c r="I109" t="s">
        <v>3594</v>
      </c>
      <c r="J109" t="s">
        <v>2420</v>
      </c>
      <c r="K109" t="s">
        <v>674</v>
      </c>
      <c r="L109" t="s">
        <v>2423</v>
      </c>
      <c r="M109">
        <v>295</v>
      </c>
      <c r="N109" t="s">
        <v>3438</v>
      </c>
      <c r="O109" t="s">
        <v>673</v>
      </c>
      <c r="P109" s="1">
        <v>44775</v>
      </c>
      <c r="Q109">
        <v>47.2</v>
      </c>
      <c r="R109">
        <v>18</v>
      </c>
      <c r="S109" t="s">
        <v>3464</v>
      </c>
      <c r="T109" t="s">
        <v>2689</v>
      </c>
      <c r="U109" s="10" t="s">
        <v>3640</v>
      </c>
      <c r="V109" t="s">
        <v>3641</v>
      </c>
      <c r="W109" t="s">
        <v>3642</v>
      </c>
      <c r="X109" t="s">
        <v>2688</v>
      </c>
      <c r="Y109" t="s">
        <v>2688</v>
      </c>
      <c r="Z109" t="s">
        <v>2747</v>
      </c>
      <c r="AA109" t="s">
        <v>2689</v>
      </c>
      <c r="AB109" t="s">
        <v>3643</v>
      </c>
      <c r="AC109" t="s">
        <v>3644</v>
      </c>
      <c r="AD109" t="s">
        <v>3645</v>
      </c>
      <c r="AE109" t="s">
        <v>3646</v>
      </c>
      <c r="AH109" t="s">
        <v>3445</v>
      </c>
    </row>
    <row r="110" spans="1:36" ht="116.6" x14ac:dyDescent="0.4">
      <c r="A110" t="s">
        <v>2025</v>
      </c>
      <c r="B110" t="s">
        <v>3647</v>
      </c>
      <c r="C110" t="s">
        <v>3594</v>
      </c>
      <c r="D110" t="s">
        <v>3648</v>
      </c>
      <c r="E110" t="s">
        <v>2679</v>
      </c>
      <c r="F110" t="s">
        <v>3649</v>
      </c>
      <c r="G110">
        <v>36.846688759999999</v>
      </c>
      <c r="H110">
        <v>-96.429408480000006</v>
      </c>
      <c r="I110" t="s">
        <v>3594</v>
      </c>
      <c r="J110" t="s">
        <v>2457</v>
      </c>
      <c r="K110" t="s">
        <v>2007</v>
      </c>
      <c r="L110" t="s">
        <v>2459</v>
      </c>
      <c r="M110">
        <v>128</v>
      </c>
      <c r="N110" t="s">
        <v>3438</v>
      </c>
      <c r="O110" t="s">
        <v>2025</v>
      </c>
      <c r="P110" s="1">
        <v>44737</v>
      </c>
      <c r="Q110">
        <v>35.5</v>
      </c>
      <c r="R110">
        <v>17</v>
      </c>
      <c r="S110" t="s">
        <v>3464</v>
      </c>
      <c r="T110" t="s">
        <v>2689</v>
      </c>
      <c r="U110" s="10" t="s">
        <v>3650</v>
      </c>
      <c r="V110" t="s">
        <v>3651</v>
      </c>
      <c r="W110" t="s">
        <v>3652</v>
      </c>
      <c r="X110" t="s">
        <v>2688</v>
      </c>
      <c r="Y110" t="s">
        <v>2688</v>
      </c>
      <c r="Z110" t="s">
        <v>2689</v>
      </c>
      <c r="AA110" t="s">
        <v>2689</v>
      </c>
      <c r="AB110" t="s">
        <v>3653</v>
      </c>
      <c r="AC110" t="s">
        <v>3654</v>
      </c>
      <c r="AD110" t="s">
        <v>3655</v>
      </c>
      <c r="AE110" t="s">
        <v>3656</v>
      </c>
      <c r="AH110" t="s">
        <v>3445</v>
      </c>
      <c r="AJ110" t="s">
        <v>3657</v>
      </c>
    </row>
    <row r="111" spans="1:36" ht="58.3" x14ac:dyDescent="0.4">
      <c r="A111" t="s">
        <v>1778</v>
      </c>
      <c r="B111" t="s">
        <v>3658</v>
      </c>
      <c r="C111" t="s">
        <v>3448</v>
      </c>
      <c r="D111" t="s">
        <v>3648</v>
      </c>
      <c r="E111" t="s">
        <v>2679</v>
      </c>
      <c r="F111" t="s">
        <v>3659</v>
      </c>
      <c r="G111">
        <v>44.0999882017</v>
      </c>
      <c r="H111">
        <v>-76.075804168399998</v>
      </c>
      <c r="I111" t="s">
        <v>3448</v>
      </c>
      <c r="J111" t="s">
        <v>2448</v>
      </c>
      <c r="K111" t="s">
        <v>3660</v>
      </c>
      <c r="L111" t="s">
        <v>2452</v>
      </c>
      <c r="M111">
        <v>358</v>
      </c>
      <c r="N111" t="s">
        <v>3438</v>
      </c>
      <c r="O111" t="s">
        <v>1778</v>
      </c>
      <c r="P111" s="1">
        <v>44790</v>
      </c>
      <c r="Q111">
        <v>9.6999999999999993</v>
      </c>
      <c r="R111">
        <v>5</v>
      </c>
      <c r="S111" t="s">
        <v>3427</v>
      </c>
      <c r="T111" t="s">
        <v>2689</v>
      </c>
      <c r="U111" s="10" t="s">
        <v>3661</v>
      </c>
      <c r="V111" t="s">
        <v>3662</v>
      </c>
      <c r="W111" t="s">
        <v>3663</v>
      </c>
      <c r="X111" t="s">
        <v>2688</v>
      </c>
      <c r="Y111" t="s">
        <v>2688</v>
      </c>
      <c r="Z111" t="s">
        <v>2747</v>
      </c>
      <c r="AA111" t="s">
        <v>2688</v>
      </c>
      <c r="AB111" t="s">
        <v>3664</v>
      </c>
      <c r="AC111" t="s">
        <v>3665</v>
      </c>
      <c r="AD111" t="s">
        <v>3666</v>
      </c>
      <c r="AE111" t="s">
        <v>3667</v>
      </c>
      <c r="AH111" t="s">
        <v>3445</v>
      </c>
      <c r="AJ111" t="s">
        <v>3668</v>
      </c>
    </row>
    <row r="112" spans="1:36" ht="116.6" x14ac:dyDescent="0.4">
      <c r="A112" t="s">
        <v>1754</v>
      </c>
      <c r="B112" t="s">
        <v>3669</v>
      </c>
      <c r="C112" t="s">
        <v>1411</v>
      </c>
      <c r="D112" t="s">
        <v>3670</v>
      </c>
      <c r="E112" t="s">
        <v>2679</v>
      </c>
      <c r="F112" t="s">
        <v>3671</v>
      </c>
      <c r="G112">
        <v>44.101446862400003</v>
      </c>
      <c r="H112">
        <v>-76.074779816000003</v>
      </c>
      <c r="I112" t="s">
        <v>1411</v>
      </c>
      <c r="J112" t="s">
        <v>2448</v>
      </c>
      <c r="K112" t="s">
        <v>3660</v>
      </c>
      <c r="L112" t="s">
        <v>2452</v>
      </c>
      <c r="M112">
        <v>351</v>
      </c>
      <c r="N112" t="s">
        <v>3438</v>
      </c>
      <c r="O112" t="s">
        <v>1754</v>
      </c>
      <c r="P112" s="1">
        <v>44790</v>
      </c>
      <c r="Q112">
        <v>32.200000000000003</v>
      </c>
      <c r="R112">
        <v>23</v>
      </c>
      <c r="S112" t="s">
        <v>3464</v>
      </c>
      <c r="T112" t="s">
        <v>2689</v>
      </c>
      <c r="U112" s="10" t="s">
        <v>3672</v>
      </c>
      <c r="V112" s="10" t="s">
        <v>3673</v>
      </c>
      <c r="W112" t="s">
        <v>3674</v>
      </c>
      <c r="X112" t="s">
        <v>2688</v>
      </c>
      <c r="Y112" t="s">
        <v>2688</v>
      </c>
      <c r="Z112" t="s">
        <v>2688</v>
      </c>
      <c r="AA112" t="s">
        <v>2688</v>
      </c>
      <c r="AB112" t="s">
        <v>3675</v>
      </c>
      <c r="AC112" t="s">
        <v>3676</v>
      </c>
      <c r="AD112" t="s">
        <v>3677</v>
      </c>
      <c r="AE112" t="s">
        <v>3678</v>
      </c>
      <c r="AH112" t="s">
        <v>3445</v>
      </c>
      <c r="AJ112" s="10" t="s">
        <v>3679</v>
      </c>
    </row>
    <row r="113" spans="1:36" ht="87.45" x14ac:dyDescent="0.4">
      <c r="A113" t="s">
        <v>910</v>
      </c>
      <c r="B113" t="s">
        <v>3680</v>
      </c>
      <c r="C113" t="s">
        <v>3594</v>
      </c>
      <c r="D113" t="s">
        <v>3681</v>
      </c>
      <c r="E113" t="s">
        <v>2679</v>
      </c>
      <c r="F113" t="s">
        <v>3682</v>
      </c>
      <c r="G113">
        <v>42.055870760300003</v>
      </c>
      <c r="H113">
        <v>-73.350258618699996</v>
      </c>
      <c r="I113" t="s">
        <v>3594</v>
      </c>
      <c r="J113" t="s">
        <v>2431</v>
      </c>
      <c r="K113" t="s">
        <v>3683</v>
      </c>
      <c r="L113" t="s">
        <v>2432</v>
      </c>
      <c r="M113">
        <v>390</v>
      </c>
      <c r="N113" t="s">
        <v>3438</v>
      </c>
      <c r="O113" t="s">
        <v>910</v>
      </c>
      <c r="P113" s="1">
        <v>44794</v>
      </c>
      <c r="Q113">
        <v>11.5</v>
      </c>
      <c r="R113">
        <v>25</v>
      </c>
      <c r="S113" t="s">
        <v>3427</v>
      </c>
      <c r="T113" t="s">
        <v>2689</v>
      </c>
      <c r="U113" s="10" t="s">
        <v>3684</v>
      </c>
      <c r="V113" t="s">
        <v>3685</v>
      </c>
      <c r="W113" t="s">
        <v>3686</v>
      </c>
      <c r="X113" t="s">
        <v>2688</v>
      </c>
      <c r="Y113" t="s">
        <v>2688</v>
      </c>
      <c r="Z113" t="s">
        <v>2747</v>
      </c>
      <c r="AA113" t="s">
        <v>2688</v>
      </c>
      <c r="AB113" t="s">
        <v>3687</v>
      </c>
      <c r="AC113" t="s">
        <v>3688</v>
      </c>
      <c r="AD113" t="s">
        <v>3689</v>
      </c>
      <c r="AE113" t="s">
        <v>3690</v>
      </c>
      <c r="AH113" t="s">
        <v>3445</v>
      </c>
      <c r="AJ113" t="s">
        <v>3691</v>
      </c>
    </row>
    <row r="114" spans="1:36" ht="87.45" x14ac:dyDescent="0.4">
      <c r="A114" t="s">
        <v>693</v>
      </c>
      <c r="B114" t="s">
        <v>3692</v>
      </c>
      <c r="C114" t="s">
        <v>3594</v>
      </c>
      <c r="D114" t="s">
        <v>3693</v>
      </c>
      <c r="E114" t="s">
        <v>2679</v>
      </c>
      <c r="F114" t="s">
        <v>3694</v>
      </c>
      <c r="G114">
        <v>38.981646169000001</v>
      </c>
      <c r="H114">
        <v>-94.792346600499997</v>
      </c>
      <c r="I114" t="s">
        <v>3594</v>
      </c>
      <c r="J114" t="s">
        <v>2420</v>
      </c>
      <c r="K114" t="s">
        <v>674</v>
      </c>
      <c r="L114" t="s">
        <v>2423</v>
      </c>
      <c r="M114">
        <v>301</v>
      </c>
      <c r="N114" t="s">
        <v>3438</v>
      </c>
      <c r="O114" t="s">
        <v>693</v>
      </c>
      <c r="P114" s="1">
        <v>44775</v>
      </c>
      <c r="Q114">
        <v>10</v>
      </c>
      <c r="R114">
        <v>15</v>
      </c>
      <c r="S114" t="s">
        <v>3464</v>
      </c>
      <c r="T114" t="s">
        <v>2689</v>
      </c>
      <c r="U114" s="10" t="s">
        <v>3695</v>
      </c>
      <c r="V114" t="s">
        <v>3696</v>
      </c>
      <c r="W114" t="s">
        <v>3697</v>
      </c>
      <c r="X114" t="s">
        <v>2688</v>
      </c>
      <c r="Y114" t="s">
        <v>2688</v>
      </c>
      <c r="Z114" t="s">
        <v>2747</v>
      </c>
      <c r="AA114" t="s">
        <v>2689</v>
      </c>
      <c r="AB114" t="s">
        <v>3698</v>
      </c>
      <c r="AD114" t="s">
        <v>3699</v>
      </c>
      <c r="AE114" t="s">
        <v>3700</v>
      </c>
      <c r="AH114" t="s">
        <v>3445</v>
      </c>
    </row>
    <row r="115" spans="1:36" ht="145.75" x14ac:dyDescent="0.4">
      <c r="A115" t="s">
        <v>661</v>
      </c>
      <c r="B115" t="s">
        <v>3701</v>
      </c>
      <c r="C115" t="s">
        <v>3594</v>
      </c>
      <c r="D115" t="s">
        <v>3702</v>
      </c>
      <c r="E115" t="s">
        <v>2679</v>
      </c>
      <c r="F115" t="s">
        <v>3703</v>
      </c>
      <c r="G115">
        <v>39.107834924999999</v>
      </c>
      <c r="H115">
        <v>-96.603051507900005</v>
      </c>
      <c r="I115" t="s">
        <v>3594</v>
      </c>
      <c r="J115" t="s">
        <v>2420</v>
      </c>
      <c r="K115" t="s">
        <v>3704</v>
      </c>
      <c r="L115" t="s">
        <v>2422</v>
      </c>
      <c r="M115">
        <v>323</v>
      </c>
      <c r="N115" t="s">
        <v>3438</v>
      </c>
      <c r="O115" t="s">
        <v>661</v>
      </c>
      <c r="P115" s="1">
        <v>44777</v>
      </c>
      <c r="Q115">
        <v>15.6</v>
      </c>
      <c r="R115">
        <v>18</v>
      </c>
      <c r="S115" t="s">
        <v>3464</v>
      </c>
      <c r="T115" t="s">
        <v>2689</v>
      </c>
      <c r="U115" s="10" t="s">
        <v>3705</v>
      </c>
      <c r="V115" t="s">
        <v>3706</v>
      </c>
      <c r="W115" t="s">
        <v>3707</v>
      </c>
      <c r="X115" t="s">
        <v>2688</v>
      </c>
      <c r="Y115" t="s">
        <v>2688</v>
      </c>
      <c r="Z115" t="s">
        <v>2747</v>
      </c>
      <c r="AA115" t="s">
        <v>2689</v>
      </c>
      <c r="AB115" t="s">
        <v>3708</v>
      </c>
      <c r="AD115" t="s">
        <v>3709</v>
      </c>
      <c r="AE115" t="s">
        <v>3710</v>
      </c>
      <c r="AH115" t="s">
        <v>3445</v>
      </c>
      <c r="AJ115" s="10" t="s">
        <v>3711</v>
      </c>
    </row>
    <row r="116" spans="1:36" ht="43.75" x14ac:dyDescent="0.4">
      <c r="A116" t="s">
        <v>1568</v>
      </c>
      <c r="B116" t="s">
        <v>3712</v>
      </c>
      <c r="C116" t="s">
        <v>3713</v>
      </c>
      <c r="D116" t="s">
        <v>3714</v>
      </c>
      <c r="E116" t="s">
        <v>2679</v>
      </c>
      <c r="F116" t="s">
        <v>3715</v>
      </c>
      <c r="G116">
        <v>38.462819382799999</v>
      </c>
      <c r="H116">
        <v>-90.818105702699995</v>
      </c>
      <c r="I116" t="s">
        <v>3713</v>
      </c>
      <c r="J116" t="s">
        <v>2442</v>
      </c>
      <c r="K116" t="s">
        <v>3716</v>
      </c>
      <c r="L116" t="s">
        <v>2446</v>
      </c>
      <c r="M116">
        <v>16</v>
      </c>
      <c r="N116" t="s">
        <v>3717</v>
      </c>
      <c r="O116" t="s">
        <v>1568</v>
      </c>
      <c r="P116" s="1">
        <v>44713</v>
      </c>
      <c r="Q116">
        <v>20</v>
      </c>
      <c r="R116">
        <v>14</v>
      </c>
      <c r="S116" t="s">
        <v>3718</v>
      </c>
      <c r="T116" t="s">
        <v>2747</v>
      </c>
      <c r="U116" s="10" t="s">
        <v>3719</v>
      </c>
      <c r="V116" t="s">
        <v>3720</v>
      </c>
      <c r="W116" t="s">
        <v>3721</v>
      </c>
      <c r="X116" t="s">
        <v>2688</v>
      </c>
      <c r="Y116" t="s">
        <v>2688</v>
      </c>
      <c r="Z116" t="s">
        <v>2689</v>
      </c>
      <c r="AA116" t="s">
        <v>2689</v>
      </c>
      <c r="AB116" t="s">
        <v>3722</v>
      </c>
      <c r="AD116" t="s">
        <v>3723</v>
      </c>
      <c r="AE116" t="s">
        <v>3724</v>
      </c>
      <c r="AH116" t="s">
        <v>3725</v>
      </c>
      <c r="AJ116" t="s">
        <v>3726</v>
      </c>
    </row>
    <row r="117" spans="1:36" ht="72.900000000000006" x14ac:dyDescent="0.4">
      <c r="A117" t="s">
        <v>1577</v>
      </c>
      <c r="B117" t="s">
        <v>3727</v>
      </c>
      <c r="C117" t="s">
        <v>3448</v>
      </c>
      <c r="D117" t="s">
        <v>3728</v>
      </c>
      <c r="E117" t="s">
        <v>2679</v>
      </c>
      <c r="F117" t="s">
        <v>3729</v>
      </c>
      <c r="G117">
        <v>38.463818708200002</v>
      </c>
      <c r="H117">
        <v>-90.818860825200005</v>
      </c>
      <c r="I117" t="s">
        <v>3448</v>
      </c>
      <c r="J117" t="s">
        <v>2442</v>
      </c>
      <c r="K117" t="s">
        <v>3716</v>
      </c>
      <c r="L117" t="s">
        <v>2446</v>
      </c>
      <c r="M117">
        <v>19</v>
      </c>
      <c r="N117" t="s">
        <v>3717</v>
      </c>
      <c r="O117" t="s">
        <v>1577</v>
      </c>
      <c r="P117" s="1">
        <v>44713</v>
      </c>
      <c r="Q117">
        <v>39</v>
      </c>
      <c r="R117">
        <v>20</v>
      </c>
      <c r="S117" t="s">
        <v>3730</v>
      </c>
      <c r="T117" t="s">
        <v>2688</v>
      </c>
      <c r="U117" s="10" t="s">
        <v>3731</v>
      </c>
      <c r="W117" t="s">
        <v>3732</v>
      </c>
      <c r="X117" t="s">
        <v>2688</v>
      </c>
      <c r="Y117" t="s">
        <v>2688</v>
      </c>
      <c r="Z117" t="s">
        <v>2689</v>
      </c>
      <c r="AA117" t="s">
        <v>2689</v>
      </c>
      <c r="AB117" t="s">
        <v>3733</v>
      </c>
      <c r="AC117" t="s">
        <v>3734</v>
      </c>
      <c r="AD117" t="s">
        <v>3735</v>
      </c>
      <c r="AE117" t="s">
        <v>3736</v>
      </c>
      <c r="AG117" t="s">
        <v>3737</v>
      </c>
      <c r="AH117" t="s">
        <v>3725</v>
      </c>
      <c r="AJ117" t="s">
        <v>3738</v>
      </c>
    </row>
    <row r="118" spans="1:36" ht="160.30000000000001" x14ac:dyDescent="0.4">
      <c r="A118" t="s">
        <v>1535</v>
      </c>
      <c r="B118" t="s">
        <v>3739</v>
      </c>
      <c r="C118" t="s">
        <v>1411</v>
      </c>
      <c r="D118" t="s">
        <v>3740</v>
      </c>
      <c r="E118" t="s">
        <v>2679</v>
      </c>
      <c r="F118" t="s">
        <v>3741</v>
      </c>
      <c r="G118">
        <v>38.461984989999998</v>
      </c>
      <c r="H118">
        <v>-90.814027716599995</v>
      </c>
      <c r="I118" t="s">
        <v>1411</v>
      </c>
      <c r="J118" t="s">
        <v>2442</v>
      </c>
      <c r="K118" t="s">
        <v>3716</v>
      </c>
      <c r="L118" t="s">
        <v>2446</v>
      </c>
      <c r="M118">
        <v>5</v>
      </c>
      <c r="N118" t="s">
        <v>3717</v>
      </c>
      <c r="O118" t="s">
        <v>1535</v>
      </c>
      <c r="P118" s="1">
        <v>44713</v>
      </c>
      <c r="Q118">
        <v>30</v>
      </c>
      <c r="R118">
        <v>20</v>
      </c>
      <c r="S118" t="s">
        <v>3730</v>
      </c>
      <c r="U118" s="10" t="s">
        <v>3742</v>
      </c>
      <c r="V118" t="s">
        <v>3743</v>
      </c>
      <c r="W118" t="s">
        <v>3744</v>
      </c>
      <c r="X118" t="s">
        <v>2688</v>
      </c>
      <c r="Y118" t="s">
        <v>2688</v>
      </c>
      <c r="Z118" t="s">
        <v>2688</v>
      </c>
      <c r="AA118" t="s">
        <v>2688</v>
      </c>
      <c r="AB118" t="s">
        <v>3745</v>
      </c>
      <c r="AD118" t="s">
        <v>3746</v>
      </c>
      <c r="AE118" t="s">
        <v>3747</v>
      </c>
      <c r="AF118" t="s">
        <v>3748</v>
      </c>
      <c r="AG118" t="s">
        <v>3749</v>
      </c>
      <c r="AH118" t="s">
        <v>3725</v>
      </c>
      <c r="AJ118" t="s">
        <v>3750</v>
      </c>
    </row>
    <row r="119" spans="1:36" ht="87.45" x14ac:dyDescent="0.4">
      <c r="A119" t="s">
        <v>1520</v>
      </c>
      <c r="B119" t="s">
        <v>3751</v>
      </c>
      <c r="C119" t="s">
        <v>3713</v>
      </c>
      <c r="D119" t="s">
        <v>3752</v>
      </c>
      <c r="E119" t="s">
        <v>2679</v>
      </c>
      <c r="F119" t="s">
        <v>3753</v>
      </c>
      <c r="G119">
        <v>38.467176603200002</v>
      </c>
      <c r="H119">
        <v>-90.820321440800001</v>
      </c>
      <c r="I119" t="s">
        <v>3713</v>
      </c>
      <c r="J119" t="s">
        <v>2442</v>
      </c>
      <c r="K119" t="s">
        <v>3716</v>
      </c>
      <c r="L119" t="s">
        <v>2446</v>
      </c>
      <c r="M119">
        <v>1</v>
      </c>
      <c r="N119" t="s">
        <v>3438</v>
      </c>
      <c r="O119" t="s">
        <v>1520</v>
      </c>
      <c r="P119" s="1">
        <v>44713</v>
      </c>
      <c r="Q119">
        <v>55</v>
      </c>
      <c r="R119">
        <v>18</v>
      </c>
      <c r="S119" t="s">
        <v>3464</v>
      </c>
      <c r="T119" t="s">
        <v>2688</v>
      </c>
      <c r="U119" s="10" t="s">
        <v>3754</v>
      </c>
      <c r="W119" t="s">
        <v>3755</v>
      </c>
      <c r="X119" t="s">
        <v>2688</v>
      </c>
      <c r="Y119" t="s">
        <v>2688</v>
      </c>
      <c r="Z119" t="s">
        <v>2689</v>
      </c>
      <c r="AA119" t="s">
        <v>2688</v>
      </c>
      <c r="AB119" t="s">
        <v>3756</v>
      </c>
      <c r="AD119" t="s">
        <v>3757</v>
      </c>
      <c r="AE119" t="s">
        <v>3758</v>
      </c>
      <c r="AH119" t="s">
        <v>3725</v>
      </c>
    </row>
    <row r="120" spans="1:36" ht="72.900000000000006" x14ac:dyDescent="0.4">
      <c r="A120" t="s">
        <v>1532</v>
      </c>
      <c r="B120" t="s">
        <v>3759</v>
      </c>
      <c r="C120" t="s">
        <v>1411</v>
      </c>
      <c r="D120" t="s">
        <v>3760</v>
      </c>
      <c r="E120" t="s">
        <v>2679</v>
      </c>
      <c r="F120" t="s">
        <v>3761</v>
      </c>
      <c r="G120">
        <v>38.461993439300002</v>
      </c>
      <c r="H120">
        <v>-90.814358731699997</v>
      </c>
      <c r="I120" t="s">
        <v>1411</v>
      </c>
      <c r="J120" t="s">
        <v>2442</v>
      </c>
      <c r="K120" t="s">
        <v>3716</v>
      </c>
      <c r="L120" t="s">
        <v>2446</v>
      </c>
      <c r="M120">
        <v>4</v>
      </c>
      <c r="N120" t="s">
        <v>3717</v>
      </c>
      <c r="O120" t="s">
        <v>1532</v>
      </c>
      <c r="P120" s="1">
        <v>44713</v>
      </c>
      <c r="Q120">
        <v>21</v>
      </c>
      <c r="R120">
        <v>15</v>
      </c>
      <c r="S120" t="s">
        <v>3730</v>
      </c>
      <c r="T120" t="s">
        <v>2688</v>
      </c>
      <c r="U120" s="10" t="s">
        <v>3762</v>
      </c>
      <c r="W120" t="s">
        <v>3763</v>
      </c>
      <c r="X120" t="s">
        <v>2688</v>
      </c>
      <c r="Y120" t="s">
        <v>2688</v>
      </c>
      <c r="Z120" t="s">
        <v>2688</v>
      </c>
      <c r="AA120" t="s">
        <v>2688</v>
      </c>
      <c r="AB120" t="s">
        <v>3764</v>
      </c>
      <c r="AC120" t="s">
        <v>3765</v>
      </c>
      <c r="AD120" t="s">
        <v>3766</v>
      </c>
      <c r="AE120" t="s">
        <v>3767</v>
      </c>
      <c r="AF120" t="s">
        <v>3768</v>
      </c>
      <c r="AG120" t="s">
        <v>3769</v>
      </c>
      <c r="AH120" t="s">
        <v>3770</v>
      </c>
      <c r="AJ120" t="s">
        <v>3771</v>
      </c>
    </row>
    <row r="121" spans="1:36" ht="131.15" x14ac:dyDescent="0.4">
      <c r="A121" t="s">
        <v>1550</v>
      </c>
      <c r="B121" t="s">
        <v>3772</v>
      </c>
      <c r="C121" t="s">
        <v>3713</v>
      </c>
      <c r="D121" t="s">
        <v>3773</v>
      </c>
      <c r="E121" t="s">
        <v>2679</v>
      </c>
      <c r="F121" t="s">
        <v>3774</v>
      </c>
      <c r="G121">
        <v>38.461933199000001</v>
      </c>
      <c r="H121">
        <v>-90.818476187300007</v>
      </c>
      <c r="I121" t="s">
        <v>3713</v>
      </c>
      <c r="J121" t="s">
        <v>2442</v>
      </c>
      <c r="K121" t="s">
        <v>3716</v>
      </c>
      <c r="L121" t="s">
        <v>2446</v>
      </c>
      <c r="M121">
        <v>10</v>
      </c>
      <c r="N121" t="s">
        <v>3717</v>
      </c>
      <c r="O121" t="s">
        <v>1550</v>
      </c>
      <c r="P121" s="1">
        <v>44713</v>
      </c>
      <c r="Q121">
        <v>44</v>
      </c>
      <c r="R121">
        <v>18</v>
      </c>
      <c r="S121" t="s">
        <v>3730</v>
      </c>
      <c r="U121" s="10" t="s">
        <v>3775</v>
      </c>
      <c r="V121" s="10" t="s">
        <v>3776</v>
      </c>
      <c r="W121" t="s">
        <v>3777</v>
      </c>
      <c r="X121" t="s">
        <v>2689</v>
      </c>
      <c r="Y121" t="s">
        <v>2689</v>
      </c>
      <c r="Z121" t="s">
        <v>2689</v>
      </c>
      <c r="AA121" t="s">
        <v>2689</v>
      </c>
      <c r="AB121" t="s">
        <v>3778</v>
      </c>
      <c r="AD121" t="s">
        <v>3779</v>
      </c>
      <c r="AE121" t="s">
        <v>3780</v>
      </c>
      <c r="AH121" t="s">
        <v>3725</v>
      </c>
      <c r="AJ121" t="s">
        <v>3781</v>
      </c>
    </row>
    <row r="122" spans="1:36" ht="72.900000000000006" x14ac:dyDescent="0.4">
      <c r="A122" t="s">
        <v>1565</v>
      </c>
      <c r="B122" t="s">
        <v>3782</v>
      </c>
      <c r="C122" t="s">
        <v>3713</v>
      </c>
      <c r="D122" t="s">
        <v>3783</v>
      </c>
      <c r="E122" t="s">
        <v>2679</v>
      </c>
      <c r="F122" t="s">
        <v>3784</v>
      </c>
      <c r="G122">
        <v>38.4626469683</v>
      </c>
      <c r="H122">
        <v>-90.818144013099996</v>
      </c>
      <c r="I122" t="s">
        <v>3713</v>
      </c>
      <c r="J122" t="s">
        <v>2442</v>
      </c>
      <c r="K122" t="s">
        <v>3716</v>
      </c>
      <c r="L122" t="s">
        <v>2446</v>
      </c>
      <c r="M122">
        <v>15</v>
      </c>
      <c r="N122" t="s">
        <v>3717</v>
      </c>
      <c r="O122" t="s">
        <v>1565</v>
      </c>
      <c r="P122" s="1">
        <v>44713</v>
      </c>
      <c r="Q122">
        <v>34</v>
      </c>
      <c r="R122">
        <v>18</v>
      </c>
      <c r="S122" t="s">
        <v>3730</v>
      </c>
      <c r="T122" t="s">
        <v>2689</v>
      </c>
      <c r="U122" s="10" t="s">
        <v>3785</v>
      </c>
      <c r="W122" t="s">
        <v>3786</v>
      </c>
      <c r="X122" t="s">
        <v>2688</v>
      </c>
      <c r="Y122" t="s">
        <v>2688</v>
      </c>
      <c r="Z122" t="s">
        <v>2689</v>
      </c>
      <c r="AA122" t="s">
        <v>2688</v>
      </c>
      <c r="AB122" t="s">
        <v>3787</v>
      </c>
      <c r="AD122" t="s">
        <v>3788</v>
      </c>
      <c r="AE122" t="s">
        <v>3789</v>
      </c>
      <c r="AG122" t="s">
        <v>3790</v>
      </c>
      <c r="AH122" t="s">
        <v>3770</v>
      </c>
    </row>
    <row r="123" spans="1:36" ht="291.45" x14ac:dyDescent="0.4">
      <c r="A123" t="s">
        <v>1526</v>
      </c>
      <c r="B123" t="s">
        <v>3791</v>
      </c>
      <c r="C123" t="s">
        <v>1411</v>
      </c>
      <c r="D123" t="s">
        <v>3792</v>
      </c>
      <c r="E123" t="s">
        <v>2679</v>
      </c>
      <c r="F123" t="s">
        <v>3793</v>
      </c>
      <c r="G123">
        <v>38.461751062499999</v>
      </c>
      <c r="H123">
        <v>-90.814749539100006</v>
      </c>
      <c r="I123" t="s">
        <v>1411</v>
      </c>
      <c r="J123" t="s">
        <v>2442</v>
      </c>
      <c r="K123" t="s">
        <v>3716</v>
      </c>
      <c r="L123" t="s">
        <v>2446</v>
      </c>
      <c r="M123">
        <v>2</v>
      </c>
      <c r="N123" t="s">
        <v>3717</v>
      </c>
      <c r="O123" t="s">
        <v>1526</v>
      </c>
      <c r="P123" s="1">
        <v>44713</v>
      </c>
      <c r="Q123">
        <v>102</v>
      </c>
      <c r="R123">
        <v>27</v>
      </c>
      <c r="S123" t="s">
        <v>3464</v>
      </c>
      <c r="T123" t="s">
        <v>2688</v>
      </c>
      <c r="U123" s="10" t="s">
        <v>3794</v>
      </c>
      <c r="W123" t="s">
        <v>3795</v>
      </c>
      <c r="X123" t="s">
        <v>2688</v>
      </c>
      <c r="Y123" t="s">
        <v>2688</v>
      </c>
      <c r="Z123" t="s">
        <v>2688</v>
      </c>
      <c r="AA123" t="s">
        <v>2688</v>
      </c>
      <c r="AB123" t="s">
        <v>3796</v>
      </c>
      <c r="AC123" t="s">
        <v>3797</v>
      </c>
      <c r="AD123" t="s">
        <v>3798</v>
      </c>
      <c r="AE123" t="s">
        <v>3799</v>
      </c>
      <c r="AF123" t="s">
        <v>3800</v>
      </c>
      <c r="AG123" t="s">
        <v>3801</v>
      </c>
      <c r="AH123" t="s">
        <v>3725</v>
      </c>
      <c r="AJ123" t="s">
        <v>3802</v>
      </c>
    </row>
    <row r="124" spans="1:36" ht="72.900000000000006" x14ac:dyDescent="0.4">
      <c r="A124" t="s">
        <v>1544</v>
      </c>
      <c r="B124" t="s">
        <v>3803</v>
      </c>
      <c r="C124" t="s">
        <v>3594</v>
      </c>
      <c r="D124" t="s">
        <v>3804</v>
      </c>
      <c r="E124" t="s">
        <v>2679</v>
      </c>
      <c r="F124" t="s">
        <v>3805</v>
      </c>
      <c r="G124">
        <v>38.461654275000001</v>
      </c>
      <c r="H124">
        <v>-90.818233113800005</v>
      </c>
      <c r="I124" t="s">
        <v>3594</v>
      </c>
      <c r="J124" t="s">
        <v>2442</v>
      </c>
      <c r="K124" t="s">
        <v>3716</v>
      </c>
      <c r="L124" t="s">
        <v>2446</v>
      </c>
      <c r="M124">
        <v>8</v>
      </c>
      <c r="N124" t="s">
        <v>3717</v>
      </c>
      <c r="O124" t="s">
        <v>1544</v>
      </c>
      <c r="P124" s="1">
        <v>44713</v>
      </c>
      <c r="Q124">
        <v>34</v>
      </c>
      <c r="R124">
        <v>20</v>
      </c>
      <c r="S124" t="s">
        <v>3730</v>
      </c>
      <c r="T124" t="s">
        <v>2689</v>
      </c>
      <c r="U124" s="10" t="s">
        <v>3806</v>
      </c>
      <c r="W124" t="s">
        <v>3807</v>
      </c>
      <c r="X124" t="s">
        <v>2688</v>
      </c>
      <c r="Y124" t="s">
        <v>2688</v>
      </c>
      <c r="Z124" t="s">
        <v>2689</v>
      </c>
      <c r="AA124" t="s">
        <v>2689</v>
      </c>
      <c r="AB124" t="s">
        <v>3808</v>
      </c>
      <c r="AD124" t="s">
        <v>3809</v>
      </c>
      <c r="AE124" t="s">
        <v>3810</v>
      </c>
      <c r="AG124" s="9" t="s">
        <v>3811</v>
      </c>
      <c r="AH124" t="s">
        <v>3725</v>
      </c>
      <c r="AJ124" t="s">
        <v>3802</v>
      </c>
    </row>
    <row r="125" spans="1:36" x14ac:dyDescent="0.4">
      <c r="A125" t="s">
        <v>1571</v>
      </c>
      <c r="B125" t="s">
        <v>3812</v>
      </c>
      <c r="C125" t="s">
        <v>3713</v>
      </c>
      <c r="D125" t="s">
        <v>3813</v>
      </c>
      <c r="E125" t="s">
        <v>2679</v>
      </c>
      <c r="F125" t="s">
        <v>3814</v>
      </c>
      <c r="G125">
        <v>38.4627341526</v>
      </c>
      <c r="H125">
        <v>-90.818768441800003</v>
      </c>
      <c r="I125" t="s">
        <v>3713</v>
      </c>
      <c r="J125" t="s">
        <v>2442</v>
      </c>
      <c r="K125" t="s">
        <v>3716</v>
      </c>
      <c r="L125" t="s">
        <v>2446</v>
      </c>
      <c r="M125">
        <v>17</v>
      </c>
      <c r="N125" t="s">
        <v>3717</v>
      </c>
      <c r="O125" t="s">
        <v>1571</v>
      </c>
      <c r="P125" s="1">
        <v>44713</v>
      </c>
      <c r="Q125">
        <v>27</v>
      </c>
      <c r="R125">
        <v>18</v>
      </c>
      <c r="S125" t="s">
        <v>3730</v>
      </c>
      <c r="T125" t="s">
        <v>2689</v>
      </c>
      <c r="U125" t="s">
        <v>3815</v>
      </c>
      <c r="W125" t="s">
        <v>3816</v>
      </c>
      <c r="X125" t="s">
        <v>2688</v>
      </c>
      <c r="Y125" t="s">
        <v>2688</v>
      </c>
      <c r="Z125" t="s">
        <v>2689</v>
      </c>
      <c r="AA125" t="s">
        <v>2689</v>
      </c>
      <c r="AB125" t="s">
        <v>3817</v>
      </c>
      <c r="AD125" t="s">
        <v>3818</v>
      </c>
      <c r="AE125" t="s">
        <v>3819</v>
      </c>
      <c r="AG125" t="s">
        <v>3820</v>
      </c>
      <c r="AH125" t="s">
        <v>3770</v>
      </c>
    </row>
    <row r="126" spans="1:36" ht="116.6" x14ac:dyDescent="0.4">
      <c r="A126" t="s">
        <v>1580</v>
      </c>
      <c r="B126" t="s">
        <v>3821</v>
      </c>
      <c r="C126" t="s">
        <v>3448</v>
      </c>
      <c r="D126" t="s">
        <v>3822</v>
      </c>
      <c r="E126" t="s">
        <v>2679</v>
      </c>
      <c r="F126" t="s">
        <v>3823</v>
      </c>
      <c r="G126">
        <v>38.4641648534</v>
      </c>
      <c r="H126">
        <v>-90.818767601499999</v>
      </c>
      <c r="I126" t="s">
        <v>3448</v>
      </c>
      <c r="J126" t="s">
        <v>2442</v>
      </c>
      <c r="K126" t="s">
        <v>3716</v>
      </c>
      <c r="L126" t="s">
        <v>2446</v>
      </c>
      <c r="M126">
        <v>20</v>
      </c>
      <c r="N126" t="s">
        <v>3717</v>
      </c>
      <c r="O126" t="s">
        <v>1580</v>
      </c>
      <c r="P126" s="1">
        <v>44713</v>
      </c>
      <c r="Q126">
        <v>38</v>
      </c>
      <c r="R126">
        <v>20</v>
      </c>
      <c r="S126" t="s">
        <v>3730</v>
      </c>
      <c r="T126" t="s">
        <v>2688</v>
      </c>
      <c r="U126" s="10" t="s">
        <v>3824</v>
      </c>
      <c r="V126" t="s">
        <v>3825</v>
      </c>
      <c r="W126" t="s">
        <v>3826</v>
      </c>
      <c r="X126" t="s">
        <v>2688</v>
      </c>
      <c r="Y126" t="s">
        <v>2688</v>
      </c>
      <c r="Z126" t="s">
        <v>2689</v>
      </c>
      <c r="AA126" t="s">
        <v>2689</v>
      </c>
      <c r="AB126" t="s">
        <v>3827</v>
      </c>
      <c r="AC126" t="s">
        <v>3828</v>
      </c>
      <c r="AD126" t="s">
        <v>3829</v>
      </c>
      <c r="AE126" t="s">
        <v>3830</v>
      </c>
      <c r="AG126" t="s">
        <v>3831</v>
      </c>
      <c r="AH126" t="s">
        <v>3832</v>
      </c>
      <c r="AJ126" t="s">
        <v>3833</v>
      </c>
    </row>
    <row r="127" spans="1:36" ht="131.15" x14ac:dyDescent="0.4">
      <c r="A127" t="s">
        <v>1559</v>
      </c>
      <c r="B127" t="s">
        <v>3834</v>
      </c>
      <c r="C127" t="s">
        <v>3594</v>
      </c>
      <c r="D127" t="s">
        <v>3835</v>
      </c>
      <c r="E127" t="s">
        <v>2679</v>
      </c>
      <c r="F127" t="s">
        <v>3836</v>
      </c>
      <c r="G127">
        <v>38.4629577965</v>
      </c>
      <c r="H127">
        <v>-90.817936071800005</v>
      </c>
      <c r="I127" t="s">
        <v>3594</v>
      </c>
      <c r="J127" t="s">
        <v>2442</v>
      </c>
      <c r="K127" t="s">
        <v>3716</v>
      </c>
      <c r="L127" t="s">
        <v>2446</v>
      </c>
      <c r="M127">
        <v>13</v>
      </c>
      <c r="N127" t="s">
        <v>3717</v>
      </c>
      <c r="O127" t="s">
        <v>1559</v>
      </c>
      <c r="P127" s="1">
        <v>44713</v>
      </c>
      <c r="Q127">
        <v>31</v>
      </c>
      <c r="R127">
        <v>22</v>
      </c>
      <c r="S127" t="s">
        <v>3730</v>
      </c>
      <c r="U127" s="10" t="s">
        <v>3837</v>
      </c>
      <c r="V127" s="10" t="s">
        <v>3838</v>
      </c>
      <c r="W127" t="s">
        <v>3839</v>
      </c>
      <c r="X127" t="s">
        <v>2689</v>
      </c>
      <c r="Y127" t="s">
        <v>2689</v>
      </c>
      <c r="Z127" t="s">
        <v>2689</v>
      </c>
      <c r="AA127" t="s">
        <v>2689</v>
      </c>
      <c r="AB127" t="s">
        <v>3840</v>
      </c>
      <c r="AD127" t="s">
        <v>3841</v>
      </c>
      <c r="AE127" t="s">
        <v>3842</v>
      </c>
      <c r="AH127" t="s">
        <v>3725</v>
      </c>
      <c r="AJ127" t="s">
        <v>3843</v>
      </c>
    </row>
    <row r="128" spans="1:36" ht="116.6" x14ac:dyDescent="0.4">
      <c r="A128" t="s">
        <v>1529</v>
      </c>
      <c r="B128" t="s">
        <v>3844</v>
      </c>
      <c r="C128" t="s">
        <v>1411</v>
      </c>
      <c r="D128" t="s">
        <v>3845</v>
      </c>
      <c r="E128" t="s">
        <v>2679</v>
      </c>
      <c r="F128" t="s">
        <v>3846</v>
      </c>
      <c r="G128">
        <v>38.462060584</v>
      </c>
      <c r="H128">
        <v>-90.814594277899999</v>
      </c>
      <c r="I128" t="s">
        <v>1411</v>
      </c>
      <c r="J128" t="s">
        <v>2442</v>
      </c>
      <c r="K128" t="s">
        <v>3716</v>
      </c>
      <c r="L128" t="s">
        <v>2446</v>
      </c>
      <c r="M128">
        <v>3</v>
      </c>
      <c r="N128" t="s">
        <v>3717</v>
      </c>
      <c r="O128" t="s">
        <v>1529</v>
      </c>
      <c r="P128" s="1">
        <v>44713</v>
      </c>
      <c r="Q128">
        <v>32</v>
      </c>
      <c r="R128">
        <v>20</v>
      </c>
      <c r="S128" t="s">
        <v>3730</v>
      </c>
      <c r="U128" s="10" t="s">
        <v>3847</v>
      </c>
      <c r="V128" s="10" t="s">
        <v>3848</v>
      </c>
      <c r="W128" t="s">
        <v>3849</v>
      </c>
      <c r="X128" t="s">
        <v>2688</v>
      </c>
      <c r="Y128" t="s">
        <v>2688</v>
      </c>
      <c r="Z128" t="s">
        <v>2688</v>
      </c>
      <c r="AA128" t="s">
        <v>2688</v>
      </c>
      <c r="AB128" t="s">
        <v>3850</v>
      </c>
      <c r="AD128" t="s">
        <v>3851</v>
      </c>
      <c r="AE128" t="s">
        <v>3852</v>
      </c>
      <c r="AF128" t="s">
        <v>3853</v>
      </c>
      <c r="AG128" t="s">
        <v>3854</v>
      </c>
      <c r="AH128" t="s">
        <v>3725</v>
      </c>
      <c r="AJ128" t="s">
        <v>3802</v>
      </c>
    </row>
    <row r="129" spans="1:36" ht="131.15" x14ac:dyDescent="0.4">
      <c r="A129" t="s">
        <v>1556</v>
      </c>
      <c r="B129" t="s">
        <v>3855</v>
      </c>
      <c r="C129" t="s">
        <v>3594</v>
      </c>
      <c r="D129" t="s">
        <v>3856</v>
      </c>
      <c r="E129" t="s">
        <v>2679</v>
      </c>
      <c r="F129" t="s">
        <v>3857</v>
      </c>
      <c r="G129">
        <v>38.462931100200002</v>
      </c>
      <c r="H129">
        <v>-90.817595638399993</v>
      </c>
      <c r="I129" t="s">
        <v>3594</v>
      </c>
      <c r="J129" t="s">
        <v>2442</v>
      </c>
      <c r="K129" t="s">
        <v>3716</v>
      </c>
      <c r="L129" t="s">
        <v>2446</v>
      </c>
      <c r="M129">
        <v>12</v>
      </c>
      <c r="N129" t="s">
        <v>3717</v>
      </c>
      <c r="O129" t="s">
        <v>1556</v>
      </c>
      <c r="P129" s="1">
        <v>44713</v>
      </c>
      <c r="Q129">
        <v>42</v>
      </c>
      <c r="R129">
        <v>22</v>
      </c>
      <c r="S129" t="s">
        <v>3730</v>
      </c>
      <c r="U129" s="10" t="s">
        <v>3837</v>
      </c>
      <c r="V129" s="10" t="s">
        <v>3858</v>
      </c>
      <c r="W129" t="s">
        <v>3839</v>
      </c>
      <c r="X129" t="s">
        <v>2688</v>
      </c>
      <c r="Y129" t="s">
        <v>2688</v>
      </c>
      <c r="Z129" t="s">
        <v>2689</v>
      </c>
      <c r="AA129" t="s">
        <v>2689</v>
      </c>
      <c r="AB129" t="s">
        <v>3859</v>
      </c>
      <c r="AD129" t="s">
        <v>3860</v>
      </c>
      <c r="AE129" t="s">
        <v>3861</v>
      </c>
      <c r="AG129" t="s">
        <v>3862</v>
      </c>
      <c r="AH129" t="s">
        <v>3725</v>
      </c>
      <c r="AJ129" t="s">
        <v>3863</v>
      </c>
    </row>
    <row r="130" spans="1:36" ht="160.30000000000001" x14ac:dyDescent="0.4">
      <c r="A130" t="s">
        <v>1553</v>
      </c>
      <c r="B130" t="s">
        <v>3864</v>
      </c>
      <c r="C130" t="s">
        <v>3448</v>
      </c>
      <c r="D130" t="s">
        <v>3865</v>
      </c>
      <c r="E130" t="s">
        <v>2679</v>
      </c>
      <c r="F130" t="s">
        <v>3866</v>
      </c>
      <c r="G130">
        <v>38.462400458499999</v>
      </c>
      <c r="H130">
        <v>-90.817796975799993</v>
      </c>
      <c r="I130" t="s">
        <v>3448</v>
      </c>
      <c r="J130" t="s">
        <v>2442</v>
      </c>
      <c r="K130" t="s">
        <v>3716</v>
      </c>
      <c r="L130" t="s">
        <v>2446</v>
      </c>
      <c r="M130">
        <v>11</v>
      </c>
      <c r="N130" t="s">
        <v>3717</v>
      </c>
      <c r="O130" t="s">
        <v>1553</v>
      </c>
      <c r="P130" s="1">
        <v>44713</v>
      </c>
      <c r="Q130">
        <v>60</v>
      </c>
      <c r="R130">
        <v>15</v>
      </c>
      <c r="S130" t="s">
        <v>3730</v>
      </c>
      <c r="U130" s="10" t="s">
        <v>3867</v>
      </c>
      <c r="W130" t="s">
        <v>3868</v>
      </c>
      <c r="X130" t="s">
        <v>2688</v>
      </c>
      <c r="Y130" t="s">
        <v>2689</v>
      </c>
      <c r="Z130" t="s">
        <v>2689</v>
      </c>
      <c r="AA130" t="s">
        <v>2688</v>
      </c>
      <c r="AB130" t="s">
        <v>3869</v>
      </c>
      <c r="AD130" t="s">
        <v>3870</v>
      </c>
      <c r="AE130" t="s">
        <v>3871</v>
      </c>
      <c r="AG130" t="s">
        <v>3872</v>
      </c>
      <c r="AH130" t="s">
        <v>3725</v>
      </c>
    </row>
    <row r="131" spans="1:36" ht="116.6" x14ac:dyDescent="0.4">
      <c r="A131" t="s">
        <v>1562</v>
      </c>
      <c r="B131" t="s">
        <v>3873</v>
      </c>
      <c r="C131" t="s">
        <v>3448</v>
      </c>
      <c r="D131" t="s">
        <v>3874</v>
      </c>
      <c r="E131" t="s">
        <v>2679</v>
      </c>
      <c r="F131" t="s">
        <v>3875</v>
      </c>
      <c r="G131">
        <v>38.462762970599996</v>
      </c>
      <c r="H131">
        <v>-90.817982391499996</v>
      </c>
      <c r="I131" t="s">
        <v>3448</v>
      </c>
      <c r="J131" t="s">
        <v>2442</v>
      </c>
      <c r="K131" t="s">
        <v>3716</v>
      </c>
      <c r="L131" t="s">
        <v>2446</v>
      </c>
      <c r="M131">
        <v>14</v>
      </c>
      <c r="N131" t="s">
        <v>3717</v>
      </c>
      <c r="O131" t="s">
        <v>1562</v>
      </c>
      <c r="P131" s="1">
        <v>44713</v>
      </c>
      <c r="Q131">
        <v>11</v>
      </c>
      <c r="R131">
        <v>15</v>
      </c>
      <c r="S131" t="s">
        <v>3730</v>
      </c>
      <c r="T131" t="s">
        <v>2688</v>
      </c>
      <c r="U131" s="10" t="s">
        <v>3876</v>
      </c>
      <c r="W131" t="s">
        <v>3877</v>
      </c>
      <c r="X131" t="s">
        <v>2688</v>
      </c>
      <c r="Y131" t="s">
        <v>2688</v>
      </c>
      <c r="Z131" t="s">
        <v>2689</v>
      </c>
      <c r="AA131" t="s">
        <v>2689</v>
      </c>
      <c r="AB131" t="s">
        <v>3878</v>
      </c>
      <c r="AC131" t="s">
        <v>3879</v>
      </c>
      <c r="AD131" t="s">
        <v>3880</v>
      </c>
      <c r="AE131" t="s">
        <v>3881</v>
      </c>
      <c r="AG131" t="s">
        <v>3882</v>
      </c>
      <c r="AH131" t="s">
        <v>3770</v>
      </c>
    </row>
    <row r="132" spans="1:36" x14ac:dyDescent="0.4">
      <c r="A132" t="s">
        <v>1538</v>
      </c>
      <c r="B132" t="s">
        <v>3883</v>
      </c>
      <c r="C132" t="s">
        <v>1411</v>
      </c>
      <c r="D132" t="s">
        <v>3884</v>
      </c>
      <c r="E132" t="s">
        <v>2679</v>
      </c>
      <c r="F132" t="s">
        <v>3885</v>
      </c>
      <c r="G132">
        <v>38.462082668299999</v>
      </c>
      <c r="H132">
        <v>-90.813959955000001</v>
      </c>
      <c r="I132" t="s">
        <v>1411</v>
      </c>
      <c r="J132" t="s">
        <v>2442</v>
      </c>
      <c r="K132" t="s">
        <v>3716</v>
      </c>
      <c r="L132" t="s">
        <v>2446</v>
      </c>
      <c r="M132">
        <v>6</v>
      </c>
      <c r="N132" t="s">
        <v>3717</v>
      </c>
      <c r="O132" t="s">
        <v>1538</v>
      </c>
      <c r="P132" s="1">
        <v>44713</v>
      </c>
      <c r="Q132">
        <v>15</v>
      </c>
      <c r="R132">
        <v>12</v>
      </c>
      <c r="S132" t="s">
        <v>3730</v>
      </c>
      <c r="U132" t="s">
        <v>3886</v>
      </c>
      <c r="W132" t="s">
        <v>3887</v>
      </c>
      <c r="X132" t="s">
        <v>2688</v>
      </c>
      <c r="Y132" t="s">
        <v>2688</v>
      </c>
      <c r="Z132" t="s">
        <v>2689</v>
      </c>
      <c r="AA132" t="s">
        <v>2689</v>
      </c>
      <c r="AB132" t="s">
        <v>3888</v>
      </c>
      <c r="AD132" t="s">
        <v>3889</v>
      </c>
      <c r="AE132" t="s">
        <v>3890</v>
      </c>
      <c r="AH132" t="s">
        <v>3725</v>
      </c>
      <c r="AJ132" t="s">
        <v>3802</v>
      </c>
    </row>
    <row r="133" spans="1:36" ht="102" x14ac:dyDescent="0.4">
      <c r="A133" t="s">
        <v>1574</v>
      </c>
      <c r="B133" t="s">
        <v>3891</v>
      </c>
      <c r="C133" t="s">
        <v>3448</v>
      </c>
      <c r="D133" t="s">
        <v>3892</v>
      </c>
      <c r="E133" t="s">
        <v>2679</v>
      </c>
      <c r="F133" t="s">
        <v>3893</v>
      </c>
      <c r="G133">
        <v>38.463027686799997</v>
      </c>
      <c r="H133">
        <v>-90.818535089600005</v>
      </c>
      <c r="I133" t="s">
        <v>3448</v>
      </c>
      <c r="J133" t="s">
        <v>2442</v>
      </c>
      <c r="K133" t="s">
        <v>3716</v>
      </c>
      <c r="L133" t="s">
        <v>2446</v>
      </c>
      <c r="M133">
        <v>18</v>
      </c>
      <c r="N133" t="s">
        <v>3717</v>
      </c>
      <c r="O133" t="s">
        <v>1574</v>
      </c>
      <c r="P133" s="1">
        <v>44713</v>
      </c>
      <c r="Q133">
        <v>32</v>
      </c>
      <c r="R133">
        <v>20</v>
      </c>
      <c r="S133" t="s">
        <v>3730</v>
      </c>
      <c r="T133" t="s">
        <v>2689</v>
      </c>
      <c r="U133" s="10" t="s">
        <v>3894</v>
      </c>
      <c r="W133" t="s">
        <v>3895</v>
      </c>
      <c r="X133" t="s">
        <v>2688</v>
      </c>
      <c r="Y133" t="s">
        <v>2688</v>
      </c>
      <c r="Z133" t="s">
        <v>2689</v>
      </c>
      <c r="AA133" t="s">
        <v>2689</v>
      </c>
      <c r="AB133" t="s">
        <v>3896</v>
      </c>
      <c r="AD133" t="s">
        <v>3897</v>
      </c>
      <c r="AE133" t="s">
        <v>3898</v>
      </c>
      <c r="AG133" t="s">
        <v>3899</v>
      </c>
      <c r="AH133" t="s">
        <v>3770</v>
      </c>
    </row>
    <row r="134" spans="1:36" ht="189.45" x14ac:dyDescent="0.4">
      <c r="A134" t="s">
        <v>1547</v>
      </c>
      <c r="B134" t="s">
        <v>3900</v>
      </c>
      <c r="C134" t="s">
        <v>3594</v>
      </c>
      <c r="D134" t="s">
        <v>3901</v>
      </c>
      <c r="E134" t="s">
        <v>2679</v>
      </c>
      <c r="F134" t="s">
        <v>3902</v>
      </c>
      <c r="G134">
        <v>38.462095127200001</v>
      </c>
      <c r="H134">
        <v>-90.818370473200005</v>
      </c>
      <c r="I134" t="s">
        <v>3594</v>
      </c>
      <c r="J134" t="s">
        <v>2442</v>
      </c>
      <c r="K134" t="s">
        <v>3716</v>
      </c>
      <c r="L134" t="s">
        <v>2446</v>
      </c>
      <c r="M134">
        <v>9</v>
      </c>
      <c r="N134" t="s">
        <v>3717</v>
      </c>
      <c r="O134" t="s">
        <v>1547</v>
      </c>
      <c r="P134" s="1">
        <v>44713</v>
      </c>
      <c r="Q134">
        <v>52</v>
      </c>
      <c r="R134">
        <v>20</v>
      </c>
      <c r="S134" t="s">
        <v>3730</v>
      </c>
      <c r="T134" t="s">
        <v>2688</v>
      </c>
      <c r="U134" s="10" t="s">
        <v>3903</v>
      </c>
      <c r="V134" s="10" t="s">
        <v>3904</v>
      </c>
      <c r="W134" t="s">
        <v>3905</v>
      </c>
      <c r="X134" t="s">
        <v>2689</v>
      </c>
      <c r="Y134" t="s">
        <v>2688</v>
      </c>
      <c r="Z134" t="s">
        <v>2747</v>
      </c>
      <c r="AB134" t="s">
        <v>3906</v>
      </c>
      <c r="AD134" t="s">
        <v>3907</v>
      </c>
      <c r="AE134" t="s">
        <v>3908</v>
      </c>
      <c r="AH134" t="s">
        <v>3725</v>
      </c>
      <c r="AJ134" t="s">
        <v>3802</v>
      </c>
    </row>
    <row r="135" spans="1:36" ht="160.30000000000001" x14ac:dyDescent="0.4">
      <c r="A135" t="s">
        <v>1541</v>
      </c>
      <c r="B135" t="s">
        <v>3909</v>
      </c>
      <c r="C135" t="s">
        <v>3594</v>
      </c>
      <c r="D135" t="s">
        <v>3910</v>
      </c>
      <c r="E135" t="s">
        <v>2679</v>
      </c>
      <c r="F135" t="s">
        <v>3911</v>
      </c>
      <c r="G135">
        <v>38.461104518200003</v>
      </c>
      <c r="H135">
        <v>-90.819040536100005</v>
      </c>
      <c r="I135" t="s">
        <v>3594</v>
      </c>
      <c r="J135" t="s">
        <v>2442</v>
      </c>
      <c r="K135" t="s">
        <v>3716</v>
      </c>
      <c r="L135" t="s">
        <v>2446</v>
      </c>
      <c r="M135">
        <v>7</v>
      </c>
      <c r="N135" t="s">
        <v>3717</v>
      </c>
      <c r="O135" t="s">
        <v>1541</v>
      </c>
      <c r="P135" s="1">
        <v>44713</v>
      </c>
      <c r="Q135">
        <v>51</v>
      </c>
      <c r="R135">
        <v>20</v>
      </c>
      <c r="S135" t="s">
        <v>3730</v>
      </c>
      <c r="U135" s="10" t="s">
        <v>3912</v>
      </c>
      <c r="W135" t="s">
        <v>3913</v>
      </c>
      <c r="X135" t="s">
        <v>2688</v>
      </c>
      <c r="Y135" t="s">
        <v>2688</v>
      </c>
      <c r="Z135" t="s">
        <v>2689</v>
      </c>
      <c r="AA135" t="s">
        <v>2688</v>
      </c>
      <c r="AB135" t="s">
        <v>3914</v>
      </c>
      <c r="AD135" t="s">
        <v>3915</v>
      </c>
      <c r="AE135" t="s">
        <v>3916</v>
      </c>
      <c r="AG135" t="s">
        <v>3917</v>
      </c>
      <c r="AH135" t="s">
        <v>3725</v>
      </c>
      <c r="AJ135" t="s">
        <v>3750</v>
      </c>
    </row>
    <row r="136" spans="1:36" ht="160.30000000000001" x14ac:dyDescent="0.4">
      <c r="A136" t="s">
        <v>322</v>
      </c>
      <c r="B136" t="s">
        <v>3918</v>
      </c>
      <c r="C136" t="s">
        <v>1411</v>
      </c>
      <c r="D136" t="s">
        <v>3919</v>
      </c>
      <c r="E136" t="s">
        <v>2679</v>
      </c>
      <c r="F136" t="s">
        <v>3920</v>
      </c>
      <c r="G136">
        <v>37.676003501399997</v>
      </c>
      <c r="H136">
        <v>-89.4129653209</v>
      </c>
      <c r="I136" t="s">
        <v>1411</v>
      </c>
      <c r="J136" t="s">
        <v>2407</v>
      </c>
      <c r="K136" t="s">
        <v>3921</v>
      </c>
      <c r="L136" t="s">
        <v>2411</v>
      </c>
      <c r="M136">
        <v>23</v>
      </c>
      <c r="N136" t="s">
        <v>3717</v>
      </c>
      <c r="O136" t="s">
        <v>322</v>
      </c>
      <c r="P136" s="1">
        <v>44714</v>
      </c>
      <c r="Q136">
        <v>30</v>
      </c>
      <c r="R136">
        <v>15</v>
      </c>
      <c r="S136" t="s">
        <v>3730</v>
      </c>
      <c r="T136" t="s">
        <v>2688</v>
      </c>
      <c r="U136" s="10" t="s">
        <v>3922</v>
      </c>
      <c r="W136" t="s">
        <v>3923</v>
      </c>
      <c r="X136" t="s">
        <v>2688</v>
      </c>
      <c r="Y136" t="s">
        <v>2688</v>
      </c>
      <c r="Z136" t="s">
        <v>2688</v>
      </c>
      <c r="AA136" t="s">
        <v>2688</v>
      </c>
      <c r="AB136" t="s">
        <v>3924</v>
      </c>
      <c r="AC136" t="s">
        <v>3925</v>
      </c>
      <c r="AD136" t="s">
        <v>3926</v>
      </c>
      <c r="AE136" t="s">
        <v>3927</v>
      </c>
      <c r="AF136" t="s">
        <v>3928</v>
      </c>
      <c r="AG136" t="s">
        <v>3929</v>
      </c>
      <c r="AH136" t="s">
        <v>3930</v>
      </c>
      <c r="AJ136" s="10" t="s">
        <v>3931</v>
      </c>
    </row>
    <row r="137" spans="1:36" ht="131.15" x14ac:dyDescent="0.4">
      <c r="A137" t="s">
        <v>328</v>
      </c>
      <c r="B137" t="s">
        <v>3932</v>
      </c>
      <c r="C137" t="s">
        <v>1432</v>
      </c>
      <c r="D137" t="s">
        <v>3933</v>
      </c>
      <c r="E137" t="s">
        <v>2679</v>
      </c>
      <c r="F137" t="s">
        <v>3934</v>
      </c>
      <c r="G137">
        <v>37.680781534600001</v>
      </c>
      <c r="H137">
        <v>-89.413367755799996</v>
      </c>
      <c r="I137" t="s">
        <v>1432</v>
      </c>
      <c r="J137" t="s">
        <v>2407</v>
      </c>
      <c r="K137" t="s">
        <v>3921</v>
      </c>
      <c r="L137" t="s">
        <v>2411</v>
      </c>
      <c r="M137">
        <v>25</v>
      </c>
      <c r="N137" t="s">
        <v>3717</v>
      </c>
      <c r="O137" t="s">
        <v>328</v>
      </c>
      <c r="P137" s="1">
        <v>44714</v>
      </c>
      <c r="Q137">
        <v>45</v>
      </c>
      <c r="R137">
        <v>21</v>
      </c>
      <c r="S137" t="s">
        <v>3730</v>
      </c>
      <c r="T137" t="s">
        <v>2689</v>
      </c>
      <c r="U137" s="10" t="s">
        <v>3935</v>
      </c>
      <c r="W137" t="s">
        <v>3936</v>
      </c>
      <c r="X137" t="s">
        <v>2688</v>
      </c>
      <c r="Y137" t="s">
        <v>2688</v>
      </c>
      <c r="Z137" t="s">
        <v>2689</v>
      </c>
      <c r="AA137" t="s">
        <v>2688</v>
      </c>
      <c r="AB137" t="s">
        <v>3937</v>
      </c>
      <c r="AD137" t="s">
        <v>3938</v>
      </c>
      <c r="AE137" t="s">
        <v>3939</v>
      </c>
      <c r="AG137" t="s">
        <v>3940</v>
      </c>
      <c r="AH137" t="s">
        <v>3930</v>
      </c>
      <c r="AJ137" t="s">
        <v>3771</v>
      </c>
    </row>
    <row r="138" spans="1:36" ht="218.6" x14ac:dyDescent="0.4">
      <c r="A138" t="s">
        <v>312</v>
      </c>
      <c r="B138" t="s">
        <v>3941</v>
      </c>
      <c r="C138" t="s">
        <v>1411</v>
      </c>
      <c r="D138" t="s">
        <v>3942</v>
      </c>
      <c r="E138" t="s">
        <v>2679</v>
      </c>
      <c r="F138" t="s">
        <v>3943</v>
      </c>
      <c r="G138">
        <v>37.676094235000001</v>
      </c>
      <c r="H138">
        <v>-89.413502498499994</v>
      </c>
      <c r="I138" t="s">
        <v>1411</v>
      </c>
      <c r="J138" t="s">
        <v>2407</v>
      </c>
      <c r="K138" t="s">
        <v>3921</v>
      </c>
      <c r="L138" t="s">
        <v>2411</v>
      </c>
      <c r="M138">
        <v>21</v>
      </c>
      <c r="N138" t="s">
        <v>3717</v>
      </c>
      <c r="O138" t="s">
        <v>312</v>
      </c>
      <c r="P138" s="1">
        <v>44714</v>
      </c>
      <c r="Q138">
        <v>36</v>
      </c>
      <c r="R138">
        <v>19</v>
      </c>
      <c r="S138" t="s">
        <v>3730</v>
      </c>
      <c r="T138" t="s">
        <v>2689</v>
      </c>
      <c r="U138" s="10" t="s">
        <v>3944</v>
      </c>
      <c r="W138" t="s">
        <v>3945</v>
      </c>
      <c r="X138" t="s">
        <v>2688</v>
      </c>
      <c r="Y138" t="s">
        <v>2688</v>
      </c>
      <c r="Z138" t="s">
        <v>2688</v>
      </c>
      <c r="AA138" t="s">
        <v>2688</v>
      </c>
      <c r="AB138" t="s">
        <v>3946</v>
      </c>
      <c r="AD138" t="s">
        <v>3947</v>
      </c>
      <c r="AE138" t="s">
        <v>3948</v>
      </c>
      <c r="AF138" t="s">
        <v>3949</v>
      </c>
      <c r="AG138" t="s">
        <v>3950</v>
      </c>
      <c r="AH138" t="s">
        <v>3930</v>
      </c>
      <c r="AJ138" t="s">
        <v>3771</v>
      </c>
    </row>
    <row r="139" spans="1:36" ht="102" x14ac:dyDescent="0.4">
      <c r="A139" t="s">
        <v>340</v>
      </c>
      <c r="B139" t="s">
        <v>3951</v>
      </c>
      <c r="C139" t="s">
        <v>1411</v>
      </c>
      <c r="D139" t="s">
        <v>3952</v>
      </c>
      <c r="E139" t="s">
        <v>2679</v>
      </c>
      <c r="F139" t="s">
        <v>3953</v>
      </c>
      <c r="G139">
        <v>37.681784103699997</v>
      </c>
      <c r="H139">
        <v>-89.412759253800004</v>
      </c>
      <c r="I139" t="s">
        <v>1411</v>
      </c>
      <c r="J139" t="s">
        <v>2407</v>
      </c>
      <c r="K139" t="s">
        <v>3921</v>
      </c>
      <c r="L139" t="s">
        <v>2411</v>
      </c>
      <c r="M139">
        <v>29</v>
      </c>
      <c r="N139" t="s">
        <v>3717</v>
      </c>
      <c r="O139" t="s">
        <v>340</v>
      </c>
      <c r="P139" s="1">
        <v>44714</v>
      </c>
      <c r="Q139">
        <v>68</v>
      </c>
      <c r="R139">
        <v>26</v>
      </c>
      <c r="S139" t="s">
        <v>3730</v>
      </c>
      <c r="T139" t="s">
        <v>2688</v>
      </c>
      <c r="U139" s="10" t="s">
        <v>3954</v>
      </c>
      <c r="W139" t="s">
        <v>3923</v>
      </c>
      <c r="X139" t="s">
        <v>2688</v>
      </c>
      <c r="Y139" t="s">
        <v>2688</v>
      </c>
      <c r="Z139" t="s">
        <v>2688</v>
      </c>
      <c r="AA139" t="s">
        <v>2688</v>
      </c>
      <c r="AB139" t="s">
        <v>3955</v>
      </c>
      <c r="AC139" t="s">
        <v>3956</v>
      </c>
      <c r="AD139" t="s">
        <v>3957</v>
      </c>
      <c r="AE139" t="s">
        <v>3958</v>
      </c>
      <c r="AF139" t="s">
        <v>3959</v>
      </c>
      <c r="AH139" t="s">
        <v>3960</v>
      </c>
      <c r="AJ139" t="s">
        <v>3961</v>
      </c>
    </row>
    <row r="140" spans="1:36" ht="145.75" x14ac:dyDescent="0.4">
      <c r="A140" t="s">
        <v>318</v>
      </c>
      <c r="B140" t="s">
        <v>3962</v>
      </c>
      <c r="C140" t="s">
        <v>1432</v>
      </c>
      <c r="D140" t="s">
        <v>3963</v>
      </c>
      <c r="E140" t="s">
        <v>2679</v>
      </c>
      <c r="F140" t="s">
        <v>3964</v>
      </c>
      <c r="G140">
        <v>37.676719773199999</v>
      </c>
      <c r="H140">
        <v>-89.413485788800003</v>
      </c>
      <c r="I140" t="s">
        <v>1432</v>
      </c>
      <c r="J140" t="s">
        <v>2407</v>
      </c>
      <c r="K140" t="s">
        <v>3921</v>
      </c>
      <c r="L140" t="s">
        <v>2411</v>
      </c>
      <c r="M140">
        <v>22</v>
      </c>
      <c r="N140" t="s">
        <v>3717</v>
      </c>
      <c r="O140" t="s">
        <v>318</v>
      </c>
      <c r="P140" s="1">
        <v>44714</v>
      </c>
      <c r="Q140">
        <v>64</v>
      </c>
      <c r="R140">
        <v>20</v>
      </c>
      <c r="S140" t="s">
        <v>3730</v>
      </c>
      <c r="U140" s="10" t="s">
        <v>3965</v>
      </c>
      <c r="W140" t="s">
        <v>3966</v>
      </c>
      <c r="X140" t="s">
        <v>2688</v>
      </c>
      <c r="Y140" t="s">
        <v>2688</v>
      </c>
      <c r="Z140" t="s">
        <v>2689</v>
      </c>
      <c r="AA140" t="s">
        <v>2688</v>
      </c>
      <c r="AB140" t="s">
        <v>3967</v>
      </c>
      <c r="AD140" t="s">
        <v>3968</v>
      </c>
      <c r="AE140" t="s">
        <v>3969</v>
      </c>
      <c r="AH140" t="s">
        <v>3970</v>
      </c>
    </row>
    <row r="141" spans="1:36" ht="116.6" x14ac:dyDescent="0.4">
      <c r="A141" t="s">
        <v>325</v>
      </c>
      <c r="B141" t="s">
        <v>3971</v>
      </c>
      <c r="C141" t="s">
        <v>1432</v>
      </c>
      <c r="D141" t="s">
        <v>3972</v>
      </c>
      <c r="E141" t="s">
        <v>2679</v>
      </c>
      <c r="F141" t="s">
        <v>3973</v>
      </c>
      <c r="G141">
        <v>37.676818275000002</v>
      </c>
      <c r="H141">
        <v>-89.412822227899994</v>
      </c>
      <c r="I141" t="s">
        <v>1432</v>
      </c>
      <c r="J141" t="s">
        <v>2407</v>
      </c>
      <c r="K141" t="s">
        <v>3921</v>
      </c>
      <c r="L141" t="s">
        <v>2411</v>
      </c>
      <c r="M141">
        <v>24</v>
      </c>
      <c r="N141" t="s">
        <v>3717</v>
      </c>
      <c r="O141" t="s">
        <v>325</v>
      </c>
      <c r="P141" s="1">
        <v>44714</v>
      </c>
      <c r="Q141">
        <v>65</v>
      </c>
      <c r="R141">
        <v>20</v>
      </c>
      <c r="S141" t="s">
        <v>3730</v>
      </c>
      <c r="U141" s="10" t="s">
        <v>3974</v>
      </c>
      <c r="W141" t="s">
        <v>3975</v>
      </c>
      <c r="X141" t="s">
        <v>2688</v>
      </c>
      <c r="Y141" t="s">
        <v>2688</v>
      </c>
      <c r="Z141" t="s">
        <v>2689</v>
      </c>
      <c r="AA141" t="s">
        <v>2688</v>
      </c>
      <c r="AB141" t="s">
        <v>3976</v>
      </c>
      <c r="AD141" t="s">
        <v>3977</v>
      </c>
      <c r="AE141" s="9" t="s">
        <v>3978</v>
      </c>
      <c r="AH141" t="s">
        <v>3832</v>
      </c>
    </row>
    <row r="142" spans="1:36" ht="131.15" x14ac:dyDescent="0.4">
      <c r="A142" t="s">
        <v>337</v>
      </c>
      <c r="B142" t="s">
        <v>3979</v>
      </c>
      <c r="C142" t="s">
        <v>1432</v>
      </c>
      <c r="D142" t="s">
        <v>3980</v>
      </c>
      <c r="E142" t="s">
        <v>2679</v>
      </c>
      <c r="F142" t="s">
        <v>3981</v>
      </c>
      <c r="G142">
        <v>37.685248733000002</v>
      </c>
      <c r="H142">
        <v>-89.412072026199994</v>
      </c>
      <c r="I142" t="s">
        <v>1432</v>
      </c>
      <c r="J142" t="s">
        <v>2407</v>
      </c>
      <c r="K142" t="s">
        <v>3921</v>
      </c>
      <c r="L142" t="s">
        <v>2411</v>
      </c>
      <c r="M142">
        <v>28</v>
      </c>
      <c r="N142" t="s">
        <v>3717</v>
      </c>
      <c r="O142" t="s">
        <v>337</v>
      </c>
      <c r="P142" s="1">
        <v>44714</v>
      </c>
      <c r="Q142">
        <v>84</v>
      </c>
      <c r="R142">
        <v>20</v>
      </c>
      <c r="S142" t="s">
        <v>3730</v>
      </c>
      <c r="U142" s="10" t="s">
        <v>3982</v>
      </c>
      <c r="W142" t="s">
        <v>3983</v>
      </c>
      <c r="X142" t="s">
        <v>2688</v>
      </c>
      <c r="Y142" t="s">
        <v>2688</v>
      </c>
      <c r="Z142" t="s">
        <v>2689</v>
      </c>
      <c r="AA142" t="s">
        <v>2688</v>
      </c>
      <c r="AB142" t="s">
        <v>3984</v>
      </c>
      <c r="AD142" t="s">
        <v>3985</v>
      </c>
      <c r="AE142" t="s">
        <v>3986</v>
      </c>
      <c r="AH142" t="s">
        <v>3832</v>
      </c>
      <c r="AJ142" t="s">
        <v>3987</v>
      </c>
    </row>
    <row r="143" spans="1:36" ht="189.45" x14ac:dyDescent="0.4">
      <c r="A143" t="s">
        <v>331</v>
      </c>
      <c r="B143" t="s">
        <v>3988</v>
      </c>
      <c r="C143" t="s">
        <v>1411</v>
      </c>
      <c r="D143" t="s">
        <v>3989</v>
      </c>
      <c r="E143" t="s">
        <v>2679</v>
      </c>
      <c r="F143" t="s">
        <v>3990</v>
      </c>
      <c r="G143">
        <v>37.680583903699997</v>
      </c>
      <c r="H143">
        <v>-89.413128691699995</v>
      </c>
      <c r="I143" t="s">
        <v>1411</v>
      </c>
      <c r="J143" t="s">
        <v>2407</v>
      </c>
      <c r="K143" t="s">
        <v>3921</v>
      </c>
      <c r="L143" t="s">
        <v>2411</v>
      </c>
      <c r="M143">
        <v>26</v>
      </c>
      <c r="N143" t="s">
        <v>3717</v>
      </c>
      <c r="O143" t="s">
        <v>331</v>
      </c>
      <c r="P143" s="1">
        <v>44714</v>
      </c>
      <c r="Q143">
        <v>77</v>
      </c>
      <c r="R143">
        <v>20</v>
      </c>
      <c r="S143" t="s">
        <v>3991</v>
      </c>
      <c r="U143" s="10" t="s">
        <v>3992</v>
      </c>
      <c r="V143" t="s">
        <v>3993</v>
      </c>
      <c r="W143" t="s">
        <v>3994</v>
      </c>
      <c r="X143" t="s">
        <v>2688</v>
      </c>
      <c r="Y143" t="s">
        <v>2688</v>
      </c>
      <c r="Z143" t="s">
        <v>2688</v>
      </c>
      <c r="AA143" t="s">
        <v>2688</v>
      </c>
      <c r="AB143" t="s">
        <v>3995</v>
      </c>
      <c r="AD143" t="s">
        <v>3996</v>
      </c>
      <c r="AE143" t="s">
        <v>3997</v>
      </c>
      <c r="AF143" t="s">
        <v>3998</v>
      </c>
      <c r="AG143" t="s">
        <v>3999</v>
      </c>
      <c r="AH143" t="s">
        <v>3832</v>
      </c>
      <c r="AJ143" t="s">
        <v>3802</v>
      </c>
    </row>
    <row r="144" spans="1:36" ht="116.6" x14ac:dyDescent="0.4">
      <c r="A144" t="s">
        <v>343</v>
      </c>
      <c r="B144" t="s">
        <v>4000</v>
      </c>
      <c r="C144" t="s">
        <v>1432</v>
      </c>
      <c r="D144" t="s">
        <v>4001</v>
      </c>
      <c r="E144" t="s">
        <v>2679</v>
      </c>
      <c r="F144" t="s">
        <v>4002</v>
      </c>
      <c r="G144">
        <v>37.681169877800002</v>
      </c>
      <c r="H144">
        <v>-89.413018673699995</v>
      </c>
      <c r="I144" t="s">
        <v>1432</v>
      </c>
      <c r="J144" t="s">
        <v>2407</v>
      </c>
      <c r="K144" t="s">
        <v>3921</v>
      </c>
      <c r="L144" t="s">
        <v>2411</v>
      </c>
      <c r="M144">
        <v>30</v>
      </c>
      <c r="N144" t="s">
        <v>3717</v>
      </c>
      <c r="O144" t="s">
        <v>343</v>
      </c>
      <c r="P144" s="1">
        <v>44714</v>
      </c>
      <c r="Q144">
        <v>37</v>
      </c>
      <c r="R144">
        <v>16</v>
      </c>
      <c r="S144" t="s">
        <v>3730</v>
      </c>
      <c r="T144" t="s">
        <v>2688</v>
      </c>
      <c r="U144" s="10" t="s">
        <v>4003</v>
      </c>
      <c r="W144" t="s">
        <v>4004</v>
      </c>
      <c r="X144" t="s">
        <v>2688</v>
      </c>
      <c r="Y144" t="s">
        <v>2688</v>
      </c>
      <c r="Z144" t="s">
        <v>2689</v>
      </c>
      <c r="AA144" t="s">
        <v>2688</v>
      </c>
      <c r="AB144" t="s">
        <v>4005</v>
      </c>
      <c r="AC144" t="s">
        <v>4006</v>
      </c>
      <c r="AD144" t="s">
        <v>4007</v>
      </c>
      <c r="AE144" t="s">
        <v>4008</v>
      </c>
      <c r="AH144" t="s">
        <v>3970</v>
      </c>
      <c r="AJ144" s="10" t="s">
        <v>4009</v>
      </c>
    </row>
    <row r="145" spans="1:36" ht="58.3" x14ac:dyDescent="0.4">
      <c r="A145" t="s">
        <v>334</v>
      </c>
      <c r="B145" t="s">
        <v>4010</v>
      </c>
      <c r="C145" t="s">
        <v>1411</v>
      </c>
      <c r="D145" t="s">
        <v>4011</v>
      </c>
      <c r="E145" t="s">
        <v>2679</v>
      </c>
      <c r="F145" t="s">
        <v>4012</v>
      </c>
      <c r="G145">
        <v>37.685480510300003</v>
      </c>
      <c r="H145">
        <v>-89.4111440402</v>
      </c>
      <c r="I145" t="s">
        <v>1411</v>
      </c>
      <c r="J145" t="s">
        <v>2407</v>
      </c>
      <c r="K145" t="s">
        <v>3921</v>
      </c>
      <c r="L145" t="s">
        <v>2411</v>
      </c>
      <c r="M145">
        <v>27</v>
      </c>
      <c r="N145" t="s">
        <v>3717</v>
      </c>
      <c r="O145" t="s">
        <v>334</v>
      </c>
      <c r="P145" s="1">
        <v>44714</v>
      </c>
      <c r="Q145">
        <v>47</v>
      </c>
      <c r="R145">
        <v>20</v>
      </c>
      <c r="S145" t="s">
        <v>3730</v>
      </c>
      <c r="U145" s="10" t="s">
        <v>4013</v>
      </c>
      <c r="W145" t="s">
        <v>4014</v>
      </c>
      <c r="X145" t="s">
        <v>2688</v>
      </c>
      <c r="Y145" t="s">
        <v>2688</v>
      </c>
      <c r="Z145" t="s">
        <v>2689</v>
      </c>
      <c r="AA145" t="s">
        <v>2689</v>
      </c>
      <c r="AB145" t="s">
        <v>4015</v>
      </c>
      <c r="AD145" t="s">
        <v>4016</v>
      </c>
      <c r="AE145" t="s">
        <v>4017</v>
      </c>
      <c r="AH145" t="s">
        <v>3832</v>
      </c>
      <c r="AJ145" t="s">
        <v>4018</v>
      </c>
    </row>
    <row r="146" spans="1:36" ht="116.6" x14ac:dyDescent="0.4">
      <c r="A146" t="s">
        <v>1435</v>
      </c>
      <c r="B146" t="s">
        <v>4019</v>
      </c>
      <c r="C146" t="s">
        <v>1428</v>
      </c>
      <c r="D146" t="s">
        <v>4020</v>
      </c>
      <c r="E146" t="s">
        <v>2679</v>
      </c>
      <c r="F146" t="s">
        <v>4021</v>
      </c>
      <c r="G146">
        <v>36.641456624500002</v>
      </c>
      <c r="H146">
        <v>-89.290292308800005</v>
      </c>
      <c r="I146" t="s">
        <v>1428</v>
      </c>
      <c r="J146" t="s">
        <v>2442</v>
      </c>
      <c r="K146" t="s">
        <v>4022</v>
      </c>
      <c r="L146" t="s">
        <v>2443</v>
      </c>
      <c r="M146">
        <v>45</v>
      </c>
      <c r="N146" t="s">
        <v>3717</v>
      </c>
      <c r="O146" t="s">
        <v>1435</v>
      </c>
      <c r="P146" s="1">
        <v>44715</v>
      </c>
      <c r="Q146">
        <v>11</v>
      </c>
      <c r="R146">
        <v>5</v>
      </c>
      <c r="S146" t="s">
        <v>3730</v>
      </c>
      <c r="T146" t="s">
        <v>2689</v>
      </c>
      <c r="U146" s="10" t="s">
        <v>4023</v>
      </c>
      <c r="W146" t="s">
        <v>4024</v>
      </c>
      <c r="X146" t="s">
        <v>2688</v>
      </c>
      <c r="Y146" t="s">
        <v>2688</v>
      </c>
      <c r="Z146" t="s">
        <v>2689</v>
      </c>
      <c r="AA146" t="s">
        <v>2689</v>
      </c>
      <c r="AB146" t="s">
        <v>4025</v>
      </c>
      <c r="AD146" t="s">
        <v>4026</v>
      </c>
      <c r="AE146" t="s">
        <v>4027</v>
      </c>
      <c r="AH146" t="s">
        <v>3970</v>
      </c>
      <c r="AJ146" s="10" t="s">
        <v>4028</v>
      </c>
    </row>
    <row r="147" spans="1:36" x14ac:dyDescent="0.4">
      <c r="A147" t="s">
        <v>1414</v>
      </c>
      <c r="B147" t="s">
        <v>4029</v>
      </c>
      <c r="C147" t="s">
        <v>1415</v>
      </c>
      <c r="D147" t="s">
        <v>4030</v>
      </c>
      <c r="E147" t="s">
        <v>2679</v>
      </c>
      <c r="F147" t="s">
        <v>4031</v>
      </c>
      <c r="G147">
        <v>36.642872914199998</v>
      </c>
      <c r="H147">
        <v>-89.287449839399997</v>
      </c>
      <c r="I147" t="s">
        <v>1415</v>
      </c>
      <c r="J147" t="s">
        <v>2442</v>
      </c>
      <c r="K147" t="s">
        <v>4022</v>
      </c>
      <c r="L147" t="s">
        <v>2443</v>
      </c>
      <c r="M147">
        <v>39</v>
      </c>
      <c r="N147" t="s">
        <v>3717</v>
      </c>
      <c r="O147" t="s">
        <v>1414</v>
      </c>
      <c r="P147" s="1">
        <v>44715</v>
      </c>
      <c r="Q147">
        <v>140</v>
      </c>
      <c r="R147">
        <v>36</v>
      </c>
      <c r="S147" t="s">
        <v>3730</v>
      </c>
      <c r="T147" t="s">
        <v>2689</v>
      </c>
      <c r="U147" t="s">
        <v>4032</v>
      </c>
      <c r="W147" t="s">
        <v>4033</v>
      </c>
      <c r="X147" t="s">
        <v>2688</v>
      </c>
      <c r="Y147" t="s">
        <v>2688</v>
      </c>
      <c r="Z147" t="s">
        <v>2689</v>
      </c>
      <c r="AA147" t="s">
        <v>2689</v>
      </c>
      <c r="AB147" t="s">
        <v>4034</v>
      </c>
      <c r="AD147" t="s">
        <v>4035</v>
      </c>
      <c r="AE147" t="s">
        <v>4036</v>
      </c>
      <c r="AH147" t="s">
        <v>3970</v>
      </c>
    </row>
    <row r="148" spans="1:36" x14ac:dyDescent="0.4">
      <c r="A148" t="s">
        <v>1407</v>
      </c>
      <c r="B148" t="s">
        <v>4037</v>
      </c>
      <c r="C148" t="s">
        <v>1411</v>
      </c>
      <c r="D148" t="s">
        <v>4038</v>
      </c>
      <c r="E148" t="s">
        <v>2679</v>
      </c>
      <c r="F148" t="s">
        <v>4039</v>
      </c>
      <c r="G148">
        <v>36.6451961</v>
      </c>
      <c r="H148">
        <v>-89.294567400000005</v>
      </c>
      <c r="I148" t="s">
        <v>1411</v>
      </c>
      <c r="J148" t="s">
        <v>2442</v>
      </c>
      <c r="K148" t="s">
        <v>4022</v>
      </c>
      <c r="L148" t="s">
        <v>2443</v>
      </c>
      <c r="M148">
        <v>37</v>
      </c>
      <c r="N148" t="s">
        <v>3717</v>
      </c>
      <c r="O148" t="s">
        <v>1407</v>
      </c>
      <c r="P148" s="1">
        <v>44715</v>
      </c>
      <c r="Q148">
        <v>36</v>
      </c>
      <c r="R148">
        <v>25</v>
      </c>
      <c r="S148" t="s">
        <v>3427</v>
      </c>
      <c r="T148" t="s">
        <v>2689</v>
      </c>
      <c r="U148" t="s">
        <v>4040</v>
      </c>
      <c r="X148" t="s">
        <v>2688</v>
      </c>
      <c r="Y148" t="s">
        <v>2688</v>
      </c>
      <c r="Z148" t="s">
        <v>2747</v>
      </c>
      <c r="AH148" t="s">
        <v>3970</v>
      </c>
    </row>
    <row r="149" spans="1:36" x14ac:dyDescent="0.4">
      <c r="A149" t="s">
        <v>1421</v>
      </c>
      <c r="B149" t="s">
        <v>4041</v>
      </c>
      <c r="C149" t="s">
        <v>1415</v>
      </c>
      <c r="D149" t="s">
        <v>4042</v>
      </c>
      <c r="E149" t="s">
        <v>2679</v>
      </c>
      <c r="F149" t="s">
        <v>4043</v>
      </c>
      <c r="G149">
        <v>36.644230726700002</v>
      </c>
      <c r="H149">
        <v>-89.286806458000001</v>
      </c>
      <c r="I149" t="s">
        <v>1415</v>
      </c>
      <c r="J149" t="s">
        <v>2442</v>
      </c>
      <c r="K149" t="s">
        <v>4022</v>
      </c>
      <c r="L149" t="s">
        <v>2443</v>
      </c>
      <c r="M149">
        <v>41</v>
      </c>
      <c r="N149" t="s">
        <v>3717</v>
      </c>
      <c r="O149" t="s">
        <v>1421</v>
      </c>
      <c r="P149" s="1">
        <v>44715</v>
      </c>
      <c r="Q149">
        <v>96</v>
      </c>
      <c r="R149">
        <v>28</v>
      </c>
      <c r="S149" t="s">
        <v>3730</v>
      </c>
      <c r="T149" t="s">
        <v>2689</v>
      </c>
      <c r="U149" t="s">
        <v>3730</v>
      </c>
      <c r="W149" t="s">
        <v>4044</v>
      </c>
      <c r="X149" t="s">
        <v>2688</v>
      </c>
      <c r="Y149" t="s">
        <v>2688</v>
      </c>
      <c r="Z149" t="s">
        <v>2689</v>
      </c>
      <c r="AA149" t="s">
        <v>2689</v>
      </c>
      <c r="AB149" t="s">
        <v>4045</v>
      </c>
      <c r="AD149" t="s">
        <v>4046</v>
      </c>
      <c r="AE149" t="s">
        <v>4047</v>
      </c>
      <c r="AH149" t="s">
        <v>3970</v>
      </c>
    </row>
    <row r="150" spans="1:36" x14ac:dyDescent="0.4">
      <c r="A150" t="s">
        <v>1398</v>
      </c>
      <c r="B150" t="s">
        <v>4048</v>
      </c>
      <c r="C150" t="s">
        <v>1432</v>
      </c>
      <c r="D150" t="s">
        <v>4049</v>
      </c>
      <c r="E150" t="s">
        <v>2679</v>
      </c>
      <c r="F150" t="s">
        <v>4050</v>
      </c>
      <c r="G150">
        <v>36.645026751800003</v>
      </c>
      <c r="H150">
        <v>-89.292735010499996</v>
      </c>
      <c r="I150" t="s">
        <v>1432</v>
      </c>
      <c r="J150" t="s">
        <v>2442</v>
      </c>
      <c r="K150" t="s">
        <v>4022</v>
      </c>
      <c r="L150" t="s">
        <v>2443</v>
      </c>
      <c r="M150">
        <v>34</v>
      </c>
      <c r="N150" t="s">
        <v>3717</v>
      </c>
      <c r="O150" t="s">
        <v>1398</v>
      </c>
      <c r="P150" s="1">
        <v>44715</v>
      </c>
      <c r="Q150">
        <v>70</v>
      </c>
      <c r="R150">
        <v>30</v>
      </c>
      <c r="S150" t="s">
        <v>3730</v>
      </c>
      <c r="T150" t="s">
        <v>2688</v>
      </c>
      <c r="U150" t="s">
        <v>4051</v>
      </c>
      <c r="W150" t="s">
        <v>4052</v>
      </c>
      <c r="X150" t="s">
        <v>2688</v>
      </c>
      <c r="Y150" t="s">
        <v>2688</v>
      </c>
      <c r="Z150" t="s">
        <v>2747</v>
      </c>
      <c r="AA150" t="s">
        <v>2688</v>
      </c>
      <c r="AB150" t="s">
        <v>4053</v>
      </c>
      <c r="AC150" t="s">
        <v>4054</v>
      </c>
      <c r="AE150" t="s">
        <v>4055</v>
      </c>
      <c r="AH150" t="s">
        <v>3970</v>
      </c>
    </row>
    <row r="151" spans="1:36" x14ac:dyDescent="0.4">
      <c r="A151" t="s">
        <v>1404</v>
      </c>
      <c r="B151" t="s">
        <v>4056</v>
      </c>
      <c r="C151" t="s">
        <v>1432</v>
      </c>
      <c r="D151" t="s">
        <v>4057</v>
      </c>
      <c r="E151" t="s">
        <v>2679</v>
      </c>
      <c r="F151" t="s">
        <v>4058</v>
      </c>
      <c r="G151">
        <v>36.6448009</v>
      </c>
      <c r="H151">
        <v>-89.294981300000003</v>
      </c>
      <c r="I151" t="s">
        <v>1432</v>
      </c>
      <c r="J151" t="s">
        <v>2442</v>
      </c>
      <c r="K151" t="s">
        <v>4022</v>
      </c>
      <c r="L151" t="s">
        <v>2443</v>
      </c>
      <c r="M151">
        <v>36</v>
      </c>
      <c r="N151" t="s">
        <v>3717</v>
      </c>
      <c r="O151" t="s">
        <v>1404</v>
      </c>
      <c r="P151" s="1">
        <v>44715</v>
      </c>
      <c r="Q151">
        <v>34</v>
      </c>
      <c r="R151">
        <v>30</v>
      </c>
      <c r="S151" t="s">
        <v>3427</v>
      </c>
      <c r="T151" t="s">
        <v>2688</v>
      </c>
      <c r="U151" t="s">
        <v>4059</v>
      </c>
      <c r="X151" t="s">
        <v>2689</v>
      </c>
      <c r="Y151" t="s">
        <v>2689</v>
      </c>
      <c r="Z151" t="s">
        <v>2747</v>
      </c>
      <c r="AH151" t="s">
        <v>3970</v>
      </c>
    </row>
    <row r="152" spans="1:36" ht="145.75" x14ac:dyDescent="0.4">
      <c r="A152" t="s">
        <v>1424</v>
      </c>
      <c r="B152" t="s">
        <v>4060</v>
      </c>
      <c r="C152" t="s">
        <v>1415</v>
      </c>
      <c r="D152" t="s">
        <v>4061</v>
      </c>
      <c r="E152" t="s">
        <v>2679</v>
      </c>
      <c r="F152" t="s">
        <v>4062</v>
      </c>
      <c r="G152">
        <v>36.643490709799998</v>
      </c>
      <c r="H152">
        <v>-89.287007376800005</v>
      </c>
      <c r="I152" t="s">
        <v>1415</v>
      </c>
      <c r="J152" t="s">
        <v>2442</v>
      </c>
      <c r="K152" t="s">
        <v>4022</v>
      </c>
      <c r="L152" t="s">
        <v>2443</v>
      </c>
      <c r="M152">
        <v>42</v>
      </c>
      <c r="N152" t="s">
        <v>3717</v>
      </c>
      <c r="O152" t="s">
        <v>1424</v>
      </c>
      <c r="P152" s="1">
        <v>44715</v>
      </c>
      <c r="Q152">
        <v>76</v>
      </c>
      <c r="R152">
        <v>26</v>
      </c>
      <c r="S152" t="s">
        <v>3730</v>
      </c>
      <c r="T152" t="s">
        <v>2689</v>
      </c>
      <c r="U152" s="10" t="s">
        <v>4063</v>
      </c>
      <c r="W152" t="s">
        <v>4064</v>
      </c>
      <c r="X152" t="s">
        <v>2688</v>
      </c>
      <c r="Y152" t="s">
        <v>2688</v>
      </c>
      <c r="Z152" t="s">
        <v>2689</v>
      </c>
      <c r="AA152" t="s">
        <v>2689</v>
      </c>
      <c r="AB152" t="s">
        <v>4065</v>
      </c>
      <c r="AD152" t="s">
        <v>4066</v>
      </c>
      <c r="AE152" t="s">
        <v>4067</v>
      </c>
      <c r="AH152" t="s">
        <v>3970</v>
      </c>
    </row>
    <row r="153" spans="1:36" x14ac:dyDescent="0.4">
      <c r="A153" t="s">
        <v>1401</v>
      </c>
      <c r="B153" t="s">
        <v>4068</v>
      </c>
      <c r="C153" t="s">
        <v>1411</v>
      </c>
      <c r="D153" t="s">
        <v>4069</v>
      </c>
      <c r="E153" t="s">
        <v>2679</v>
      </c>
      <c r="F153" t="s">
        <v>4070</v>
      </c>
      <c r="G153">
        <v>36.644873404899997</v>
      </c>
      <c r="H153">
        <v>-89.292952520900002</v>
      </c>
      <c r="I153" t="s">
        <v>1411</v>
      </c>
      <c r="J153" t="s">
        <v>2442</v>
      </c>
      <c r="K153" t="s">
        <v>4022</v>
      </c>
      <c r="L153" t="s">
        <v>2443</v>
      </c>
      <c r="M153">
        <v>35</v>
      </c>
      <c r="N153" t="s">
        <v>3717</v>
      </c>
      <c r="O153" t="s">
        <v>1401</v>
      </c>
      <c r="P153" s="1">
        <v>44715</v>
      </c>
      <c r="Q153">
        <v>20</v>
      </c>
      <c r="R153">
        <v>15</v>
      </c>
      <c r="S153" t="s">
        <v>3730</v>
      </c>
      <c r="T153" t="s">
        <v>2688</v>
      </c>
      <c r="U153" t="s">
        <v>4071</v>
      </c>
      <c r="W153" t="s">
        <v>4052</v>
      </c>
      <c r="X153" t="s">
        <v>2688</v>
      </c>
      <c r="Y153" t="s">
        <v>2688</v>
      </c>
      <c r="Z153" t="s">
        <v>2689</v>
      </c>
      <c r="AA153" t="s">
        <v>2689</v>
      </c>
      <c r="AB153" t="s">
        <v>4072</v>
      </c>
      <c r="AC153" t="s">
        <v>4073</v>
      </c>
      <c r="AE153" t="s">
        <v>4074</v>
      </c>
      <c r="AH153" t="s">
        <v>3970</v>
      </c>
    </row>
    <row r="154" spans="1:36" x14ac:dyDescent="0.4">
      <c r="A154" t="s">
        <v>251</v>
      </c>
      <c r="B154" t="s">
        <v>4075</v>
      </c>
      <c r="C154" t="s">
        <v>1415</v>
      </c>
      <c r="D154" t="s">
        <v>4076</v>
      </c>
      <c r="E154" t="s">
        <v>2679</v>
      </c>
      <c r="F154" t="s">
        <v>4077</v>
      </c>
      <c r="G154">
        <v>37.357143689899999</v>
      </c>
      <c r="H154">
        <v>-88.917055176700003</v>
      </c>
      <c r="I154" t="s">
        <v>1415</v>
      </c>
      <c r="J154" t="s">
        <v>2407</v>
      </c>
      <c r="K154" t="s">
        <v>4078</v>
      </c>
      <c r="L154" t="s">
        <v>2409</v>
      </c>
      <c r="M154" t="s">
        <v>252</v>
      </c>
      <c r="N154" t="s">
        <v>3438</v>
      </c>
      <c r="O154" t="s">
        <v>251</v>
      </c>
      <c r="P154" s="1">
        <v>44715</v>
      </c>
      <c r="Q154">
        <v>28</v>
      </c>
      <c r="R154">
        <v>12</v>
      </c>
      <c r="S154" t="s">
        <v>3730</v>
      </c>
      <c r="T154" t="s">
        <v>2689</v>
      </c>
      <c r="U154" t="s">
        <v>4079</v>
      </c>
      <c r="W154" t="s">
        <v>4080</v>
      </c>
      <c r="X154" t="s">
        <v>2688</v>
      </c>
      <c r="Y154" t="s">
        <v>2688</v>
      </c>
      <c r="Z154" t="s">
        <v>2689</v>
      </c>
      <c r="AA154" t="s">
        <v>2689</v>
      </c>
      <c r="AB154" t="s">
        <v>4081</v>
      </c>
      <c r="AD154" t="s">
        <v>4082</v>
      </c>
      <c r="AE154" t="s">
        <v>4083</v>
      </c>
      <c r="AH154" t="s">
        <v>3970</v>
      </c>
      <c r="AJ154" t="s">
        <v>4084</v>
      </c>
    </row>
    <row r="155" spans="1:36" ht="131.15" x14ac:dyDescent="0.4">
      <c r="A155" t="s">
        <v>1427</v>
      </c>
      <c r="B155" t="s">
        <v>4085</v>
      </c>
      <c r="C155" t="s">
        <v>1428</v>
      </c>
      <c r="D155" t="s">
        <v>4086</v>
      </c>
      <c r="E155" t="s">
        <v>2679</v>
      </c>
      <c r="F155" t="s">
        <v>4087</v>
      </c>
      <c r="G155">
        <v>36.641016754100001</v>
      </c>
      <c r="H155">
        <v>-89.290401102399997</v>
      </c>
      <c r="I155" t="s">
        <v>1428</v>
      </c>
      <c r="J155" t="s">
        <v>2442</v>
      </c>
      <c r="K155" t="s">
        <v>4022</v>
      </c>
      <c r="L155" t="s">
        <v>2443</v>
      </c>
      <c r="M155">
        <v>43</v>
      </c>
      <c r="N155" t="s">
        <v>3717</v>
      </c>
      <c r="O155" t="s">
        <v>1427</v>
      </c>
      <c r="P155" s="1">
        <v>44715</v>
      </c>
      <c r="Q155">
        <v>12</v>
      </c>
      <c r="R155">
        <v>8</v>
      </c>
      <c r="S155" t="s">
        <v>3730</v>
      </c>
      <c r="T155" t="s">
        <v>2689</v>
      </c>
      <c r="U155" s="10" t="s">
        <v>4088</v>
      </c>
      <c r="W155" t="s">
        <v>4089</v>
      </c>
      <c r="X155" t="s">
        <v>2688</v>
      </c>
      <c r="Y155" t="s">
        <v>2688</v>
      </c>
      <c r="Z155" t="s">
        <v>2689</v>
      </c>
      <c r="AA155" t="s">
        <v>2689</v>
      </c>
      <c r="AB155" t="s">
        <v>4090</v>
      </c>
      <c r="AD155" t="s">
        <v>4091</v>
      </c>
      <c r="AE155" t="s">
        <v>4092</v>
      </c>
      <c r="AH155" t="s">
        <v>3970</v>
      </c>
      <c r="AJ155" t="s">
        <v>4093</v>
      </c>
    </row>
    <row r="156" spans="1:36" ht="72.900000000000006" x14ac:dyDescent="0.4">
      <c r="A156" t="s">
        <v>1410</v>
      </c>
      <c r="B156" t="s">
        <v>4094</v>
      </c>
      <c r="C156" t="s">
        <v>1411</v>
      </c>
      <c r="D156" t="s">
        <v>4095</v>
      </c>
      <c r="E156" t="s">
        <v>2679</v>
      </c>
      <c r="F156" t="s">
        <v>4096</v>
      </c>
      <c r="G156">
        <v>36.643085885600001</v>
      </c>
      <c r="H156">
        <v>-89.287589156500005</v>
      </c>
      <c r="I156" t="s">
        <v>1411</v>
      </c>
      <c r="J156" t="s">
        <v>2442</v>
      </c>
      <c r="K156" t="s">
        <v>4022</v>
      </c>
      <c r="L156" t="s">
        <v>2443</v>
      </c>
      <c r="M156">
        <v>38</v>
      </c>
      <c r="N156" t="s">
        <v>3717</v>
      </c>
      <c r="O156" t="s">
        <v>1410</v>
      </c>
      <c r="P156" s="1">
        <v>44715</v>
      </c>
      <c r="Q156">
        <v>115</v>
      </c>
      <c r="R156">
        <v>34</v>
      </c>
      <c r="S156" t="s">
        <v>3730</v>
      </c>
      <c r="T156" t="s">
        <v>2689</v>
      </c>
      <c r="U156" s="10" t="s">
        <v>4097</v>
      </c>
      <c r="W156" t="s">
        <v>4098</v>
      </c>
      <c r="X156" t="s">
        <v>2688</v>
      </c>
      <c r="Y156" t="s">
        <v>2688</v>
      </c>
      <c r="Z156" t="s">
        <v>2689</v>
      </c>
      <c r="AA156" t="s">
        <v>2689</v>
      </c>
      <c r="AB156" t="s">
        <v>4099</v>
      </c>
      <c r="AD156" t="s">
        <v>4100</v>
      </c>
      <c r="AE156" t="s">
        <v>4101</v>
      </c>
      <c r="AH156" t="s">
        <v>3970</v>
      </c>
    </row>
    <row r="157" spans="1:36" x14ac:dyDescent="0.4">
      <c r="A157" t="s">
        <v>1392</v>
      </c>
      <c r="B157" t="s">
        <v>4102</v>
      </c>
      <c r="C157" t="s">
        <v>1411</v>
      </c>
      <c r="D157" t="s">
        <v>4103</v>
      </c>
      <c r="E157" t="s">
        <v>2679</v>
      </c>
      <c r="F157" t="s">
        <v>4104</v>
      </c>
      <c r="G157">
        <v>36.6441424191</v>
      </c>
      <c r="H157">
        <v>-89.290835922699998</v>
      </c>
      <c r="I157" t="s">
        <v>1411</v>
      </c>
      <c r="J157" t="s">
        <v>2442</v>
      </c>
      <c r="K157" t="s">
        <v>4022</v>
      </c>
      <c r="L157" t="s">
        <v>2443</v>
      </c>
      <c r="M157">
        <v>32</v>
      </c>
      <c r="N157" t="s">
        <v>3438</v>
      </c>
      <c r="O157" t="s">
        <v>1392</v>
      </c>
      <c r="P157" s="1">
        <v>44715</v>
      </c>
      <c r="Q157">
        <v>10</v>
      </c>
      <c r="R157">
        <v>11</v>
      </c>
      <c r="S157" t="s">
        <v>3730</v>
      </c>
      <c r="U157" t="s">
        <v>4105</v>
      </c>
      <c r="W157" t="s">
        <v>4106</v>
      </c>
      <c r="X157" t="s">
        <v>2688</v>
      </c>
      <c r="Y157" t="s">
        <v>2688</v>
      </c>
      <c r="Z157" t="s">
        <v>2689</v>
      </c>
      <c r="AA157" t="s">
        <v>2689</v>
      </c>
      <c r="AB157" t="s">
        <v>4107</v>
      </c>
      <c r="AD157" t="s">
        <v>4108</v>
      </c>
      <c r="AE157" t="s">
        <v>4109</v>
      </c>
      <c r="AH157" t="s">
        <v>3970</v>
      </c>
    </row>
    <row r="158" spans="1:36" x14ac:dyDescent="0.4">
      <c r="A158" t="s">
        <v>1395</v>
      </c>
      <c r="B158" t="s">
        <v>4110</v>
      </c>
      <c r="C158" t="s">
        <v>1411</v>
      </c>
      <c r="D158" t="s">
        <v>4111</v>
      </c>
      <c r="E158" t="s">
        <v>2679</v>
      </c>
      <c r="F158" t="s">
        <v>4112</v>
      </c>
      <c r="G158">
        <v>36.644637077100001</v>
      </c>
      <c r="H158">
        <v>-89.290971206600005</v>
      </c>
      <c r="I158" t="s">
        <v>1411</v>
      </c>
      <c r="J158" t="s">
        <v>2442</v>
      </c>
      <c r="K158" t="s">
        <v>4022</v>
      </c>
      <c r="L158" t="s">
        <v>2443</v>
      </c>
      <c r="M158">
        <v>33</v>
      </c>
      <c r="N158" t="s">
        <v>3438</v>
      </c>
      <c r="O158" t="s">
        <v>1395</v>
      </c>
      <c r="P158" s="1">
        <v>44715</v>
      </c>
      <c r="Q158">
        <v>88</v>
      </c>
      <c r="R158">
        <v>40</v>
      </c>
      <c r="S158" t="s">
        <v>3730</v>
      </c>
      <c r="T158" t="s">
        <v>2689</v>
      </c>
      <c r="U158" t="s">
        <v>4113</v>
      </c>
      <c r="W158" t="s">
        <v>4114</v>
      </c>
      <c r="X158" t="s">
        <v>2688</v>
      </c>
      <c r="Y158" t="s">
        <v>2688</v>
      </c>
      <c r="Z158" t="s">
        <v>2688</v>
      </c>
      <c r="AA158" t="s">
        <v>2688</v>
      </c>
      <c r="AB158" t="s">
        <v>4115</v>
      </c>
      <c r="AD158" t="s">
        <v>4116</v>
      </c>
      <c r="AE158" t="s">
        <v>4117</v>
      </c>
      <c r="AF158" t="s">
        <v>4118</v>
      </c>
      <c r="AG158" t="s">
        <v>4119</v>
      </c>
      <c r="AJ158" t="s">
        <v>4120</v>
      </c>
    </row>
    <row r="159" spans="1:36" x14ac:dyDescent="0.4">
      <c r="A159" t="s">
        <v>1418</v>
      </c>
      <c r="B159" t="s">
        <v>4121</v>
      </c>
      <c r="C159" t="s">
        <v>1411</v>
      </c>
      <c r="D159" t="s">
        <v>4122</v>
      </c>
      <c r="E159" t="s">
        <v>2679</v>
      </c>
      <c r="F159" t="s">
        <v>4123</v>
      </c>
      <c r="G159">
        <v>36.644272848999996</v>
      </c>
      <c r="H159">
        <v>-89.286563439199995</v>
      </c>
      <c r="I159" t="s">
        <v>1411</v>
      </c>
      <c r="J159" t="s">
        <v>2442</v>
      </c>
      <c r="K159" t="s">
        <v>4022</v>
      </c>
      <c r="L159" t="s">
        <v>2443</v>
      </c>
      <c r="M159">
        <v>40</v>
      </c>
      <c r="N159" t="s">
        <v>3717</v>
      </c>
      <c r="O159" t="s">
        <v>1418</v>
      </c>
      <c r="P159" s="1">
        <v>44715</v>
      </c>
      <c r="Q159">
        <v>64</v>
      </c>
      <c r="R159">
        <v>22</v>
      </c>
      <c r="S159" t="s">
        <v>3730</v>
      </c>
      <c r="T159" t="s">
        <v>2689</v>
      </c>
      <c r="U159" t="s">
        <v>4124</v>
      </c>
      <c r="W159" t="s">
        <v>4125</v>
      </c>
      <c r="X159" t="s">
        <v>2688</v>
      </c>
      <c r="Y159" t="s">
        <v>2688</v>
      </c>
      <c r="Z159" t="s">
        <v>2689</v>
      </c>
      <c r="AA159" t="s">
        <v>2689</v>
      </c>
      <c r="AB159" t="s">
        <v>4126</v>
      </c>
      <c r="AD159" t="s">
        <v>4127</v>
      </c>
      <c r="AE159" t="s">
        <v>4128</v>
      </c>
      <c r="AH159" t="s">
        <v>3970</v>
      </c>
      <c r="AJ159" t="s">
        <v>3771</v>
      </c>
    </row>
    <row r="160" spans="1:36" x14ac:dyDescent="0.4">
      <c r="A160" t="s">
        <v>1386</v>
      </c>
      <c r="B160" t="s">
        <v>4129</v>
      </c>
      <c r="C160" t="s">
        <v>1411</v>
      </c>
      <c r="D160" t="s">
        <v>4130</v>
      </c>
      <c r="E160" t="s">
        <v>2679</v>
      </c>
      <c r="F160" t="s">
        <v>4131</v>
      </c>
      <c r="G160">
        <v>36.643918831900002</v>
      </c>
      <c r="H160">
        <v>-89.290808262400006</v>
      </c>
      <c r="I160" t="s">
        <v>1411</v>
      </c>
      <c r="J160" t="s">
        <v>2442</v>
      </c>
      <c r="K160" t="s">
        <v>4022</v>
      </c>
      <c r="L160" t="s">
        <v>2443</v>
      </c>
      <c r="M160">
        <v>31</v>
      </c>
      <c r="N160" t="s">
        <v>3438</v>
      </c>
      <c r="O160" t="s">
        <v>1386</v>
      </c>
      <c r="P160" s="1">
        <v>44715</v>
      </c>
      <c r="Q160">
        <v>131</v>
      </c>
      <c r="R160">
        <v>45</v>
      </c>
      <c r="S160" t="s">
        <v>3730</v>
      </c>
      <c r="T160" t="s">
        <v>2689</v>
      </c>
      <c r="U160" t="s">
        <v>4132</v>
      </c>
      <c r="W160" t="s">
        <v>4133</v>
      </c>
      <c r="X160" t="s">
        <v>2688</v>
      </c>
      <c r="Y160" t="s">
        <v>2688</v>
      </c>
      <c r="Z160" t="s">
        <v>2688</v>
      </c>
      <c r="AA160" t="s">
        <v>2688</v>
      </c>
      <c r="AB160" t="s">
        <v>4134</v>
      </c>
      <c r="AD160" t="s">
        <v>4135</v>
      </c>
      <c r="AE160" t="s">
        <v>4136</v>
      </c>
      <c r="AF160" t="s">
        <v>4137</v>
      </c>
      <c r="AH160" t="s">
        <v>3970</v>
      </c>
    </row>
    <row r="161" spans="1:36" ht="43.75" x14ac:dyDescent="0.4">
      <c r="A161" t="s">
        <v>1431</v>
      </c>
      <c r="B161" t="s">
        <v>4138</v>
      </c>
      <c r="C161" t="s">
        <v>1432</v>
      </c>
      <c r="D161" t="s">
        <v>4139</v>
      </c>
      <c r="E161" t="s">
        <v>2679</v>
      </c>
      <c r="F161" t="s">
        <v>4140</v>
      </c>
      <c r="G161">
        <v>36.6408978714</v>
      </c>
      <c r="H161">
        <v>-89.290410100800003</v>
      </c>
      <c r="I161" t="s">
        <v>1432</v>
      </c>
      <c r="J161" t="s">
        <v>2442</v>
      </c>
      <c r="K161" t="s">
        <v>4022</v>
      </c>
      <c r="L161" t="s">
        <v>2443</v>
      </c>
      <c r="M161">
        <v>44</v>
      </c>
      <c r="N161" t="s">
        <v>3717</v>
      </c>
      <c r="O161" t="s">
        <v>1431</v>
      </c>
      <c r="P161" s="1">
        <v>44715</v>
      </c>
      <c r="Q161">
        <v>6</v>
      </c>
      <c r="R161">
        <v>3</v>
      </c>
      <c r="S161" t="s">
        <v>3730</v>
      </c>
      <c r="U161" s="10" t="s">
        <v>4141</v>
      </c>
      <c r="W161" t="s">
        <v>4142</v>
      </c>
      <c r="X161" t="s">
        <v>2688</v>
      </c>
      <c r="Y161" t="s">
        <v>2688</v>
      </c>
      <c r="Z161" t="s">
        <v>2689</v>
      </c>
      <c r="AA161" t="s">
        <v>2689</v>
      </c>
      <c r="AB161" t="s">
        <v>4143</v>
      </c>
      <c r="AH161" t="s">
        <v>3970</v>
      </c>
    </row>
    <row r="162" spans="1:36" x14ac:dyDescent="0.4">
      <c r="A162" t="s">
        <v>121</v>
      </c>
      <c r="B162" t="s">
        <v>4144</v>
      </c>
      <c r="C162" t="s">
        <v>1411</v>
      </c>
      <c r="D162" t="s">
        <v>4145</v>
      </c>
      <c r="E162" t="s">
        <v>2679</v>
      </c>
      <c r="F162" t="s">
        <v>4146</v>
      </c>
      <c r="G162">
        <v>42.0337137904</v>
      </c>
      <c r="H162">
        <v>-93.630409976600006</v>
      </c>
      <c r="I162" t="s">
        <v>1411</v>
      </c>
      <c r="J162" t="s">
        <v>2406</v>
      </c>
      <c r="K162" t="s">
        <v>4147</v>
      </c>
      <c r="L162" t="s">
        <v>2402</v>
      </c>
      <c r="M162">
        <v>47</v>
      </c>
      <c r="N162" t="s">
        <v>3438</v>
      </c>
      <c r="O162" t="s">
        <v>121</v>
      </c>
      <c r="P162" s="1">
        <v>44720</v>
      </c>
      <c r="Q162">
        <v>75.5</v>
      </c>
      <c r="R162">
        <v>22</v>
      </c>
      <c r="S162" t="s">
        <v>3584</v>
      </c>
      <c r="T162" t="s">
        <v>2689</v>
      </c>
      <c r="U162" t="s">
        <v>4148</v>
      </c>
      <c r="W162" t="s">
        <v>4149</v>
      </c>
      <c r="X162" t="s">
        <v>2688</v>
      </c>
      <c r="Y162" t="s">
        <v>2688</v>
      </c>
      <c r="Z162" t="s">
        <v>2688</v>
      </c>
      <c r="AA162" t="s">
        <v>2688</v>
      </c>
      <c r="AB162" t="s">
        <v>4150</v>
      </c>
      <c r="AD162" t="s">
        <v>4151</v>
      </c>
      <c r="AE162" t="s">
        <v>4152</v>
      </c>
      <c r="AF162" t="s">
        <v>4153</v>
      </c>
      <c r="AG162" t="s">
        <v>4154</v>
      </c>
      <c r="AH162" t="s">
        <v>4155</v>
      </c>
    </row>
    <row r="163" spans="1:36" ht="87.45" x14ac:dyDescent="0.4">
      <c r="A163" t="s">
        <v>127</v>
      </c>
      <c r="B163" t="s">
        <v>4156</v>
      </c>
      <c r="C163" t="s">
        <v>1411</v>
      </c>
      <c r="D163" t="s">
        <v>4157</v>
      </c>
      <c r="E163" t="s">
        <v>2679</v>
      </c>
      <c r="F163" t="s">
        <v>4158</v>
      </c>
      <c r="G163">
        <v>42.029397357299999</v>
      </c>
      <c r="H163">
        <v>-93.628202257799998</v>
      </c>
      <c r="I163" t="s">
        <v>1411</v>
      </c>
      <c r="J163" t="s">
        <v>2406</v>
      </c>
      <c r="K163" t="s">
        <v>4147</v>
      </c>
      <c r="L163" t="s">
        <v>2402</v>
      </c>
      <c r="M163">
        <v>49</v>
      </c>
      <c r="N163" t="s">
        <v>3438</v>
      </c>
      <c r="O163" t="s">
        <v>127</v>
      </c>
      <c r="P163" s="1">
        <v>44720</v>
      </c>
      <c r="Q163">
        <v>98</v>
      </c>
      <c r="R163">
        <v>24</v>
      </c>
      <c r="S163" t="s">
        <v>3427</v>
      </c>
      <c r="T163" t="s">
        <v>2689</v>
      </c>
      <c r="U163" s="10" t="s">
        <v>4159</v>
      </c>
      <c r="W163" t="s">
        <v>4160</v>
      </c>
      <c r="X163" t="s">
        <v>2688</v>
      </c>
      <c r="Y163" t="s">
        <v>2688</v>
      </c>
      <c r="Z163" t="s">
        <v>2688</v>
      </c>
      <c r="AA163" t="s">
        <v>2688</v>
      </c>
      <c r="AB163" t="s">
        <v>4161</v>
      </c>
      <c r="AD163" t="s">
        <v>4162</v>
      </c>
      <c r="AE163" t="s">
        <v>4163</v>
      </c>
      <c r="AF163" t="s">
        <v>4164</v>
      </c>
      <c r="AH163" t="s">
        <v>4155</v>
      </c>
      <c r="AJ163" t="s">
        <v>4165</v>
      </c>
    </row>
    <row r="164" spans="1:36" ht="72.900000000000006" x14ac:dyDescent="0.4">
      <c r="A164" t="s">
        <v>112</v>
      </c>
      <c r="B164" t="s">
        <v>4166</v>
      </c>
      <c r="C164" t="s">
        <v>1411</v>
      </c>
      <c r="D164" t="s">
        <v>4167</v>
      </c>
      <c r="E164" t="s">
        <v>2679</v>
      </c>
      <c r="F164" t="s">
        <v>4168</v>
      </c>
      <c r="G164">
        <v>42.031072380700003</v>
      </c>
      <c r="H164">
        <v>-93.630173006299998</v>
      </c>
      <c r="I164" t="s">
        <v>1411</v>
      </c>
      <c r="J164" t="s">
        <v>2406</v>
      </c>
      <c r="K164" t="s">
        <v>4147</v>
      </c>
      <c r="L164" t="s">
        <v>2402</v>
      </c>
      <c r="M164">
        <v>46</v>
      </c>
      <c r="N164" t="s">
        <v>3438</v>
      </c>
      <c r="O164" t="s">
        <v>112</v>
      </c>
      <c r="P164" s="1">
        <v>44720</v>
      </c>
      <c r="Q164">
        <v>113</v>
      </c>
      <c r="R164">
        <v>16</v>
      </c>
      <c r="S164" t="s">
        <v>3607</v>
      </c>
      <c r="T164" t="s">
        <v>2689</v>
      </c>
      <c r="U164" s="10" t="s">
        <v>4169</v>
      </c>
      <c r="W164" t="s">
        <v>4170</v>
      </c>
      <c r="X164" t="s">
        <v>2688</v>
      </c>
      <c r="Y164" t="s">
        <v>2688</v>
      </c>
      <c r="Z164" t="s">
        <v>2688</v>
      </c>
      <c r="AA164" t="s">
        <v>2688</v>
      </c>
      <c r="AB164" s="9" t="s">
        <v>4171</v>
      </c>
      <c r="AD164" t="s">
        <v>4172</v>
      </c>
      <c r="AE164" t="s">
        <v>4173</v>
      </c>
      <c r="AF164" t="s">
        <v>4174</v>
      </c>
      <c r="AG164" t="s">
        <v>4175</v>
      </c>
      <c r="AH164" t="s">
        <v>4176</v>
      </c>
      <c r="AJ164" t="s">
        <v>3771</v>
      </c>
    </row>
    <row r="165" spans="1:36" ht="116.6" x14ac:dyDescent="0.4">
      <c r="A165" t="s">
        <v>130</v>
      </c>
      <c r="B165" t="s">
        <v>4177</v>
      </c>
      <c r="C165" t="s">
        <v>1411</v>
      </c>
      <c r="D165" t="s">
        <v>4178</v>
      </c>
      <c r="E165" t="s">
        <v>2679</v>
      </c>
      <c r="F165" t="s">
        <v>4179</v>
      </c>
      <c r="G165">
        <v>42.028730779299998</v>
      </c>
      <c r="H165">
        <v>-93.628244769099993</v>
      </c>
      <c r="I165" t="s">
        <v>1411</v>
      </c>
      <c r="J165" t="s">
        <v>2406</v>
      </c>
      <c r="K165" t="s">
        <v>4147</v>
      </c>
      <c r="L165" t="s">
        <v>2402</v>
      </c>
      <c r="M165">
        <v>50</v>
      </c>
      <c r="N165" t="s">
        <v>3438</v>
      </c>
      <c r="O165" t="s">
        <v>130</v>
      </c>
      <c r="P165" s="1">
        <v>44720</v>
      </c>
      <c r="Q165">
        <v>67.5</v>
      </c>
      <c r="R165">
        <v>18</v>
      </c>
      <c r="T165" t="s">
        <v>2689</v>
      </c>
      <c r="U165" t="s">
        <v>4180</v>
      </c>
      <c r="W165" t="s">
        <v>4181</v>
      </c>
      <c r="X165" t="s">
        <v>2688</v>
      </c>
      <c r="Y165" t="s">
        <v>2688</v>
      </c>
      <c r="Z165" t="s">
        <v>2689</v>
      </c>
      <c r="AA165" t="s">
        <v>2689</v>
      </c>
      <c r="AB165" t="s">
        <v>4182</v>
      </c>
      <c r="AD165" t="s">
        <v>4183</v>
      </c>
      <c r="AE165" t="s">
        <v>4184</v>
      </c>
      <c r="AH165" t="s">
        <v>3568</v>
      </c>
      <c r="AJ165" s="10" t="s">
        <v>4185</v>
      </c>
    </row>
    <row r="166" spans="1:36" x14ac:dyDescent="0.4">
      <c r="A166" t="s">
        <v>124</v>
      </c>
      <c r="B166" t="s">
        <v>4186</v>
      </c>
      <c r="C166" t="s">
        <v>1411</v>
      </c>
      <c r="D166" t="s">
        <v>4187</v>
      </c>
      <c r="E166" t="s">
        <v>2679</v>
      </c>
      <c r="F166" t="s">
        <v>4188</v>
      </c>
      <c r="G166">
        <v>42.034319252700001</v>
      </c>
      <c r="H166">
        <v>-93.630245011400007</v>
      </c>
      <c r="I166" t="s">
        <v>1411</v>
      </c>
      <c r="J166" t="s">
        <v>2406</v>
      </c>
      <c r="K166" t="s">
        <v>4147</v>
      </c>
      <c r="L166" t="s">
        <v>2402</v>
      </c>
      <c r="M166">
        <v>48</v>
      </c>
      <c r="N166" t="s">
        <v>3438</v>
      </c>
      <c r="O166" t="s">
        <v>124</v>
      </c>
      <c r="P166" s="1">
        <v>44720</v>
      </c>
      <c r="Q166">
        <v>76</v>
      </c>
      <c r="R166">
        <v>20</v>
      </c>
      <c r="S166" t="s">
        <v>3427</v>
      </c>
      <c r="T166" t="s">
        <v>2689</v>
      </c>
      <c r="U166" t="s">
        <v>4189</v>
      </c>
      <c r="W166" t="s">
        <v>4190</v>
      </c>
      <c r="X166" t="s">
        <v>2688</v>
      </c>
      <c r="Y166" t="s">
        <v>2688</v>
      </c>
      <c r="Z166" t="s">
        <v>2688</v>
      </c>
      <c r="AA166" t="s">
        <v>2688</v>
      </c>
      <c r="AB166" t="s">
        <v>4191</v>
      </c>
      <c r="AD166" t="s">
        <v>4192</v>
      </c>
      <c r="AE166" t="s">
        <v>4193</v>
      </c>
      <c r="AF166" t="s">
        <v>4194</v>
      </c>
      <c r="AG166" t="s">
        <v>4195</v>
      </c>
      <c r="AH166" t="s">
        <v>4176</v>
      </c>
      <c r="AJ166" t="s">
        <v>4196</v>
      </c>
    </row>
    <row r="167" spans="1:36" ht="72.900000000000006" x14ac:dyDescent="0.4">
      <c r="A167" t="s">
        <v>199</v>
      </c>
      <c r="B167" t="s">
        <v>4197</v>
      </c>
      <c r="C167" t="s">
        <v>1428</v>
      </c>
      <c r="D167" t="s">
        <v>4198</v>
      </c>
      <c r="E167" t="s">
        <v>2679</v>
      </c>
      <c r="F167" t="s">
        <v>4199</v>
      </c>
      <c r="G167">
        <v>40.703397039400002</v>
      </c>
      <c r="H167">
        <v>-91.796708973199998</v>
      </c>
      <c r="I167" t="s">
        <v>1428</v>
      </c>
      <c r="J167" t="s">
        <v>2406</v>
      </c>
      <c r="K167" t="s">
        <v>4200</v>
      </c>
      <c r="L167" t="s">
        <v>2404</v>
      </c>
      <c r="M167">
        <v>65</v>
      </c>
      <c r="N167" t="s">
        <v>3438</v>
      </c>
      <c r="O167" t="s">
        <v>199</v>
      </c>
      <c r="P167" s="1">
        <v>44721</v>
      </c>
      <c r="Q167">
        <v>36.6</v>
      </c>
      <c r="R167">
        <v>14</v>
      </c>
      <c r="S167" t="s">
        <v>3464</v>
      </c>
      <c r="T167" t="s">
        <v>2689</v>
      </c>
      <c r="U167" s="10" t="s">
        <v>4201</v>
      </c>
      <c r="V167" s="10" t="s">
        <v>4202</v>
      </c>
      <c r="W167" t="s">
        <v>4203</v>
      </c>
      <c r="X167" t="s">
        <v>2688</v>
      </c>
      <c r="Y167" t="s">
        <v>2688</v>
      </c>
      <c r="Z167" t="s">
        <v>2689</v>
      </c>
      <c r="AA167" t="s">
        <v>2689</v>
      </c>
      <c r="AB167" t="s">
        <v>4204</v>
      </c>
      <c r="AD167" t="s">
        <v>4205</v>
      </c>
      <c r="AE167" t="s">
        <v>4206</v>
      </c>
      <c r="AH167" t="s">
        <v>4207</v>
      </c>
    </row>
    <row r="168" spans="1:36" ht="72.900000000000006" x14ac:dyDescent="0.4">
      <c r="A168" t="s">
        <v>190</v>
      </c>
      <c r="B168" t="s">
        <v>4208</v>
      </c>
      <c r="C168" t="s">
        <v>3594</v>
      </c>
      <c r="D168" t="s">
        <v>4209</v>
      </c>
      <c r="E168" t="s">
        <v>2679</v>
      </c>
      <c r="F168" t="s">
        <v>4210</v>
      </c>
      <c r="G168">
        <v>40.706766019600003</v>
      </c>
      <c r="H168">
        <v>-91.793729960999997</v>
      </c>
      <c r="I168" t="s">
        <v>3594</v>
      </c>
      <c r="J168" t="s">
        <v>2406</v>
      </c>
      <c r="K168" t="s">
        <v>4200</v>
      </c>
      <c r="L168" t="s">
        <v>2404</v>
      </c>
      <c r="M168">
        <v>62</v>
      </c>
      <c r="N168" t="s">
        <v>3438</v>
      </c>
      <c r="O168" t="s">
        <v>190</v>
      </c>
      <c r="P168" s="1">
        <v>44721</v>
      </c>
      <c r="Q168">
        <v>27.9</v>
      </c>
      <c r="R168">
        <v>16</v>
      </c>
      <c r="T168" t="s">
        <v>2689</v>
      </c>
      <c r="U168" s="10" t="s">
        <v>4211</v>
      </c>
      <c r="V168" s="10" t="s">
        <v>4212</v>
      </c>
      <c r="W168" t="s">
        <v>4213</v>
      </c>
      <c r="X168" t="s">
        <v>2688</v>
      </c>
      <c r="Y168" t="s">
        <v>2688</v>
      </c>
      <c r="Z168" t="s">
        <v>2689</v>
      </c>
      <c r="AA168" t="s">
        <v>2689</v>
      </c>
      <c r="AB168" t="s">
        <v>4214</v>
      </c>
      <c r="AD168" t="s">
        <v>4215</v>
      </c>
      <c r="AE168" t="s">
        <v>4216</v>
      </c>
      <c r="AH168" t="s">
        <v>4207</v>
      </c>
    </row>
    <row r="169" spans="1:36" ht="160.30000000000001" x14ac:dyDescent="0.4">
      <c r="A169" t="s">
        <v>172</v>
      </c>
      <c r="B169" t="s">
        <v>4217</v>
      </c>
      <c r="C169" t="s">
        <v>3594</v>
      </c>
      <c r="D169" t="s">
        <v>4218</v>
      </c>
      <c r="E169" t="s">
        <v>2679</v>
      </c>
      <c r="F169" t="s">
        <v>4219</v>
      </c>
      <c r="G169">
        <v>40.708853716599997</v>
      </c>
      <c r="H169">
        <v>-91.787103939199994</v>
      </c>
      <c r="I169" t="s">
        <v>3594</v>
      </c>
      <c r="J169" t="s">
        <v>2406</v>
      </c>
      <c r="K169" t="s">
        <v>4200</v>
      </c>
      <c r="L169" t="s">
        <v>2404</v>
      </c>
      <c r="M169">
        <v>56</v>
      </c>
      <c r="N169" t="s">
        <v>3438</v>
      </c>
      <c r="O169" t="s">
        <v>172</v>
      </c>
      <c r="P169" s="1">
        <v>44721</v>
      </c>
      <c r="Q169">
        <v>10.3</v>
      </c>
      <c r="R169">
        <v>9</v>
      </c>
      <c r="S169" t="s">
        <v>3427</v>
      </c>
      <c r="T169" t="s">
        <v>2689</v>
      </c>
      <c r="U169" s="10" t="s">
        <v>4220</v>
      </c>
      <c r="V169" s="10" t="s">
        <v>4221</v>
      </c>
      <c r="W169" t="s">
        <v>4222</v>
      </c>
      <c r="X169" t="s">
        <v>2688</v>
      </c>
      <c r="Y169" t="s">
        <v>2688</v>
      </c>
      <c r="Z169" t="s">
        <v>2689</v>
      </c>
      <c r="AA169" t="s">
        <v>2688</v>
      </c>
      <c r="AB169" t="s">
        <v>4223</v>
      </c>
      <c r="AC169" t="s">
        <v>4224</v>
      </c>
      <c r="AE169" t="s">
        <v>4225</v>
      </c>
      <c r="AH169" t="s">
        <v>3568</v>
      </c>
      <c r="AJ169" s="10" t="s">
        <v>4226</v>
      </c>
    </row>
    <row r="170" spans="1:36" ht="116.6" x14ac:dyDescent="0.4">
      <c r="A170" t="s">
        <v>169</v>
      </c>
      <c r="B170" t="s">
        <v>4227</v>
      </c>
      <c r="C170" t="s">
        <v>3594</v>
      </c>
      <c r="D170" t="s">
        <v>4228</v>
      </c>
      <c r="E170" t="s">
        <v>2679</v>
      </c>
      <c r="F170" t="s">
        <v>4229</v>
      </c>
      <c r="G170">
        <v>40.7088689972</v>
      </c>
      <c r="H170">
        <v>-91.787107503100003</v>
      </c>
      <c r="I170" t="s">
        <v>3594</v>
      </c>
      <c r="J170" t="s">
        <v>2406</v>
      </c>
      <c r="K170" t="s">
        <v>4200</v>
      </c>
      <c r="L170" t="s">
        <v>2404</v>
      </c>
      <c r="M170">
        <v>55</v>
      </c>
      <c r="N170" t="s">
        <v>3438</v>
      </c>
      <c r="O170" t="s">
        <v>169</v>
      </c>
      <c r="P170" s="1">
        <v>44721</v>
      </c>
      <c r="Q170">
        <v>16.399999999999999</v>
      </c>
      <c r="R170">
        <v>13</v>
      </c>
      <c r="S170" t="s">
        <v>3427</v>
      </c>
      <c r="T170" t="s">
        <v>2689</v>
      </c>
      <c r="U170" s="10" t="s">
        <v>4230</v>
      </c>
      <c r="V170" s="10" t="s">
        <v>4231</v>
      </c>
      <c r="W170" t="s">
        <v>4232</v>
      </c>
      <c r="X170" t="s">
        <v>2688</v>
      </c>
      <c r="Y170" t="s">
        <v>2688</v>
      </c>
      <c r="Z170" t="s">
        <v>2689</v>
      </c>
      <c r="AA170" t="s">
        <v>2688</v>
      </c>
      <c r="AB170" t="s">
        <v>4233</v>
      </c>
      <c r="AD170" t="s">
        <v>4234</v>
      </c>
      <c r="AE170" t="s">
        <v>4235</v>
      </c>
      <c r="AG170" t="s">
        <v>4236</v>
      </c>
      <c r="AH170" t="s">
        <v>3568</v>
      </c>
    </row>
    <row r="171" spans="1:36" x14ac:dyDescent="0.4">
      <c r="A171" t="s">
        <v>154</v>
      </c>
      <c r="B171" t="s">
        <v>4237</v>
      </c>
      <c r="C171" t="s">
        <v>3448</v>
      </c>
      <c r="D171" t="s">
        <v>4238</v>
      </c>
      <c r="E171" t="s">
        <v>2679</v>
      </c>
      <c r="F171" t="s">
        <v>4239</v>
      </c>
      <c r="G171">
        <v>40.710377002400001</v>
      </c>
      <c r="H171">
        <v>-91.797389443699998</v>
      </c>
      <c r="I171" t="s">
        <v>3448</v>
      </c>
      <c r="J171" t="s">
        <v>2406</v>
      </c>
      <c r="K171" t="s">
        <v>4200</v>
      </c>
      <c r="L171" t="s">
        <v>2404</v>
      </c>
      <c r="M171">
        <v>51</v>
      </c>
      <c r="N171" t="s">
        <v>3438</v>
      </c>
      <c r="O171" t="s">
        <v>154</v>
      </c>
      <c r="P171" s="1">
        <v>44721</v>
      </c>
      <c r="Q171">
        <v>78</v>
      </c>
      <c r="R171">
        <v>22</v>
      </c>
      <c r="S171" t="s">
        <v>3427</v>
      </c>
      <c r="T171" t="s">
        <v>2689</v>
      </c>
      <c r="U171" t="s">
        <v>3597</v>
      </c>
      <c r="W171" t="s">
        <v>4240</v>
      </c>
      <c r="X171" t="s">
        <v>2688</v>
      </c>
      <c r="Y171" t="s">
        <v>2688</v>
      </c>
      <c r="Z171" t="s">
        <v>2747</v>
      </c>
      <c r="AA171" t="s">
        <v>2688</v>
      </c>
      <c r="AB171" t="s">
        <v>4241</v>
      </c>
      <c r="AD171" t="s">
        <v>4242</v>
      </c>
      <c r="AE171" t="s">
        <v>4243</v>
      </c>
      <c r="AH171" t="s">
        <v>4155</v>
      </c>
      <c r="AJ171" t="s">
        <v>4244</v>
      </c>
    </row>
    <row r="172" spans="1:36" ht="87.45" x14ac:dyDescent="0.4">
      <c r="A172" t="s">
        <v>160</v>
      </c>
      <c r="B172" t="s">
        <v>4245</v>
      </c>
      <c r="C172" t="s">
        <v>3448</v>
      </c>
      <c r="D172" t="s">
        <v>4246</v>
      </c>
      <c r="E172" t="s">
        <v>2679</v>
      </c>
      <c r="F172" t="s">
        <v>4247</v>
      </c>
      <c r="G172">
        <v>40.710434251000002</v>
      </c>
      <c r="H172">
        <v>-91.797422504400004</v>
      </c>
      <c r="I172" t="s">
        <v>3448</v>
      </c>
      <c r="J172" t="s">
        <v>2406</v>
      </c>
      <c r="K172" t="s">
        <v>4200</v>
      </c>
      <c r="L172" t="s">
        <v>2404</v>
      </c>
      <c r="M172">
        <v>52</v>
      </c>
      <c r="N172" t="s">
        <v>3438</v>
      </c>
      <c r="O172" t="s">
        <v>160</v>
      </c>
      <c r="P172" s="1">
        <v>44721</v>
      </c>
      <c r="Q172">
        <v>48.1</v>
      </c>
      <c r="R172">
        <v>18</v>
      </c>
      <c r="S172" t="s">
        <v>3427</v>
      </c>
      <c r="T172" t="s">
        <v>2689</v>
      </c>
      <c r="U172" t="s">
        <v>4248</v>
      </c>
      <c r="V172" s="10" t="s">
        <v>4249</v>
      </c>
      <c r="W172" t="s">
        <v>4250</v>
      </c>
      <c r="X172" t="s">
        <v>2688</v>
      </c>
      <c r="Y172" t="s">
        <v>2688</v>
      </c>
      <c r="Z172" t="s">
        <v>2689</v>
      </c>
      <c r="AA172" t="s">
        <v>2688</v>
      </c>
      <c r="AB172" t="s">
        <v>4251</v>
      </c>
      <c r="AD172" t="s">
        <v>4252</v>
      </c>
      <c r="AE172" t="s">
        <v>4253</v>
      </c>
      <c r="AH172" t="s">
        <v>4155</v>
      </c>
      <c r="AJ172" t="s">
        <v>4244</v>
      </c>
    </row>
    <row r="173" spans="1:36" ht="102" x14ac:dyDescent="0.4">
      <c r="A173" t="s">
        <v>193</v>
      </c>
      <c r="B173" t="s">
        <v>4254</v>
      </c>
      <c r="C173" t="s">
        <v>1428</v>
      </c>
      <c r="D173" t="s">
        <v>4255</v>
      </c>
      <c r="E173" t="s">
        <v>2679</v>
      </c>
      <c r="F173" t="s">
        <v>4256</v>
      </c>
      <c r="G173">
        <v>40.704207066499997</v>
      </c>
      <c r="H173">
        <v>-91.796746440299998</v>
      </c>
      <c r="I173" t="s">
        <v>1428</v>
      </c>
      <c r="J173" t="s">
        <v>2406</v>
      </c>
      <c r="K173" t="s">
        <v>4200</v>
      </c>
      <c r="L173" t="s">
        <v>2404</v>
      </c>
      <c r="M173">
        <v>63</v>
      </c>
      <c r="N173" t="s">
        <v>3438</v>
      </c>
      <c r="O173" t="s">
        <v>193</v>
      </c>
      <c r="P173" s="1">
        <v>44721</v>
      </c>
      <c r="Q173">
        <v>35.5</v>
      </c>
      <c r="R173">
        <v>21</v>
      </c>
      <c r="T173" t="s">
        <v>2689</v>
      </c>
      <c r="U173" s="10" t="s">
        <v>4257</v>
      </c>
      <c r="V173" s="10" t="s">
        <v>4258</v>
      </c>
      <c r="W173" t="s">
        <v>4213</v>
      </c>
      <c r="X173" t="s">
        <v>2688</v>
      </c>
      <c r="Y173" t="s">
        <v>2688</v>
      </c>
      <c r="Z173" t="s">
        <v>2689</v>
      </c>
      <c r="AA173" t="s">
        <v>2689</v>
      </c>
      <c r="AB173" t="s">
        <v>4259</v>
      </c>
      <c r="AD173" t="s">
        <v>4260</v>
      </c>
      <c r="AE173" t="s">
        <v>4261</v>
      </c>
      <c r="AH173" t="s">
        <v>4207</v>
      </c>
    </row>
    <row r="174" spans="1:36" ht="58.3" x14ac:dyDescent="0.4">
      <c r="A174" t="s">
        <v>175</v>
      </c>
      <c r="B174" t="s">
        <v>4262</v>
      </c>
      <c r="C174" t="s">
        <v>3594</v>
      </c>
      <c r="D174" t="s">
        <v>4263</v>
      </c>
      <c r="E174" t="s">
        <v>2679</v>
      </c>
      <c r="F174" t="s">
        <v>4264</v>
      </c>
      <c r="G174">
        <v>40.707071898800002</v>
      </c>
      <c r="H174">
        <v>-91.789413759499993</v>
      </c>
      <c r="I174" t="s">
        <v>3594</v>
      </c>
      <c r="J174" t="s">
        <v>2406</v>
      </c>
      <c r="K174" t="s">
        <v>4200</v>
      </c>
      <c r="L174" t="s">
        <v>2404</v>
      </c>
      <c r="M174">
        <v>57</v>
      </c>
      <c r="N174" t="s">
        <v>3438</v>
      </c>
      <c r="O174" t="s">
        <v>175</v>
      </c>
      <c r="P174" s="1">
        <v>44721</v>
      </c>
      <c r="Q174">
        <v>49.5</v>
      </c>
      <c r="R174">
        <v>21</v>
      </c>
      <c r="S174" t="s">
        <v>3427</v>
      </c>
      <c r="T174" t="s">
        <v>2689</v>
      </c>
      <c r="U174" s="10" t="s">
        <v>4265</v>
      </c>
      <c r="V174" s="10" t="s">
        <v>4266</v>
      </c>
      <c r="W174" t="s">
        <v>4267</v>
      </c>
      <c r="X174" t="s">
        <v>2688</v>
      </c>
      <c r="Y174" t="s">
        <v>2688</v>
      </c>
      <c r="Z174" t="s">
        <v>2689</v>
      </c>
      <c r="AA174" t="s">
        <v>2689</v>
      </c>
      <c r="AB174" t="s">
        <v>4268</v>
      </c>
      <c r="AD174" t="s">
        <v>4269</v>
      </c>
      <c r="AE174" s="9" t="s">
        <v>4270</v>
      </c>
      <c r="AH174" t="s">
        <v>3568</v>
      </c>
    </row>
    <row r="175" spans="1:36" ht="131.15" x14ac:dyDescent="0.4">
      <c r="A175" t="s">
        <v>181</v>
      </c>
      <c r="B175" t="s">
        <v>4271</v>
      </c>
      <c r="C175" t="s">
        <v>1411</v>
      </c>
      <c r="D175" t="s">
        <v>4272</v>
      </c>
      <c r="E175" t="s">
        <v>2679</v>
      </c>
      <c r="F175" t="s">
        <v>4273</v>
      </c>
      <c r="G175">
        <v>40.707681113900001</v>
      </c>
      <c r="H175">
        <v>-91.792458929199995</v>
      </c>
      <c r="I175" t="s">
        <v>1411</v>
      </c>
      <c r="J175" t="s">
        <v>2406</v>
      </c>
      <c r="K175" t="s">
        <v>4200</v>
      </c>
      <c r="L175" t="s">
        <v>2404</v>
      </c>
      <c r="M175">
        <v>59</v>
      </c>
      <c r="N175" t="s">
        <v>3438</v>
      </c>
      <c r="O175" t="s">
        <v>181</v>
      </c>
      <c r="P175" s="1">
        <v>44721</v>
      </c>
      <c r="Q175">
        <v>38.4</v>
      </c>
      <c r="R175">
        <v>21</v>
      </c>
      <c r="S175" t="s">
        <v>3427</v>
      </c>
      <c r="T175" t="s">
        <v>2689</v>
      </c>
      <c r="U175" s="10" t="s">
        <v>4274</v>
      </c>
      <c r="V175" s="10" t="s">
        <v>4275</v>
      </c>
      <c r="W175" t="s">
        <v>4276</v>
      </c>
      <c r="X175" t="s">
        <v>2688</v>
      </c>
      <c r="Y175" t="s">
        <v>2688</v>
      </c>
      <c r="Z175" t="s">
        <v>2688</v>
      </c>
      <c r="AA175" t="s">
        <v>2688</v>
      </c>
      <c r="AB175" t="s">
        <v>4277</v>
      </c>
      <c r="AD175" t="s">
        <v>4278</v>
      </c>
      <c r="AE175" t="s">
        <v>4279</v>
      </c>
      <c r="AF175" t="s">
        <v>4280</v>
      </c>
      <c r="AH175" t="s">
        <v>3568</v>
      </c>
      <c r="AJ175" s="10" t="s">
        <v>4281</v>
      </c>
    </row>
    <row r="176" spans="1:36" ht="145.75" x14ac:dyDescent="0.4">
      <c r="A176" t="s">
        <v>166</v>
      </c>
      <c r="B176" t="s">
        <v>4282</v>
      </c>
      <c r="C176" t="s">
        <v>3448</v>
      </c>
      <c r="D176" t="s">
        <v>4283</v>
      </c>
      <c r="E176" t="s">
        <v>2679</v>
      </c>
      <c r="F176" t="s">
        <v>4284</v>
      </c>
      <c r="G176">
        <v>40.710655222699998</v>
      </c>
      <c r="H176">
        <v>-91.792027596500006</v>
      </c>
      <c r="I176" t="s">
        <v>3448</v>
      </c>
      <c r="J176" t="s">
        <v>2406</v>
      </c>
      <c r="K176" t="s">
        <v>4200</v>
      </c>
      <c r="L176" t="s">
        <v>2404</v>
      </c>
      <c r="M176">
        <v>54</v>
      </c>
      <c r="N176" t="s">
        <v>3438</v>
      </c>
      <c r="O176" t="s">
        <v>166</v>
      </c>
      <c r="P176" s="1">
        <v>44721</v>
      </c>
      <c r="Q176">
        <v>18</v>
      </c>
      <c r="R176">
        <v>10</v>
      </c>
      <c r="S176" t="s">
        <v>3427</v>
      </c>
      <c r="T176" t="s">
        <v>2689</v>
      </c>
      <c r="U176" s="10" t="s">
        <v>4285</v>
      </c>
      <c r="V176" s="10" t="s">
        <v>4286</v>
      </c>
      <c r="W176" t="s">
        <v>4287</v>
      </c>
      <c r="X176" t="s">
        <v>2688</v>
      </c>
      <c r="Y176" t="s">
        <v>2688</v>
      </c>
      <c r="Z176" t="s">
        <v>2689</v>
      </c>
      <c r="AA176" t="s">
        <v>2689</v>
      </c>
      <c r="AB176" t="s">
        <v>4288</v>
      </c>
      <c r="AD176" t="s">
        <v>4289</v>
      </c>
      <c r="AE176" t="s">
        <v>4290</v>
      </c>
      <c r="AH176" t="s">
        <v>4207</v>
      </c>
    </row>
    <row r="177" spans="1:36" ht="102" x14ac:dyDescent="0.4">
      <c r="A177" t="s">
        <v>187</v>
      </c>
      <c r="B177" t="s">
        <v>4291</v>
      </c>
      <c r="C177" t="s">
        <v>3448</v>
      </c>
      <c r="D177" t="s">
        <v>4292</v>
      </c>
      <c r="E177" t="s">
        <v>2679</v>
      </c>
      <c r="F177" t="s">
        <v>4293</v>
      </c>
      <c r="G177">
        <v>40.7068383075</v>
      </c>
      <c r="H177">
        <v>-91.793356259500001</v>
      </c>
      <c r="I177" t="s">
        <v>3448</v>
      </c>
      <c r="J177" t="s">
        <v>2406</v>
      </c>
      <c r="K177" t="s">
        <v>4200</v>
      </c>
      <c r="L177" t="s">
        <v>2404</v>
      </c>
      <c r="M177">
        <v>61</v>
      </c>
      <c r="N177" t="s">
        <v>3438</v>
      </c>
      <c r="O177" t="s">
        <v>187</v>
      </c>
      <c r="P177" s="1">
        <v>44721</v>
      </c>
      <c r="Q177">
        <v>38.4</v>
      </c>
      <c r="R177">
        <v>17</v>
      </c>
      <c r="T177" t="s">
        <v>2688</v>
      </c>
      <c r="U177" s="10" t="s">
        <v>4294</v>
      </c>
      <c r="V177" s="10" t="s">
        <v>4295</v>
      </c>
      <c r="W177" t="s">
        <v>4296</v>
      </c>
      <c r="X177" t="s">
        <v>2688</v>
      </c>
      <c r="Y177" t="s">
        <v>2688</v>
      </c>
      <c r="Z177" t="s">
        <v>2689</v>
      </c>
      <c r="AA177" t="s">
        <v>2689</v>
      </c>
      <c r="AB177" t="s">
        <v>4297</v>
      </c>
      <c r="AC177" t="s">
        <v>4298</v>
      </c>
      <c r="AD177" t="s">
        <v>4299</v>
      </c>
      <c r="AE177" t="s">
        <v>4300</v>
      </c>
      <c r="AH177" t="s">
        <v>4207</v>
      </c>
      <c r="AJ177" t="s">
        <v>4301</v>
      </c>
    </row>
    <row r="178" spans="1:36" ht="131.15" x14ac:dyDescent="0.4">
      <c r="A178" t="s">
        <v>178</v>
      </c>
      <c r="B178" t="s">
        <v>4302</v>
      </c>
      <c r="C178" t="s">
        <v>3594</v>
      </c>
      <c r="D178" t="s">
        <v>4303</v>
      </c>
      <c r="E178" t="s">
        <v>2679</v>
      </c>
      <c r="F178" t="s">
        <v>4304</v>
      </c>
      <c r="G178">
        <v>40.7068740709</v>
      </c>
      <c r="H178">
        <v>-91.790795836200004</v>
      </c>
      <c r="I178" t="s">
        <v>3594</v>
      </c>
      <c r="J178" t="s">
        <v>2406</v>
      </c>
      <c r="K178" t="s">
        <v>4200</v>
      </c>
      <c r="L178" t="s">
        <v>2404</v>
      </c>
      <c r="M178">
        <v>58</v>
      </c>
      <c r="N178" t="s">
        <v>3438</v>
      </c>
      <c r="O178" t="s">
        <v>178</v>
      </c>
      <c r="P178" s="1">
        <v>44721</v>
      </c>
      <c r="Q178">
        <v>73.400000000000006</v>
      </c>
      <c r="R178">
        <v>19</v>
      </c>
      <c r="T178" t="s">
        <v>2689</v>
      </c>
      <c r="U178" s="10" t="s">
        <v>4305</v>
      </c>
      <c r="V178" s="10" t="s">
        <v>4306</v>
      </c>
      <c r="W178" t="s">
        <v>4307</v>
      </c>
      <c r="X178" t="s">
        <v>2688</v>
      </c>
      <c r="Y178" t="s">
        <v>2688</v>
      </c>
      <c r="Z178" t="s">
        <v>2689</v>
      </c>
      <c r="AA178" t="s">
        <v>2689</v>
      </c>
      <c r="AB178" t="s">
        <v>4308</v>
      </c>
      <c r="AD178" s="9" t="s">
        <v>4309</v>
      </c>
      <c r="AE178" t="s">
        <v>4310</v>
      </c>
      <c r="AH178" t="s">
        <v>4207</v>
      </c>
    </row>
    <row r="179" spans="1:36" x14ac:dyDescent="0.4">
      <c r="A179" t="s">
        <v>163</v>
      </c>
      <c r="B179" t="s">
        <v>4311</v>
      </c>
      <c r="C179" t="s">
        <v>3448</v>
      </c>
      <c r="D179" t="s">
        <v>4312</v>
      </c>
      <c r="E179" t="s">
        <v>2679</v>
      </c>
      <c r="F179" t="s">
        <v>4313</v>
      </c>
      <c r="G179">
        <v>40.710810455500003</v>
      </c>
      <c r="H179">
        <v>-91.794374194100001</v>
      </c>
      <c r="I179" t="s">
        <v>3448</v>
      </c>
      <c r="J179" t="s">
        <v>2406</v>
      </c>
      <c r="K179" t="s">
        <v>4200</v>
      </c>
      <c r="L179" t="s">
        <v>2404</v>
      </c>
      <c r="M179">
        <v>53</v>
      </c>
      <c r="N179" t="s">
        <v>3438</v>
      </c>
      <c r="O179" t="s">
        <v>163</v>
      </c>
      <c r="P179" s="1">
        <v>44721</v>
      </c>
      <c r="Q179">
        <v>43</v>
      </c>
      <c r="R179">
        <v>17</v>
      </c>
      <c r="S179" t="s">
        <v>3427</v>
      </c>
      <c r="T179" t="s">
        <v>2689</v>
      </c>
      <c r="U179" t="s">
        <v>4314</v>
      </c>
      <c r="V179" t="s">
        <v>4315</v>
      </c>
      <c r="W179" t="s">
        <v>4316</v>
      </c>
      <c r="X179" t="s">
        <v>2688</v>
      </c>
      <c r="Y179" t="s">
        <v>2688</v>
      </c>
      <c r="Z179" t="s">
        <v>2689</v>
      </c>
      <c r="AA179" t="s">
        <v>2689</v>
      </c>
      <c r="AB179" t="s">
        <v>4317</v>
      </c>
      <c r="AD179" t="s">
        <v>4318</v>
      </c>
      <c r="AE179" t="s">
        <v>4319</v>
      </c>
      <c r="AH179" t="s">
        <v>3568</v>
      </c>
    </row>
    <row r="180" spans="1:36" ht="72.900000000000006" x14ac:dyDescent="0.4">
      <c r="A180" t="s">
        <v>196</v>
      </c>
      <c r="B180" t="s">
        <v>4320</v>
      </c>
      <c r="C180" t="s">
        <v>3448</v>
      </c>
      <c r="D180" t="s">
        <v>4321</v>
      </c>
      <c r="E180" t="s">
        <v>2679</v>
      </c>
      <c r="F180" t="s">
        <v>4322</v>
      </c>
      <c r="G180">
        <v>40.703853909899998</v>
      </c>
      <c r="H180">
        <v>-91.796822024199997</v>
      </c>
      <c r="I180" t="s">
        <v>3448</v>
      </c>
      <c r="J180" t="s">
        <v>2406</v>
      </c>
      <c r="K180" t="s">
        <v>4200</v>
      </c>
      <c r="L180" t="s">
        <v>2404</v>
      </c>
      <c r="M180">
        <v>64</v>
      </c>
      <c r="N180" t="s">
        <v>3438</v>
      </c>
      <c r="O180" t="s">
        <v>196</v>
      </c>
      <c r="P180" s="1">
        <v>44721</v>
      </c>
      <c r="Q180">
        <v>59.4</v>
      </c>
      <c r="R180">
        <v>20</v>
      </c>
      <c r="T180" t="s">
        <v>2689</v>
      </c>
      <c r="U180" t="s">
        <v>4323</v>
      </c>
      <c r="V180" s="10" t="s">
        <v>4324</v>
      </c>
      <c r="W180" t="s">
        <v>4213</v>
      </c>
      <c r="X180" t="s">
        <v>2688</v>
      </c>
      <c r="Y180" t="s">
        <v>2688</v>
      </c>
      <c r="Z180" t="s">
        <v>2689</v>
      </c>
      <c r="AA180" t="s">
        <v>2689</v>
      </c>
      <c r="AB180" t="s">
        <v>4325</v>
      </c>
      <c r="AD180" t="s">
        <v>4326</v>
      </c>
      <c r="AE180" t="s">
        <v>4327</v>
      </c>
      <c r="AH180" t="s">
        <v>4207</v>
      </c>
    </row>
    <row r="181" spans="1:36" ht="87.45" x14ac:dyDescent="0.4">
      <c r="A181" t="s">
        <v>184</v>
      </c>
      <c r="B181" t="s">
        <v>4328</v>
      </c>
      <c r="C181" t="s">
        <v>1411</v>
      </c>
      <c r="D181" t="s">
        <v>4329</v>
      </c>
      <c r="E181" t="s">
        <v>2679</v>
      </c>
      <c r="F181" t="s">
        <v>4330</v>
      </c>
      <c r="G181">
        <v>40.7071753918</v>
      </c>
      <c r="H181">
        <v>-91.792745925600002</v>
      </c>
      <c r="I181" t="s">
        <v>1411</v>
      </c>
      <c r="J181" t="s">
        <v>2406</v>
      </c>
      <c r="K181" t="s">
        <v>4200</v>
      </c>
      <c r="L181" t="s">
        <v>2404</v>
      </c>
      <c r="M181">
        <v>60</v>
      </c>
      <c r="N181" t="s">
        <v>3438</v>
      </c>
      <c r="O181" t="s">
        <v>184</v>
      </c>
      <c r="P181" s="1">
        <v>44721</v>
      </c>
      <c r="Q181">
        <v>11.5</v>
      </c>
      <c r="R181">
        <v>6</v>
      </c>
      <c r="S181" t="s">
        <v>3427</v>
      </c>
      <c r="T181" t="s">
        <v>2689</v>
      </c>
      <c r="U181" s="10" t="s">
        <v>4331</v>
      </c>
      <c r="V181" s="10" t="s">
        <v>4332</v>
      </c>
      <c r="W181" t="s">
        <v>4333</v>
      </c>
      <c r="X181" t="s">
        <v>2688</v>
      </c>
      <c r="Y181" t="s">
        <v>2688</v>
      </c>
      <c r="Z181" t="s">
        <v>2688</v>
      </c>
      <c r="AA181" t="s">
        <v>2688</v>
      </c>
      <c r="AB181" t="s">
        <v>4334</v>
      </c>
      <c r="AD181" t="s">
        <v>4335</v>
      </c>
      <c r="AE181" t="s">
        <v>4336</v>
      </c>
      <c r="AF181" t="s">
        <v>4337</v>
      </c>
      <c r="AH181" t="s">
        <v>3568</v>
      </c>
      <c r="AJ181" t="s">
        <v>4338</v>
      </c>
    </row>
    <row r="182" spans="1:36" x14ac:dyDescent="0.4">
      <c r="A182" t="s">
        <v>151</v>
      </c>
      <c r="B182" t="s">
        <v>4339</v>
      </c>
      <c r="C182" t="s">
        <v>1411</v>
      </c>
      <c r="D182" t="s">
        <v>4340</v>
      </c>
      <c r="E182" t="s">
        <v>2679</v>
      </c>
      <c r="F182" t="s">
        <v>4341</v>
      </c>
      <c r="G182">
        <v>41.974527821099997</v>
      </c>
      <c r="H182">
        <v>-91.7245444263</v>
      </c>
      <c r="I182" t="s">
        <v>1411</v>
      </c>
      <c r="J182" t="s">
        <v>2406</v>
      </c>
      <c r="K182" t="s">
        <v>3560</v>
      </c>
      <c r="L182" t="s">
        <v>2403</v>
      </c>
      <c r="M182">
        <v>70</v>
      </c>
      <c r="N182" t="s">
        <v>3438</v>
      </c>
      <c r="O182" t="s">
        <v>151</v>
      </c>
      <c r="P182" s="1">
        <v>44722</v>
      </c>
      <c r="Q182">
        <v>69.2</v>
      </c>
      <c r="R182">
        <v>17</v>
      </c>
      <c r="S182" t="s">
        <v>3518</v>
      </c>
      <c r="T182" t="s">
        <v>2689</v>
      </c>
      <c r="U182" t="s">
        <v>4342</v>
      </c>
      <c r="V182" t="s">
        <v>4343</v>
      </c>
      <c r="W182" t="s">
        <v>4344</v>
      </c>
      <c r="X182" t="s">
        <v>2688</v>
      </c>
      <c r="Y182" t="s">
        <v>2688</v>
      </c>
      <c r="Z182" t="s">
        <v>2689</v>
      </c>
      <c r="AA182" t="s">
        <v>2689</v>
      </c>
      <c r="AB182" t="s">
        <v>4345</v>
      </c>
      <c r="AD182" t="s">
        <v>4346</v>
      </c>
      <c r="AE182" t="s">
        <v>4347</v>
      </c>
      <c r="AG182" t="s">
        <v>4348</v>
      </c>
      <c r="AH182" t="s">
        <v>3445</v>
      </c>
      <c r="AJ182" t="s">
        <v>4349</v>
      </c>
    </row>
    <row r="183" spans="1:36" x14ac:dyDescent="0.4">
      <c r="A183" t="s">
        <v>133</v>
      </c>
      <c r="B183" t="s">
        <v>4350</v>
      </c>
      <c r="C183" t="s">
        <v>1411</v>
      </c>
      <c r="D183" t="s">
        <v>4351</v>
      </c>
      <c r="E183" t="s">
        <v>2679</v>
      </c>
      <c r="F183" t="s">
        <v>4352</v>
      </c>
      <c r="G183">
        <v>41.9747171319</v>
      </c>
      <c r="H183">
        <v>-91.721692700000006</v>
      </c>
      <c r="I183" t="s">
        <v>1411</v>
      </c>
      <c r="J183" t="s">
        <v>2406</v>
      </c>
      <c r="K183" t="s">
        <v>3560</v>
      </c>
      <c r="L183" t="s">
        <v>2403</v>
      </c>
      <c r="M183">
        <v>66</v>
      </c>
      <c r="N183" t="s">
        <v>3438</v>
      </c>
      <c r="O183" t="s">
        <v>133</v>
      </c>
      <c r="P183" s="1">
        <v>44722</v>
      </c>
      <c r="Q183">
        <v>107</v>
      </c>
      <c r="R183">
        <v>18</v>
      </c>
      <c r="S183" t="s">
        <v>3518</v>
      </c>
      <c r="T183" t="s">
        <v>2689</v>
      </c>
      <c r="U183" t="s">
        <v>4353</v>
      </c>
      <c r="V183" t="s">
        <v>4354</v>
      </c>
      <c r="W183" t="s">
        <v>4355</v>
      </c>
      <c r="X183" t="s">
        <v>2688</v>
      </c>
      <c r="Y183" t="s">
        <v>2688</v>
      </c>
      <c r="Z183" t="s">
        <v>2688</v>
      </c>
      <c r="AA183" t="s">
        <v>2688</v>
      </c>
      <c r="AB183" t="s">
        <v>4356</v>
      </c>
      <c r="AD183" t="s">
        <v>4357</v>
      </c>
      <c r="AE183" t="s">
        <v>4358</v>
      </c>
      <c r="AF183" t="s">
        <v>4359</v>
      </c>
      <c r="AH183" t="s">
        <v>3568</v>
      </c>
      <c r="AJ183" t="s">
        <v>4360</v>
      </c>
    </row>
    <row r="184" spans="1:36" x14ac:dyDescent="0.4">
      <c r="A184" t="s">
        <v>142</v>
      </c>
      <c r="B184" t="s">
        <v>4361</v>
      </c>
      <c r="C184" t="s">
        <v>1428</v>
      </c>
      <c r="D184" t="s">
        <v>4362</v>
      </c>
      <c r="E184" t="s">
        <v>2679</v>
      </c>
      <c r="F184" t="s">
        <v>4363</v>
      </c>
      <c r="G184">
        <v>41.973334453100001</v>
      </c>
      <c r="H184">
        <v>-91.724763996999997</v>
      </c>
      <c r="I184" t="s">
        <v>1428</v>
      </c>
      <c r="J184" t="s">
        <v>2406</v>
      </c>
      <c r="K184" t="s">
        <v>3560</v>
      </c>
      <c r="L184" t="s">
        <v>2403</v>
      </c>
      <c r="M184">
        <v>68</v>
      </c>
      <c r="N184" t="s">
        <v>3438</v>
      </c>
      <c r="O184" t="s">
        <v>142</v>
      </c>
      <c r="P184" s="1">
        <v>44722</v>
      </c>
      <c r="Q184">
        <v>49</v>
      </c>
      <c r="R184">
        <v>17</v>
      </c>
      <c r="S184" t="s">
        <v>3464</v>
      </c>
      <c r="T184" t="s">
        <v>2688</v>
      </c>
      <c r="U184" t="s">
        <v>3561</v>
      </c>
      <c r="V184" t="s">
        <v>4364</v>
      </c>
      <c r="W184" t="s">
        <v>3574</v>
      </c>
      <c r="X184" t="s">
        <v>2688</v>
      </c>
      <c r="Y184" t="s">
        <v>2688</v>
      </c>
      <c r="Z184" t="s">
        <v>2688</v>
      </c>
      <c r="AA184" t="s">
        <v>2688</v>
      </c>
      <c r="AB184" t="s">
        <v>4365</v>
      </c>
      <c r="AC184" t="s">
        <v>4366</v>
      </c>
      <c r="AD184" t="s">
        <v>4367</v>
      </c>
      <c r="AE184" t="s">
        <v>4368</v>
      </c>
      <c r="AF184" t="s">
        <v>4369</v>
      </c>
      <c r="AH184" t="s">
        <v>3568</v>
      </c>
    </row>
    <row r="185" spans="1:36" ht="145.75" x14ac:dyDescent="0.4">
      <c r="A185" t="s">
        <v>886</v>
      </c>
      <c r="B185" t="s">
        <v>4370</v>
      </c>
      <c r="C185" t="s">
        <v>1411</v>
      </c>
      <c r="D185" t="s">
        <v>4371</v>
      </c>
      <c r="E185" t="s">
        <v>2679</v>
      </c>
      <c r="F185" t="s">
        <v>4372</v>
      </c>
      <c r="G185">
        <v>38.0621759012</v>
      </c>
      <c r="H185">
        <v>-84.505813503699997</v>
      </c>
      <c r="I185" t="s">
        <v>1411</v>
      </c>
      <c r="J185" t="s">
        <v>2424</v>
      </c>
      <c r="K185" t="s">
        <v>4373</v>
      </c>
      <c r="L185" t="s">
        <v>2430</v>
      </c>
      <c r="M185">
        <v>169</v>
      </c>
      <c r="N185" t="s">
        <v>3438</v>
      </c>
      <c r="O185" t="s">
        <v>886</v>
      </c>
      <c r="P185" s="1">
        <v>44754</v>
      </c>
      <c r="Q185">
        <v>132</v>
      </c>
      <c r="R185">
        <v>27</v>
      </c>
      <c r="S185" t="s">
        <v>4374</v>
      </c>
      <c r="T185" t="s">
        <v>2689</v>
      </c>
      <c r="U185" s="10" t="s">
        <v>4375</v>
      </c>
      <c r="V185" s="10" t="s">
        <v>4376</v>
      </c>
      <c r="W185" t="s">
        <v>4377</v>
      </c>
      <c r="X185" t="s">
        <v>2688</v>
      </c>
      <c r="Y185" t="s">
        <v>2688</v>
      </c>
      <c r="Z185" t="s">
        <v>2689</v>
      </c>
      <c r="AA185" t="s">
        <v>2689</v>
      </c>
      <c r="AB185" t="s">
        <v>4378</v>
      </c>
      <c r="AD185" t="s">
        <v>4379</v>
      </c>
      <c r="AE185" t="s">
        <v>4380</v>
      </c>
      <c r="AH185" t="s">
        <v>4381</v>
      </c>
      <c r="AJ185" t="s">
        <v>4382</v>
      </c>
    </row>
    <row r="186" spans="1:36" x14ac:dyDescent="0.4">
      <c r="A186" t="s">
        <v>745</v>
      </c>
      <c r="B186" t="s">
        <v>4383</v>
      </c>
      <c r="C186" t="s">
        <v>1411</v>
      </c>
      <c r="D186" t="s">
        <v>4384</v>
      </c>
      <c r="E186" t="s">
        <v>2679</v>
      </c>
      <c r="F186" t="s">
        <v>4385</v>
      </c>
      <c r="G186">
        <v>38.138911477299999</v>
      </c>
      <c r="H186">
        <v>-84.760249620400003</v>
      </c>
      <c r="I186" t="s">
        <v>1411</v>
      </c>
      <c r="J186" t="s">
        <v>2424</v>
      </c>
      <c r="K186" t="s">
        <v>4386</v>
      </c>
      <c r="L186" t="s">
        <v>2425</v>
      </c>
      <c r="M186">
        <v>187</v>
      </c>
      <c r="N186" t="s">
        <v>3438</v>
      </c>
      <c r="O186" t="s">
        <v>745</v>
      </c>
      <c r="P186" s="1">
        <v>44755</v>
      </c>
      <c r="Q186">
        <v>158</v>
      </c>
      <c r="R186">
        <v>23</v>
      </c>
      <c r="S186" t="s">
        <v>3584</v>
      </c>
      <c r="T186" t="s">
        <v>2689</v>
      </c>
      <c r="U186" t="s">
        <v>2747</v>
      </c>
      <c r="V186" t="s">
        <v>4387</v>
      </c>
      <c r="W186" t="s">
        <v>4388</v>
      </c>
      <c r="X186" t="s">
        <v>2688</v>
      </c>
      <c r="Y186" t="s">
        <v>2688</v>
      </c>
      <c r="Z186" t="s">
        <v>2689</v>
      </c>
      <c r="AA186" t="s">
        <v>2689</v>
      </c>
      <c r="AB186" t="s">
        <v>4389</v>
      </c>
      <c r="AD186" t="s">
        <v>4390</v>
      </c>
      <c r="AE186" t="s">
        <v>4391</v>
      </c>
      <c r="AH186" t="s">
        <v>3592</v>
      </c>
    </row>
    <row r="187" spans="1:36" ht="131.15" x14ac:dyDescent="0.4">
      <c r="A187" t="s">
        <v>754</v>
      </c>
      <c r="B187" t="s">
        <v>4392</v>
      </c>
      <c r="C187" t="s">
        <v>1411</v>
      </c>
      <c r="D187" t="s">
        <v>4393</v>
      </c>
      <c r="E187" t="s">
        <v>2679</v>
      </c>
      <c r="F187" t="s">
        <v>4394</v>
      </c>
      <c r="G187">
        <v>38.138087623399997</v>
      </c>
      <c r="H187">
        <v>-84.734862228899999</v>
      </c>
      <c r="I187" t="s">
        <v>1411</v>
      </c>
      <c r="J187" t="s">
        <v>2424</v>
      </c>
      <c r="K187" t="s">
        <v>4386</v>
      </c>
      <c r="L187" t="s">
        <v>2425</v>
      </c>
      <c r="M187">
        <v>190</v>
      </c>
      <c r="N187" t="s">
        <v>3438</v>
      </c>
      <c r="O187" t="s">
        <v>754</v>
      </c>
      <c r="P187" s="1">
        <v>44755</v>
      </c>
      <c r="Q187">
        <v>119</v>
      </c>
      <c r="R187">
        <v>27</v>
      </c>
      <c r="S187" t="s">
        <v>3464</v>
      </c>
      <c r="T187" t="s">
        <v>2689</v>
      </c>
      <c r="U187" s="10" t="s">
        <v>4395</v>
      </c>
      <c r="V187" t="s">
        <v>4396</v>
      </c>
      <c r="W187" t="s">
        <v>3587</v>
      </c>
      <c r="X187" t="s">
        <v>2688</v>
      </c>
      <c r="Y187" t="s">
        <v>2688</v>
      </c>
      <c r="Z187" t="s">
        <v>2689</v>
      </c>
      <c r="AA187" t="s">
        <v>2689</v>
      </c>
      <c r="AB187" t="s">
        <v>4397</v>
      </c>
      <c r="AD187" t="s">
        <v>4398</v>
      </c>
      <c r="AE187" t="s">
        <v>4399</v>
      </c>
      <c r="AH187" t="s">
        <v>3592</v>
      </c>
    </row>
    <row r="188" spans="1:36" ht="131.15" x14ac:dyDescent="0.4">
      <c r="A188" t="s">
        <v>763</v>
      </c>
      <c r="B188" t="s">
        <v>4400</v>
      </c>
      <c r="C188" t="s">
        <v>3594</v>
      </c>
      <c r="D188" t="s">
        <v>4401</v>
      </c>
      <c r="E188" t="s">
        <v>2679</v>
      </c>
      <c r="F188" t="s">
        <v>4402</v>
      </c>
      <c r="G188">
        <v>38.137161294000002</v>
      </c>
      <c r="H188">
        <v>-84.733173809999997</v>
      </c>
      <c r="I188" t="s">
        <v>3594</v>
      </c>
      <c r="J188" t="s">
        <v>2424</v>
      </c>
      <c r="K188" t="s">
        <v>4386</v>
      </c>
      <c r="L188" t="s">
        <v>2425</v>
      </c>
      <c r="M188">
        <v>193</v>
      </c>
      <c r="N188" t="s">
        <v>3438</v>
      </c>
      <c r="O188" t="s">
        <v>763</v>
      </c>
      <c r="P188" s="1">
        <v>44755</v>
      </c>
      <c r="Q188">
        <v>25</v>
      </c>
      <c r="R188">
        <v>23</v>
      </c>
      <c r="S188" t="s">
        <v>3427</v>
      </c>
      <c r="T188" t="s">
        <v>2688</v>
      </c>
      <c r="U188" s="10" t="s">
        <v>4403</v>
      </c>
      <c r="V188" t="s">
        <v>4404</v>
      </c>
      <c r="W188" t="s">
        <v>4405</v>
      </c>
      <c r="X188" t="s">
        <v>2688</v>
      </c>
      <c r="Y188" t="s">
        <v>2688</v>
      </c>
      <c r="Z188" t="s">
        <v>2747</v>
      </c>
      <c r="AA188" t="s">
        <v>2689</v>
      </c>
      <c r="AB188" t="s">
        <v>4406</v>
      </c>
      <c r="AC188" t="s">
        <v>4407</v>
      </c>
      <c r="AD188" t="s">
        <v>4408</v>
      </c>
      <c r="AE188" t="s">
        <v>4409</v>
      </c>
      <c r="AH188" t="s">
        <v>3592</v>
      </c>
    </row>
    <row r="189" spans="1:36" ht="72.900000000000006" x14ac:dyDescent="0.4">
      <c r="A189" t="s">
        <v>808</v>
      </c>
      <c r="B189" t="s">
        <v>4410</v>
      </c>
      <c r="C189" t="s">
        <v>3594</v>
      </c>
      <c r="D189" t="s">
        <v>4411</v>
      </c>
      <c r="E189" t="s">
        <v>2679</v>
      </c>
      <c r="F189" t="s">
        <v>4412</v>
      </c>
      <c r="G189">
        <v>38.054675152599998</v>
      </c>
      <c r="H189">
        <v>-84.475605301599998</v>
      </c>
      <c r="I189" t="s">
        <v>3594</v>
      </c>
      <c r="J189" t="s">
        <v>2424</v>
      </c>
      <c r="K189" t="s">
        <v>4413</v>
      </c>
      <c r="L189" t="s">
        <v>2427</v>
      </c>
      <c r="M189">
        <v>174</v>
      </c>
      <c r="N189" t="s">
        <v>3438</v>
      </c>
      <c r="O189" t="s">
        <v>808</v>
      </c>
      <c r="P189" s="1">
        <v>44754</v>
      </c>
      <c r="Q189">
        <v>70</v>
      </c>
      <c r="R189">
        <v>25</v>
      </c>
      <c r="S189" t="s">
        <v>3464</v>
      </c>
      <c r="T189" t="s">
        <v>2689</v>
      </c>
      <c r="U189" s="10" t="s">
        <v>4414</v>
      </c>
      <c r="V189" s="10" t="s">
        <v>4415</v>
      </c>
      <c r="W189" t="s">
        <v>4416</v>
      </c>
      <c r="X189" t="s">
        <v>2689</v>
      </c>
      <c r="Y189" t="s">
        <v>2689</v>
      </c>
      <c r="Z189" t="s">
        <v>2689</v>
      </c>
      <c r="AA189" t="s">
        <v>2689</v>
      </c>
      <c r="AB189" t="s">
        <v>4417</v>
      </c>
      <c r="AD189" t="s">
        <v>4418</v>
      </c>
      <c r="AE189" t="s">
        <v>4419</v>
      </c>
      <c r="AH189" t="s">
        <v>3592</v>
      </c>
    </row>
    <row r="190" spans="1:36" ht="87.45" x14ac:dyDescent="0.4">
      <c r="A190" t="s">
        <v>760</v>
      </c>
      <c r="B190" t="s">
        <v>4420</v>
      </c>
      <c r="C190" t="s">
        <v>3594</v>
      </c>
      <c r="D190" t="s">
        <v>4421</v>
      </c>
      <c r="E190" t="s">
        <v>2679</v>
      </c>
      <c r="F190" t="s">
        <v>4422</v>
      </c>
      <c r="G190">
        <v>38.135596476499998</v>
      </c>
      <c r="H190">
        <v>-84.732992090400003</v>
      </c>
      <c r="I190" t="s">
        <v>3594</v>
      </c>
      <c r="J190" t="s">
        <v>2424</v>
      </c>
      <c r="K190" t="s">
        <v>4386</v>
      </c>
      <c r="L190" t="s">
        <v>2425</v>
      </c>
      <c r="M190">
        <v>192</v>
      </c>
      <c r="N190" t="s">
        <v>3438</v>
      </c>
      <c r="O190" t="s">
        <v>760</v>
      </c>
      <c r="P190" s="1">
        <v>44755</v>
      </c>
      <c r="Q190">
        <v>17</v>
      </c>
      <c r="R190">
        <v>18</v>
      </c>
      <c r="S190" t="s">
        <v>3427</v>
      </c>
      <c r="T190" t="s">
        <v>2689</v>
      </c>
      <c r="U190" s="10" t="s">
        <v>4423</v>
      </c>
      <c r="V190" t="s">
        <v>4424</v>
      </c>
      <c r="W190" t="s">
        <v>4425</v>
      </c>
      <c r="X190" t="s">
        <v>2688</v>
      </c>
      <c r="Y190" t="s">
        <v>2688</v>
      </c>
      <c r="Z190" t="s">
        <v>2689</v>
      </c>
      <c r="AA190" t="s">
        <v>2689</v>
      </c>
      <c r="AB190" s="9" t="s">
        <v>4426</v>
      </c>
      <c r="AD190" t="s">
        <v>4427</v>
      </c>
      <c r="AE190" t="s">
        <v>4428</v>
      </c>
      <c r="AH190" t="s">
        <v>3592</v>
      </c>
    </row>
    <row r="191" spans="1:36" ht="43.75" x14ac:dyDescent="0.4">
      <c r="A191" t="s">
        <v>824</v>
      </c>
      <c r="B191" t="s">
        <v>4429</v>
      </c>
      <c r="C191" t="s">
        <v>1411</v>
      </c>
      <c r="D191" t="s">
        <v>4430</v>
      </c>
      <c r="E191" t="s">
        <v>2679</v>
      </c>
      <c r="F191" t="s">
        <v>4431</v>
      </c>
      <c r="G191">
        <v>37.898869738000002</v>
      </c>
      <c r="H191">
        <v>-87.5021931064</v>
      </c>
      <c r="I191" t="s">
        <v>1411</v>
      </c>
      <c r="J191" t="s">
        <v>2424</v>
      </c>
      <c r="K191" t="s">
        <v>4432</v>
      </c>
      <c r="L191" t="s">
        <v>2428</v>
      </c>
      <c r="M191">
        <v>213</v>
      </c>
      <c r="N191" t="s">
        <v>3438</v>
      </c>
      <c r="O191" t="s">
        <v>824</v>
      </c>
      <c r="P191" s="1">
        <v>44756</v>
      </c>
      <c r="Q191">
        <v>180</v>
      </c>
      <c r="R191">
        <v>27</v>
      </c>
      <c r="S191" t="s">
        <v>3607</v>
      </c>
      <c r="T191" t="s">
        <v>2689</v>
      </c>
      <c r="U191" s="10" t="s">
        <v>4433</v>
      </c>
      <c r="V191" t="s">
        <v>4434</v>
      </c>
      <c r="W191" t="s">
        <v>4435</v>
      </c>
      <c r="X191" t="s">
        <v>2688</v>
      </c>
      <c r="Y191" t="s">
        <v>2688</v>
      </c>
      <c r="Z191" t="s">
        <v>2689</v>
      </c>
      <c r="AA191" t="s">
        <v>2689</v>
      </c>
      <c r="AB191" t="s">
        <v>4436</v>
      </c>
      <c r="AD191" t="s">
        <v>4437</v>
      </c>
      <c r="AE191" t="s">
        <v>4438</v>
      </c>
      <c r="AH191" t="s">
        <v>4381</v>
      </c>
    </row>
    <row r="192" spans="1:36" ht="131.15" x14ac:dyDescent="0.4">
      <c r="A192" t="s">
        <v>735</v>
      </c>
      <c r="B192" t="s">
        <v>4439</v>
      </c>
      <c r="C192" t="s">
        <v>1411</v>
      </c>
      <c r="D192" t="s">
        <v>4440</v>
      </c>
      <c r="E192" t="s">
        <v>2679</v>
      </c>
      <c r="F192" t="s">
        <v>4441</v>
      </c>
      <c r="G192">
        <v>38.139536599700001</v>
      </c>
      <c r="H192">
        <v>-84.759016642399999</v>
      </c>
      <c r="I192" t="s">
        <v>1411</v>
      </c>
      <c r="J192" t="s">
        <v>2424</v>
      </c>
      <c r="K192" t="s">
        <v>4386</v>
      </c>
      <c r="L192" t="s">
        <v>2425</v>
      </c>
      <c r="M192">
        <v>185</v>
      </c>
      <c r="N192" t="s">
        <v>3438</v>
      </c>
      <c r="O192" t="s">
        <v>735</v>
      </c>
      <c r="P192" s="1">
        <v>44755</v>
      </c>
      <c r="Q192">
        <v>239</v>
      </c>
      <c r="R192">
        <v>26</v>
      </c>
      <c r="S192" t="s">
        <v>3518</v>
      </c>
      <c r="T192" t="s">
        <v>2689</v>
      </c>
      <c r="U192" t="s">
        <v>4442</v>
      </c>
      <c r="V192" s="10" t="s">
        <v>4443</v>
      </c>
      <c r="W192" t="s">
        <v>3587</v>
      </c>
      <c r="X192" t="s">
        <v>2688</v>
      </c>
      <c r="Y192" t="s">
        <v>2688</v>
      </c>
      <c r="Z192" t="s">
        <v>2689</v>
      </c>
      <c r="AA192" t="s">
        <v>2689</v>
      </c>
      <c r="AB192" t="s">
        <v>4444</v>
      </c>
      <c r="AD192" t="s">
        <v>4445</v>
      </c>
      <c r="AE192" t="s">
        <v>4446</v>
      </c>
      <c r="AH192" t="s">
        <v>3592</v>
      </c>
    </row>
    <row r="193" spans="1:36" ht="145.75" x14ac:dyDescent="0.4">
      <c r="A193" t="s">
        <v>766</v>
      </c>
      <c r="B193" t="s">
        <v>4447</v>
      </c>
      <c r="C193" t="s">
        <v>3594</v>
      </c>
      <c r="D193" t="s">
        <v>4448</v>
      </c>
      <c r="E193" t="s">
        <v>2679</v>
      </c>
      <c r="F193" t="s">
        <v>4449</v>
      </c>
      <c r="G193">
        <v>38.136432529499999</v>
      </c>
      <c r="H193">
        <v>-84.7356742156</v>
      </c>
      <c r="I193" t="s">
        <v>3594</v>
      </c>
      <c r="J193" t="s">
        <v>2424</v>
      </c>
      <c r="K193" t="s">
        <v>4386</v>
      </c>
      <c r="L193" t="s">
        <v>2425</v>
      </c>
      <c r="M193">
        <v>194</v>
      </c>
      <c r="N193" t="s">
        <v>3438</v>
      </c>
      <c r="O193" t="s">
        <v>766</v>
      </c>
      <c r="P193" s="1">
        <v>44755</v>
      </c>
      <c r="Q193">
        <v>21</v>
      </c>
      <c r="R193">
        <v>18</v>
      </c>
      <c r="S193" t="s">
        <v>3427</v>
      </c>
      <c r="T193" t="s">
        <v>2689</v>
      </c>
      <c r="U193" s="10" t="s">
        <v>4450</v>
      </c>
      <c r="V193" t="s">
        <v>4451</v>
      </c>
      <c r="W193" t="s">
        <v>4452</v>
      </c>
      <c r="X193" t="s">
        <v>2688</v>
      </c>
      <c r="Y193" t="s">
        <v>2688</v>
      </c>
      <c r="Z193" t="s">
        <v>2689</v>
      </c>
      <c r="AA193" t="s">
        <v>2689</v>
      </c>
      <c r="AB193" t="s">
        <v>4453</v>
      </c>
      <c r="AD193" t="s">
        <v>4454</v>
      </c>
      <c r="AE193" t="s">
        <v>4455</v>
      </c>
      <c r="AH193" t="s">
        <v>3592</v>
      </c>
    </row>
    <row r="194" spans="1:36" ht="72.900000000000006" x14ac:dyDescent="0.4">
      <c r="A194" t="s">
        <v>805</v>
      </c>
      <c r="B194" t="s">
        <v>4456</v>
      </c>
      <c r="C194" t="s">
        <v>3594</v>
      </c>
      <c r="D194" t="s">
        <v>4457</v>
      </c>
      <c r="E194" t="s">
        <v>2679</v>
      </c>
      <c r="F194" t="s">
        <v>4458</v>
      </c>
      <c r="G194">
        <v>38.055807044799998</v>
      </c>
      <c r="H194">
        <v>-84.476956799700005</v>
      </c>
      <c r="I194" t="s">
        <v>3594</v>
      </c>
      <c r="J194" t="s">
        <v>2424</v>
      </c>
      <c r="K194" t="s">
        <v>4413</v>
      </c>
      <c r="L194" t="s">
        <v>2427</v>
      </c>
      <c r="M194">
        <v>173</v>
      </c>
      <c r="N194" t="s">
        <v>3438</v>
      </c>
      <c r="O194" t="s">
        <v>805</v>
      </c>
      <c r="P194" s="1">
        <v>44754</v>
      </c>
      <c r="Q194">
        <v>149</v>
      </c>
      <c r="R194">
        <v>24</v>
      </c>
      <c r="S194" t="s">
        <v>3464</v>
      </c>
      <c r="T194" t="s">
        <v>2689</v>
      </c>
      <c r="U194" t="s">
        <v>4459</v>
      </c>
      <c r="V194" s="10" t="s">
        <v>4460</v>
      </c>
      <c r="W194" t="s">
        <v>4416</v>
      </c>
      <c r="X194" t="s">
        <v>2688</v>
      </c>
      <c r="Y194" t="s">
        <v>2688</v>
      </c>
      <c r="Z194" t="s">
        <v>2689</v>
      </c>
      <c r="AA194" t="s">
        <v>2689</v>
      </c>
      <c r="AB194" t="s">
        <v>4461</v>
      </c>
      <c r="AD194" t="s">
        <v>4462</v>
      </c>
      <c r="AE194" t="s">
        <v>4463</v>
      </c>
      <c r="AH194" t="s">
        <v>4381</v>
      </c>
    </row>
    <row r="195" spans="1:36" ht="58.3" x14ac:dyDescent="0.4">
      <c r="A195" t="s">
        <v>801</v>
      </c>
      <c r="B195" t="s">
        <v>4464</v>
      </c>
      <c r="C195" t="s">
        <v>1411</v>
      </c>
      <c r="D195" t="s">
        <v>4465</v>
      </c>
      <c r="E195" t="s">
        <v>2679</v>
      </c>
      <c r="F195" t="s">
        <v>4466</v>
      </c>
      <c r="G195">
        <v>38.055889145499997</v>
      </c>
      <c r="H195">
        <v>-84.476248109799997</v>
      </c>
      <c r="I195" t="s">
        <v>1411</v>
      </c>
      <c r="J195" t="s">
        <v>2424</v>
      </c>
      <c r="K195" t="s">
        <v>4413</v>
      </c>
      <c r="L195" t="s">
        <v>2427</v>
      </c>
      <c r="M195">
        <v>172</v>
      </c>
      <c r="N195" t="s">
        <v>3438</v>
      </c>
      <c r="O195" t="s">
        <v>801</v>
      </c>
      <c r="P195" s="1">
        <v>44754</v>
      </c>
      <c r="Q195">
        <v>182</v>
      </c>
      <c r="R195">
        <v>24</v>
      </c>
      <c r="S195" t="s">
        <v>4467</v>
      </c>
      <c r="T195" t="s">
        <v>2689</v>
      </c>
      <c r="U195" t="s">
        <v>4468</v>
      </c>
      <c r="V195" s="10" t="s">
        <v>4469</v>
      </c>
      <c r="W195" t="s">
        <v>4470</v>
      </c>
      <c r="X195" t="s">
        <v>2688</v>
      </c>
      <c r="Y195" t="s">
        <v>2688</v>
      </c>
      <c r="Z195" t="s">
        <v>2747</v>
      </c>
      <c r="AB195" t="s">
        <v>4471</v>
      </c>
      <c r="AD195" t="s">
        <v>4472</v>
      </c>
      <c r="AE195" t="s">
        <v>4473</v>
      </c>
      <c r="AH195" t="s">
        <v>4474</v>
      </c>
    </row>
    <row r="196" spans="1:36" ht="72.900000000000006" x14ac:dyDescent="0.4">
      <c r="A196" t="s">
        <v>882</v>
      </c>
      <c r="B196" t="s">
        <v>4475</v>
      </c>
      <c r="C196" t="s">
        <v>1411</v>
      </c>
      <c r="D196" t="s">
        <v>4476</v>
      </c>
      <c r="E196" t="s">
        <v>2679</v>
      </c>
      <c r="F196" t="s">
        <v>4477</v>
      </c>
      <c r="G196">
        <v>38.059436115499999</v>
      </c>
      <c r="H196">
        <v>-84.513545148199995</v>
      </c>
      <c r="I196" t="s">
        <v>1411</v>
      </c>
      <c r="J196" t="s">
        <v>2424</v>
      </c>
      <c r="K196" t="s">
        <v>4373</v>
      </c>
      <c r="L196" t="s">
        <v>2430</v>
      </c>
      <c r="M196">
        <v>168</v>
      </c>
      <c r="N196" t="s">
        <v>3438</v>
      </c>
      <c r="O196" t="s">
        <v>882</v>
      </c>
      <c r="P196" s="1">
        <v>44754</v>
      </c>
      <c r="Q196">
        <v>170</v>
      </c>
      <c r="R196">
        <v>28</v>
      </c>
      <c r="S196" t="s">
        <v>3584</v>
      </c>
      <c r="T196" t="s">
        <v>2689</v>
      </c>
      <c r="U196" s="10" t="s">
        <v>4478</v>
      </c>
      <c r="V196" s="10" t="s">
        <v>4479</v>
      </c>
      <c r="W196" t="s">
        <v>4480</v>
      </c>
      <c r="X196" t="s">
        <v>2688</v>
      </c>
      <c r="Y196" t="s">
        <v>2688</v>
      </c>
      <c r="Z196" t="s">
        <v>2689</v>
      </c>
      <c r="AA196" t="s">
        <v>2689</v>
      </c>
      <c r="AB196" t="s">
        <v>4481</v>
      </c>
      <c r="AD196" t="s">
        <v>4482</v>
      </c>
      <c r="AE196" t="s">
        <v>4483</v>
      </c>
      <c r="AH196" t="s">
        <v>4381</v>
      </c>
      <c r="AJ196" t="s">
        <v>4484</v>
      </c>
    </row>
    <row r="197" spans="1:36" ht="72.900000000000006" x14ac:dyDescent="0.4">
      <c r="A197" t="s">
        <v>892</v>
      </c>
      <c r="B197" t="s">
        <v>4485</v>
      </c>
      <c r="C197" t="s">
        <v>1411</v>
      </c>
      <c r="D197" t="s">
        <v>4486</v>
      </c>
      <c r="E197" t="s">
        <v>2679</v>
      </c>
      <c r="F197" t="s">
        <v>4487</v>
      </c>
      <c r="G197">
        <v>38.058172669299999</v>
      </c>
      <c r="H197">
        <v>-84.508623043200004</v>
      </c>
      <c r="I197" t="s">
        <v>1411</v>
      </c>
      <c r="J197" t="s">
        <v>2424</v>
      </c>
      <c r="K197" t="s">
        <v>4373</v>
      </c>
      <c r="L197" t="s">
        <v>2430</v>
      </c>
      <c r="M197">
        <v>171</v>
      </c>
      <c r="N197" t="s">
        <v>3438</v>
      </c>
      <c r="O197" t="s">
        <v>892</v>
      </c>
      <c r="P197" s="1">
        <v>44754</v>
      </c>
      <c r="Q197">
        <v>211</v>
      </c>
      <c r="R197">
        <v>26</v>
      </c>
      <c r="S197" t="s">
        <v>4467</v>
      </c>
      <c r="T197" t="s">
        <v>2689</v>
      </c>
      <c r="U197" t="s">
        <v>4488</v>
      </c>
      <c r="V197" s="10" t="s">
        <v>4489</v>
      </c>
      <c r="W197" t="s">
        <v>4490</v>
      </c>
      <c r="X197" t="s">
        <v>2688</v>
      </c>
      <c r="Y197" t="s">
        <v>2688</v>
      </c>
      <c r="Z197" t="s">
        <v>2689</v>
      </c>
      <c r="AA197" t="s">
        <v>2689</v>
      </c>
      <c r="AB197" t="s">
        <v>4491</v>
      </c>
      <c r="AD197" t="s">
        <v>4492</v>
      </c>
      <c r="AE197" t="s">
        <v>4493</v>
      </c>
      <c r="AH197" t="s">
        <v>4381</v>
      </c>
    </row>
    <row r="198" spans="1:36" ht="58.3" x14ac:dyDescent="0.4">
      <c r="A198" t="s">
        <v>828</v>
      </c>
      <c r="B198" s="9" t="s">
        <v>4494</v>
      </c>
      <c r="C198" t="s">
        <v>1411</v>
      </c>
      <c r="D198" t="s">
        <v>4495</v>
      </c>
      <c r="E198" t="s">
        <v>2679</v>
      </c>
      <c r="F198" t="s">
        <v>4496</v>
      </c>
      <c r="G198">
        <v>37.898620795500001</v>
      </c>
      <c r="H198">
        <v>-87.501094658</v>
      </c>
      <c r="I198" t="s">
        <v>1411</v>
      </c>
      <c r="J198" t="s">
        <v>2424</v>
      </c>
      <c r="K198" t="s">
        <v>4432</v>
      </c>
      <c r="L198" t="s">
        <v>2428</v>
      </c>
      <c r="M198">
        <v>214</v>
      </c>
      <c r="N198" t="s">
        <v>3438</v>
      </c>
      <c r="O198" t="s">
        <v>828</v>
      </c>
      <c r="P198" s="1">
        <v>44756</v>
      </c>
      <c r="Q198">
        <v>62</v>
      </c>
      <c r="R198">
        <v>24</v>
      </c>
      <c r="S198" t="s">
        <v>3427</v>
      </c>
      <c r="T198" t="s">
        <v>2688</v>
      </c>
      <c r="U198" s="10" t="s">
        <v>4497</v>
      </c>
      <c r="V198" t="s">
        <v>4498</v>
      </c>
      <c r="W198" t="s">
        <v>4435</v>
      </c>
      <c r="X198" t="s">
        <v>2688</v>
      </c>
      <c r="Y198" t="s">
        <v>2688</v>
      </c>
      <c r="Z198" t="s">
        <v>2689</v>
      </c>
      <c r="AA198" t="s">
        <v>2689</v>
      </c>
      <c r="AB198" t="s">
        <v>4499</v>
      </c>
      <c r="AC198" t="s">
        <v>4500</v>
      </c>
      <c r="AD198" t="s">
        <v>4501</v>
      </c>
      <c r="AE198" t="s">
        <v>4502</v>
      </c>
      <c r="AH198" t="s">
        <v>4381</v>
      </c>
    </row>
    <row r="199" spans="1:36" ht="116.6" x14ac:dyDescent="0.4">
      <c r="A199" t="s">
        <v>818</v>
      </c>
      <c r="B199" t="s">
        <v>4503</v>
      </c>
      <c r="C199" t="s">
        <v>1411</v>
      </c>
      <c r="D199" t="s">
        <v>4504</v>
      </c>
      <c r="E199" t="s">
        <v>2679</v>
      </c>
      <c r="F199" t="s">
        <v>4505</v>
      </c>
      <c r="G199">
        <v>37.8989380501</v>
      </c>
      <c r="H199">
        <v>-87.504187760600004</v>
      </c>
      <c r="I199" t="s">
        <v>1411</v>
      </c>
      <c r="J199" t="s">
        <v>2424</v>
      </c>
      <c r="K199" t="s">
        <v>4432</v>
      </c>
      <c r="L199" t="s">
        <v>2428</v>
      </c>
      <c r="M199">
        <v>211</v>
      </c>
      <c r="N199" t="s">
        <v>3438</v>
      </c>
      <c r="O199" t="s">
        <v>818</v>
      </c>
      <c r="P199" s="1">
        <v>44756</v>
      </c>
      <c r="Q199">
        <v>95</v>
      </c>
      <c r="R199">
        <v>25</v>
      </c>
      <c r="S199" t="s">
        <v>4506</v>
      </c>
      <c r="T199" t="s">
        <v>2689</v>
      </c>
      <c r="U199" s="10" t="s">
        <v>4507</v>
      </c>
      <c r="V199" t="s">
        <v>4508</v>
      </c>
      <c r="W199" t="s">
        <v>4435</v>
      </c>
      <c r="X199" t="s">
        <v>2688</v>
      </c>
      <c r="Y199" t="s">
        <v>2688</v>
      </c>
      <c r="Z199" t="s">
        <v>2689</v>
      </c>
      <c r="AA199" t="s">
        <v>2689</v>
      </c>
      <c r="AB199" t="s">
        <v>4509</v>
      </c>
      <c r="AD199" t="s">
        <v>4510</v>
      </c>
      <c r="AE199" t="s">
        <v>4511</v>
      </c>
      <c r="AH199" t="s">
        <v>4381</v>
      </c>
    </row>
    <row r="200" spans="1:36" ht="72.900000000000006" x14ac:dyDescent="0.4">
      <c r="A200" t="s">
        <v>871</v>
      </c>
      <c r="B200" t="s">
        <v>4512</v>
      </c>
      <c r="C200" t="s">
        <v>3594</v>
      </c>
      <c r="D200" t="s">
        <v>4513</v>
      </c>
      <c r="E200" t="s">
        <v>2679</v>
      </c>
      <c r="F200" t="s">
        <v>4514</v>
      </c>
      <c r="G200">
        <v>37.8832388716</v>
      </c>
      <c r="H200">
        <v>-87.553521618299996</v>
      </c>
      <c r="I200" t="s">
        <v>3594</v>
      </c>
      <c r="J200" t="s">
        <v>2424</v>
      </c>
      <c r="K200" t="s">
        <v>4515</v>
      </c>
      <c r="L200" t="s">
        <v>2429</v>
      </c>
      <c r="M200">
        <v>207</v>
      </c>
      <c r="N200" t="s">
        <v>3438</v>
      </c>
      <c r="O200" t="s">
        <v>871</v>
      </c>
      <c r="P200" s="1">
        <v>44756</v>
      </c>
      <c r="Q200">
        <v>108</v>
      </c>
      <c r="R200">
        <v>28</v>
      </c>
      <c r="S200" t="s">
        <v>3607</v>
      </c>
      <c r="T200" t="s">
        <v>2688</v>
      </c>
      <c r="U200" s="10" t="s">
        <v>4516</v>
      </c>
      <c r="V200" t="s">
        <v>4517</v>
      </c>
      <c r="W200" t="s">
        <v>4518</v>
      </c>
      <c r="X200" t="s">
        <v>2688</v>
      </c>
      <c r="Y200" t="s">
        <v>2688</v>
      </c>
      <c r="Z200" t="s">
        <v>2689</v>
      </c>
      <c r="AA200" t="s">
        <v>2689</v>
      </c>
      <c r="AB200" t="s">
        <v>4519</v>
      </c>
      <c r="AC200" t="s">
        <v>4520</v>
      </c>
      <c r="AE200" t="s">
        <v>4521</v>
      </c>
      <c r="AG200" t="s">
        <v>4522</v>
      </c>
      <c r="AH200" t="s">
        <v>4381</v>
      </c>
    </row>
    <row r="201" spans="1:36" ht="116.6" x14ac:dyDescent="0.4">
      <c r="A201" t="s">
        <v>856</v>
      </c>
      <c r="B201" t="s">
        <v>4523</v>
      </c>
      <c r="C201" t="s">
        <v>1415</v>
      </c>
      <c r="D201" t="s">
        <v>4524</v>
      </c>
      <c r="E201" t="s">
        <v>2679</v>
      </c>
      <c r="F201" t="s">
        <v>4525</v>
      </c>
      <c r="G201">
        <v>37.894376624899998</v>
      </c>
      <c r="H201">
        <v>-87.537805095600007</v>
      </c>
      <c r="I201" t="s">
        <v>1415</v>
      </c>
      <c r="J201" t="s">
        <v>2424</v>
      </c>
      <c r="K201" t="s">
        <v>4515</v>
      </c>
      <c r="L201" t="s">
        <v>2429</v>
      </c>
      <c r="M201">
        <v>202</v>
      </c>
      <c r="N201" t="s">
        <v>3438</v>
      </c>
      <c r="O201" t="s">
        <v>856</v>
      </c>
      <c r="P201" s="1">
        <v>44756</v>
      </c>
      <c r="Q201">
        <v>75</v>
      </c>
      <c r="R201">
        <v>26</v>
      </c>
      <c r="S201" t="s">
        <v>3607</v>
      </c>
      <c r="T201" t="s">
        <v>2689</v>
      </c>
      <c r="U201" s="10" t="s">
        <v>4526</v>
      </c>
      <c r="V201" s="10" t="s">
        <v>4527</v>
      </c>
      <c r="W201" t="s">
        <v>4528</v>
      </c>
      <c r="X201" t="s">
        <v>2688</v>
      </c>
      <c r="Y201" t="s">
        <v>2688</v>
      </c>
      <c r="Z201" t="s">
        <v>2747</v>
      </c>
      <c r="AA201" t="s">
        <v>2689</v>
      </c>
      <c r="AB201" t="s">
        <v>4529</v>
      </c>
      <c r="AD201" t="s">
        <v>4530</v>
      </c>
      <c r="AE201" t="s">
        <v>4531</v>
      </c>
      <c r="AH201" t="s">
        <v>4381</v>
      </c>
    </row>
    <row r="202" spans="1:36" ht="102" x14ac:dyDescent="0.4">
      <c r="A202" t="s">
        <v>859</v>
      </c>
      <c r="B202" t="s">
        <v>4532</v>
      </c>
      <c r="C202" t="s">
        <v>1432</v>
      </c>
      <c r="D202" t="s">
        <v>4533</v>
      </c>
      <c r="E202" t="s">
        <v>2679</v>
      </c>
      <c r="F202" t="s">
        <v>4534</v>
      </c>
      <c r="G202">
        <v>37.894406461099997</v>
      </c>
      <c r="H202">
        <v>-87.5376391498</v>
      </c>
      <c r="I202" t="s">
        <v>1432</v>
      </c>
      <c r="J202" t="s">
        <v>2424</v>
      </c>
      <c r="K202" t="s">
        <v>4515</v>
      </c>
      <c r="L202" t="s">
        <v>2429</v>
      </c>
      <c r="M202">
        <v>203</v>
      </c>
      <c r="N202" t="s">
        <v>3438</v>
      </c>
      <c r="O202" t="s">
        <v>859</v>
      </c>
      <c r="P202" s="1">
        <v>44756</v>
      </c>
      <c r="Q202">
        <v>23</v>
      </c>
      <c r="R202">
        <v>10</v>
      </c>
      <c r="S202" t="s">
        <v>3427</v>
      </c>
      <c r="T202" t="s">
        <v>2689</v>
      </c>
      <c r="U202" s="10" t="s">
        <v>4535</v>
      </c>
      <c r="V202" t="s">
        <v>4536</v>
      </c>
      <c r="W202" t="s">
        <v>4537</v>
      </c>
      <c r="X202" t="s">
        <v>2688</v>
      </c>
      <c r="Y202" t="s">
        <v>2688</v>
      </c>
      <c r="Z202" t="s">
        <v>2747</v>
      </c>
      <c r="AA202" t="s">
        <v>2689</v>
      </c>
      <c r="AB202" t="s">
        <v>4538</v>
      </c>
      <c r="AD202" t="s">
        <v>4539</v>
      </c>
      <c r="AE202" t="s">
        <v>4540</v>
      </c>
      <c r="AH202" t="s">
        <v>4381</v>
      </c>
    </row>
    <row r="203" spans="1:36" ht="116.6" x14ac:dyDescent="0.4">
      <c r="A203" t="s">
        <v>862</v>
      </c>
      <c r="B203" t="s">
        <v>4541</v>
      </c>
      <c r="C203" t="s">
        <v>3448</v>
      </c>
      <c r="D203" t="s">
        <v>4542</v>
      </c>
      <c r="E203" t="s">
        <v>2679</v>
      </c>
      <c r="F203" t="s">
        <v>4543</v>
      </c>
      <c r="G203">
        <v>37.894650455600001</v>
      </c>
      <c r="H203">
        <v>-87.537683593200001</v>
      </c>
      <c r="I203" t="s">
        <v>3448</v>
      </c>
      <c r="J203" t="s">
        <v>2424</v>
      </c>
      <c r="K203" t="s">
        <v>4515</v>
      </c>
      <c r="L203" t="s">
        <v>2429</v>
      </c>
      <c r="M203">
        <v>204</v>
      </c>
      <c r="N203" t="s">
        <v>3438</v>
      </c>
      <c r="O203" t="s">
        <v>862</v>
      </c>
      <c r="P203" s="1">
        <v>44756</v>
      </c>
      <c r="Q203">
        <v>40</v>
      </c>
      <c r="R203">
        <v>25</v>
      </c>
      <c r="S203" t="s">
        <v>3427</v>
      </c>
      <c r="U203" s="10" t="s">
        <v>4544</v>
      </c>
      <c r="V203" t="s">
        <v>4545</v>
      </c>
      <c r="W203" t="s">
        <v>4537</v>
      </c>
      <c r="X203" t="s">
        <v>2688</v>
      </c>
      <c r="Y203" t="s">
        <v>2688</v>
      </c>
      <c r="Z203" t="s">
        <v>2689</v>
      </c>
      <c r="AA203" t="s">
        <v>2689</v>
      </c>
      <c r="AB203" t="s">
        <v>4546</v>
      </c>
      <c r="AD203" t="s">
        <v>4547</v>
      </c>
      <c r="AE203" t="s">
        <v>4548</v>
      </c>
      <c r="AH203" t="s">
        <v>4381</v>
      </c>
    </row>
    <row r="204" spans="1:36" ht="145.75" x14ac:dyDescent="0.4">
      <c r="A204" t="s">
        <v>865</v>
      </c>
      <c r="B204" t="s">
        <v>4549</v>
      </c>
      <c r="C204" t="s">
        <v>1432</v>
      </c>
      <c r="D204" t="s">
        <v>4550</v>
      </c>
      <c r="E204" t="s">
        <v>2679</v>
      </c>
      <c r="F204" t="s">
        <v>4551</v>
      </c>
      <c r="G204">
        <v>37.895047129200002</v>
      </c>
      <c r="H204">
        <v>-87.540201014000004</v>
      </c>
      <c r="I204" t="s">
        <v>1432</v>
      </c>
      <c r="J204" t="s">
        <v>2424</v>
      </c>
      <c r="K204" t="s">
        <v>4515</v>
      </c>
      <c r="L204" t="s">
        <v>2429</v>
      </c>
      <c r="M204">
        <v>205</v>
      </c>
      <c r="N204" t="s">
        <v>3438</v>
      </c>
      <c r="O204" t="s">
        <v>865</v>
      </c>
      <c r="P204" s="1">
        <v>44756</v>
      </c>
      <c r="Q204">
        <v>54</v>
      </c>
      <c r="R204">
        <v>26</v>
      </c>
      <c r="S204" t="s">
        <v>3607</v>
      </c>
      <c r="U204" s="10" t="s">
        <v>4552</v>
      </c>
      <c r="V204" t="s">
        <v>4553</v>
      </c>
      <c r="W204" t="s">
        <v>4554</v>
      </c>
      <c r="X204" t="s">
        <v>2688</v>
      </c>
      <c r="Y204" t="s">
        <v>2688</v>
      </c>
      <c r="Z204" t="s">
        <v>2747</v>
      </c>
      <c r="AA204" t="s">
        <v>2689</v>
      </c>
      <c r="AB204" t="s">
        <v>4555</v>
      </c>
      <c r="AD204" t="s">
        <v>4556</v>
      </c>
      <c r="AE204" t="s">
        <v>4557</v>
      </c>
      <c r="AH204" t="s">
        <v>4381</v>
      </c>
    </row>
    <row r="205" spans="1:36" ht="145.75" x14ac:dyDescent="0.4">
      <c r="A205" t="s">
        <v>878</v>
      </c>
      <c r="B205" t="s">
        <v>4558</v>
      </c>
      <c r="C205" t="s">
        <v>3594</v>
      </c>
      <c r="D205" t="s">
        <v>4559</v>
      </c>
      <c r="E205" t="s">
        <v>2679</v>
      </c>
      <c r="F205" t="s">
        <v>4560</v>
      </c>
      <c r="G205">
        <v>37.8818983958</v>
      </c>
      <c r="H205">
        <v>-87.557738805300005</v>
      </c>
      <c r="I205" t="s">
        <v>3594</v>
      </c>
      <c r="J205" t="s">
        <v>2424</v>
      </c>
      <c r="K205" t="s">
        <v>4515</v>
      </c>
      <c r="L205" t="s">
        <v>2429</v>
      </c>
      <c r="M205">
        <v>209</v>
      </c>
      <c r="N205" t="s">
        <v>3438</v>
      </c>
      <c r="O205" t="s">
        <v>878</v>
      </c>
      <c r="P205" s="1">
        <v>44756</v>
      </c>
      <c r="Q205">
        <v>40</v>
      </c>
      <c r="R205">
        <v>22</v>
      </c>
      <c r="S205" t="s">
        <v>3427</v>
      </c>
      <c r="T205" t="s">
        <v>2688</v>
      </c>
      <c r="U205" s="10" t="s">
        <v>4561</v>
      </c>
      <c r="V205" t="s">
        <v>4562</v>
      </c>
      <c r="W205" t="s">
        <v>4563</v>
      </c>
      <c r="X205" t="s">
        <v>2688</v>
      </c>
      <c r="Y205" t="s">
        <v>2688</v>
      </c>
      <c r="Z205" t="s">
        <v>2747</v>
      </c>
      <c r="AA205" t="s">
        <v>2689</v>
      </c>
      <c r="AB205" t="s">
        <v>4564</v>
      </c>
      <c r="AC205" t="s">
        <v>4565</v>
      </c>
      <c r="AD205" t="s">
        <v>4566</v>
      </c>
      <c r="AE205" t="s">
        <v>4567</v>
      </c>
      <c r="AH205" t="s">
        <v>4381</v>
      </c>
    </row>
    <row r="206" spans="1:36" ht="160.30000000000001" x14ac:dyDescent="0.4">
      <c r="A206" t="s">
        <v>851</v>
      </c>
      <c r="B206" t="s">
        <v>4568</v>
      </c>
      <c r="C206" t="s">
        <v>4569</v>
      </c>
      <c r="D206" t="s">
        <v>4570</v>
      </c>
      <c r="E206" t="s">
        <v>2679</v>
      </c>
      <c r="F206" t="s">
        <v>4571</v>
      </c>
      <c r="G206">
        <v>37.8942793565</v>
      </c>
      <c r="H206">
        <v>-87.537857551900004</v>
      </c>
      <c r="I206" t="s">
        <v>4569</v>
      </c>
      <c r="J206" t="s">
        <v>2424</v>
      </c>
      <c r="K206" t="s">
        <v>4515</v>
      </c>
      <c r="L206" t="s">
        <v>2429</v>
      </c>
      <c r="M206">
        <v>201</v>
      </c>
      <c r="N206" t="s">
        <v>3438</v>
      </c>
      <c r="O206" t="s">
        <v>851</v>
      </c>
      <c r="P206" s="1">
        <v>44756</v>
      </c>
      <c r="Q206">
        <v>38</v>
      </c>
      <c r="R206">
        <v>25</v>
      </c>
      <c r="S206" t="s">
        <v>3427</v>
      </c>
      <c r="T206" t="s">
        <v>2689</v>
      </c>
      <c r="U206" s="10" t="s">
        <v>4572</v>
      </c>
      <c r="V206" t="s">
        <v>4573</v>
      </c>
      <c r="W206" t="s">
        <v>4537</v>
      </c>
      <c r="X206" t="s">
        <v>2688</v>
      </c>
      <c r="Y206" t="s">
        <v>2688</v>
      </c>
      <c r="Z206" t="s">
        <v>2747</v>
      </c>
      <c r="AA206" t="s">
        <v>2689</v>
      </c>
      <c r="AB206" t="s">
        <v>4574</v>
      </c>
      <c r="AD206" t="s">
        <v>4575</v>
      </c>
      <c r="AE206" t="s">
        <v>4576</v>
      </c>
      <c r="AH206" t="s">
        <v>4577</v>
      </c>
    </row>
    <row r="207" spans="1:36" ht="145.75" x14ac:dyDescent="0.4">
      <c r="A207" t="s">
        <v>848</v>
      </c>
      <c r="B207" t="s">
        <v>4578</v>
      </c>
      <c r="C207" t="s">
        <v>3448</v>
      </c>
      <c r="D207" t="s">
        <v>4579</v>
      </c>
      <c r="E207" t="s">
        <v>2679</v>
      </c>
      <c r="F207" t="s">
        <v>4580</v>
      </c>
      <c r="G207">
        <v>37.894195695400001</v>
      </c>
      <c r="H207">
        <v>-87.537808232100005</v>
      </c>
      <c r="I207" t="s">
        <v>3448</v>
      </c>
      <c r="J207" t="s">
        <v>2424</v>
      </c>
      <c r="K207" t="s">
        <v>4515</v>
      </c>
      <c r="L207" t="s">
        <v>2429</v>
      </c>
      <c r="M207">
        <v>200</v>
      </c>
      <c r="N207" t="s">
        <v>3438</v>
      </c>
      <c r="O207" t="s">
        <v>848</v>
      </c>
      <c r="P207" s="1">
        <v>44756</v>
      </c>
      <c r="Q207">
        <v>40</v>
      </c>
      <c r="R207">
        <v>22</v>
      </c>
      <c r="S207" t="s">
        <v>3607</v>
      </c>
      <c r="T207" t="s">
        <v>2689</v>
      </c>
      <c r="U207" s="10" t="s">
        <v>4581</v>
      </c>
      <c r="V207" s="10" t="s">
        <v>4582</v>
      </c>
      <c r="W207" t="s">
        <v>4528</v>
      </c>
      <c r="X207" t="s">
        <v>2688</v>
      </c>
      <c r="Y207" t="s">
        <v>2688</v>
      </c>
      <c r="Z207" t="s">
        <v>2689</v>
      </c>
      <c r="AA207" t="s">
        <v>2689</v>
      </c>
      <c r="AB207" t="s">
        <v>4583</v>
      </c>
      <c r="AD207" t="s">
        <v>4584</v>
      </c>
      <c r="AE207" t="s">
        <v>4585</v>
      </c>
      <c r="AH207" t="s">
        <v>4381</v>
      </c>
    </row>
    <row r="208" spans="1:36" ht="102" x14ac:dyDescent="0.4">
      <c r="A208" t="s">
        <v>842</v>
      </c>
      <c r="B208" t="s">
        <v>4586</v>
      </c>
      <c r="C208" t="s">
        <v>1415</v>
      </c>
      <c r="D208" t="s">
        <v>4587</v>
      </c>
      <c r="E208" t="s">
        <v>2679</v>
      </c>
      <c r="F208" t="s">
        <v>4588</v>
      </c>
      <c r="G208">
        <v>37.894155869800002</v>
      </c>
      <c r="H208">
        <v>-87.5382600967</v>
      </c>
      <c r="I208" t="s">
        <v>1415</v>
      </c>
      <c r="J208" t="s">
        <v>2424</v>
      </c>
      <c r="K208" t="s">
        <v>4515</v>
      </c>
      <c r="L208" t="s">
        <v>2429</v>
      </c>
      <c r="M208">
        <v>198</v>
      </c>
      <c r="N208" t="s">
        <v>3438</v>
      </c>
      <c r="O208" t="s">
        <v>842</v>
      </c>
      <c r="P208" s="1">
        <v>44756</v>
      </c>
      <c r="Q208">
        <v>11.5</v>
      </c>
      <c r="R208">
        <v>12</v>
      </c>
      <c r="S208" t="s">
        <v>3427</v>
      </c>
      <c r="T208" t="s">
        <v>2689</v>
      </c>
      <c r="U208" s="10" t="s">
        <v>4589</v>
      </c>
      <c r="V208" t="s">
        <v>4590</v>
      </c>
      <c r="W208" t="s">
        <v>4528</v>
      </c>
      <c r="X208" t="s">
        <v>2688</v>
      </c>
      <c r="Y208" t="s">
        <v>2688</v>
      </c>
      <c r="Z208" t="s">
        <v>2689</v>
      </c>
      <c r="AA208" t="s">
        <v>2689</v>
      </c>
      <c r="AB208" t="s">
        <v>4591</v>
      </c>
      <c r="AD208" t="s">
        <v>4592</v>
      </c>
      <c r="AE208" t="s">
        <v>4593</v>
      </c>
      <c r="AH208" t="s">
        <v>4381</v>
      </c>
    </row>
    <row r="209" spans="1:34" ht="145.75" x14ac:dyDescent="0.4">
      <c r="A209" t="s">
        <v>875</v>
      </c>
      <c r="B209" t="s">
        <v>4594</v>
      </c>
      <c r="C209" t="s">
        <v>3594</v>
      </c>
      <c r="D209" t="s">
        <v>4595</v>
      </c>
      <c r="E209" t="s">
        <v>2679</v>
      </c>
      <c r="F209" t="s">
        <v>4596</v>
      </c>
      <c r="G209">
        <v>37.8859053519</v>
      </c>
      <c r="H209">
        <v>-87.553339775599994</v>
      </c>
      <c r="I209" t="s">
        <v>3594</v>
      </c>
      <c r="J209" t="s">
        <v>2424</v>
      </c>
      <c r="K209" t="s">
        <v>4515</v>
      </c>
      <c r="L209" t="s">
        <v>2429</v>
      </c>
      <c r="M209">
        <v>208</v>
      </c>
      <c r="N209" t="s">
        <v>3438</v>
      </c>
      <c r="O209" t="s">
        <v>875</v>
      </c>
      <c r="P209" s="1">
        <v>44756</v>
      </c>
      <c r="Q209">
        <v>50</v>
      </c>
      <c r="R209">
        <v>22</v>
      </c>
      <c r="S209" t="s">
        <v>4506</v>
      </c>
      <c r="T209" t="s">
        <v>2689</v>
      </c>
      <c r="U209" s="10" t="s">
        <v>4597</v>
      </c>
      <c r="V209" t="s">
        <v>4598</v>
      </c>
      <c r="W209" t="s">
        <v>4599</v>
      </c>
      <c r="X209" t="s">
        <v>2688</v>
      </c>
      <c r="Y209" t="s">
        <v>2688</v>
      </c>
      <c r="Z209" t="s">
        <v>2689</v>
      </c>
      <c r="AA209" t="s">
        <v>2689</v>
      </c>
      <c r="AB209" t="s">
        <v>4600</v>
      </c>
      <c r="AD209" t="s">
        <v>4601</v>
      </c>
      <c r="AE209" t="s">
        <v>4602</v>
      </c>
      <c r="AH209" t="s">
        <v>4381</v>
      </c>
    </row>
    <row r="210" spans="1:34" ht="102" x14ac:dyDescent="0.4">
      <c r="A210" t="s">
        <v>868</v>
      </c>
      <c r="B210" t="s">
        <v>4603</v>
      </c>
      <c r="C210" t="s">
        <v>3448</v>
      </c>
      <c r="D210" t="s">
        <v>4604</v>
      </c>
      <c r="E210" t="s">
        <v>2679</v>
      </c>
      <c r="F210" t="s">
        <v>4605</v>
      </c>
      <c r="G210">
        <v>37.894344558</v>
      </c>
      <c r="H210">
        <v>-87.543374318700003</v>
      </c>
      <c r="I210" t="s">
        <v>3448</v>
      </c>
      <c r="J210" t="s">
        <v>2424</v>
      </c>
      <c r="K210" t="s">
        <v>4515</v>
      </c>
      <c r="L210" t="s">
        <v>2429</v>
      </c>
      <c r="M210">
        <v>206</v>
      </c>
      <c r="N210" t="s">
        <v>3438</v>
      </c>
      <c r="O210" t="s">
        <v>868</v>
      </c>
      <c r="P210" s="1">
        <v>44756</v>
      </c>
      <c r="Q210">
        <v>93</v>
      </c>
      <c r="R210">
        <v>25</v>
      </c>
      <c r="S210" t="s">
        <v>3427</v>
      </c>
      <c r="T210" t="s">
        <v>2689</v>
      </c>
      <c r="U210" s="10" t="s">
        <v>4606</v>
      </c>
      <c r="V210" t="s">
        <v>4607</v>
      </c>
      <c r="W210" t="s">
        <v>4528</v>
      </c>
      <c r="X210" t="s">
        <v>2688</v>
      </c>
      <c r="Y210" t="s">
        <v>2688</v>
      </c>
      <c r="Z210" t="s">
        <v>2689</v>
      </c>
      <c r="AA210" t="s">
        <v>2689</v>
      </c>
      <c r="AB210" t="s">
        <v>4608</v>
      </c>
      <c r="AD210" t="s">
        <v>4609</v>
      </c>
      <c r="AE210" t="s">
        <v>4610</v>
      </c>
      <c r="AH210" t="s">
        <v>4381</v>
      </c>
    </row>
    <row r="211" spans="1:34" ht="160.30000000000001" x14ac:dyDescent="0.4">
      <c r="A211" t="s">
        <v>839</v>
      </c>
      <c r="B211" t="s">
        <v>4611</v>
      </c>
      <c r="C211" t="s">
        <v>1415</v>
      </c>
      <c r="D211" t="s">
        <v>4612</v>
      </c>
      <c r="E211" t="s">
        <v>2679</v>
      </c>
      <c r="F211" t="s">
        <v>4613</v>
      </c>
      <c r="G211">
        <v>37.894277251399998</v>
      </c>
      <c r="H211">
        <v>-87.538865609200002</v>
      </c>
      <c r="I211" t="s">
        <v>1415</v>
      </c>
      <c r="J211" t="s">
        <v>2424</v>
      </c>
      <c r="K211" t="s">
        <v>4515</v>
      </c>
      <c r="L211" t="s">
        <v>2429</v>
      </c>
      <c r="M211">
        <v>197</v>
      </c>
      <c r="N211" t="s">
        <v>3438</v>
      </c>
      <c r="O211" t="s">
        <v>839</v>
      </c>
      <c r="P211" s="1">
        <v>44756</v>
      </c>
      <c r="Q211">
        <v>50.5</v>
      </c>
      <c r="R211">
        <v>26</v>
      </c>
      <c r="S211" t="s">
        <v>3607</v>
      </c>
      <c r="U211" s="10" t="s">
        <v>4614</v>
      </c>
      <c r="V211" t="s">
        <v>4615</v>
      </c>
      <c r="W211" t="s">
        <v>4616</v>
      </c>
      <c r="X211" t="s">
        <v>2688</v>
      </c>
      <c r="Y211" t="s">
        <v>2688</v>
      </c>
      <c r="Z211" t="s">
        <v>2689</v>
      </c>
      <c r="AA211" t="s">
        <v>2689</v>
      </c>
      <c r="AB211" t="s">
        <v>4617</v>
      </c>
      <c r="AD211" t="s">
        <v>4618</v>
      </c>
      <c r="AE211" t="s">
        <v>4619</v>
      </c>
      <c r="AH211" t="s">
        <v>4381</v>
      </c>
    </row>
    <row r="212" spans="1:34" ht="116.6" x14ac:dyDescent="0.4">
      <c r="A212" t="s">
        <v>811</v>
      </c>
      <c r="B212" t="s">
        <v>4620</v>
      </c>
      <c r="C212" t="s">
        <v>1411</v>
      </c>
      <c r="D212" t="s">
        <v>4621</v>
      </c>
      <c r="E212" t="s">
        <v>2679</v>
      </c>
      <c r="F212" t="s">
        <v>4622</v>
      </c>
      <c r="G212">
        <v>37.899306780099998</v>
      </c>
      <c r="H212">
        <v>-87.506574363499993</v>
      </c>
      <c r="I212" t="s">
        <v>1411</v>
      </c>
      <c r="J212" t="s">
        <v>2424</v>
      </c>
      <c r="K212" t="s">
        <v>4432</v>
      </c>
      <c r="L212" t="s">
        <v>2428</v>
      </c>
      <c r="M212">
        <v>210</v>
      </c>
      <c r="N212" t="s">
        <v>3438</v>
      </c>
      <c r="O212" t="s">
        <v>811</v>
      </c>
      <c r="P212" s="1">
        <v>44756</v>
      </c>
      <c r="Q212">
        <v>7.5</v>
      </c>
      <c r="R212">
        <v>3</v>
      </c>
      <c r="S212" t="s">
        <v>3427</v>
      </c>
      <c r="T212" t="s">
        <v>2689</v>
      </c>
      <c r="U212" s="10" t="s">
        <v>4623</v>
      </c>
      <c r="V212" t="s">
        <v>4624</v>
      </c>
      <c r="W212" t="s">
        <v>4625</v>
      </c>
      <c r="X212" t="s">
        <v>2688</v>
      </c>
      <c r="Y212" t="s">
        <v>2688</v>
      </c>
      <c r="Z212" t="s">
        <v>2747</v>
      </c>
      <c r="AA212" t="s">
        <v>2689</v>
      </c>
      <c r="AB212" t="s">
        <v>4626</v>
      </c>
      <c r="AD212" t="s">
        <v>4627</v>
      </c>
      <c r="AE212" t="s">
        <v>4628</v>
      </c>
      <c r="AH212" t="s">
        <v>4381</v>
      </c>
    </row>
    <row r="213" spans="1:34" ht="58.3" x14ac:dyDescent="0.4">
      <c r="A213" t="s">
        <v>821</v>
      </c>
      <c r="B213" t="s">
        <v>4629</v>
      </c>
      <c r="C213" t="s">
        <v>1411</v>
      </c>
      <c r="D213" t="s">
        <v>4630</v>
      </c>
      <c r="E213" t="s">
        <v>2679</v>
      </c>
      <c r="F213" t="s">
        <v>4631</v>
      </c>
      <c r="G213">
        <v>37.898850559700001</v>
      </c>
      <c r="H213">
        <v>-87.502869800200003</v>
      </c>
      <c r="I213" t="s">
        <v>1411</v>
      </c>
      <c r="J213" t="s">
        <v>2424</v>
      </c>
      <c r="K213" t="s">
        <v>4432</v>
      </c>
      <c r="L213" t="s">
        <v>2428</v>
      </c>
      <c r="M213">
        <v>212</v>
      </c>
      <c r="N213" t="s">
        <v>3438</v>
      </c>
      <c r="O213" t="s">
        <v>821</v>
      </c>
      <c r="P213" s="1">
        <v>44756</v>
      </c>
      <c r="Q213">
        <v>62</v>
      </c>
      <c r="R213">
        <v>25</v>
      </c>
      <c r="S213" t="s">
        <v>3607</v>
      </c>
      <c r="U213" s="10" t="s">
        <v>4632</v>
      </c>
      <c r="V213" t="s">
        <v>4633</v>
      </c>
      <c r="W213" t="s">
        <v>4435</v>
      </c>
      <c r="X213" t="s">
        <v>2688</v>
      </c>
      <c r="Y213" t="s">
        <v>2688</v>
      </c>
      <c r="Z213" t="s">
        <v>2689</v>
      </c>
      <c r="AA213" t="s">
        <v>2689</v>
      </c>
      <c r="AB213" t="s">
        <v>4634</v>
      </c>
      <c r="AD213" t="s">
        <v>4635</v>
      </c>
      <c r="AE213" t="s">
        <v>4636</v>
      </c>
      <c r="AH213" t="s">
        <v>4381</v>
      </c>
    </row>
    <row r="214" spans="1:34" ht="58.3" x14ac:dyDescent="0.4">
      <c r="A214" t="s">
        <v>889</v>
      </c>
      <c r="B214" t="s">
        <v>4637</v>
      </c>
      <c r="C214" t="s">
        <v>1411</v>
      </c>
      <c r="D214" t="s">
        <v>4638</v>
      </c>
      <c r="E214" t="s">
        <v>2679</v>
      </c>
      <c r="F214" t="s">
        <v>4639</v>
      </c>
      <c r="G214">
        <v>38.061023647900001</v>
      </c>
      <c r="H214">
        <v>-84.507037773799993</v>
      </c>
      <c r="I214" t="s">
        <v>1411</v>
      </c>
      <c r="J214" t="s">
        <v>2424</v>
      </c>
      <c r="K214" t="s">
        <v>4373</v>
      </c>
      <c r="L214" t="s">
        <v>2430</v>
      </c>
      <c r="M214">
        <v>170</v>
      </c>
      <c r="N214" t="s">
        <v>3438</v>
      </c>
      <c r="O214" t="s">
        <v>889</v>
      </c>
      <c r="P214" s="1">
        <v>44754</v>
      </c>
      <c r="Q214">
        <v>126</v>
      </c>
      <c r="R214">
        <v>26</v>
      </c>
      <c r="S214" t="s">
        <v>4374</v>
      </c>
      <c r="T214" t="s">
        <v>2689</v>
      </c>
      <c r="U214" t="s">
        <v>4640</v>
      </c>
      <c r="V214" s="10" t="s">
        <v>4641</v>
      </c>
      <c r="W214" t="s">
        <v>4642</v>
      </c>
      <c r="X214" t="s">
        <v>2688</v>
      </c>
      <c r="Y214" t="s">
        <v>2688</v>
      </c>
      <c r="Z214" t="s">
        <v>2689</v>
      </c>
      <c r="AA214" t="s">
        <v>2689</v>
      </c>
      <c r="AB214" t="s">
        <v>4643</v>
      </c>
      <c r="AD214" t="s">
        <v>4644</v>
      </c>
      <c r="AE214" t="s">
        <v>4645</v>
      </c>
      <c r="AH214" t="s">
        <v>4381</v>
      </c>
    </row>
    <row r="215" spans="1:34" ht="131.15" x14ac:dyDescent="0.4">
      <c r="A215" t="s">
        <v>835</v>
      </c>
      <c r="B215" t="s">
        <v>4646</v>
      </c>
      <c r="C215" t="s">
        <v>1432</v>
      </c>
      <c r="D215" t="s">
        <v>4647</v>
      </c>
      <c r="E215" t="s">
        <v>2679</v>
      </c>
      <c r="F215" t="s">
        <v>4648</v>
      </c>
      <c r="G215">
        <v>37.891767320100001</v>
      </c>
      <c r="H215">
        <v>-87.539268707399998</v>
      </c>
      <c r="I215" t="s">
        <v>1432</v>
      </c>
      <c r="J215" t="s">
        <v>2424</v>
      </c>
      <c r="K215" t="s">
        <v>4515</v>
      </c>
      <c r="L215" t="s">
        <v>2429</v>
      </c>
      <c r="M215">
        <v>196</v>
      </c>
      <c r="N215" t="s">
        <v>3438</v>
      </c>
      <c r="O215" t="s">
        <v>835</v>
      </c>
      <c r="P215" s="1">
        <v>44756</v>
      </c>
      <c r="Q215">
        <v>23</v>
      </c>
      <c r="R215">
        <v>14</v>
      </c>
      <c r="S215" t="s">
        <v>3427</v>
      </c>
      <c r="T215" t="s">
        <v>2689</v>
      </c>
      <c r="U215" s="10" t="s">
        <v>4649</v>
      </c>
      <c r="V215" t="s">
        <v>4650</v>
      </c>
      <c r="W215" t="s">
        <v>4528</v>
      </c>
      <c r="X215" t="s">
        <v>2688</v>
      </c>
      <c r="Y215" t="s">
        <v>2688</v>
      </c>
      <c r="Z215" t="s">
        <v>2689</v>
      </c>
      <c r="AA215" t="s">
        <v>2689</v>
      </c>
      <c r="AB215" t="s">
        <v>4651</v>
      </c>
      <c r="AD215" t="s">
        <v>4652</v>
      </c>
      <c r="AE215" t="s">
        <v>4653</v>
      </c>
      <c r="AH215" t="s">
        <v>4381</v>
      </c>
    </row>
    <row r="216" spans="1:34" ht="218.6" x14ac:dyDescent="0.4">
      <c r="A216" t="s">
        <v>748</v>
      </c>
      <c r="B216" t="s">
        <v>4654</v>
      </c>
      <c r="C216" t="s">
        <v>3594</v>
      </c>
      <c r="D216" t="s">
        <v>4655</v>
      </c>
      <c r="E216" t="s">
        <v>2679</v>
      </c>
      <c r="F216" t="s">
        <v>4656</v>
      </c>
      <c r="G216">
        <v>38.137925053099998</v>
      </c>
      <c r="H216">
        <v>-84.735556617499995</v>
      </c>
      <c r="I216" t="s">
        <v>3594</v>
      </c>
      <c r="J216" t="s">
        <v>2424</v>
      </c>
      <c r="K216" t="s">
        <v>4386</v>
      </c>
      <c r="L216" t="s">
        <v>2425</v>
      </c>
      <c r="M216">
        <v>188</v>
      </c>
      <c r="N216" t="s">
        <v>3438</v>
      </c>
      <c r="O216" t="s">
        <v>748</v>
      </c>
      <c r="P216" s="1">
        <v>44755</v>
      </c>
      <c r="Q216">
        <v>86</v>
      </c>
      <c r="R216">
        <v>22</v>
      </c>
      <c r="S216" t="s">
        <v>3464</v>
      </c>
      <c r="T216" t="s">
        <v>2688</v>
      </c>
      <c r="U216" s="10" t="s">
        <v>4657</v>
      </c>
      <c r="V216" t="s">
        <v>4658</v>
      </c>
      <c r="W216" t="s">
        <v>4659</v>
      </c>
      <c r="X216" t="s">
        <v>2688</v>
      </c>
      <c r="Y216" t="s">
        <v>2688</v>
      </c>
      <c r="Z216" t="s">
        <v>2689</v>
      </c>
      <c r="AA216" t="s">
        <v>2689</v>
      </c>
      <c r="AB216" t="s">
        <v>4660</v>
      </c>
      <c r="AC216" t="s">
        <v>4661</v>
      </c>
      <c r="AD216" t="s">
        <v>4662</v>
      </c>
      <c r="AE216" t="s">
        <v>4663</v>
      </c>
      <c r="AH216" t="s">
        <v>3592</v>
      </c>
    </row>
    <row r="217" spans="1:34" ht="116.6" x14ac:dyDescent="0.4">
      <c r="A217" t="s">
        <v>751</v>
      </c>
      <c r="B217" t="s">
        <v>4664</v>
      </c>
      <c r="C217" t="s">
        <v>1411</v>
      </c>
      <c r="D217" t="s">
        <v>4665</v>
      </c>
      <c r="E217" t="s">
        <v>2679</v>
      </c>
      <c r="F217" t="s">
        <v>4666</v>
      </c>
      <c r="G217">
        <v>38.137846598899998</v>
      </c>
      <c r="H217">
        <v>-84.735576594099996</v>
      </c>
      <c r="I217" t="s">
        <v>1411</v>
      </c>
      <c r="J217" t="s">
        <v>2424</v>
      </c>
      <c r="K217" t="s">
        <v>4386</v>
      </c>
      <c r="L217" t="s">
        <v>2425</v>
      </c>
      <c r="M217">
        <v>189</v>
      </c>
      <c r="N217" t="s">
        <v>3438</v>
      </c>
      <c r="O217" t="s">
        <v>751</v>
      </c>
      <c r="P217" s="1">
        <v>44755</v>
      </c>
      <c r="Q217">
        <v>55</v>
      </c>
      <c r="R217">
        <v>20</v>
      </c>
      <c r="S217" t="s">
        <v>3427</v>
      </c>
      <c r="T217" t="s">
        <v>2689</v>
      </c>
      <c r="U217" s="10" t="s">
        <v>4667</v>
      </c>
      <c r="V217" t="s">
        <v>4668</v>
      </c>
      <c r="W217" t="s">
        <v>3587</v>
      </c>
      <c r="X217" t="s">
        <v>2688</v>
      </c>
      <c r="Y217" t="s">
        <v>2688</v>
      </c>
      <c r="Z217" t="s">
        <v>2689</v>
      </c>
      <c r="AA217" t="s">
        <v>2689</v>
      </c>
      <c r="AB217" t="s">
        <v>4669</v>
      </c>
      <c r="AD217" t="s">
        <v>4670</v>
      </c>
      <c r="AE217" t="s">
        <v>4671</v>
      </c>
      <c r="AH217" t="s">
        <v>3592</v>
      </c>
    </row>
    <row r="218" spans="1:34" x14ac:dyDescent="0.4">
      <c r="A218" t="s">
        <v>757</v>
      </c>
      <c r="B218" t="s">
        <v>4672</v>
      </c>
      <c r="C218" t="s">
        <v>3594</v>
      </c>
      <c r="D218" t="s">
        <v>4673</v>
      </c>
      <c r="E218" t="s">
        <v>2679</v>
      </c>
      <c r="F218" t="s">
        <v>4674</v>
      </c>
      <c r="G218">
        <v>38.136906358399997</v>
      </c>
      <c r="H218">
        <v>-84.734260356099995</v>
      </c>
      <c r="I218" t="s">
        <v>3594</v>
      </c>
      <c r="J218" t="s">
        <v>2424</v>
      </c>
      <c r="K218" t="s">
        <v>4386</v>
      </c>
      <c r="L218" t="s">
        <v>2425</v>
      </c>
      <c r="M218">
        <v>191</v>
      </c>
      <c r="N218" t="s">
        <v>3438</v>
      </c>
      <c r="O218" t="s">
        <v>757</v>
      </c>
      <c r="P218" s="1">
        <v>44755</v>
      </c>
      <c r="Q218">
        <v>157</v>
      </c>
      <c r="R218">
        <v>20</v>
      </c>
      <c r="S218" t="s">
        <v>3584</v>
      </c>
      <c r="T218" t="s">
        <v>2689</v>
      </c>
      <c r="U218" t="s">
        <v>4675</v>
      </c>
      <c r="V218" t="s">
        <v>4676</v>
      </c>
      <c r="W218" t="s">
        <v>3587</v>
      </c>
      <c r="X218" t="s">
        <v>2688</v>
      </c>
      <c r="Y218" t="s">
        <v>2688</v>
      </c>
      <c r="Z218" t="s">
        <v>2689</v>
      </c>
      <c r="AA218" t="s">
        <v>2689</v>
      </c>
      <c r="AB218" t="s">
        <v>4677</v>
      </c>
      <c r="AD218" t="s">
        <v>4678</v>
      </c>
      <c r="AE218" t="s">
        <v>4679</v>
      </c>
      <c r="AH218" t="s">
        <v>3592</v>
      </c>
    </row>
    <row r="219" spans="1:34" ht="233.15" x14ac:dyDescent="0.4">
      <c r="A219" t="s">
        <v>845</v>
      </c>
      <c r="B219" t="s">
        <v>4680</v>
      </c>
      <c r="C219" t="s">
        <v>1432</v>
      </c>
      <c r="D219" t="s">
        <v>4681</v>
      </c>
      <c r="E219" t="s">
        <v>2679</v>
      </c>
      <c r="F219" t="s">
        <v>4682</v>
      </c>
      <c r="G219">
        <v>37.894141296900003</v>
      </c>
      <c r="H219">
        <v>-87.5382742659</v>
      </c>
      <c r="I219" t="s">
        <v>1432</v>
      </c>
      <c r="J219" t="s">
        <v>2424</v>
      </c>
      <c r="K219" t="s">
        <v>4515</v>
      </c>
      <c r="L219" t="s">
        <v>2429</v>
      </c>
      <c r="M219">
        <v>199</v>
      </c>
      <c r="N219" t="s">
        <v>3438</v>
      </c>
      <c r="O219" t="s">
        <v>845</v>
      </c>
      <c r="P219" s="1">
        <v>44756</v>
      </c>
      <c r="Q219">
        <v>40.5</v>
      </c>
      <c r="R219">
        <v>24</v>
      </c>
      <c r="S219" t="s">
        <v>3607</v>
      </c>
      <c r="T219" t="s">
        <v>2689</v>
      </c>
      <c r="U219" s="10" t="s">
        <v>4683</v>
      </c>
      <c r="V219" s="10" t="s">
        <v>4684</v>
      </c>
      <c r="W219" t="s">
        <v>4528</v>
      </c>
      <c r="X219" t="s">
        <v>2688</v>
      </c>
      <c r="Y219" t="s">
        <v>2688</v>
      </c>
      <c r="Z219" t="s">
        <v>2689</v>
      </c>
      <c r="AA219" t="s">
        <v>2689</v>
      </c>
      <c r="AB219" t="s">
        <v>4685</v>
      </c>
      <c r="AD219" t="s">
        <v>4686</v>
      </c>
      <c r="AE219" t="s">
        <v>4687</v>
      </c>
      <c r="AH219" t="s">
        <v>4381</v>
      </c>
    </row>
    <row r="220" spans="1:34" ht="276.89999999999998" x14ac:dyDescent="0.4">
      <c r="A220" t="s">
        <v>831</v>
      </c>
      <c r="B220" t="s">
        <v>4688</v>
      </c>
      <c r="C220" t="s">
        <v>1415</v>
      </c>
      <c r="D220" t="s">
        <v>4689</v>
      </c>
      <c r="E220" t="s">
        <v>2679</v>
      </c>
      <c r="F220" t="s">
        <v>4690</v>
      </c>
      <c r="G220">
        <v>37.890516181000002</v>
      </c>
      <c r="H220">
        <v>-87.5397437811</v>
      </c>
      <c r="I220" t="s">
        <v>1415</v>
      </c>
      <c r="J220" t="s">
        <v>2424</v>
      </c>
      <c r="K220" t="s">
        <v>4515</v>
      </c>
      <c r="L220" t="s">
        <v>2429</v>
      </c>
      <c r="M220">
        <v>195</v>
      </c>
      <c r="N220" t="s">
        <v>3438</v>
      </c>
      <c r="O220" t="s">
        <v>831</v>
      </c>
      <c r="P220" s="1">
        <v>44756</v>
      </c>
      <c r="Q220">
        <v>43.5</v>
      </c>
      <c r="R220">
        <v>16</v>
      </c>
      <c r="S220" t="s">
        <v>3464</v>
      </c>
      <c r="T220" t="s">
        <v>2688</v>
      </c>
      <c r="U220" s="10" t="s">
        <v>4691</v>
      </c>
      <c r="V220" t="s">
        <v>4692</v>
      </c>
      <c r="W220" t="s">
        <v>4693</v>
      </c>
      <c r="X220" t="s">
        <v>2688</v>
      </c>
      <c r="Y220" t="s">
        <v>2688</v>
      </c>
      <c r="Z220" t="s">
        <v>2689</v>
      </c>
      <c r="AA220" t="s">
        <v>2689</v>
      </c>
      <c r="AB220" t="s">
        <v>4694</v>
      </c>
      <c r="AC220" t="s">
        <v>4695</v>
      </c>
      <c r="AD220" t="s">
        <v>4696</v>
      </c>
      <c r="AE220" t="s">
        <v>4697</v>
      </c>
      <c r="AH220" t="s">
        <v>4381</v>
      </c>
    </row>
    <row r="221" spans="1:34" x14ac:dyDescent="0.4">
      <c r="A221" t="s">
        <v>742</v>
      </c>
      <c r="B221" t="s">
        <v>4698</v>
      </c>
      <c r="C221" t="s">
        <v>1411</v>
      </c>
      <c r="D221" t="s">
        <v>4699</v>
      </c>
      <c r="E221" t="s">
        <v>2679</v>
      </c>
      <c r="F221" t="s">
        <v>4700</v>
      </c>
      <c r="G221">
        <v>38.139891531400004</v>
      </c>
      <c r="H221">
        <v>-84.759974610100002</v>
      </c>
      <c r="I221" t="s">
        <v>1411</v>
      </c>
      <c r="J221" t="s">
        <v>2424</v>
      </c>
      <c r="K221" t="s">
        <v>4386</v>
      </c>
      <c r="L221" t="s">
        <v>2425</v>
      </c>
      <c r="M221">
        <v>186</v>
      </c>
      <c r="N221" t="s">
        <v>3438</v>
      </c>
      <c r="O221" t="s">
        <v>742</v>
      </c>
      <c r="P221" s="1">
        <v>44755</v>
      </c>
      <c r="Q221">
        <v>192</v>
      </c>
      <c r="R221">
        <v>25</v>
      </c>
      <c r="S221" t="s">
        <v>3607</v>
      </c>
      <c r="T221" t="s">
        <v>2689</v>
      </c>
      <c r="U221" t="s">
        <v>4701</v>
      </c>
      <c r="V221" t="s">
        <v>4702</v>
      </c>
      <c r="W221" t="s">
        <v>4388</v>
      </c>
      <c r="X221" t="s">
        <v>2688</v>
      </c>
      <c r="Y221" t="s">
        <v>2688</v>
      </c>
      <c r="Z221" t="s">
        <v>2689</v>
      </c>
      <c r="AA221" t="s">
        <v>2689</v>
      </c>
      <c r="AB221" t="s">
        <v>4703</v>
      </c>
      <c r="AC221" t="s">
        <v>4704</v>
      </c>
      <c r="AD221" t="s">
        <v>4705</v>
      </c>
      <c r="AE221" t="s">
        <v>4706</v>
      </c>
      <c r="AH221" t="s">
        <v>3592</v>
      </c>
    </row>
    <row r="222" spans="1:34" ht="145.75" x14ac:dyDescent="0.4">
      <c r="A222" t="s">
        <v>795</v>
      </c>
      <c r="B222" t="s">
        <v>4707</v>
      </c>
      <c r="C222" t="s">
        <v>3594</v>
      </c>
      <c r="D222" t="s">
        <v>4708</v>
      </c>
      <c r="E222" t="s">
        <v>2679</v>
      </c>
      <c r="F222" t="s">
        <v>4709</v>
      </c>
      <c r="G222">
        <v>38.273647095800001</v>
      </c>
      <c r="H222">
        <v>-84.208063505400006</v>
      </c>
      <c r="I222" t="s">
        <v>3594</v>
      </c>
      <c r="J222" t="s">
        <v>2424</v>
      </c>
      <c r="K222" t="s">
        <v>3583</v>
      </c>
      <c r="L222" t="s">
        <v>2426</v>
      </c>
      <c r="M222">
        <v>183</v>
      </c>
      <c r="N222" t="s">
        <v>3438</v>
      </c>
      <c r="O222" t="s">
        <v>795</v>
      </c>
      <c r="P222" s="1">
        <v>44755</v>
      </c>
      <c r="Q222">
        <v>124</v>
      </c>
      <c r="R222">
        <v>26</v>
      </c>
      <c r="S222" t="s">
        <v>3464</v>
      </c>
      <c r="T222" t="s">
        <v>2689</v>
      </c>
      <c r="U222" t="s">
        <v>2747</v>
      </c>
      <c r="V222" s="10" t="s">
        <v>4710</v>
      </c>
      <c r="W222" t="s">
        <v>3587</v>
      </c>
      <c r="X222" t="s">
        <v>2688</v>
      </c>
      <c r="Y222" t="s">
        <v>2688</v>
      </c>
      <c r="Z222" t="s">
        <v>2689</v>
      </c>
      <c r="AA222" t="s">
        <v>2689</v>
      </c>
      <c r="AB222" t="s">
        <v>4711</v>
      </c>
      <c r="AD222" t="s">
        <v>4712</v>
      </c>
      <c r="AE222" t="s">
        <v>4713</v>
      </c>
      <c r="AH222" t="s">
        <v>3592</v>
      </c>
    </row>
    <row r="223" spans="1:34" ht="131.15" x14ac:dyDescent="0.4">
      <c r="A223" t="s">
        <v>792</v>
      </c>
      <c r="B223" t="s">
        <v>4714</v>
      </c>
      <c r="C223" t="s">
        <v>1411</v>
      </c>
      <c r="D223" t="s">
        <v>4715</v>
      </c>
      <c r="E223" t="s">
        <v>2679</v>
      </c>
      <c r="F223" t="s">
        <v>4716</v>
      </c>
      <c r="G223">
        <v>38.27340865</v>
      </c>
      <c r="H223">
        <v>-84.208170261800007</v>
      </c>
      <c r="I223" t="s">
        <v>1411</v>
      </c>
      <c r="J223" t="s">
        <v>2424</v>
      </c>
      <c r="K223" t="s">
        <v>3583</v>
      </c>
      <c r="L223" t="s">
        <v>2426</v>
      </c>
      <c r="M223">
        <v>182</v>
      </c>
      <c r="N223" t="s">
        <v>3438</v>
      </c>
      <c r="O223" t="s">
        <v>792</v>
      </c>
      <c r="P223" s="1">
        <v>44755</v>
      </c>
      <c r="Q223">
        <v>155</v>
      </c>
      <c r="R223">
        <v>26</v>
      </c>
      <c r="S223" t="s">
        <v>3584</v>
      </c>
      <c r="T223" t="s">
        <v>2689</v>
      </c>
      <c r="U223" t="s">
        <v>3597</v>
      </c>
      <c r="V223" s="10" t="s">
        <v>4717</v>
      </c>
      <c r="W223" t="s">
        <v>3587</v>
      </c>
      <c r="X223" t="s">
        <v>2688</v>
      </c>
      <c r="Y223" t="s">
        <v>2688</v>
      </c>
      <c r="Z223" t="s">
        <v>2689</v>
      </c>
      <c r="AA223" t="s">
        <v>2689</v>
      </c>
      <c r="AB223" t="s">
        <v>4718</v>
      </c>
      <c r="AD223" t="s">
        <v>4719</v>
      </c>
      <c r="AE223" t="s">
        <v>4720</v>
      </c>
      <c r="AH223" t="s">
        <v>3592</v>
      </c>
    </row>
    <row r="224" spans="1:34" ht="145.75" x14ac:dyDescent="0.4">
      <c r="A224" t="s">
        <v>786</v>
      </c>
      <c r="B224" t="s">
        <v>4721</v>
      </c>
      <c r="C224" t="s">
        <v>3594</v>
      </c>
      <c r="D224" t="s">
        <v>4722</v>
      </c>
      <c r="E224" t="s">
        <v>2679</v>
      </c>
      <c r="F224" t="s">
        <v>4723</v>
      </c>
      <c r="G224">
        <v>38.272487408000003</v>
      </c>
      <c r="H224">
        <v>-84.208627000000007</v>
      </c>
      <c r="I224" t="s">
        <v>3594</v>
      </c>
      <c r="J224" t="s">
        <v>2424</v>
      </c>
      <c r="K224" t="s">
        <v>3583</v>
      </c>
      <c r="L224" t="s">
        <v>2426</v>
      </c>
      <c r="M224">
        <v>180</v>
      </c>
      <c r="N224" t="s">
        <v>3438</v>
      </c>
      <c r="O224" t="s">
        <v>786</v>
      </c>
      <c r="P224" s="1">
        <v>44755</v>
      </c>
      <c r="Q224">
        <v>114</v>
      </c>
      <c r="R224">
        <v>24</v>
      </c>
      <c r="S224" t="s">
        <v>3464</v>
      </c>
      <c r="T224" t="s">
        <v>2689</v>
      </c>
      <c r="U224" t="s">
        <v>4724</v>
      </c>
      <c r="V224" s="10" t="s">
        <v>4725</v>
      </c>
      <c r="W224" t="s">
        <v>3587</v>
      </c>
      <c r="X224" t="s">
        <v>2688</v>
      </c>
      <c r="Y224" t="s">
        <v>2688</v>
      </c>
      <c r="Z224" t="s">
        <v>2689</v>
      </c>
      <c r="AA224" t="s">
        <v>2689</v>
      </c>
      <c r="AB224" t="s">
        <v>4726</v>
      </c>
      <c r="AD224" s="9" t="s">
        <v>4727</v>
      </c>
      <c r="AE224" t="s">
        <v>4728</v>
      </c>
      <c r="AH224" t="s">
        <v>3592</v>
      </c>
    </row>
    <row r="225" spans="1:36" ht="102" x14ac:dyDescent="0.4">
      <c r="A225" t="s">
        <v>777</v>
      </c>
      <c r="B225" t="s">
        <v>4729</v>
      </c>
      <c r="C225" t="s">
        <v>1411</v>
      </c>
      <c r="D225" t="s">
        <v>4730</v>
      </c>
      <c r="E225" t="s">
        <v>2679</v>
      </c>
      <c r="F225" t="s">
        <v>4731</v>
      </c>
      <c r="G225">
        <v>38.278194652000003</v>
      </c>
      <c r="H225">
        <v>-84.203404421100004</v>
      </c>
      <c r="I225" t="s">
        <v>1411</v>
      </c>
      <c r="J225" t="s">
        <v>2424</v>
      </c>
      <c r="K225" t="s">
        <v>3583</v>
      </c>
      <c r="L225" t="s">
        <v>2426</v>
      </c>
      <c r="M225">
        <v>177</v>
      </c>
      <c r="N225" t="s">
        <v>3438</v>
      </c>
      <c r="O225" t="s">
        <v>777</v>
      </c>
      <c r="P225" s="1">
        <v>44755</v>
      </c>
      <c r="Q225">
        <v>73</v>
      </c>
      <c r="R225">
        <v>25</v>
      </c>
      <c r="S225" t="s">
        <v>3607</v>
      </c>
      <c r="T225" t="s">
        <v>2689</v>
      </c>
      <c r="U225" t="s">
        <v>4732</v>
      </c>
      <c r="V225" s="10" t="s">
        <v>4733</v>
      </c>
      <c r="W225" t="s">
        <v>3587</v>
      </c>
      <c r="X225" t="s">
        <v>2688</v>
      </c>
      <c r="Y225" t="s">
        <v>2688</v>
      </c>
      <c r="Z225" t="s">
        <v>2689</v>
      </c>
      <c r="AA225" t="s">
        <v>2689</v>
      </c>
      <c r="AB225" t="s">
        <v>4734</v>
      </c>
      <c r="AD225" t="s">
        <v>4735</v>
      </c>
      <c r="AE225" t="s">
        <v>4736</v>
      </c>
      <c r="AH225" t="s">
        <v>4474</v>
      </c>
    </row>
    <row r="226" spans="1:36" ht="87.45" x14ac:dyDescent="0.4">
      <c r="A226" t="s">
        <v>774</v>
      </c>
      <c r="B226" s="9" t="s">
        <v>4737</v>
      </c>
      <c r="C226" t="s">
        <v>3594</v>
      </c>
      <c r="D226" t="s">
        <v>4738</v>
      </c>
      <c r="E226" t="s">
        <v>2679</v>
      </c>
      <c r="F226" t="s">
        <v>4739</v>
      </c>
      <c r="G226">
        <v>38.278215718600002</v>
      </c>
      <c r="H226">
        <v>-84.203373297100001</v>
      </c>
      <c r="I226" t="s">
        <v>3594</v>
      </c>
      <c r="J226" t="s">
        <v>2424</v>
      </c>
      <c r="K226" t="s">
        <v>3583</v>
      </c>
      <c r="L226" t="s">
        <v>2426</v>
      </c>
      <c r="M226">
        <v>176</v>
      </c>
      <c r="N226" t="s">
        <v>3438</v>
      </c>
      <c r="O226" t="s">
        <v>774</v>
      </c>
      <c r="P226" s="1">
        <v>44755</v>
      </c>
      <c r="Q226">
        <v>130</v>
      </c>
      <c r="R226">
        <v>24</v>
      </c>
      <c r="S226" t="s">
        <v>3607</v>
      </c>
      <c r="T226" t="s">
        <v>2688</v>
      </c>
      <c r="U226" s="10" t="s">
        <v>4740</v>
      </c>
      <c r="V226" s="10" t="s">
        <v>4741</v>
      </c>
      <c r="W226" t="s">
        <v>3587</v>
      </c>
      <c r="X226" t="s">
        <v>2688</v>
      </c>
      <c r="Y226" t="s">
        <v>2688</v>
      </c>
      <c r="Z226" t="s">
        <v>2747</v>
      </c>
      <c r="AA226" t="s">
        <v>2689</v>
      </c>
      <c r="AB226" s="9" t="s">
        <v>4742</v>
      </c>
      <c r="AD226" t="s">
        <v>4743</v>
      </c>
      <c r="AE226" t="s">
        <v>4744</v>
      </c>
      <c r="AH226" t="s">
        <v>4474</v>
      </c>
    </row>
    <row r="227" spans="1:36" ht="131.15" x14ac:dyDescent="0.4">
      <c r="A227" t="s">
        <v>769</v>
      </c>
      <c r="B227" t="s">
        <v>4745</v>
      </c>
      <c r="C227" t="s">
        <v>1411</v>
      </c>
      <c r="D227" t="s">
        <v>4746</v>
      </c>
      <c r="E227" t="s">
        <v>2679</v>
      </c>
      <c r="F227" t="s">
        <v>4747</v>
      </c>
      <c r="G227">
        <v>38.278160160399999</v>
      </c>
      <c r="H227">
        <v>-84.204003727100002</v>
      </c>
      <c r="I227" t="s">
        <v>1411</v>
      </c>
      <c r="J227" t="s">
        <v>2424</v>
      </c>
      <c r="K227" t="s">
        <v>3583</v>
      </c>
      <c r="L227" t="s">
        <v>2426</v>
      </c>
      <c r="M227">
        <v>175</v>
      </c>
      <c r="N227" t="s">
        <v>3438</v>
      </c>
      <c r="O227" t="s">
        <v>769</v>
      </c>
      <c r="P227" s="1">
        <v>44755</v>
      </c>
      <c r="Q227">
        <v>138</v>
      </c>
      <c r="R227">
        <v>28</v>
      </c>
      <c r="S227" t="s">
        <v>4374</v>
      </c>
      <c r="T227" t="s">
        <v>2688</v>
      </c>
      <c r="U227" s="10" t="s">
        <v>4748</v>
      </c>
      <c r="V227" s="10" t="s">
        <v>4749</v>
      </c>
      <c r="W227" t="s">
        <v>3587</v>
      </c>
      <c r="X227" t="s">
        <v>2688</v>
      </c>
      <c r="Y227" t="s">
        <v>2688</v>
      </c>
      <c r="Z227" t="s">
        <v>2689</v>
      </c>
      <c r="AA227" t="s">
        <v>2689</v>
      </c>
      <c r="AB227" t="s">
        <v>4750</v>
      </c>
      <c r="AC227" t="s">
        <v>4751</v>
      </c>
      <c r="AD227" t="s">
        <v>4752</v>
      </c>
      <c r="AE227" t="s">
        <v>4753</v>
      </c>
      <c r="AH227" t="s">
        <v>4474</v>
      </c>
    </row>
    <row r="228" spans="1:36" ht="145.75" x14ac:dyDescent="0.4">
      <c r="A228" t="s">
        <v>798</v>
      </c>
      <c r="B228" t="s">
        <v>4754</v>
      </c>
      <c r="C228" t="s">
        <v>1411</v>
      </c>
      <c r="D228" t="s">
        <v>4755</v>
      </c>
      <c r="E228" t="s">
        <v>2679</v>
      </c>
      <c r="F228" t="s">
        <v>4756</v>
      </c>
      <c r="G228">
        <v>38.274101517200002</v>
      </c>
      <c r="H228">
        <v>-84.209408378299997</v>
      </c>
      <c r="I228" t="s">
        <v>1411</v>
      </c>
      <c r="J228" t="s">
        <v>2424</v>
      </c>
      <c r="K228" t="s">
        <v>3583</v>
      </c>
      <c r="L228" t="s">
        <v>2426</v>
      </c>
      <c r="M228">
        <v>184</v>
      </c>
      <c r="N228" t="s">
        <v>3438</v>
      </c>
      <c r="O228" t="s">
        <v>798</v>
      </c>
      <c r="P228" s="1">
        <v>44755</v>
      </c>
      <c r="Q228">
        <v>136</v>
      </c>
      <c r="R228">
        <v>23</v>
      </c>
      <c r="S228" t="s">
        <v>3464</v>
      </c>
      <c r="T228" t="s">
        <v>2688</v>
      </c>
      <c r="U228" t="s">
        <v>4701</v>
      </c>
      <c r="V228" s="10" t="s">
        <v>4757</v>
      </c>
      <c r="W228" t="s">
        <v>3587</v>
      </c>
      <c r="X228" t="s">
        <v>2688</v>
      </c>
      <c r="Y228" t="s">
        <v>2688</v>
      </c>
      <c r="Z228" t="s">
        <v>2689</v>
      </c>
      <c r="AA228" t="s">
        <v>2689</v>
      </c>
      <c r="AB228" t="s">
        <v>4758</v>
      </c>
      <c r="AC228" t="s">
        <v>4759</v>
      </c>
      <c r="AD228" t="s">
        <v>4760</v>
      </c>
      <c r="AE228" t="s">
        <v>4761</v>
      </c>
      <c r="AH228" t="s">
        <v>3592</v>
      </c>
    </row>
    <row r="229" spans="1:36" ht="160.30000000000001" x14ac:dyDescent="0.4">
      <c r="A229" t="s">
        <v>780</v>
      </c>
      <c r="B229" t="s">
        <v>4762</v>
      </c>
      <c r="C229" t="s">
        <v>3594</v>
      </c>
      <c r="D229" t="s">
        <v>4763</v>
      </c>
      <c r="E229" t="s">
        <v>2679</v>
      </c>
      <c r="F229" t="s">
        <v>4764</v>
      </c>
      <c r="G229">
        <v>38.277407800799999</v>
      </c>
      <c r="H229">
        <v>-84.201987795600004</v>
      </c>
      <c r="I229" t="s">
        <v>3594</v>
      </c>
      <c r="J229" t="s">
        <v>2424</v>
      </c>
      <c r="K229" t="s">
        <v>3583</v>
      </c>
      <c r="L229" t="s">
        <v>2426</v>
      </c>
      <c r="M229">
        <v>178</v>
      </c>
      <c r="N229" t="s">
        <v>3438</v>
      </c>
      <c r="O229" t="s">
        <v>780</v>
      </c>
      <c r="P229" s="1">
        <v>44755</v>
      </c>
      <c r="Q229">
        <v>154</v>
      </c>
      <c r="R229">
        <v>27</v>
      </c>
      <c r="S229" t="s">
        <v>3584</v>
      </c>
      <c r="T229" t="s">
        <v>2689</v>
      </c>
      <c r="U229" s="10" t="s">
        <v>4765</v>
      </c>
      <c r="V229" s="10" t="s">
        <v>4766</v>
      </c>
      <c r="W229" t="s">
        <v>3587</v>
      </c>
      <c r="X229" t="s">
        <v>2688</v>
      </c>
      <c r="Y229" t="s">
        <v>2688</v>
      </c>
      <c r="Z229" t="s">
        <v>2747</v>
      </c>
      <c r="AA229" t="s">
        <v>2689</v>
      </c>
      <c r="AB229" t="s">
        <v>4767</v>
      </c>
      <c r="AD229" t="s">
        <v>4768</v>
      </c>
      <c r="AE229" t="s">
        <v>4769</v>
      </c>
      <c r="AH229" t="s">
        <v>3592</v>
      </c>
    </row>
    <row r="230" spans="1:36" ht="160.30000000000001" x14ac:dyDescent="0.4">
      <c r="A230" t="s">
        <v>2159</v>
      </c>
      <c r="B230" t="s">
        <v>4770</v>
      </c>
      <c r="C230" t="s">
        <v>3594</v>
      </c>
      <c r="D230" t="s">
        <v>4771</v>
      </c>
      <c r="E230" t="s">
        <v>2679</v>
      </c>
      <c r="F230" t="s">
        <v>4772</v>
      </c>
      <c r="G230">
        <v>36.074613011499999</v>
      </c>
      <c r="H230">
        <v>-86.314372653199996</v>
      </c>
      <c r="I230" t="s">
        <v>3594</v>
      </c>
      <c r="J230" t="s">
        <v>2460</v>
      </c>
      <c r="K230" t="s">
        <v>4773</v>
      </c>
      <c r="L230" t="s">
        <v>2462</v>
      </c>
      <c r="M230">
        <v>165</v>
      </c>
      <c r="N230" t="s">
        <v>3438</v>
      </c>
      <c r="O230" t="s">
        <v>2159</v>
      </c>
      <c r="P230" s="1">
        <v>44753</v>
      </c>
      <c r="Q230">
        <v>11.5</v>
      </c>
      <c r="R230">
        <v>12</v>
      </c>
      <c r="S230" t="s">
        <v>3464</v>
      </c>
      <c r="T230" t="s">
        <v>2689</v>
      </c>
      <c r="U230" s="10" t="s">
        <v>4774</v>
      </c>
      <c r="V230" s="10" t="s">
        <v>4775</v>
      </c>
      <c r="W230" t="s">
        <v>4776</v>
      </c>
      <c r="X230" t="s">
        <v>2688</v>
      </c>
      <c r="Y230" t="s">
        <v>2688</v>
      </c>
      <c r="Z230" t="s">
        <v>2689</v>
      </c>
      <c r="AA230" t="s">
        <v>2689</v>
      </c>
      <c r="AB230" t="s">
        <v>4777</v>
      </c>
      <c r="AD230" t="s">
        <v>4778</v>
      </c>
      <c r="AE230" t="s">
        <v>4779</v>
      </c>
      <c r="AH230" t="s">
        <v>4381</v>
      </c>
    </row>
    <row r="231" spans="1:36" ht="145.75" x14ac:dyDescent="0.4">
      <c r="A231" t="s">
        <v>2156</v>
      </c>
      <c r="B231" t="s">
        <v>4780</v>
      </c>
      <c r="C231" t="s">
        <v>3713</v>
      </c>
      <c r="D231" t="s">
        <v>4781</v>
      </c>
      <c r="E231" t="s">
        <v>2679</v>
      </c>
      <c r="F231" t="s">
        <v>4782</v>
      </c>
      <c r="G231">
        <v>36.073028979100002</v>
      </c>
      <c r="H231">
        <v>-86.313585261599997</v>
      </c>
      <c r="I231" t="s">
        <v>3713</v>
      </c>
      <c r="J231" t="s">
        <v>2460</v>
      </c>
      <c r="K231" t="s">
        <v>4773</v>
      </c>
      <c r="L231" t="s">
        <v>2462</v>
      </c>
      <c r="M231">
        <v>164</v>
      </c>
      <c r="N231" t="s">
        <v>3438</v>
      </c>
      <c r="O231" t="s">
        <v>2156</v>
      </c>
      <c r="P231" s="1">
        <v>44753</v>
      </c>
      <c r="Q231">
        <v>46.5</v>
      </c>
      <c r="R231">
        <v>20</v>
      </c>
      <c r="S231" t="s">
        <v>3427</v>
      </c>
      <c r="T231" t="s">
        <v>2689</v>
      </c>
      <c r="U231" s="10" t="s">
        <v>4783</v>
      </c>
      <c r="V231" s="10" t="s">
        <v>4784</v>
      </c>
      <c r="W231" t="s">
        <v>4785</v>
      </c>
      <c r="X231" t="s">
        <v>2688</v>
      </c>
      <c r="Y231" t="s">
        <v>2688</v>
      </c>
      <c r="Z231" t="s">
        <v>2689</v>
      </c>
      <c r="AA231" t="s">
        <v>2689</v>
      </c>
      <c r="AB231" t="s">
        <v>4786</v>
      </c>
      <c r="AD231" t="s">
        <v>4787</v>
      </c>
      <c r="AE231" t="s">
        <v>4788</v>
      </c>
      <c r="AH231" t="s">
        <v>4381</v>
      </c>
    </row>
    <row r="232" spans="1:36" ht="102" x14ac:dyDescent="0.4">
      <c r="A232" t="s">
        <v>2151</v>
      </c>
      <c r="B232" t="s">
        <v>4789</v>
      </c>
      <c r="C232" t="s">
        <v>3594</v>
      </c>
      <c r="D232" t="s">
        <v>4790</v>
      </c>
      <c r="E232" t="s">
        <v>2679</v>
      </c>
      <c r="F232" t="s">
        <v>4791</v>
      </c>
      <c r="G232">
        <v>36.0729364042</v>
      </c>
      <c r="H232">
        <v>-86.313884071999993</v>
      </c>
      <c r="I232" t="s">
        <v>3594</v>
      </c>
      <c r="J232" t="s">
        <v>2460</v>
      </c>
      <c r="K232" t="s">
        <v>4773</v>
      </c>
      <c r="L232" t="s">
        <v>2462</v>
      </c>
      <c r="M232">
        <v>163</v>
      </c>
      <c r="N232" t="s">
        <v>3438</v>
      </c>
      <c r="O232" t="s">
        <v>2151</v>
      </c>
      <c r="P232" s="1">
        <v>44753</v>
      </c>
      <c r="Q232">
        <v>53.8</v>
      </c>
      <c r="R232">
        <v>20</v>
      </c>
      <c r="S232" t="s">
        <v>3427</v>
      </c>
      <c r="T232" t="s">
        <v>2689</v>
      </c>
      <c r="U232" s="10" t="s">
        <v>4792</v>
      </c>
      <c r="V232" s="10" t="s">
        <v>4793</v>
      </c>
      <c r="W232" t="s">
        <v>4785</v>
      </c>
      <c r="X232" t="s">
        <v>2688</v>
      </c>
      <c r="Y232" t="s">
        <v>2688</v>
      </c>
      <c r="Z232" t="s">
        <v>2689</v>
      </c>
      <c r="AA232" t="s">
        <v>2689</v>
      </c>
      <c r="AB232" t="s">
        <v>4794</v>
      </c>
      <c r="AD232" t="s">
        <v>4795</v>
      </c>
      <c r="AE232" t="s">
        <v>4796</v>
      </c>
      <c r="AH232" t="s">
        <v>4381</v>
      </c>
    </row>
    <row r="233" spans="1:36" ht="218.6" x14ac:dyDescent="0.4">
      <c r="A233" t="s">
        <v>2162</v>
      </c>
      <c r="B233" t="s">
        <v>4797</v>
      </c>
      <c r="C233" t="s">
        <v>3713</v>
      </c>
      <c r="D233" t="s">
        <v>4798</v>
      </c>
      <c r="E233" t="s">
        <v>2679</v>
      </c>
      <c r="F233" t="s">
        <v>4799</v>
      </c>
      <c r="G233">
        <v>36.074651149099999</v>
      </c>
      <c r="H233">
        <v>-86.3143314143</v>
      </c>
      <c r="I233" t="s">
        <v>3713</v>
      </c>
      <c r="J233" t="s">
        <v>2460</v>
      </c>
      <c r="K233" t="s">
        <v>4773</v>
      </c>
      <c r="L233" t="s">
        <v>2462</v>
      </c>
      <c r="M233">
        <v>166</v>
      </c>
      <c r="N233" t="s">
        <v>3438</v>
      </c>
      <c r="O233" t="s">
        <v>2162</v>
      </c>
      <c r="P233" s="1">
        <v>44753</v>
      </c>
      <c r="Q233">
        <v>45</v>
      </c>
      <c r="R233">
        <v>26</v>
      </c>
      <c r="S233" t="s">
        <v>3427</v>
      </c>
      <c r="T233" t="s">
        <v>2689</v>
      </c>
      <c r="U233" s="10" t="s">
        <v>4800</v>
      </c>
      <c r="V233" s="10" t="s">
        <v>4801</v>
      </c>
      <c r="W233" t="s">
        <v>4776</v>
      </c>
      <c r="X233" t="s">
        <v>2688</v>
      </c>
      <c r="Y233" t="s">
        <v>2688</v>
      </c>
      <c r="Z233" t="s">
        <v>2689</v>
      </c>
      <c r="AA233" t="s">
        <v>2689</v>
      </c>
      <c r="AB233" t="s">
        <v>4802</v>
      </c>
      <c r="AD233" t="s">
        <v>4803</v>
      </c>
      <c r="AE233" t="s">
        <v>4804</v>
      </c>
      <c r="AH233" t="s">
        <v>4381</v>
      </c>
      <c r="AJ233" t="s">
        <v>4805</v>
      </c>
    </row>
    <row r="234" spans="1:36" ht="87.45" x14ac:dyDescent="0.4">
      <c r="A234" t="s">
        <v>2165</v>
      </c>
      <c r="B234" t="s">
        <v>4806</v>
      </c>
      <c r="C234" t="s">
        <v>3448</v>
      </c>
      <c r="D234" t="s">
        <v>4807</v>
      </c>
      <c r="E234" t="s">
        <v>2679</v>
      </c>
      <c r="F234" t="s">
        <v>4808</v>
      </c>
      <c r="G234">
        <v>36.075697126800002</v>
      </c>
      <c r="H234">
        <v>-86.313970992400002</v>
      </c>
      <c r="I234" t="s">
        <v>3448</v>
      </c>
      <c r="J234" t="s">
        <v>2460</v>
      </c>
      <c r="K234" t="s">
        <v>4773</v>
      </c>
      <c r="L234" t="s">
        <v>2462</v>
      </c>
      <c r="M234">
        <v>167</v>
      </c>
      <c r="N234" t="s">
        <v>3438</v>
      </c>
      <c r="O234" t="s">
        <v>2165</v>
      </c>
      <c r="P234" s="1">
        <v>44753</v>
      </c>
      <c r="Q234">
        <v>25</v>
      </c>
      <c r="R234">
        <v>24</v>
      </c>
      <c r="S234" t="s">
        <v>3427</v>
      </c>
      <c r="T234" t="s">
        <v>2689</v>
      </c>
      <c r="U234" s="10" t="s">
        <v>4809</v>
      </c>
      <c r="V234" s="10" t="s">
        <v>4810</v>
      </c>
      <c r="W234" t="s">
        <v>4776</v>
      </c>
      <c r="X234" t="s">
        <v>2688</v>
      </c>
      <c r="Y234" t="s">
        <v>2688</v>
      </c>
      <c r="Z234" t="s">
        <v>2689</v>
      </c>
      <c r="AA234" t="s">
        <v>2689</v>
      </c>
      <c r="AB234" t="s">
        <v>4811</v>
      </c>
      <c r="AD234" t="s">
        <v>4812</v>
      </c>
      <c r="AE234" t="s">
        <v>4813</v>
      </c>
      <c r="AH234" t="s">
        <v>4381</v>
      </c>
      <c r="AJ234" t="s">
        <v>4814</v>
      </c>
    </row>
    <row r="235" spans="1:36" ht="72.900000000000006" x14ac:dyDescent="0.4">
      <c r="A235" t="s">
        <v>2013</v>
      </c>
      <c r="B235" t="s">
        <v>4815</v>
      </c>
      <c r="C235" t="s">
        <v>3713</v>
      </c>
      <c r="D235" t="s">
        <v>4816</v>
      </c>
      <c r="E235" t="s">
        <v>2679</v>
      </c>
      <c r="F235" t="s">
        <v>4817</v>
      </c>
      <c r="G235">
        <v>36.845671346800003</v>
      </c>
      <c r="H235">
        <v>-96.428460404299997</v>
      </c>
      <c r="I235" t="s">
        <v>3713</v>
      </c>
      <c r="J235" t="s">
        <v>2457</v>
      </c>
      <c r="K235" t="s">
        <v>2007</v>
      </c>
      <c r="L235" t="s">
        <v>2459</v>
      </c>
      <c r="M235">
        <v>124</v>
      </c>
      <c r="N235" t="s">
        <v>3438</v>
      </c>
      <c r="O235" t="s">
        <v>2013</v>
      </c>
      <c r="P235" s="1">
        <v>44737</v>
      </c>
      <c r="Q235">
        <v>22.7</v>
      </c>
      <c r="R235">
        <v>11</v>
      </c>
      <c r="S235" t="s">
        <v>3427</v>
      </c>
      <c r="T235" t="s">
        <v>2689</v>
      </c>
      <c r="U235" s="10" t="s">
        <v>4818</v>
      </c>
      <c r="V235" t="s">
        <v>4819</v>
      </c>
      <c r="W235" t="s">
        <v>4820</v>
      </c>
      <c r="X235" t="s">
        <v>2688</v>
      </c>
      <c r="Y235" t="s">
        <v>2688</v>
      </c>
      <c r="Z235" t="s">
        <v>2689</v>
      </c>
      <c r="AA235" t="s">
        <v>2689</v>
      </c>
      <c r="AB235" t="s">
        <v>4821</v>
      </c>
      <c r="AD235" t="s">
        <v>4822</v>
      </c>
      <c r="AE235" t="s">
        <v>4823</v>
      </c>
      <c r="AH235" t="s">
        <v>3445</v>
      </c>
    </row>
    <row r="236" spans="1:36" x14ac:dyDescent="0.4">
      <c r="A236" t="s">
        <v>247</v>
      </c>
      <c r="B236" t="s">
        <v>4824</v>
      </c>
      <c r="C236" t="s">
        <v>1415</v>
      </c>
      <c r="D236" t="s">
        <v>4825</v>
      </c>
      <c r="E236" t="s">
        <v>2679</v>
      </c>
      <c r="F236" t="s">
        <v>4826</v>
      </c>
      <c r="G236">
        <v>37.3586727</v>
      </c>
      <c r="H236">
        <v>-88.917395499999998</v>
      </c>
      <c r="I236" t="s">
        <v>1415</v>
      </c>
      <c r="J236" t="s">
        <v>2407</v>
      </c>
      <c r="K236" t="s">
        <v>4078</v>
      </c>
      <c r="L236" t="s">
        <v>2409</v>
      </c>
      <c r="M236" t="s">
        <v>248</v>
      </c>
      <c r="N236" t="s">
        <v>3438</v>
      </c>
      <c r="O236" t="s">
        <v>247</v>
      </c>
      <c r="P236" s="1">
        <v>44715</v>
      </c>
      <c r="Q236">
        <v>39</v>
      </c>
      <c r="S236" t="s">
        <v>3730</v>
      </c>
      <c r="T236" t="s">
        <v>2689</v>
      </c>
      <c r="V236" t="s">
        <v>4827</v>
      </c>
      <c r="W236" t="s">
        <v>4828</v>
      </c>
      <c r="X236" t="s">
        <v>2688</v>
      </c>
      <c r="Y236" t="s">
        <v>2689</v>
      </c>
      <c r="Z236" t="s">
        <v>2689</v>
      </c>
      <c r="AA236" t="s">
        <v>2689</v>
      </c>
      <c r="AE236" t="s">
        <v>4829</v>
      </c>
      <c r="AH236" t="s">
        <v>3970</v>
      </c>
      <c r="AJ236" t="s">
        <v>4830</v>
      </c>
    </row>
    <row r="237" spans="1:36" ht="58.3" x14ac:dyDescent="0.4">
      <c r="A237" t="s">
        <v>1516</v>
      </c>
      <c r="B237" t="s">
        <v>4831</v>
      </c>
      <c r="C237" t="s">
        <v>4832</v>
      </c>
      <c r="D237" t="s">
        <v>4833</v>
      </c>
      <c r="E237" t="s">
        <v>2679</v>
      </c>
      <c r="F237" t="s">
        <v>4834</v>
      </c>
      <c r="G237">
        <v>37.535027498399998</v>
      </c>
      <c r="H237">
        <v>-94.579779189199996</v>
      </c>
      <c r="I237" t="s">
        <v>4832</v>
      </c>
      <c r="J237" t="s">
        <v>2442</v>
      </c>
      <c r="K237" t="s">
        <v>1495</v>
      </c>
      <c r="L237" t="s">
        <v>2445</v>
      </c>
      <c r="M237" t="s">
        <v>4835</v>
      </c>
      <c r="N237" t="s">
        <v>3438</v>
      </c>
      <c r="O237" t="s">
        <v>1516</v>
      </c>
      <c r="P237" s="1">
        <v>44735</v>
      </c>
      <c r="Q237">
        <v>5</v>
      </c>
      <c r="R237">
        <v>4</v>
      </c>
      <c r="S237" t="s">
        <v>3464</v>
      </c>
      <c r="T237" t="s">
        <v>2689</v>
      </c>
      <c r="U237" s="10" t="s">
        <v>4836</v>
      </c>
      <c r="V237" t="s">
        <v>4837</v>
      </c>
      <c r="W237" t="s">
        <v>4838</v>
      </c>
      <c r="X237" t="s">
        <v>2688</v>
      </c>
      <c r="Y237" t="s">
        <v>2688</v>
      </c>
      <c r="Z237" t="s">
        <v>2689</v>
      </c>
      <c r="AA237" t="s">
        <v>2689</v>
      </c>
      <c r="AB237" t="s">
        <v>4839</v>
      </c>
      <c r="AD237" t="s">
        <v>4840</v>
      </c>
      <c r="AE237" t="s">
        <v>4841</v>
      </c>
      <c r="AH237" t="s">
        <v>3445</v>
      </c>
      <c r="AJ237" t="s">
        <v>4842</v>
      </c>
    </row>
    <row r="238" spans="1:36" ht="87.45" x14ac:dyDescent="0.4">
      <c r="A238" t="s">
        <v>1512</v>
      </c>
      <c r="B238" t="s">
        <v>4843</v>
      </c>
      <c r="C238" t="s">
        <v>3713</v>
      </c>
      <c r="D238" t="s">
        <v>4844</v>
      </c>
      <c r="E238" t="s">
        <v>2679</v>
      </c>
      <c r="F238" t="s">
        <v>4845</v>
      </c>
      <c r="G238">
        <v>37.532756897200002</v>
      </c>
      <c r="H238">
        <v>-94.574669240099993</v>
      </c>
      <c r="I238" t="s">
        <v>3713</v>
      </c>
      <c r="J238" t="s">
        <v>2442</v>
      </c>
      <c r="K238" t="s">
        <v>1495</v>
      </c>
      <c r="L238" t="s">
        <v>2445</v>
      </c>
      <c r="M238" t="s">
        <v>1513</v>
      </c>
      <c r="N238" t="s">
        <v>3438</v>
      </c>
      <c r="O238" t="s">
        <v>1512</v>
      </c>
      <c r="P238" s="1">
        <v>44735</v>
      </c>
      <c r="Q238">
        <v>3.5</v>
      </c>
      <c r="R238">
        <v>2</v>
      </c>
      <c r="S238" t="s">
        <v>3427</v>
      </c>
      <c r="T238" t="s">
        <v>2689</v>
      </c>
      <c r="U238" s="10" t="s">
        <v>4846</v>
      </c>
      <c r="V238" t="s">
        <v>4847</v>
      </c>
      <c r="W238" t="s">
        <v>4848</v>
      </c>
      <c r="X238" t="s">
        <v>2688</v>
      </c>
      <c r="Y238" t="s">
        <v>2688</v>
      </c>
      <c r="Z238" t="s">
        <v>2689</v>
      </c>
      <c r="AA238" t="s">
        <v>2689</v>
      </c>
      <c r="AB238" t="s">
        <v>4849</v>
      </c>
      <c r="AD238" t="s">
        <v>4850</v>
      </c>
      <c r="AE238" t="s">
        <v>4851</v>
      </c>
      <c r="AH238" t="s">
        <v>3445</v>
      </c>
    </row>
    <row r="239" spans="1:36" ht="102" x14ac:dyDescent="0.4">
      <c r="A239" t="s">
        <v>1508</v>
      </c>
      <c r="B239" t="s">
        <v>4852</v>
      </c>
      <c r="C239" t="s">
        <v>4832</v>
      </c>
      <c r="D239" t="s">
        <v>4853</v>
      </c>
      <c r="E239" t="s">
        <v>2679</v>
      </c>
      <c r="F239" t="s">
        <v>4854</v>
      </c>
      <c r="G239">
        <v>37.532592513600001</v>
      </c>
      <c r="H239">
        <v>-94.574694894299995</v>
      </c>
      <c r="I239" t="s">
        <v>4832</v>
      </c>
      <c r="J239" t="s">
        <v>2442</v>
      </c>
      <c r="K239" t="s">
        <v>1495</v>
      </c>
      <c r="L239" t="s">
        <v>2445</v>
      </c>
      <c r="M239" t="s">
        <v>4855</v>
      </c>
      <c r="N239" t="s">
        <v>3438</v>
      </c>
      <c r="O239" t="s">
        <v>1508</v>
      </c>
      <c r="P239" s="1">
        <v>44735</v>
      </c>
      <c r="Q239">
        <v>6.2</v>
      </c>
      <c r="R239">
        <v>8</v>
      </c>
      <c r="S239" t="s">
        <v>3427</v>
      </c>
      <c r="T239" t="s">
        <v>2689</v>
      </c>
      <c r="U239" s="10" t="s">
        <v>4856</v>
      </c>
      <c r="V239" t="s">
        <v>4847</v>
      </c>
      <c r="W239" t="s">
        <v>4848</v>
      </c>
      <c r="X239" t="s">
        <v>2688</v>
      </c>
      <c r="Y239" t="s">
        <v>2688</v>
      </c>
      <c r="Z239" t="s">
        <v>2689</v>
      </c>
      <c r="AA239" t="s">
        <v>2689</v>
      </c>
      <c r="AB239" t="s">
        <v>4857</v>
      </c>
      <c r="AE239" t="s">
        <v>4858</v>
      </c>
      <c r="AH239" t="s">
        <v>3445</v>
      </c>
      <c r="AJ239" t="s">
        <v>4859</v>
      </c>
    </row>
    <row r="240" spans="1:36" ht="116.6" x14ac:dyDescent="0.4">
      <c r="A240" t="s">
        <v>1503</v>
      </c>
      <c r="B240" t="s">
        <v>4860</v>
      </c>
      <c r="C240" t="s">
        <v>3713</v>
      </c>
      <c r="D240" t="s">
        <v>4861</v>
      </c>
      <c r="E240" t="s">
        <v>2679</v>
      </c>
      <c r="F240" t="s">
        <v>4862</v>
      </c>
      <c r="G240">
        <v>37.532246839700001</v>
      </c>
      <c r="H240">
        <v>-94.574924381200006</v>
      </c>
      <c r="I240" t="s">
        <v>3713</v>
      </c>
      <c r="J240" t="s">
        <v>2442</v>
      </c>
      <c r="K240" t="s">
        <v>1495</v>
      </c>
      <c r="L240" t="s">
        <v>2445</v>
      </c>
      <c r="M240" t="s">
        <v>4863</v>
      </c>
      <c r="N240" t="s">
        <v>3438</v>
      </c>
      <c r="O240" t="s">
        <v>1503</v>
      </c>
      <c r="P240" s="1">
        <v>44735</v>
      </c>
      <c r="Q240">
        <v>8</v>
      </c>
      <c r="R240">
        <v>5</v>
      </c>
      <c r="S240" t="s">
        <v>3464</v>
      </c>
      <c r="T240" t="s">
        <v>2689</v>
      </c>
      <c r="U240" s="10" t="s">
        <v>4864</v>
      </c>
      <c r="V240" t="s">
        <v>4865</v>
      </c>
      <c r="W240" t="s">
        <v>4838</v>
      </c>
      <c r="X240" t="s">
        <v>2688</v>
      </c>
      <c r="Y240" t="s">
        <v>2688</v>
      </c>
      <c r="Z240" t="s">
        <v>2689</v>
      </c>
      <c r="AA240" t="s">
        <v>2689</v>
      </c>
      <c r="AB240" t="s">
        <v>4866</v>
      </c>
      <c r="AD240" t="s">
        <v>4867</v>
      </c>
      <c r="AE240" t="s">
        <v>4868</v>
      </c>
      <c r="AH240" t="s">
        <v>3445</v>
      </c>
      <c r="AJ240" t="s">
        <v>4869</v>
      </c>
    </row>
    <row r="241" spans="1:36" ht="116.6" x14ac:dyDescent="0.4">
      <c r="A241" t="s">
        <v>1499</v>
      </c>
      <c r="B241" t="s">
        <v>4870</v>
      </c>
      <c r="C241" t="s">
        <v>4832</v>
      </c>
      <c r="D241" t="s">
        <v>4871</v>
      </c>
      <c r="E241" t="s">
        <v>2679</v>
      </c>
      <c r="F241" t="s">
        <v>4872</v>
      </c>
      <c r="G241">
        <v>37.5321828481</v>
      </c>
      <c r="H241">
        <v>-94.575126562400001</v>
      </c>
      <c r="I241" t="s">
        <v>4832</v>
      </c>
      <c r="J241" t="s">
        <v>2442</v>
      </c>
      <c r="K241" t="s">
        <v>1495</v>
      </c>
      <c r="L241" t="s">
        <v>2445</v>
      </c>
      <c r="M241" t="s">
        <v>4873</v>
      </c>
      <c r="N241" t="s">
        <v>3438</v>
      </c>
      <c r="O241" t="s">
        <v>1499</v>
      </c>
      <c r="P241" s="1">
        <v>44735</v>
      </c>
      <c r="Q241">
        <v>7.7</v>
      </c>
      <c r="R241">
        <v>4</v>
      </c>
      <c r="S241" t="s">
        <v>3464</v>
      </c>
      <c r="T241" t="s">
        <v>2689</v>
      </c>
      <c r="U241" s="10" t="s">
        <v>4874</v>
      </c>
      <c r="V241" s="10" t="s">
        <v>4875</v>
      </c>
      <c r="W241" t="s">
        <v>4838</v>
      </c>
      <c r="X241" t="s">
        <v>2688</v>
      </c>
      <c r="Y241" t="s">
        <v>2688</v>
      </c>
      <c r="Z241" t="s">
        <v>2689</v>
      </c>
      <c r="AA241" t="s">
        <v>2689</v>
      </c>
      <c r="AB241" t="s">
        <v>4876</v>
      </c>
      <c r="AD241" t="s">
        <v>4877</v>
      </c>
      <c r="AE241" t="s">
        <v>4878</v>
      </c>
      <c r="AH241" t="s">
        <v>3445</v>
      </c>
      <c r="AJ241" s="10" t="s">
        <v>4879</v>
      </c>
    </row>
    <row r="242" spans="1:36" ht="102" x14ac:dyDescent="0.4">
      <c r="A242" t="s">
        <v>1491</v>
      </c>
      <c r="B242" t="s">
        <v>4880</v>
      </c>
      <c r="C242" t="s">
        <v>4832</v>
      </c>
      <c r="D242" t="s">
        <v>4881</v>
      </c>
      <c r="E242" t="s">
        <v>2679</v>
      </c>
      <c r="F242" t="s">
        <v>4882</v>
      </c>
      <c r="G242">
        <v>37.531755589900001</v>
      </c>
      <c r="H242">
        <v>-94.574784404799999</v>
      </c>
      <c r="I242" t="s">
        <v>4832</v>
      </c>
      <c r="J242" t="s">
        <v>2442</v>
      </c>
      <c r="K242" t="s">
        <v>1495</v>
      </c>
      <c r="L242" t="s">
        <v>2445</v>
      </c>
      <c r="M242" t="s">
        <v>1492</v>
      </c>
      <c r="N242" t="s">
        <v>3438</v>
      </c>
      <c r="O242" t="s">
        <v>1491</v>
      </c>
      <c r="P242" s="1">
        <v>44735</v>
      </c>
      <c r="U242" s="10" t="s">
        <v>4883</v>
      </c>
      <c r="V242" t="s">
        <v>4884</v>
      </c>
      <c r="W242" t="s">
        <v>4885</v>
      </c>
      <c r="X242" t="s">
        <v>2688</v>
      </c>
      <c r="Y242" t="s">
        <v>2688</v>
      </c>
      <c r="Z242" t="s">
        <v>2689</v>
      </c>
      <c r="AA242" t="s">
        <v>2689</v>
      </c>
      <c r="AB242" t="s">
        <v>4886</v>
      </c>
      <c r="AD242" t="s">
        <v>4887</v>
      </c>
      <c r="AH242" t="s">
        <v>3445</v>
      </c>
      <c r="AJ242" t="s">
        <v>4888</v>
      </c>
    </row>
    <row r="243" spans="1:36" ht="87.45" x14ac:dyDescent="0.4">
      <c r="A243" t="s">
        <v>726</v>
      </c>
      <c r="B243" t="s">
        <v>4889</v>
      </c>
      <c r="C243" t="s">
        <v>3448</v>
      </c>
      <c r="D243" t="s">
        <v>4890</v>
      </c>
      <c r="E243" t="s">
        <v>2679</v>
      </c>
      <c r="F243" t="s">
        <v>4891</v>
      </c>
      <c r="G243">
        <v>38.979521376699999</v>
      </c>
      <c r="H243">
        <v>-94.806841090299997</v>
      </c>
      <c r="I243" t="s">
        <v>3448</v>
      </c>
      <c r="J243" t="s">
        <v>2420</v>
      </c>
      <c r="K243" t="s">
        <v>674</v>
      </c>
      <c r="L243" t="s">
        <v>2423</v>
      </c>
      <c r="M243">
        <v>312</v>
      </c>
      <c r="N243" t="s">
        <v>3438</v>
      </c>
      <c r="O243" t="s">
        <v>726</v>
      </c>
      <c r="P243" s="1">
        <v>44776</v>
      </c>
      <c r="Q243">
        <v>54.1</v>
      </c>
      <c r="R243">
        <v>24</v>
      </c>
      <c r="S243" t="s">
        <v>3427</v>
      </c>
      <c r="T243" t="s">
        <v>2689</v>
      </c>
      <c r="U243" s="10" t="s">
        <v>4892</v>
      </c>
      <c r="V243" t="s">
        <v>4893</v>
      </c>
      <c r="W243" t="s">
        <v>4894</v>
      </c>
      <c r="X243" t="s">
        <v>2688</v>
      </c>
      <c r="Y243" t="s">
        <v>2688</v>
      </c>
      <c r="Z243" t="s">
        <v>2747</v>
      </c>
      <c r="AA243" t="s">
        <v>2689</v>
      </c>
      <c r="AB243" t="s">
        <v>4895</v>
      </c>
      <c r="AD243" t="s">
        <v>4896</v>
      </c>
      <c r="AE243" t="s">
        <v>4897</v>
      </c>
      <c r="AH243" t="s">
        <v>3445</v>
      </c>
      <c r="AJ243" s="10" t="s">
        <v>4898</v>
      </c>
    </row>
    <row r="244" spans="1:36" ht="116.6" x14ac:dyDescent="0.4">
      <c r="A244" t="s">
        <v>723</v>
      </c>
      <c r="B244" t="s">
        <v>4899</v>
      </c>
      <c r="C244" t="s">
        <v>3448</v>
      </c>
      <c r="D244" t="s">
        <v>4900</v>
      </c>
      <c r="E244" t="s">
        <v>2679</v>
      </c>
      <c r="F244" t="s">
        <v>4901</v>
      </c>
      <c r="G244">
        <v>38.979902984600002</v>
      </c>
      <c r="H244">
        <v>-94.807995781399995</v>
      </c>
      <c r="I244" t="s">
        <v>3448</v>
      </c>
      <c r="J244" t="s">
        <v>2420</v>
      </c>
      <c r="K244" t="s">
        <v>674</v>
      </c>
      <c r="L244" t="s">
        <v>2423</v>
      </c>
      <c r="M244">
        <v>311</v>
      </c>
      <c r="N244" t="s">
        <v>3438</v>
      </c>
      <c r="O244" t="s">
        <v>723</v>
      </c>
      <c r="P244" s="1">
        <v>44776</v>
      </c>
      <c r="Q244">
        <v>64.2</v>
      </c>
      <c r="R244">
        <v>26</v>
      </c>
      <c r="S244" t="s">
        <v>3427</v>
      </c>
      <c r="U244" s="10" t="s">
        <v>4902</v>
      </c>
      <c r="V244" t="s">
        <v>4903</v>
      </c>
      <c r="W244" t="s">
        <v>4894</v>
      </c>
      <c r="X244" t="s">
        <v>2688</v>
      </c>
      <c r="Y244" t="s">
        <v>2688</v>
      </c>
      <c r="Z244" t="s">
        <v>2747</v>
      </c>
      <c r="AA244" t="s">
        <v>2689</v>
      </c>
      <c r="AB244" t="s">
        <v>4904</v>
      </c>
      <c r="AC244" t="s">
        <v>4905</v>
      </c>
      <c r="AD244" t="s">
        <v>4906</v>
      </c>
      <c r="AE244" t="s">
        <v>4907</v>
      </c>
      <c r="AH244" t="s">
        <v>3445</v>
      </c>
    </row>
    <row r="245" spans="1:36" ht="189.45" x14ac:dyDescent="0.4">
      <c r="A245" t="s">
        <v>702</v>
      </c>
      <c r="B245" t="s">
        <v>4908</v>
      </c>
      <c r="C245" t="s">
        <v>1411</v>
      </c>
      <c r="D245" t="s">
        <v>4909</v>
      </c>
      <c r="E245" t="s">
        <v>2679</v>
      </c>
      <c r="F245" t="s">
        <v>4910</v>
      </c>
      <c r="G245">
        <v>38.981980935999999</v>
      </c>
      <c r="H245">
        <v>-94.794128090100003</v>
      </c>
      <c r="I245" t="s">
        <v>1411</v>
      </c>
      <c r="J245" t="s">
        <v>2420</v>
      </c>
      <c r="K245" t="s">
        <v>674</v>
      </c>
      <c r="L245" t="s">
        <v>2423</v>
      </c>
      <c r="M245">
        <v>304</v>
      </c>
      <c r="N245" t="s">
        <v>3438</v>
      </c>
      <c r="O245" t="s">
        <v>702</v>
      </c>
      <c r="P245" s="1">
        <v>44775</v>
      </c>
      <c r="Q245">
        <v>23.5</v>
      </c>
      <c r="R245">
        <v>16</v>
      </c>
      <c r="S245" t="s">
        <v>3464</v>
      </c>
      <c r="U245" s="10" t="s">
        <v>4911</v>
      </c>
      <c r="V245" t="s">
        <v>4912</v>
      </c>
      <c r="W245" t="s">
        <v>4913</v>
      </c>
      <c r="X245" t="s">
        <v>2688</v>
      </c>
      <c r="Y245" t="s">
        <v>2688</v>
      </c>
      <c r="Z245" t="s">
        <v>2747</v>
      </c>
      <c r="AA245" t="s">
        <v>2689</v>
      </c>
      <c r="AB245" t="s">
        <v>4914</v>
      </c>
      <c r="AD245" t="s">
        <v>4915</v>
      </c>
      <c r="AE245" t="s">
        <v>4916</v>
      </c>
      <c r="AH245" t="s">
        <v>3445</v>
      </c>
      <c r="AJ245" s="10" t="s">
        <v>4917</v>
      </c>
    </row>
    <row r="246" spans="1:36" ht="160.30000000000001" x14ac:dyDescent="0.4">
      <c r="A246" t="s">
        <v>699</v>
      </c>
      <c r="B246" t="s">
        <v>4918</v>
      </c>
      <c r="C246" t="s">
        <v>3594</v>
      </c>
      <c r="D246" t="s">
        <v>4919</v>
      </c>
      <c r="E246" t="s">
        <v>2679</v>
      </c>
      <c r="F246" t="s">
        <v>4920</v>
      </c>
      <c r="G246">
        <v>38.981996113500003</v>
      </c>
      <c r="H246">
        <v>-94.793953327599993</v>
      </c>
      <c r="I246" t="s">
        <v>3594</v>
      </c>
      <c r="J246" t="s">
        <v>2420</v>
      </c>
      <c r="K246" t="s">
        <v>674</v>
      </c>
      <c r="L246" t="s">
        <v>2423</v>
      </c>
      <c r="M246">
        <v>303</v>
      </c>
      <c r="N246" t="s">
        <v>3438</v>
      </c>
      <c r="O246" t="s">
        <v>699</v>
      </c>
      <c r="P246" s="1">
        <v>44775</v>
      </c>
      <c r="Q246">
        <v>24.8</v>
      </c>
      <c r="R246">
        <v>18</v>
      </c>
      <c r="S246" t="s">
        <v>3464</v>
      </c>
      <c r="T246" t="s">
        <v>2689</v>
      </c>
      <c r="U246" s="10" t="s">
        <v>4921</v>
      </c>
      <c r="V246" t="s">
        <v>4922</v>
      </c>
      <c r="W246" t="s">
        <v>4923</v>
      </c>
      <c r="X246" t="s">
        <v>2688</v>
      </c>
      <c r="Y246" t="s">
        <v>2688</v>
      </c>
      <c r="Z246" t="s">
        <v>2747</v>
      </c>
      <c r="AA246" t="s">
        <v>2689</v>
      </c>
      <c r="AB246" t="s">
        <v>4924</v>
      </c>
      <c r="AC246" t="s">
        <v>4925</v>
      </c>
      <c r="AD246" t="s">
        <v>4926</v>
      </c>
      <c r="AE246" t="s">
        <v>4927</v>
      </c>
      <c r="AH246" t="s">
        <v>3445</v>
      </c>
    </row>
    <row r="247" spans="1:36" ht="145.75" x14ac:dyDescent="0.4">
      <c r="A247" t="s">
        <v>655</v>
      </c>
      <c r="B247" t="s">
        <v>4928</v>
      </c>
      <c r="C247" t="s">
        <v>3594</v>
      </c>
      <c r="D247" t="s">
        <v>4929</v>
      </c>
      <c r="E247" t="s">
        <v>2679</v>
      </c>
      <c r="F247" t="s">
        <v>4930</v>
      </c>
      <c r="G247">
        <v>39.107931858400001</v>
      </c>
      <c r="H247">
        <v>-96.604679189600006</v>
      </c>
      <c r="I247" t="s">
        <v>3594</v>
      </c>
      <c r="J247" t="s">
        <v>2420</v>
      </c>
      <c r="K247" t="s">
        <v>3704</v>
      </c>
      <c r="L247" t="s">
        <v>2422</v>
      </c>
      <c r="M247">
        <v>321</v>
      </c>
      <c r="N247" t="s">
        <v>3438</v>
      </c>
      <c r="O247" t="s">
        <v>655</v>
      </c>
      <c r="P247" s="1">
        <v>44777</v>
      </c>
      <c r="Q247">
        <v>17.5</v>
      </c>
      <c r="R247">
        <v>18</v>
      </c>
      <c r="S247" t="s">
        <v>3464</v>
      </c>
      <c r="T247" t="s">
        <v>2689</v>
      </c>
      <c r="U247" s="10" t="s">
        <v>4931</v>
      </c>
      <c r="V247" t="s">
        <v>4932</v>
      </c>
      <c r="W247" t="s">
        <v>4933</v>
      </c>
      <c r="X247" t="s">
        <v>2688</v>
      </c>
      <c r="Y247" t="s">
        <v>2688</v>
      </c>
      <c r="Z247" t="s">
        <v>2747</v>
      </c>
      <c r="AA247" t="s">
        <v>2689</v>
      </c>
      <c r="AB247" t="s">
        <v>4934</v>
      </c>
      <c r="AD247" t="s">
        <v>4935</v>
      </c>
      <c r="AE247" t="s">
        <v>4936</v>
      </c>
      <c r="AH247" t="s">
        <v>3445</v>
      </c>
      <c r="AJ247" t="s">
        <v>4937</v>
      </c>
    </row>
    <row r="248" spans="1:36" ht="102" x14ac:dyDescent="0.4">
      <c r="A248" t="s">
        <v>652</v>
      </c>
      <c r="B248" t="s">
        <v>4938</v>
      </c>
      <c r="C248" t="s">
        <v>1411</v>
      </c>
      <c r="D248" t="s">
        <v>4929</v>
      </c>
      <c r="E248" t="s">
        <v>2679</v>
      </c>
      <c r="F248" t="s">
        <v>4939</v>
      </c>
      <c r="G248">
        <v>39.107852778400002</v>
      </c>
      <c r="H248">
        <v>-96.605023769799999</v>
      </c>
      <c r="I248" t="s">
        <v>1411</v>
      </c>
      <c r="J248" t="s">
        <v>2420</v>
      </c>
      <c r="K248" t="s">
        <v>3704</v>
      </c>
      <c r="L248" t="s">
        <v>2422</v>
      </c>
      <c r="M248">
        <v>320</v>
      </c>
      <c r="N248" t="s">
        <v>3438</v>
      </c>
      <c r="O248" t="s">
        <v>652</v>
      </c>
      <c r="P248" s="1">
        <v>44777</v>
      </c>
      <c r="Q248">
        <v>52.7</v>
      </c>
      <c r="R248">
        <v>18</v>
      </c>
      <c r="S248" t="s">
        <v>3464</v>
      </c>
      <c r="T248" t="s">
        <v>2689</v>
      </c>
      <c r="U248" s="10" t="s">
        <v>4940</v>
      </c>
      <c r="V248" t="s">
        <v>4941</v>
      </c>
      <c r="W248" t="s">
        <v>4942</v>
      </c>
      <c r="X248" t="s">
        <v>2688</v>
      </c>
      <c r="Y248" t="s">
        <v>2688</v>
      </c>
      <c r="Z248" t="s">
        <v>2689</v>
      </c>
      <c r="AA248" t="s">
        <v>2689</v>
      </c>
      <c r="AB248" t="s">
        <v>4943</v>
      </c>
      <c r="AC248" t="s">
        <v>4944</v>
      </c>
      <c r="AD248" t="s">
        <v>4945</v>
      </c>
      <c r="AE248" t="s">
        <v>4946</v>
      </c>
      <c r="AH248" t="s">
        <v>3445</v>
      </c>
      <c r="AJ248" t="s">
        <v>4947</v>
      </c>
    </row>
    <row r="249" spans="1:36" ht="72.900000000000006" x14ac:dyDescent="0.4">
      <c r="A249" t="s">
        <v>646</v>
      </c>
      <c r="B249" t="s">
        <v>4948</v>
      </c>
      <c r="C249" t="s">
        <v>1411</v>
      </c>
      <c r="D249" t="s">
        <v>4949</v>
      </c>
      <c r="E249" t="s">
        <v>2679</v>
      </c>
      <c r="F249" t="s">
        <v>4950</v>
      </c>
      <c r="G249">
        <v>39.1076285105</v>
      </c>
      <c r="H249">
        <v>-96.606824956799997</v>
      </c>
      <c r="I249" t="s">
        <v>1411</v>
      </c>
      <c r="J249" t="s">
        <v>2420</v>
      </c>
      <c r="K249" t="s">
        <v>3704</v>
      </c>
      <c r="L249" t="s">
        <v>2422</v>
      </c>
      <c r="M249">
        <v>318</v>
      </c>
      <c r="N249" t="s">
        <v>3438</v>
      </c>
      <c r="O249" t="s">
        <v>646</v>
      </c>
      <c r="P249" s="1">
        <v>44777</v>
      </c>
      <c r="Q249">
        <v>60.6</v>
      </c>
      <c r="R249">
        <v>20</v>
      </c>
      <c r="S249" t="s">
        <v>3464</v>
      </c>
      <c r="T249" t="s">
        <v>2689</v>
      </c>
      <c r="U249" s="10" t="s">
        <v>4951</v>
      </c>
      <c r="V249" t="s">
        <v>4952</v>
      </c>
      <c r="W249" t="s">
        <v>4953</v>
      </c>
      <c r="X249" t="s">
        <v>2688</v>
      </c>
      <c r="Y249" t="s">
        <v>2688</v>
      </c>
      <c r="Z249" t="s">
        <v>2689</v>
      </c>
      <c r="AA249" t="s">
        <v>2689</v>
      </c>
      <c r="AB249" t="s">
        <v>4954</v>
      </c>
      <c r="AD249" t="s">
        <v>4955</v>
      </c>
      <c r="AE249" t="s">
        <v>4956</v>
      </c>
      <c r="AH249" t="s">
        <v>3445</v>
      </c>
      <c r="AJ249" t="s">
        <v>4957</v>
      </c>
    </row>
    <row r="250" spans="1:36" ht="102" x14ac:dyDescent="0.4">
      <c r="A250" t="s">
        <v>2028</v>
      </c>
      <c r="B250" t="s">
        <v>4958</v>
      </c>
      <c r="C250" t="s">
        <v>3713</v>
      </c>
      <c r="D250" t="s">
        <v>4959</v>
      </c>
      <c r="E250" t="s">
        <v>2679</v>
      </c>
      <c r="F250" t="s">
        <v>4960</v>
      </c>
      <c r="G250">
        <v>36.846804126000002</v>
      </c>
      <c r="H250">
        <v>-96.429945677500001</v>
      </c>
      <c r="I250" t="s">
        <v>3713</v>
      </c>
      <c r="J250" t="s">
        <v>2457</v>
      </c>
      <c r="K250" t="s">
        <v>2007</v>
      </c>
      <c r="L250" t="s">
        <v>2459</v>
      </c>
      <c r="M250">
        <v>129</v>
      </c>
      <c r="N250" t="s">
        <v>3438</v>
      </c>
      <c r="O250" t="s">
        <v>2028</v>
      </c>
      <c r="P250" s="1">
        <v>44737</v>
      </c>
      <c r="Q250">
        <v>15.3</v>
      </c>
      <c r="R250">
        <v>10</v>
      </c>
      <c r="S250" t="s">
        <v>3464</v>
      </c>
      <c r="T250" t="s">
        <v>2689</v>
      </c>
      <c r="U250" s="10" t="s">
        <v>4961</v>
      </c>
      <c r="V250" t="s">
        <v>4962</v>
      </c>
      <c r="W250" t="s">
        <v>4963</v>
      </c>
      <c r="X250" t="s">
        <v>2688</v>
      </c>
      <c r="Y250" t="s">
        <v>2688</v>
      </c>
      <c r="Z250" t="s">
        <v>2689</v>
      </c>
      <c r="AA250" t="s">
        <v>2689</v>
      </c>
      <c r="AB250" t="s">
        <v>4964</v>
      </c>
      <c r="AD250" t="s">
        <v>4965</v>
      </c>
      <c r="AE250" t="s">
        <v>4966</v>
      </c>
      <c r="AH250" t="s">
        <v>3445</v>
      </c>
    </row>
    <row r="251" spans="1:36" x14ac:dyDescent="0.4">
      <c r="A251" t="s">
        <v>2040</v>
      </c>
      <c r="B251" t="s">
        <v>4967</v>
      </c>
      <c r="C251" t="s">
        <v>3713</v>
      </c>
      <c r="D251" t="s">
        <v>4968</v>
      </c>
      <c r="E251" t="s">
        <v>2679</v>
      </c>
      <c r="F251" t="s">
        <v>4969</v>
      </c>
      <c r="G251">
        <v>36.847740062500002</v>
      </c>
      <c r="H251">
        <v>-96.421649605100001</v>
      </c>
      <c r="I251" t="s">
        <v>3713</v>
      </c>
      <c r="J251" t="s">
        <v>2457</v>
      </c>
      <c r="K251" t="s">
        <v>2007</v>
      </c>
      <c r="L251" t="s">
        <v>2459</v>
      </c>
      <c r="M251">
        <v>133</v>
      </c>
      <c r="N251" t="s">
        <v>3438</v>
      </c>
      <c r="O251" t="s">
        <v>2040</v>
      </c>
      <c r="P251" s="1">
        <v>44737</v>
      </c>
      <c r="Q251">
        <v>70.3</v>
      </c>
      <c r="R251">
        <v>24</v>
      </c>
      <c r="S251" t="s">
        <v>3464</v>
      </c>
      <c r="T251" t="s">
        <v>2689</v>
      </c>
      <c r="U251" t="s">
        <v>4970</v>
      </c>
      <c r="V251" t="s">
        <v>4971</v>
      </c>
      <c r="W251" t="s">
        <v>4972</v>
      </c>
      <c r="X251" t="s">
        <v>2688</v>
      </c>
      <c r="Y251" t="s">
        <v>2688</v>
      </c>
      <c r="Z251" t="s">
        <v>2689</v>
      </c>
      <c r="AA251" t="s">
        <v>2689</v>
      </c>
      <c r="AB251" t="s">
        <v>4973</v>
      </c>
      <c r="AC251" t="s">
        <v>4974</v>
      </c>
      <c r="AD251" t="s">
        <v>4975</v>
      </c>
      <c r="AE251" t="s">
        <v>4976</v>
      </c>
      <c r="AH251" t="s">
        <v>3445</v>
      </c>
    </row>
    <row r="252" spans="1:36" x14ac:dyDescent="0.4">
      <c r="A252" t="s">
        <v>1978</v>
      </c>
      <c r="B252" t="s">
        <v>4977</v>
      </c>
      <c r="C252" t="s">
        <v>4978</v>
      </c>
      <c r="D252" t="s">
        <v>4979</v>
      </c>
      <c r="E252" t="s">
        <v>2679</v>
      </c>
      <c r="F252" t="s">
        <v>4980</v>
      </c>
      <c r="G252">
        <v>35.436494559300002</v>
      </c>
      <c r="H252">
        <v>-98.353529425800005</v>
      </c>
      <c r="I252" t="s">
        <v>4978</v>
      </c>
      <c r="J252" t="s">
        <v>2457</v>
      </c>
      <c r="K252" t="s">
        <v>4981</v>
      </c>
      <c r="L252" t="s">
        <v>2458</v>
      </c>
      <c r="M252">
        <v>113</v>
      </c>
      <c r="N252" t="s">
        <v>3438</v>
      </c>
      <c r="O252" t="s">
        <v>1978</v>
      </c>
      <c r="P252" s="1">
        <v>44736</v>
      </c>
      <c r="Q252">
        <v>2</v>
      </c>
      <c r="R252">
        <v>0.5</v>
      </c>
      <c r="S252" t="s">
        <v>3427</v>
      </c>
      <c r="T252" t="s">
        <v>2689</v>
      </c>
      <c r="U252" t="s">
        <v>4982</v>
      </c>
      <c r="V252" t="s">
        <v>4983</v>
      </c>
      <c r="W252" t="s">
        <v>4984</v>
      </c>
      <c r="X252" t="s">
        <v>2688</v>
      </c>
      <c r="Y252" t="s">
        <v>2688</v>
      </c>
      <c r="Z252" t="s">
        <v>2689</v>
      </c>
      <c r="AA252" t="s">
        <v>2689</v>
      </c>
      <c r="AB252" t="s">
        <v>4985</v>
      </c>
      <c r="AC252" t="s">
        <v>4986</v>
      </c>
      <c r="AD252" t="s">
        <v>4987</v>
      </c>
      <c r="AE252" t="s">
        <v>4988</v>
      </c>
      <c r="AH252" t="s">
        <v>3445</v>
      </c>
      <c r="AJ252" t="s">
        <v>4989</v>
      </c>
    </row>
    <row r="253" spans="1:36" ht="58.3" x14ac:dyDescent="0.4">
      <c r="A253" t="s">
        <v>2002</v>
      </c>
      <c r="B253" t="s">
        <v>4990</v>
      </c>
      <c r="C253" t="s">
        <v>3713</v>
      </c>
      <c r="D253" t="s">
        <v>4991</v>
      </c>
      <c r="E253" t="s">
        <v>2679</v>
      </c>
      <c r="F253" t="s">
        <v>4992</v>
      </c>
      <c r="G253">
        <v>35.435734876600002</v>
      </c>
      <c r="H253">
        <v>-98.355060294300003</v>
      </c>
      <c r="I253" t="s">
        <v>3713</v>
      </c>
      <c r="J253" t="s">
        <v>2457</v>
      </c>
      <c r="K253" t="s">
        <v>4981</v>
      </c>
      <c r="L253" t="s">
        <v>2458</v>
      </c>
      <c r="M253">
        <v>121</v>
      </c>
      <c r="N253" t="s">
        <v>3438</v>
      </c>
      <c r="O253" t="s">
        <v>2002</v>
      </c>
      <c r="P253" s="1">
        <v>44736</v>
      </c>
      <c r="Q253">
        <v>48.3</v>
      </c>
      <c r="R253">
        <v>14</v>
      </c>
      <c r="S253" t="s">
        <v>3464</v>
      </c>
      <c r="T253" t="s">
        <v>2689</v>
      </c>
      <c r="U253" s="10" t="s">
        <v>4993</v>
      </c>
      <c r="V253" t="s">
        <v>4994</v>
      </c>
      <c r="W253" t="s">
        <v>4995</v>
      </c>
      <c r="X253" t="s">
        <v>2688</v>
      </c>
      <c r="Y253" t="s">
        <v>2688</v>
      </c>
      <c r="Z253" t="s">
        <v>2689</v>
      </c>
      <c r="AA253" t="s">
        <v>2689</v>
      </c>
      <c r="AB253" t="s">
        <v>4996</v>
      </c>
      <c r="AD253" t="s">
        <v>4997</v>
      </c>
      <c r="AE253" t="s">
        <v>4998</v>
      </c>
      <c r="AH253" t="s">
        <v>3445</v>
      </c>
      <c r="AJ253" t="s">
        <v>4999</v>
      </c>
    </row>
    <row r="254" spans="1:36" ht="145.75" x14ac:dyDescent="0.4">
      <c r="A254" t="s">
        <v>60</v>
      </c>
      <c r="B254" t="s">
        <v>5000</v>
      </c>
      <c r="C254" t="s">
        <v>1432</v>
      </c>
      <c r="D254" t="s">
        <v>5001</v>
      </c>
      <c r="E254" t="s">
        <v>2679</v>
      </c>
      <c r="F254" t="s">
        <v>5002</v>
      </c>
      <c r="G254">
        <v>34.805745072599997</v>
      </c>
      <c r="H254">
        <v>-92.327317893499995</v>
      </c>
      <c r="I254" t="s">
        <v>1432</v>
      </c>
      <c r="J254" t="s">
        <v>2405</v>
      </c>
      <c r="K254" t="s">
        <v>5003</v>
      </c>
      <c r="L254" t="s">
        <v>2401</v>
      </c>
      <c r="M254">
        <v>414</v>
      </c>
      <c r="N254" t="s">
        <v>3438</v>
      </c>
      <c r="O254" t="s">
        <v>60</v>
      </c>
      <c r="P254" s="1">
        <v>44803</v>
      </c>
      <c r="Q254">
        <v>46.2</v>
      </c>
      <c r="R254">
        <v>26</v>
      </c>
      <c r="S254" t="s">
        <v>3427</v>
      </c>
      <c r="T254" t="s">
        <v>2689</v>
      </c>
      <c r="U254" s="10" t="s">
        <v>5004</v>
      </c>
      <c r="V254" s="10" t="s">
        <v>5005</v>
      </c>
      <c r="W254" t="s">
        <v>5006</v>
      </c>
      <c r="X254" t="s">
        <v>2688</v>
      </c>
      <c r="Y254" t="s">
        <v>2688</v>
      </c>
      <c r="Z254" t="s">
        <v>2747</v>
      </c>
      <c r="AA254" t="s">
        <v>2689</v>
      </c>
      <c r="AB254" t="s">
        <v>5007</v>
      </c>
      <c r="AC254" t="s">
        <v>5008</v>
      </c>
      <c r="AD254" t="s">
        <v>5009</v>
      </c>
      <c r="AE254" t="s">
        <v>5010</v>
      </c>
      <c r="AJ254" s="10" t="s">
        <v>5011</v>
      </c>
    </row>
    <row r="255" spans="1:36" ht="131.15" x14ac:dyDescent="0.4">
      <c r="A255" t="s">
        <v>57</v>
      </c>
      <c r="B255" t="s">
        <v>5012</v>
      </c>
      <c r="C255" t="s">
        <v>3713</v>
      </c>
      <c r="D255" t="s">
        <v>5013</v>
      </c>
      <c r="E255" t="s">
        <v>2679</v>
      </c>
      <c r="F255" t="s">
        <v>5014</v>
      </c>
      <c r="G255">
        <v>34.805368746900001</v>
      </c>
      <c r="H255">
        <v>-92.326989322900005</v>
      </c>
      <c r="I255" t="s">
        <v>3713</v>
      </c>
      <c r="J255" t="s">
        <v>2405</v>
      </c>
      <c r="K255" t="s">
        <v>5003</v>
      </c>
      <c r="L255" t="s">
        <v>2401</v>
      </c>
      <c r="M255">
        <v>413</v>
      </c>
      <c r="N255" t="s">
        <v>3438</v>
      </c>
      <c r="O255" t="s">
        <v>57</v>
      </c>
      <c r="P255" s="1">
        <v>44803</v>
      </c>
      <c r="Q255">
        <v>47.4</v>
      </c>
      <c r="R255">
        <v>26</v>
      </c>
      <c r="S255" t="s">
        <v>3427</v>
      </c>
      <c r="T255" t="s">
        <v>2689</v>
      </c>
      <c r="U255" s="10" t="s">
        <v>5015</v>
      </c>
      <c r="V255" s="10" t="s">
        <v>5016</v>
      </c>
      <c r="W255" t="s">
        <v>5017</v>
      </c>
      <c r="X255" t="s">
        <v>2688</v>
      </c>
      <c r="Y255" t="s">
        <v>2688</v>
      </c>
      <c r="Z255" t="s">
        <v>2747</v>
      </c>
      <c r="AA255" t="s">
        <v>2689</v>
      </c>
      <c r="AB255" t="s">
        <v>5018</v>
      </c>
      <c r="AD255" t="s">
        <v>5019</v>
      </c>
      <c r="AE255" t="s">
        <v>5020</v>
      </c>
      <c r="AH255" t="s">
        <v>3445</v>
      </c>
      <c r="AJ255" s="10" t="s">
        <v>5011</v>
      </c>
    </row>
    <row r="256" spans="1:36" ht="145.75" x14ac:dyDescent="0.4">
      <c r="A256" t="s">
        <v>54</v>
      </c>
      <c r="B256" t="s">
        <v>5021</v>
      </c>
      <c r="C256" t="s">
        <v>1411</v>
      </c>
      <c r="D256" t="s">
        <v>5022</v>
      </c>
      <c r="E256" t="s">
        <v>2679</v>
      </c>
      <c r="F256" t="s">
        <v>5023</v>
      </c>
      <c r="G256">
        <v>34.805065372500003</v>
      </c>
      <c r="H256">
        <v>-92.327079512200001</v>
      </c>
      <c r="I256" t="s">
        <v>1411</v>
      </c>
      <c r="J256" t="s">
        <v>2405</v>
      </c>
      <c r="K256" t="s">
        <v>5003</v>
      </c>
      <c r="L256" t="s">
        <v>2401</v>
      </c>
      <c r="M256">
        <v>412</v>
      </c>
      <c r="N256" t="s">
        <v>3438</v>
      </c>
      <c r="O256" t="s">
        <v>54</v>
      </c>
      <c r="P256" s="1">
        <v>44803</v>
      </c>
      <c r="Q256">
        <v>37.200000000000003</v>
      </c>
      <c r="R256">
        <v>25</v>
      </c>
      <c r="S256" t="s">
        <v>3427</v>
      </c>
      <c r="T256" t="s">
        <v>2689</v>
      </c>
      <c r="U256" s="10" t="s">
        <v>5024</v>
      </c>
      <c r="V256" t="s">
        <v>5025</v>
      </c>
      <c r="W256" t="s">
        <v>5026</v>
      </c>
      <c r="X256" t="s">
        <v>2688</v>
      </c>
      <c r="Y256" t="s">
        <v>2688</v>
      </c>
      <c r="Z256" t="s">
        <v>2747</v>
      </c>
      <c r="AA256" t="s">
        <v>2689</v>
      </c>
      <c r="AB256" t="s">
        <v>5027</v>
      </c>
      <c r="AD256" t="s">
        <v>5028</v>
      </c>
      <c r="AE256" t="s">
        <v>5029</v>
      </c>
      <c r="AH256" t="s">
        <v>3445</v>
      </c>
      <c r="AJ256" t="s">
        <v>5030</v>
      </c>
    </row>
    <row r="257" spans="1:36" ht="58.3" x14ac:dyDescent="0.4">
      <c r="A257" t="s">
        <v>94</v>
      </c>
      <c r="B257" t="s">
        <v>5031</v>
      </c>
      <c r="C257" t="s">
        <v>3448</v>
      </c>
      <c r="D257" t="s">
        <v>5032</v>
      </c>
      <c r="E257" t="s">
        <v>2679</v>
      </c>
      <c r="F257" t="s">
        <v>5033</v>
      </c>
      <c r="G257">
        <v>34.803642737700002</v>
      </c>
      <c r="H257">
        <v>-92.327434905000004</v>
      </c>
      <c r="I257" t="s">
        <v>3448</v>
      </c>
      <c r="J257" t="s">
        <v>2405</v>
      </c>
      <c r="K257" t="s">
        <v>5003</v>
      </c>
      <c r="L257" t="s">
        <v>2401</v>
      </c>
      <c r="M257">
        <v>424</v>
      </c>
      <c r="N257" t="s">
        <v>3438</v>
      </c>
      <c r="O257" t="s">
        <v>94</v>
      </c>
      <c r="P257" s="1">
        <v>44803</v>
      </c>
      <c r="Q257">
        <v>22.4</v>
      </c>
      <c r="R257">
        <v>25</v>
      </c>
      <c r="S257" t="s">
        <v>3427</v>
      </c>
      <c r="U257" s="10" t="s">
        <v>5034</v>
      </c>
      <c r="V257" s="10" t="s">
        <v>5035</v>
      </c>
      <c r="W257" t="s">
        <v>5036</v>
      </c>
      <c r="X257" t="s">
        <v>2688</v>
      </c>
      <c r="Y257" t="s">
        <v>2688</v>
      </c>
      <c r="Z257" t="s">
        <v>2747</v>
      </c>
      <c r="AA257" t="s">
        <v>2689</v>
      </c>
      <c r="AB257" t="s">
        <v>5037</v>
      </c>
      <c r="AD257" t="s">
        <v>5038</v>
      </c>
      <c r="AE257" t="s">
        <v>5039</v>
      </c>
      <c r="AH257" t="s">
        <v>3445</v>
      </c>
      <c r="AJ257" t="s">
        <v>5040</v>
      </c>
    </row>
    <row r="258" spans="1:36" ht="102" x14ac:dyDescent="0.4">
      <c r="A258" t="s">
        <v>77</v>
      </c>
      <c r="B258" t="s">
        <v>5041</v>
      </c>
      <c r="C258" t="s">
        <v>3713</v>
      </c>
      <c r="D258" t="s">
        <v>5042</v>
      </c>
      <c r="E258" t="s">
        <v>2679</v>
      </c>
      <c r="F258" t="s">
        <v>5043</v>
      </c>
      <c r="G258">
        <v>34.806600082700001</v>
      </c>
      <c r="H258">
        <v>-92.330444511099998</v>
      </c>
      <c r="I258" t="s">
        <v>3713</v>
      </c>
      <c r="J258" t="s">
        <v>2405</v>
      </c>
      <c r="K258" t="s">
        <v>5003</v>
      </c>
      <c r="L258" t="s">
        <v>2401</v>
      </c>
      <c r="M258">
        <v>419</v>
      </c>
      <c r="N258" t="s">
        <v>3438</v>
      </c>
      <c r="O258" t="s">
        <v>77</v>
      </c>
      <c r="P258" s="1">
        <v>44803</v>
      </c>
      <c r="Q258">
        <v>47.2</v>
      </c>
      <c r="R258">
        <v>26</v>
      </c>
      <c r="S258" t="s">
        <v>3427</v>
      </c>
      <c r="T258" t="s">
        <v>2689</v>
      </c>
      <c r="U258" s="10" t="s">
        <v>5044</v>
      </c>
      <c r="V258" t="s">
        <v>5045</v>
      </c>
      <c r="W258" s="10" t="s">
        <v>5046</v>
      </c>
      <c r="X258" t="s">
        <v>2688</v>
      </c>
      <c r="Y258" t="s">
        <v>2688</v>
      </c>
      <c r="Z258" t="s">
        <v>2747</v>
      </c>
      <c r="AA258" t="s">
        <v>2689</v>
      </c>
      <c r="AB258" t="s">
        <v>5047</v>
      </c>
      <c r="AC258" t="s">
        <v>5048</v>
      </c>
      <c r="AD258" t="s">
        <v>5049</v>
      </c>
      <c r="AE258" t="s">
        <v>5050</v>
      </c>
      <c r="AH258" t="s">
        <v>3445</v>
      </c>
      <c r="AJ258" t="s">
        <v>5040</v>
      </c>
    </row>
    <row r="259" spans="1:36" ht="102" x14ac:dyDescent="0.4">
      <c r="A259" t="s">
        <v>74</v>
      </c>
      <c r="B259" t="s">
        <v>5051</v>
      </c>
      <c r="C259" t="s">
        <v>1432</v>
      </c>
      <c r="D259" t="s">
        <v>5052</v>
      </c>
      <c r="E259" t="s">
        <v>2679</v>
      </c>
      <c r="F259" t="s">
        <v>5053</v>
      </c>
      <c r="G259">
        <v>34.806249761099998</v>
      </c>
      <c r="H259">
        <v>-92.3301055469</v>
      </c>
      <c r="I259" t="s">
        <v>1432</v>
      </c>
      <c r="J259" t="s">
        <v>2405</v>
      </c>
      <c r="K259" t="s">
        <v>5003</v>
      </c>
      <c r="L259" t="s">
        <v>2401</v>
      </c>
      <c r="M259">
        <v>418</v>
      </c>
      <c r="N259" t="s">
        <v>3438</v>
      </c>
      <c r="O259" t="s">
        <v>74</v>
      </c>
      <c r="P259" s="1">
        <v>44803</v>
      </c>
      <c r="Q259">
        <v>72.400000000000006</v>
      </c>
      <c r="R259">
        <v>28</v>
      </c>
      <c r="S259" t="s">
        <v>4506</v>
      </c>
      <c r="T259" t="s">
        <v>2689</v>
      </c>
      <c r="U259" s="10" t="s">
        <v>5054</v>
      </c>
      <c r="V259" t="s">
        <v>5045</v>
      </c>
      <c r="W259" t="s">
        <v>5055</v>
      </c>
      <c r="X259" t="s">
        <v>2688</v>
      </c>
      <c r="Y259" t="s">
        <v>2688</v>
      </c>
      <c r="Z259" t="s">
        <v>2747</v>
      </c>
      <c r="AA259" t="s">
        <v>2689</v>
      </c>
      <c r="AB259" t="s">
        <v>5056</v>
      </c>
      <c r="AC259" t="s">
        <v>5057</v>
      </c>
      <c r="AD259" t="s">
        <v>5058</v>
      </c>
      <c r="AE259" t="s">
        <v>5059</v>
      </c>
      <c r="AH259" t="s">
        <v>3445</v>
      </c>
      <c r="AJ259" t="s">
        <v>5060</v>
      </c>
    </row>
    <row r="260" spans="1:36" ht="58.3" x14ac:dyDescent="0.4">
      <c r="A260" t="s">
        <v>109</v>
      </c>
      <c r="B260" t="s">
        <v>5061</v>
      </c>
      <c r="C260" t="s">
        <v>3448</v>
      </c>
      <c r="D260" t="s">
        <v>5062</v>
      </c>
      <c r="E260" t="s">
        <v>2679</v>
      </c>
      <c r="F260" t="s">
        <v>5063</v>
      </c>
      <c r="G260">
        <v>34.809128623699998</v>
      </c>
      <c r="H260">
        <v>-92.327702455199997</v>
      </c>
      <c r="I260" t="s">
        <v>3448</v>
      </c>
      <c r="J260" t="s">
        <v>2405</v>
      </c>
      <c r="K260" t="s">
        <v>5003</v>
      </c>
      <c r="L260" t="s">
        <v>2401</v>
      </c>
      <c r="M260">
        <v>429</v>
      </c>
      <c r="N260" t="s">
        <v>3438</v>
      </c>
      <c r="O260" t="s">
        <v>109</v>
      </c>
      <c r="P260" s="1">
        <v>44803</v>
      </c>
      <c r="Q260">
        <v>55.6</v>
      </c>
      <c r="R260">
        <v>28</v>
      </c>
      <c r="S260" t="s">
        <v>3427</v>
      </c>
      <c r="T260" t="s">
        <v>2689</v>
      </c>
      <c r="U260" s="10" t="s">
        <v>5064</v>
      </c>
      <c r="V260" s="10" t="s">
        <v>5065</v>
      </c>
      <c r="W260" t="s">
        <v>5066</v>
      </c>
      <c r="X260" t="s">
        <v>2688</v>
      </c>
      <c r="Y260" t="s">
        <v>2688</v>
      </c>
      <c r="Z260" t="s">
        <v>2747</v>
      </c>
      <c r="AA260" t="s">
        <v>2689</v>
      </c>
      <c r="AB260" t="s">
        <v>5067</v>
      </c>
      <c r="AD260" t="s">
        <v>5068</v>
      </c>
      <c r="AE260" t="s">
        <v>5069</v>
      </c>
      <c r="AH260" t="s">
        <v>3445</v>
      </c>
    </row>
    <row r="261" spans="1:36" ht="102" x14ac:dyDescent="0.4">
      <c r="A261" t="s">
        <v>2225</v>
      </c>
      <c r="B261" t="s">
        <v>5070</v>
      </c>
      <c r="C261" t="s">
        <v>5071</v>
      </c>
      <c r="D261" t="s">
        <v>5062</v>
      </c>
      <c r="E261" t="s">
        <v>2679</v>
      </c>
      <c r="F261" t="s">
        <v>5072</v>
      </c>
      <c r="G261">
        <v>32.614047015099999</v>
      </c>
      <c r="H261">
        <v>-96.996636008899998</v>
      </c>
      <c r="I261" t="s">
        <v>5071</v>
      </c>
      <c r="J261" t="s">
        <v>2463</v>
      </c>
      <c r="K261" t="s">
        <v>2198</v>
      </c>
      <c r="L261" t="s">
        <v>2403</v>
      </c>
      <c r="M261">
        <v>458</v>
      </c>
      <c r="N261" t="s">
        <v>3438</v>
      </c>
      <c r="O261" t="s">
        <v>2225</v>
      </c>
      <c r="P261" s="1">
        <v>44808</v>
      </c>
      <c r="Q261">
        <v>13.3</v>
      </c>
      <c r="R261">
        <v>17</v>
      </c>
      <c r="S261" t="s">
        <v>3464</v>
      </c>
      <c r="T261" t="s">
        <v>2689</v>
      </c>
      <c r="U261" s="10" t="s">
        <v>5073</v>
      </c>
      <c r="V261" t="s">
        <v>5074</v>
      </c>
      <c r="W261" t="s">
        <v>5075</v>
      </c>
      <c r="X261" t="s">
        <v>2688</v>
      </c>
      <c r="Y261" t="s">
        <v>2688</v>
      </c>
      <c r="Z261" t="s">
        <v>2747</v>
      </c>
      <c r="AA261" t="s">
        <v>2689</v>
      </c>
      <c r="AB261" t="s">
        <v>5076</v>
      </c>
      <c r="AD261" t="s">
        <v>5077</v>
      </c>
      <c r="AE261" t="s">
        <v>5078</v>
      </c>
      <c r="AH261" t="s">
        <v>5079</v>
      </c>
      <c r="AJ261" s="10" t="s">
        <v>5080</v>
      </c>
    </row>
    <row r="262" spans="1:36" ht="72.900000000000006" x14ac:dyDescent="0.4">
      <c r="A262" t="s">
        <v>2222</v>
      </c>
      <c r="B262" t="s">
        <v>5081</v>
      </c>
      <c r="C262" t="s">
        <v>1411</v>
      </c>
      <c r="D262" t="s">
        <v>5082</v>
      </c>
      <c r="E262" t="s">
        <v>2679</v>
      </c>
      <c r="F262" t="s">
        <v>5083</v>
      </c>
      <c r="G262">
        <v>32.622822877399997</v>
      </c>
      <c r="H262">
        <v>-96.979742869700004</v>
      </c>
      <c r="I262" t="s">
        <v>1411</v>
      </c>
      <c r="J262" t="s">
        <v>2463</v>
      </c>
      <c r="K262" t="s">
        <v>2198</v>
      </c>
      <c r="L262" t="s">
        <v>2403</v>
      </c>
      <c r="M262">
        <v>457</v>
      </c>
      <c r="N262" t="s">
        <v>3438</v>
      </c>
      <c r="O262" t="s">
        <v>2222</v>
      </c>
      <c r="P262" s="1">
        <v>44808</v>
      </c>
      <c r="Q262">
        <v>52.7</v>
      </c>
      <c r="R262">
        <v>24</v>
      </c>
      <c r="S262" t="s">
        <v>3584</v>
      </c>
      <c r="T262" t="s">
        <v>2689</v>
      </c>
      <c r="U262" s="10" t="s">
        <v>5084</v>
      </c>
      <c r="V262" s="10" t="s">
        <v>5085</v>
      </c>
      <c r="W262" t="s">
        <v>5086</v>
      </c>
      <c r="X262" t="s">
        <v>2688</v>
      </c>
      <c r="Y262" t="s">
        <v>2688</v>
      </c>
      <c r="Z262" t="s">
        <v>2747</v>
      </c>
      <c r="AA262" t="s">
        <v>2689</v>
      </c>
      <c r="AB262" t="s">
        <v>5087</v>
      </c>
      <c r="AD262" t="s">
        <v>5088</v>
      </c>
      <c r="AE262" t="s">
        <v>5089</v>
      </c>
      <c r="AH262" t="s">
        <v>5079</v>
      </c>
      <c r="AJ262" t="s">
        <v>5090</v>
      </c>
    </row>
    <row r="263" spans="1:36" ht="72.900000000000006" x14ac:dyDescent="0.4">
      <c r="A263" t="s">
        <v>2207</v>
      </c>
      <c r="B263" t="s">
        <v>5091</v>
      </c>
      <c r="C263" t="s">
        <v>3713</v>
      </c>
      <c r="D263" t="s">
        <v>5082</v>
      </c>
      <c r="E263" t="s">
        <v>2679</v>
      </c>
      <c r="F263" t="s">
        <v>5092</v>
      </c>
      <c r="G263">
        <v>32.638009032299998</v>
      </c>
      <c r="H263">
        <v>-96.978491200199997</v>
      </c>
      <c r="I263" t="s">
        <v>3713</v>
      </c>
      <c r="J263" t="s">
        <v>2463</v>
      </c>
      <c r="K263" t="s">
        <v>2198</v>
      </c>
      <c r="L263" t="s">
        <v>2403</v>
      </c>
      <c r="M263">
        <v>452</v>
      </c>
      <c r="N263" t="s">
        <v>3438</v>
      </c>
      <c r="O263" t="s">
        <v>2207</v>
      </c>
      <c r="P263" s="1">
        <v>44808</v>
      </c>
      <c r="Q263">
        <v>36.9</v>
      </c>
      <c r="R263">
        <v>22</v>
      </c>
      <c r="S263" t="s">
        <v>3464</v>
      </c>
      <c r="T263" t="s">
        <v>2689</v>
      </c>
      <c r="U263" s="10" t="s">
        <v>5093</v>
      </c>
      <c r="V263" s="10" t="s">
        <v>5094</v>
      </c>
      <c r="W263" t="s">
        <v>5095</v>
      </c>
      <c r="X263" t="s">
        <v>2688</v>
      </c>
      <c r="Y263" t="s">
        <v>2688</v>
      </c>
      <c r="Z263" t="s">
        <v>2747</v>
      </c>
      <c r="AA263" t="s">
        <v>2689</v>
      </c>
      <c r="AB263" t="s">
        <v>5096</v>
      </c>
      <c r="AC263" t="s">
        <v>5097</v>
      </c>
      <c r="AD263" t="s">
        <v>5098</v>
      </c>
      <c r="AE263" t="s">
        <v>5099</v>
      </c>
      <c r="AH263" t="s">
        <v>3445</v>
      </c>
      <c r="AJ263" s="10" t="s">
        <v>5100</v>
      </c>
    </row>
    <row r="264" spans="1:36" ht="102" x14ac:dyDescent="0.4">
      <c r="A264" t="s">
        <v>2258</v>
      </c>
      <c r="B264" t="s">
        <v>5101</v>
      </c>
      <c r="C264" t="s">
        <v>5102</v>
      </c>
      <c r="D264" t="s">
        <v>5103</v>
      </c>
      <c r="E264" t="s">
        <v>2679</v>
      </c>
      <c r="F264" t="s">
        <v>5104</v>
      </c>
      <c r="G264">
        <v>29.5886833454</v>
      </c>
      <c r="H264">
        <v>-97.5834875834</v>
      </c>
      <c r="I264" t="s">
        <v>5071</v>
      </c>
      <c r="J264" t="s">
        <v>2463</v>
      </c>
      <c r="K264" t="s">
        <v>5105</v>
      </c>
      <c r="L264" t="s">
        <v>2465</v>
      </c>
      <c r="M264">
        <v>446</v>
      </c>
      <c r="N264" t="s">
        <v>3438</v>
      </c>
      <c r="O264" t="s">
        <v>2258</v>
      </c>
      <c r="P264" s="1">
        <v>44806</v>
      </c>
      <c r="Q264">
        <v>19.3</v>
      </c>
      <c r="R264">
        <v>16</v>
      </c>
      <c r="S264" t="s">
        <v>3427</v>
      </c>
      <c r="T264" t="s">
        <v>2689</v>
      </c>
      <c r="U264" s="10" t="s">
        <v>5106</v>
      </c>
      <c r="V264" s="10" t="s">
        <v>5107</v>
      </c>
      <c r="W264" t="s">
        <v>5108</v>
      </c>
      <c r="X264" t="s">
        <v>2688</v>
      </c>
      <c r="Y264" t="s">
        <v>2688</v>
      </c>
      <c r="Z264" t="s">
        <v>2747</v>
      </c>
      <c r="AA264" t="s">
        <v>2689</v>
      </c>
      <c r="AB264" t="s">
        <v>5109</v>
      </c>
      <c r="AC264" t="s">
        <v>5110</v>
      </c>
      <c r="AD264" t="s">
        <v>5111</v>
      </c>
      <c r="AE264" t="s">
        <v>5112</v>
      </c>
      <c r="AH264" t="s">
        <v>3445</v>
      </c>
      <c r="AJ264" t="s">
        <v>5113</v>
      </c>
    </row>
    <row r="265" spans="1:36" ht="87.45" x14ac:dyDescent="0.4">
      <c r="A265" t="s">
        <v>2233</v>
      </c>
      <c r="B265" t="s">
        <v>5114</v>
      </c>
      <c r="C265" t="s">
        <v>3713</v>
      </c>
      <c r="D265" t="s">
        <v>5115</v>
      </c>
      <c r="E265" t="s">
        <v>2679</v>
      </c>
      <c r="F265" t="s">
        <v>5116</v>
      </c>
      <c r="G265">
        <v>29.597234898300002</v>
      </c>
      <c r="H265">
        <v>-97.584885600999996</v>
      </c>
      <c r="I265" t="s">
        <v>3713</v>
      </c>
      <c r="J265" t="s">
        <v>2463</v>
      </c>
      <c r="K265" t="s">
        <v>5105</v>
      </c>
      <c r="L265" t="s">
        <v>2465</v>
      </c>
      <c r="M265">
        <v>438</v>
      </c>
      <c r="N265" t="s">
        <v>3438</v>
      </c>
      <c r="O265" t="s">
        <v>2233</v>
      </c>
      <c r="P265" s="1">
        <v>44806</v>
      </c>
      <c r="Q265">
        <v>76.7</v>
      </c>
      <c r="R265">
        <v>15</v>
      </c>
      <c r="S265" t="s">
        <v>3427</v>
      </c>
      <c r="T265" t="s">
        <v>2689</v>
      </c>
      <c r="U265" t="s">
        <v>5117</v>
      </c>
      <c r="V265" s="10" t="s">
        <v>5118</v>
      </c>
      <c r="W265" t="s">
        <v>5119</v>
      </c>
      <c r="X265" t="s">
        <v>2688</v>
      </c>
      <c r="Y265" t="s">
        <v>2688</v>
      </c>
      <c r="Z265" t="s">
        <v>2747</v>
      </c>
      <c r="AA265" t="s">
        <v>2689</v>
      </c>
      <c r="AB265" t="s">
        <v>5120</v>
      </c>
      <c r="AC265" t="s">
        <v>5121</v>
      </c>
      <c r="AD265" t="s">
        <v>5122</v>
      </c>
      <c r="AE265" t="s">
        <v>5123</v>
      </c>
      <c r="AH265" t="s">
        <v>3445</v>
      </c>
      <c r="AJ265" s="10" t="s">
        <v>5124</v>
      </c>
    </row>
    <row r="266" spans="1:36" ht="116.6" x14ac:dyDescent="0.4">
      <c r="A266" t="s">
        <v>2174</v>
      </c>
      <c r="B266" t="s">
        <v>5125</v>
      </c>
      <c r="C266" t="s">
        <v>1411</v>
      </c>
      <c r="D266" t="s">
        <v>5115</v>
      </c>
      <c r="E266" t="s">
        <v>2679</v>
      </c>
      <c r="F266" t="s">
        <v>5126</v>
      </c>
      <c r="G266">
        <v>29.374004658299999</v>
      </c>
      <c r="H266">
        <v>-95.579004893199993</v>
      </c>
      <c r="I266" t="s">
        <v>1411</v>
      </c>
      <c r="J266" t="s">
        <v>2463</v>
      </c>
      <c r="K266" t="s">
        <v>5127</v>
      </c>
      <c r="L266" t="s">
        <v>2464</v>
      </c>
      <c r="M266">
        <v>431</v>
      </c>
      <c r="N266" t="s">
        <v>3438</v>
      </c>
      <c r="O266" t="s">
        <v>2174</v>
      </c>
      <c r="P266" s="1">
        <v>44805</v>
      </c>
      <c r="Q266">
        <v>60.3</v>
      </c>
      <c r="R266">
        <v>25</v>
      </c>
      <c r="S266" t="s">
        <v>3427</v>
      </c>
      <c r="T266" t="s">
        <v>2689</v>
      </c>
      <c r="U266" s="10" t="s">
        <v>5128</v>
      </c>
      <c r="V266" s="10" t="s">
        <v>5129</v>
      </c>
      <c r="W266" t="s">
        <v>5130</v>
      </c>
      <c r="X266" t="s">
        <v>2688</v>
      </c>
      <c r="Y266" t="s">
        <v>2688</v>
      </c>
      <c r="Z266" t="s">
        <v>2689</v>
      </c>
      <c r="AA266" t="s">
        <v>2689</v>
      </c>
      <c r="AB266" t="s">
        <v>5131</v>
      </c>
      <c r="AC266" t="s">
        <v>5132</v>
      </c>
      <c r="AD266" t="s">
        <v>5133</v>
      </c>
      <c r="AE266" t="s">
        <v>5134</v>
      </c>
      <c r="AH266" t="s">
        <v>3445</v>
      </c>
      <c r="AJ266" t="s">
        <v>5135</v>
      </c>
    </row>
    <row r="267" spans="1:36" ht="102" x14ac:dyDescent="0.4">
      <c r="A267" t="s">
        <v>2168</v>
      </c>
      <c r="B267" t="s">
        <v>5136</v>
      </c>
      <c r="C267" t="s">
        <v>1411</v>
      </c>
      <c r="D267" t="s">
        <v>5137</v>
      </c>
      <c r="E267" t="s">
        <v>2679</v>
      </c>
      <c r="F267" t="s">
        <v>5138</v>
      </c>
      <c r="G267">
        <v>29.3738397863</v>
      </c>
      <c r="H267">
        <v>-95.580479186100007</v>
      </c>
      <c r="I267" t="s">
        <v>1411</v>
      </c>
      <c r="J267" t="s">
        <v>2463</v>
      </c>
      <c r="K267" t="s">
        <v>5127</v>
      </c>
      <c r="L267" t="s">
        <v>2464</v>
      </c>
      <c r="M267">
        <v>430</v>
      </c>
      <c r="N267" t="s">
        <v>3438</v>
      </c>
      <c r="O267" t="s">
        <v>2168</v>
      </c>
      <c r="P267" s="1">
        <v>44805</v>
      </c>
      <c r="Q267">
        <v>58.5</v>
      </c>
      <c r="R267">
        <v>23</v>
      </c>
      <c r="S267" t="s">
        <v>3427</v>
      </c>
      <c r="T267" t="s">
        <v>2689</v>
      </c>
      <c r="U267" s="10" t="s">
        <v>5139</v>
      </c>
      <c r="V267" s="10" t="s">
        <v>5140</v>
      </c>
      <c r="W267" t="s">
        <v>5141</v>
      </c>
      <c r="X267" t="s">
        <v>2688</v>
      </c>
      <c r="Y267" t="s">
        <v>2688</v>
      </c>
      <c r="Z267" t="s">
        <v>2689</v>
      </c>
      <c r="AA267" t="s">
        <v>2689</v>
      </c>
      <c r="AB267" t="s">
        <v>5142</v>
      </c>
      <c r="AC267" s="9" t="s">
        <v>5143</v>
      </c>
      <c r="AD267" t="s">
        <v>5144</v>
      </c>
      <c r="AE267" t="s">
        <v>5145</v>
      </c>
      <c r="AH267" t="s">
        <v>3445</v>
      </c>
      <c r="AJ267" t="s">
        <v>5146</v>
      </c>
    </row>
    <row r="268" spans="1:36" ht="145.75" x14ac:dyDescent="0.4">
      <c r="A268" t="s">
        <v>481</v>
      </c>
      <c r="B268" t="s">
        <v>5147</v>
      </c>
      <c r="C268" t="s">
        <v>3594</v>
      </c>
      <c r="D268" t="s">
        <v>5148</v>
      </c>
      <c r="E268" t="s">
        <v>2679</v>
      </c>
      <c r="F268" t="s">
        <v>5149</v>
      </c>
      <c r="G268">
        <v>40.457216477999999</v>
      </c>
      <c r="H268">
        <v>-85.510266423299996</v>
      </c>
      <c r="I268" t="s">
        <v>3594</v>
      </c>
      <c r="J268" t="s">
        <v>2413</v>
      </c>
      <c r="K268" t="s">
        <v>483</v>
      </c>
      <c r="L268" t="s">
        <v>2419</v>
      </c>
      <c r="M268">
        <v>485</v>
      </c>
      <c r="N268" t="s">
        <v>3438</v>
      </c>
      <c r="O268" t="s">
        <v>481</v>
      </c>
      <c r="P268" s="1">
        <v>44819</v>
      </c>
      <c r="Q268">
        <v>37.299999999999997</v>
      </c>
      <c r="R268">
        <v>28</v>
      </c>
      <c r="S268" t="s">
        <v>3607</v>
      </c>
      <c r="T268" t="s">
        <v>2689</v>
      </c>
      <c r="U268" s="10" t="s">
        <v>5150</v>
      </c>
      <c r="V268" s="10" t="s">
        <v>5151</v>
      </c>
      <c r="W268" t="s">
        <v>5152</v>
      </c>
      <c r="X268" t="s">
        <v>2688</v>
      </c>
      <c r="Y268" t="s">
        <v>2688</v>
      </c>
      <c r="Z268" t="s">
        <v>2747</v>
      </c>
      <c r="AA268" t="s">
        <v>2689</v>
      </c>
      <c r="AB268" t="s">
        <v>5153</v>
      </c>
      <c r="AC268" t="s">
        <v>5154</v>
      </c>
      <c r="AD268" t="s">
        <v>5155</v>
      </c>
      <c r="AE268" t="s">
        <v>5156</v>
      </c>
      <c r="AH268" t="s">
        <v>3445</v>
      </c>
      <c r="AJ268" s="10" t="s">
        <v>3446</v>
      </c>
    </row>
    <row r="269" spans="1:36" ht="145.75" x14ac:dyDescent="0.4">
      <c r="A269" t="s">
        <v>519</v>
      </c>
      <c r="B269" t="s">
        <v>5157</v>
      </c>
      <c r="C269" t="s">
        <v>3448</v>
      </c>
      <c r="D269" t="s">
        <v>5148</v>
      </c>
      <c r="E269" t="s">
        <v>2679</v>
      </c>
      <c r="F269" t="s">
        <v>5158</v>
      </c>
      <c r="G269">
        <v>40.456952657599999</v>
      </c>
      <c r="H269">
        <v>-85.508969239999999</v>
      </c>
      <c r="I269" t="s">
        <v>3448</v>
      </c>
      <c r="J269" t="s">
        <v>2413</v>
      </c>
      <c r="K269" t="s">
        <v>483</v>
      </c>
      <c r="L269" t="s">
        <v>2419</v>
      </c>
      <c r="M269">
        <v>497</v>
      </c>
      <c r="N269" t="s">
        <v>3438</v>
      </c>
      <c r="O269" t="s">
        <v>519</v>
      </c>
      <c r="P269" s="1">
        <v>44819</v>
      </c>
      <c r="Q269">
        <v>39.200000000000003</v>
      </c>
      <c r="R269">
        <v>26</v>
      </c>
      <c r="S269" t="s">
        <v>3427</v>
      </c>
      <c r="T269" t="s">
        <v>2689</v>
      </c>
      <c r="U269" s="10" t="s">
        <v>5159</v>
      </c>
      <c r="V269" s="10" t="s">
        <v>5160</v>
      </c>
      <c r="W269" t="s">
        <v>5161</v>
      </c>
      <c r="X269" t="s">
        <v>2688</v>
      </c>
      <c r="Y269" t="s">
        <v>2688</v>
      </c>
      <c r="Z269" t="s">
        <v>2747</v>
      </c>
      <c r="AA269" t="s">
        <v>2689</v>
      </c>
      <c r="AB269" s="9" t="s">
        <v>5162</v>
      </c>
      <c r="AC269" t="s">
        <v>5163</v>
      </c>
      <c r="AD269" t="s">
        <v>5164</v>
      </c>
      <c r="AE269" t="s">
        <v>5165</v>
      </c>
      <c r="AH269" t="s">
        <v>3445</v>
      </c>
      <c r="AJ269" t="s">
        <v>5040</v>
      </c>
    </row>
    <row r="270" spans="1:36" x14ac:dyDescent="0.4">
      <c r="A270" t="s">
        <v>274</v>
      </c>
      <c r="B270" t="s">
        <v>5166</v>
      </c>
      <c r="C270" t="s">
        <v>1428</v>
      </c>
      <c r="D270" t="s">
        <v>5167</v>
      </c>
      <c r="E270" t="s">
        <v>2679</v>
      </c>
      <c r="F270" t="s">
        <v>5168</v>
      </c>
      <c r="G270">
        <v>41.815693024600002</v>
      </c>
      <c r="H270">
        <v>-88.061478110099998</v>
      </c>
      <c r="I270" t="s">
        <v>1428</v>
      </c>
      <c r="J270" t="s">
        <v>2407</v>
      </c>
      <c r="K270" t="s">
        <v>259</v>
      </c>
      <c r="L270" t="s">
        <v>2410</v>
      </c>
      <c r="M270">
        <v>139</v>
      </c>
      <c r="N270" t="s">
        <v>3438</v>
      </c>
      <c r="O270" t="s">
        <v>274</v>
      </c>
      <c r="P270" s="1">
        <v>44748</v>
      </c>
      <c r="Q270">
        <v>90.3</v>
      </c>
      <c r="R270">
        <v>28</v>
      </c>
      <c r="S270" t="s">
        <v>3518</v>
      </c>
      <c r="T270" t="s">
        <v>2689</v>
      </c>
      <c r="U270" t="s">
        <v>5169</v>
      </c>
      <c r="V270" t="s">
        <v>5170</v>
      </c>
      <c r="W270" t="s">
        <v>5171</v>
      </c>
      <c r="X270" t="s">
        <v>2688</v>
      </c>
      <c r="Y270" t="s">
        <v>2688</v>
      </c>
      <c r="Z270" t="s">
        <v>2689</v>
      </c>
      <c r="AA270" t="s">
        <v>2688</v>
      </c>
      <c r="AB270" t="s">
        <v>5172</v>
      </c>
      <c r="AD270" t="s">
        <v>5173</v>
      </c>
      <c r="AE270" t="s">
        <v>5174</v>
      </c>
      <c r="AH270" t="s">
        <v>3445</v>
      </c>
      <c r="AJ270" t="s">
        <v>5175</v>
      </c>
    </row>
    <row r="271" spans="1:36" ht="72.900000000000006" x14ac:dyDescent="0.4">
      <c r="A271" t="s">
        <v>1274</v>
      </c>
      <c r="B271" t="s">
        <v>5176</v>
      </c>
      <c r="C271" t="s">
        <v>3448</v>
      </c>
      <c r="D271" t="s">
        <v>5177</v>
      </c>
      <c r="E271" t="s">
        <v>2679</v>
      </c>
      <c r="F271" t="s">
        <v>5178</v>
      </c>
      <c r="G271">
        <v>45.400950899999998</v>
      </c>
      <c r="H271">
        <v>-93.200244400000003</v>
      </c>
      <c r="I271" t="s">
        <v>3448</v>
      </c>
      <c r="J271" t="s">
        <v>2439</v>
      </c>
      <c r="K271" t="s">
        <v>3451</v>
      </c>
      <c r="L271" t="s">
        <v>2440</v>
      </c>
      <c r="M271">
        <v>219</v>
      </c>
      <c r="N271" t="s">
        <v>3452</v>
      </c>
      <c r="O271" t="s">
        <v>1274</v>
      </c>
      <c r="P271" s="1">
        <v>44799</v>
      </c>
      <c r="Q271">
        <v>36.9</v>
      </c>
      <c r="R271">
        <v>14</v>
      </c>
      <c r="S271" t="s">
        <v>3464</v>
      </c>
      <c r="T271" t="s">
        <v>2689</v>
      </c>
      <c r="U271" s="10" t="s">
        <v>5179</v>
      </c>
      <c r="V271" t="s">
        <v>5180</v>
      </c>
      <c r="W271" t="s">
        <v>5181</v>
      </c>
      <c r="X271" t="s">
        <v>2688</v>
      </c>
      <c r="Y271" t="s">
        <v>2688</v>
      </c>
      <c r="Z271" t="s">
        <v>2689</v>
      </c>
      <c r="AA271" t="s">
        <v>2689</v>
      </c>
      <c r="AB271" t="s">
        <v>5182</v>
      </c>
      <c r="AD271" t="s">
        <v>5183</v>
      </c>
      <c r="AE271" t="s">
        <v>5184</v>
      </c>
      <c r="AH271" t="s">
        <v>3460</v>
      </c>
    </row>
    <row r="272" spans="1:36" ht="131.15" x14ac:dyDescent="0.4">
      <c r="A272" t="s">
        <v>1286</v>
      </c>
      <c r="B272" t="s">
        <v>5185</v>
      </c>
      <c r="C272" t="s">
        <v>3448</v>
      </c>
      <c r="D272" t="s">
        <v>5186</v>
      </c>
      <c r="E272" t="s">
        <v>2679</v>
      </c>
      <c r="F272" t="s">
        <v>5187</v>
      </c>
      <c r="G272">
        <v>45.424799200000002</v>
      </c>
      <c r="H272">
        <v>-93.201144400000004</v>
      </c>
      <c r="I272" t="s">
        <v>3448</v>
      </c>
      <c r="J272" t="s">
        <v>2439</v>
      </c>
      <c r="K272" t="s">
        <v>3451</v>
      </c>
      <c r="L272" t="s">
        <v>2440</v>
      </c>
      <c r="M272">
        <v>223</v>
      </c>
      <c r="N272" t="s">
        <v>3452</v>
      </c>
      <c r="O272" t="s">
        <v>1286</v>
      </c>
      <c r="P272" s="1">
        <v>44799</v>
      </c>
      <c r="Q272">
        <v>48.1</v>
      </c>
      <c r="R272">
        <v>21</v>
      </c>
      <c r="S272" t="s">
        <v>3427</v>
      </c>
      <c r="T272" t="s">
        <v>2689</v>
      </c>
      <c r="U272" s="10" t="s">
        <v>5188</v>
      </c>
      <c r="V272" s="10" t="s">
        <v>5189</v>
      </c>
      <c r="W272" s="10" t="s">
        <v>5190</v>
      </c>
      <c r="X272" t="s">
        <v>2688</v>
      </c>
      <c r="Y272" t="s">
        <v>2688</v>
      </c>
      <c r="Z272" t="s">
        <v>2689</v>
      </c>
      <c r="AA272" t="s">
        <v>2689</v>
      </c>
      <c r="AB272" t="s">
        <v>5191</v>
      </c>
      <c r="AD272" t="s">
        <v>5192</v>
      </c>
      <c r="AE272" t="s">
        <v>5193</v>
      </c>
      <c r="AH272" t="s">
        <v>3460</v>
      </c>
    </row>
    <row r="273" spans="1:36" ht="87.45" x14ac:dyDescent="0.4">
      <c r="A273" t="s">
        <v>1283</v>
      </c>
      <c r="B273" t="s">
        <v>5194</v>
      </c>
      <c r="C273" t="s">
        <v>3448</v>
      </c>
      <c r="D273" t="s">
        <v>5186</v>
      </c>
      <c r="E273" t="s">
        <v>2679</v>
      </c>
      <c r="F273" t="s">
        <v>5195</v>
      </c>
      <c r="G273">
        <v>45.424718499999997</v>
      </c>
      <c r="H273">
        <v>-93.200986700000001</v>
      </c>
      <c r="I273" t="s">
        <v>3448</v>
      </c>
      <c r="J273" t="s">
        <v>2439</v>
      </c>
      <c r="K273" t="s">
        <v>3451</v>
      </c>
      <c r="L273" t="s">
        <v>2440</v>
      </c>
      <c r="M273">
        <v>222</v>
      </c>
      <c r="N273" t="s">
        <v>3452</v>
      </c>
      <c r="O273" t="s">
        <v>1283</v>
      </c>
      <c r="P273" s="1">
        <v>44799</v>
      </c>
      <c r="Q273">
        <v>24.8</v>
      </c>
      <c r="R273">
        <v>13</v>
      </c>
      <c r="S273" t="s">
        <v>3427</v>
      </c>
      <c r="T273" t="s">
        <v>2689</v>
      </c>
      <c r="U273" s="10" t="s">
        <v>5196</v>
      </c>
      <c r="V273" s="10" t="s">
        <v>5197</v>
      </c>
      <c r="W273" s="10" t="s">
        <v>5198</v>
      </c>
      <c r="X273" t="s">
        <v>2688</v>
      </c>
      <c r="Y273" t="s">
        <v>2688</v>
      </c>
      <c r="Z273" t="s">
        <v>2689</v>
      </c>
      <c r="AA273" t="s">
        <v>2689</v>
      </c>
      <c r="AB273" t="s">
        <v>5199</v>
      </c>
      <c r="AD273" t="s">
        <v>5200</v>
      </c>
      <c r="AE273" t="s">
        <v>5201</v>
      </c>
      <c r="AH273" t="s">
        <v>3460</v>
      </c>
    </row>
    <row r="274" spans="1:36" ht="131.15" x14ac:dyDescent="0.4">
      <c r="A274" t="s">
        <v>1277</v>
      </c>
      <c r="B274" t="s">
        <v>5202</v>
      </c>
      <c r="C274" t="s">
        <v>3448</v>
      </c>
      <c r="D274" t="s">
        <v>5203</v>
      </c>
      <c r="E274" t="s">
        <v>2679</v>
      </c>
      <c r="F274" t="s">
        <v>5204</v>
      </c>
      <c r="G274">
        <v>45.4244682</v>
      </c>
      <c r="H274">
        <v>-93.200374199999999</v>
      </c>
      <c r="I274" t="s">
        <v>3448</v>
      </c>
      <c r="J274" t="s">
        <v>2439</v>
      </c>
      <c r="K274" t="s">
        <v>3451</v>
      </c>
      <c r="L274" t="s">
        <v>2440</v>
      </c>
      <c r="M274">
        <v>220</v>
      </c>
      <c r="N274" t="s">
        <v>3452</v>
      </c>
      <c r="O274" t="s">
        <v>1277</v>
      </c>
      <c r="P274" s="1">
        <v>44799</v>
      </c>
      <c r="Q274">
        <v>8.5</v>
      </c>
      <c r="R274">
        <v>9</v>
      </c>
      <c r="S274" t="s">
        <v>3427</v>
      </c>
      <c r="T274" t="s">
        <v>2689</v>
      </c>
      <c r="U274" s="10" t="s">
        <v>5205</v>
      </c>
      <c r="V274" s="10" t="s">
        <v>5206</v>
      </c>
      <c r="W274" s="10" t="s">
        <v>5207</v>
      </c>
      <c r="X274" t="s">
        <v>2688</v>
      </c>
      <c r="Y274" t="s">
        <v>2688</v>
      </c>
      <c r="Z274" t="s">
        <v>2689</v>
      </c>
      <c r="AA274" t="s">
        <v>2689</v>
      </c>
      <c r="AB274" t="s">
        <v>5208</v>
      </c>
      <c r="AD274" t="s">
        <v>5209</v>
      </c>
      <c r="AE274" t="s">
        <v>5210</v>
      </c>
      <c r="AF274" t="s">
        <v>5211</v>
      </c>
      <c r="AH274" t="s">
        <v>3460</v>
      </c>
    </row>
    <row r="275" spans="1:36" x14ac:dyDescent="0.4">
      <c r="A275" t="s">
        <v>1271</v>
      </c>
      <c r="B275" t="s">
        <v>5212</v>
      </c>
      <c r="C275" t="s">
        <v>1411</v>
      </c>
      <c r="D275" t="s">
        <v>5213</v>
      </c>
      <c r="E275" t="s">
        <v>2679</v>
      </c>
      <c r="F275" t="s">
        <v>5214</v>
      </c>
      <c r="G275">
        <v>45.401022699999999</v>
      </c>
      <c r="H275">
        <v>-93.183334700000003</v>
      </c>
      <c r="I275" t="s">
        <v>1411</v>
      </c>
      <c r="J275" t="s">
        <v>2439</v>
      </c>
      <c r="K275" t="s">
        <v>3451</v>
      </c>
      <c r="L275" t="s">
        <v>2440</v>
      </c>
      <c r="M275">
        <v>218</v>
      </c>
      <c r="N275" t="s">
        <v>3452</v>
      </c>
      <c r="O275" t="s">
        <v>1271</v>
      </c>
      <c r="P275" s="1">
        <v>44784</v>
      </c>
      <c r="Q275">
        <v>18.7</v>
      </c>
      <c r="R275">
        <v>13</v>
      </c>
      <c r="S275" t="s">
        <v>3464</v>
      </c>
      <c r="T275" t="s">
        <v>2689</v>
      </c>
      <c r="U275" t="s">
        <v>5215</v>
      </c>
      <c r="V275" t="s">
        <v>5216</v>
      </c>
      <c r="W275" t="s">
        <v>5217</v>
      </c>
      <c r="X275" t="s">
        <v>2688</v>
      </c>
      <c r="Y275" t="s">
        <v>2688</v>
      </c>
      <c r="Z275" t="s">
        <v>2689</v>
      </c>
      <c r="AA275" t="s">
        <v>2689</v>
      </c>
      <c r="AB275" t="s">
        <v>5218</v>
      </c>
      <c r="AD275" t="s">
        <v>5219</v>
      </c>
      <c r="AE275" t="s">
        <v>5220</v>
      </c>
      <c r="AH275" t="s">
        <v>3460</v>
      </c>
      <c r="AJ275" t="s">
        <v>5221</v>
      </c>
    </row>
    <row r="276" spans="1:36" ht="43.75" x14ac:dyDescent="0.4">
      <c r="A276" t="s">
        <v>237</v>
      </c>
      <c r="B276" t="s">
        <v>5222</v>
      </c>
      <c r="C276" t="s">
        <v>1415</v>
      </c>
      <c r="D276" t="s">
        <v>5223</v>
      </c>
      <c r="E276" t="s">
        <v>2679</v>
      </c>
      <c r="F276" t="s">
        <v>5224</v>
      </c>
      <c r="G276">
        <v>37.359872259699998</v>
      </c>
      <c r="H276">
        <v>-88.917491315700005</v>
      </c>
      <c r="I276" t="s">
        <v>1415</v>
      </c>
      <c r="J276" t="s">
        <v>2407</v>
      </c>
      <c r="K276" t="s">
        <v>4078</v>
      </c>
      <c r="L276" t="s">
        <v>2409</v>
      </c>
      <c r="M276" t="s">
        <v>238</v>
      </c>
      <c r="N276" t="s">
        <v>3438</v>
      </c>
      <c r="O276" t="s">
        <v>237</v>
      </c>
      <c r="P276" s="1">
        <v>44715</v>
      </c>
      <c r="Q276">
        <v>30</v>
      </c>
      <c r="R276">
        <v>14</v>
      </c>
      <c r="S276" t="s">
        <v>3730</v>
      </c>
      <c r="T276" t="s">
        <v>2689</v>
      </c>
      <c r="V276" s="10" t="s">
        <v>5225</v>
      </c>
      <c r="W276" t="s">
        <v>5226</v>
      </c>
      <c r="X276" t="s">
        <v>2688</v>
      </c>
      <c r="Y276" t="s">
        <v>2688</v>
      </c>
      <c r="Z276" t="s">
        <v>2689</v>
      </c>
      <c r="AA276" t="s">
        <v>2689</v>
      </c>
      <c r="AB276" t="s">
        <v>5227</v>
      </c>
      <c r="AD276" t="s">
        <v>5228</v>
      </c>
      <c r="AE276" t="s">
        <v>5229</v>
      </c>
      <c r="AH276" t="s">
        <v>3970</v>
      </c>
    </row>
    <row r="277" spans="1:36" ht="72.900000000000006" x14ac:dyDescent="0.4">
      <c r="A277" t="s">
        <v>219</v>
      </c>
      <c r="B277" t="s">
        <v>5230</v>
      </c>
      <c r="C277" t="s">
        <v>3448</v>
      </c>
      <c r="D277" t="s">
        <v>5231</v>
      </c>
      <c r="E277" t="s">
        <v>2679</v>
      </c>
      <c r="F277" t="s">
        <v>5232</v>
      </c>
      <c r="G277">
        <v>39.839334930299998</v>
      </c>
      <c r="H277">
        <v>-88.368708808099996</v>
      </c>
      <c r="I277" t="s">
        <v>3448</v>
      </c>
      <c r="J277" t="s">
        <v>2407</v>
      </c>
      <c r="K277" t="s">
        <v>207</v>
      </c>
      <c r="L277" t="s">
        <v>2408</v>
      </c>
      <c r="M277">
        <v>525</v>
      </c>
      <c r="N277" t="s">
        <v>3438</v>
      </c>
      <c r="O277" t="s">
        <v>219</v>
      </c>
      <c r="P277" s="1">
        <v>44840</v>
      </c>
      <c r="Q277">
        <v>80.3</v>
      </c>
      <c r="R277">
        <v>24</v>
      </c>
      <c r="S277" t="s">
        <v>5233</v>
      </c>
      <c r="T277" t="s">
        <v>2688</v>
      </c>
      <c r="U277" s="10" t="s">
        <v>5234</v>
      </c>
      <c r="V277" t="s">
        <v>3597</v>
      </c>
      <c r="W277" t="s">
        <v>5235</v>
      </c>
      <c r="X277" t="s">
        <v>2688</v>
      </c>
      <c r="Y277" t="s">
        <v>2688</v>
      </c>
      <c r="Z277" t="s">
        <v>2747</v>
      </c>
      <c r="AA277" t="s">
        <v>2688</v>
      </c>
      <c r="AB277" t="s">
        <v>5236</v>
      </c>
      <c r="AC277" t="s">
        <v>5237</v>
      </c>
      <c r="AD277" t="s">
        <v>5238</v>
      </c>
      <c r="AE277" t="s">
        <v>5239</v>
      </c>
      <c r="AH277" t="s">
        <v>5240</v>
      </c>
    </row>
    <row r="278" spans="1:36" ht="87.45" x14ac:dyDescent="0.4">
      <c r="A278" t="s">
        <v>1957</v>
      </c>
      <c r="B278" t="s">
        <v>5241</v>
      </c>
      <c r="C278" t="s">
        <v>3594</v>
      </c>
      <c r="D278" t="s">
        <v>5242</v>
      </c>
      <c r="E278" t="s">
        <v>2679</v>
      </c>
      <c r="F278" t="s">
        <v>5243</v>
      </c>
      <c r="G278">
        <v>35.435937760000002</v>
      </c>
      <c r="H278">
        <v>-98.355535880000005</v>
      </c>
      <c r="I278" t="s">
        <v>3594</v>
      </c>
      <c r="J278" t="s">
        <v>2457</v>
      </c>
      <c r="K278" t="s">
        <v>4981</v>
      </c>
      <c r="L278" t="s">
        <v>2458</v>
      </c>
      <c r="M278">
        <v>106</v>
      </c>
      <c r="N278" t="s">
        <v>3438</v>
      </c>
      <c r="O278" t="s">
        <v>1957</v>
      </c>
      <c r="P278" s="1">
        <v>44736</v>
      </c>
      <c r="Q278">
        <v>40.4</v>
      </c>
      <c r="R278">
        <v>17</v>
      </c>
      <c r="S278" t="s">
        <v>3464</v>
      </c>
      <c r="T278" t="s">
        <v>2689</v>
      </c>
      <c r="U278" s="10" t="s">
        <v>5244</v>
      </c>
      <c r="V278" t="s">
        <v>5245</v>
      </c>
      <c r="W278" t="s">
        <v>5246</v>
      </c>
      <c r="X278" t="s">
        <v>2688</v>
      </c>
      <c r="Y278" t="s">
        <v>2688</v>
      </c>
      <c r="Z278" t="s">
        <v>2689</v>
      </c>
      <c r="AA278" t="s">
        <v>2689</v>
      </c>
      <c r="AB278" t="s">
        <v>5247</v>
      </c>
      <c r="AD278" t="s">
        <v>5248</v>
      </c>
      <c r="AE278" t="s">
        <v>5249</v>
      </c>
      <c r="AH278" t="s">
        <v>3445</v>
      </c>
      <c r="AJ278" s="10" t="s">
        <v>5250</v>
      </c>
    </row>
    <row r="279" spans="1:36" x14ac:dyDescent="0.4">
      <c r="A279" t="s">
        <v>234</v>
      </c>
      <c r="B279" t="s">
        <v>5251</v>
      </c>
      <c r="C279" t="s">
        <v>3448</v>
      </c>
      <c r="D279" t="s">
        <v>5252</v>
      </c>
      <c r="E279" t="s">
        <v>2679</v>
      </c>
      <c r="F279" t="s">
        <v>5253</v>
      </c>
      <c r="G279">
        <v>39.839214356699998</v>
      </c>
      <c r="H279">
        <v>-88.369318256200003</v>
      </c>
      <c r="I279" t="s">
        <v>3448</v>
      </c>
      <c r="J279" t="s">
        <v>2407</v>
      </c>
      <c r="K279" t="s">
        <v>207</v>
      </c>
      <c r="L279" t="s">
        <v>2408</v>
      </c>
      <c r="M279">
        <v>530</v>
      </c>
      <c r="N279" t="s">
        <v>3438</v>
      </c>
      <c r="O279" t="s">
        <v>234</v>
      </c>
      <c r="P279" s="1">
        <v>44840</v>
      </c>
      <c r="Q279">
        <v>84.5</v>
      </c>
      <c r="R279">
        <v>25</v>
      </c>
      <c r="S279" t="s">
        <v>5233</v>
      </c>
      <c r="T279" t="s">
        <v>2747</v>
      </c>
      <c r="U279" t="s">
        <v>5254</v>
      </c>
      <c r="V279" t="s">
        <v>5255</v>
      </c>
      <c r="W279" t="s">
        <v>5256</v>
      </c>
      <c r="X279" t="s">
        <v>2688</v>
      </c>
      <c r="Y279" t="s">
        <v>2688</v>
      </c>
      <c r="Z279" t="s">
        <v>2747</v>
      </c>
      <c r="AA279" t="s">
        <v>2689</v>
      </c>
      <c r="AB279" t="s">
        <v>5257</v>
      </c>
      <c r="AD279" t="s">
        <v>5258</v>
      </c>
      <c r="AE279" t="s">
        <v>5259</v>
      </c>
      <c r="AH279" t="s">
        <v>5260</v>
      </c>
    </row>
    <row r="280" spans="1:36" x14ac:dyDescent="0.4">
      <c r="A280" t="s">
        <v>231</v>
      </c>
      <c r="B280" t="s">
        <v>5261</v>
      </c>
      <c r="C280" t="s">
        <v>3448</v>
      </c>
      <c r="D280" t="s">
        <v>5262</v>
      </c>
      <c r="E280" t="s">
        <v>2679</v>
      </c>
      <c r="F280" t="s">
        <v>5263</v>
      </c>
      <c r="G280">
        <v>39.8391398415</v>
      </c>
      <c r="H280">
        <v>-88.369703404700005</v>
      </c>
      <c r="I280" t="s">
        <v>3448</v>
      </c>
      <c r="J280" t="s">
        <v>2407</v>
      </c>
      <c r="K280" t="s">
        <v>207</v>
      </c>
      <c r="L280" t="s">
        <v>2408</v>
      </c>
      <c r="M280">
        <v>529</v>
      </c>
      <c r="N280" t="s">
        <v>3438</v>
      </c>
      <c r="O280" t="s">
        <v>231</v>
      </c>
      <c r="P280" s="1">
        <v>44840</v>
      </c>
      <c r="Q280">
        <v>110</v>
      </c>
      <c r="R280">
        <v>24</v>
      </c>
      <c r="S280" t="s">
        <v>5233</v>
      </c>
      <c r="T280" t="s">
        <v>2688</v>
      </c>
      <c r="U280" t="s">
        <v>5264</v>
      </c>
      <c r="V280" t="s">
        <v>2747</v>
      </c>
      <c r="W280" t="s">
        <v>5265</v>
      </c>
      <c r="X280" t="s">
        <v>2688</v>
      </c>
      <c r="Y280" t="s">
        <v>2688</v>
      </c>
      <c r="Z280" t="s">
        <v>2747</v>
      </c>
      <c r="AA280" t="s">
        <v>2688</v>
      </c>
      <c r="AB280" t="s">
        <v>5266</v>
      </c>
      <c r="AD280" t="s">
        <v>5267</v>
      </c>
      <c r="AE280" t="s">
        <v>5268</v>
      </c>
      <c r="AH280" t="s">
        <v>5260</v>
      </c>
    </row>
    <row r="281" spans="1:36" ht="58.3" x14ac:dyDescent="0.4">
      <c r="A281" t="s">
        <v>228</v>
      </c>
      <c r="B281" t="s">
        <v>5269</v>
      </c>
      <c r="C281" t="s">
        <v>3448</v>
      </c>
      <c r="D281" t="s">
        <v>5270</v>
      </c>
      <c r="E281" t="s">
        <v>2679</v>
      </c>
      <c r="F281" t="s">
        <v>5271</v>
      </c>
      <c r="G281">
        <v>39.8397098696</v>
      </c>
      <c r="H281">
        <v>-88.369129671500005</v>
      </c>
      <c r="I281" t="s">
        <v>3448</v>
      </c>
      <c r="J281" t="s">
        <v>2407</v>
      </c>
      <c r="K281" t="s">
        <v>207</v>
      </c>
      <c r="L281" t="s">
        <v>2408</v>
      </c>
      <c r="M281">
        <v>528</v>
      </c>
      <c r="N281" t="s">
        <v>3438</v>
      </c>
      <c r="O281" t="s">
        <v>228</v>
      </c>
      <c r="P281" s="1">
        <v>44840</v>
      </c>
      <c r="Q281">
        <v>92.5</v>
      </c>
      <c r="R281">
        <v>25</v>
      </c>
      <c r="S281" t="s">
        <v>5233</v>
      </c>
      <c r="T281" t="s">
        <v>2688</v>
      </c>
      <c r="U281" s="10" t="s">
        <v>5272</v>
      </c>
      <c r="V281" t="s">
        <v>3597</v>
      </c>
      <c r="W281" t="s">
        <v>5273</v>
      </c>
      <c r="X281" t="s">
        <v>2688</v>
      </c>
      <c r="Y281" t="s">
        <v>2688</v>
      </c>
      <c r="Z281" t="s">
        <v>2747</v>
      </c>
      <c r="AA281" t="s">
        <v>2688</v>
      </c>
      <c r="AB281" t="s">
        <v>5274</v>
      </c>
      <c r="AD281" t="s">
        <v>5275</v>
      </c>
      <c r="AE281" t="s">
        <v>5276</v>
      </c>
      <c r="AH281" t="s">
        <v>5260</v>
      </c>
    </row>
    <row r="282" spans="1:36" ht="58.3" x14ac:dyDescent="0.4">
      <c r="A282" t="s">
        <v>225</v>
      </c>
      <c r="B282" t="s">
        <v>5277</v>
      </c>
      <c r="C282" t="s">
        <v>1411</v>
      </c>
      <c r="D282" t="s">
        <v>5278</v>
      </c>
      <c r="E282" t="s">
        <v>2679</v>
      </c>
      <c r="F282" t="s">
        <v>5279</v>
      </c>
      <c r="G282">
        <v>39.839438479199998</v>
      </c>
      <c r="H282">
        <v>-88.368677165199998</v>
      </c>
      <c r="I282" t="s">
        <v>1411</v>
      </c>
      <c r="J282" t="s">
        <v>2407</v>
      </c>
      <c r="K282" t="s">
        <v>207</v>
      </c>
      <c r="L282" t="s">
        <v>2408</v>
      </c>
      <c r="M282">
        <v>527</v>
      </c>
      <c r="N282" t="s">
        <v>3438</v>
      </c>
      <c r="O282" t="s">
        <v>225</v>
      </c>
      <c r="P282" s="1">
        <v>44840</v>
      </c>
      <c r="Q282">
        <v>129.19999999999999</v>
      </c>
      <c r="R282">
        <v>25</v>
      </c>
      <c r="S282" t="s">
        <v>5233</v>
      </c>
      <c r="T282" t="s">
        <v>2747</v>
      </c>
      <c r="U282" s="10" t="s">
        <v>5280</v>
      </c>
      <c r="V282" t="s">
        <v>2747</v>
      </c>
      <c r="W282" t="s">
        <v>5256</v>
      </c>
      <c r="X282" t="s">
        <v>2688</v>
      </c>
      <c r="Y282" t="s">
        <v>2688</v>
      </c>
      <c r="Z282" t="s">
        <v>2689</v>
      </c>
      <c r="AA282" t="s">
        <v>2689</v>
      </c>
      <c r="AB282" t="s">
        <v>5281</v>
      </c>
      <c r="AD282" t="s">
        <v>5282</v>
      </c>
      <c r="AE282" t="s">
        <v>5283</v>
      </c>
      <c r="AH282" t="s">
        <v>5260</v>
      </c>
    </row>
    <row r="283" spans="1:36" ht="58.3" x14ac:dyDescent="0.4">
      <c r="A283" t="s">
        <v>222</v>
      </c>
      <c r="B283" t="s">
        <v>5284</v>
      </c>
      <c r="C283" t="s">
        <v>1411</v>
      </c>
      <c r="D283" t="s">
        <v>5285</v>
      </c>
      <c r="E283" t="s">
        <v>2679</v>
      </c>
      <c r="F283" t="s">
        <v>5286</v>
      </c>
      <c r="G283">
        <v>39.839522182000003</v>
      </c>
      <c r="H283">
        <v>-88.368774438399996</v>
      </c>
      <c r="I283" t="s">
        <v>1411</v>
      </c>
      <c r="J283" t="s">
        <v>2407</v>
      </c>
      <c r="K283" t="s">
        <v>207</v>
      </c>
      <c r="L283" t="s">
        <v>2408</v>
      </c>
      <c r="M283">
        <v>526</v>
      </c>
      <c r="N283" t="s">
        <v>3438</v>
      </c>
      <c r="O283" t="s">
        <v>222</v>
      </c>
      <c r="P283" s="1">
        <v>44840</v>
      </c>
      <c r="Q283">
        <v>85.6</v>
      </c>
      <c r="R283">
        <v>24</v>
      </c>
      <c r="S283" t="s">
        <v>5233</v>
      </c>
      <c r="T283" t="s">
        <v>2688</v>
      </c>
      <c r="U283" s="10" t="s">
        <v>5280</v>
      </c>
      <c r="V283" t="s">
        <v>3597</v>
      </c>
      <c r="W283" t="s">
        <v>5235</v>
      </c>
      <c r="X283" t="s">
        <v>2688</v>
      </c>
      <c r="Y283" t="s">
        <v>2688</v>
      </c>
      <c r="Z283" t="s">
        <v>2688</v>
      </c>
      <c r="AA283" t="s">
        <v>2688</v>
      </c>
      <c r="AB283" t="s">
        <v>5287</v>
      </c>
      <c r="AD283" t="s">
        <v>5288</v>
      </c>
      <c r="AE283" t="s">
        <v>5289</v>
      </c>
      <c r="AH283" t="s">
        <v>5260</v>
      </c>
    </row>
    <row r="284" spans="1:36" x14ac:dyDescent="0.4">
      <c r="A284" t="s">
        <v>216</v>
      </c>
      <c r="B284" t="s">
        <v>5290</v>
      </c>
      <c r="C284" t="s">
        <v>3448</v>
      </c>
      <c r="D284" t="s">
        <v>5291</v>
      </c>
      <c r="E284" t="s">
        <v>2679</v>
      </c>
      <c r="F284" t="s">
        <v>5292</v>
      </c>
      <c r="G284">
        <v>39.839377929500003</v>
      </c>
      <c r="H284">
        <v>-88.368665892699994</v>
      </c>
      <c r="I284" t="s">
        <v>3448</v>
      </c>
      <c r="J284" t="s">
        <v>2407</v>
      </c>
      <c r="K284" t="s">
        <v>207</v>
      </c>
      <c r="L284" t="s">
        <v>2408</v>
      </c>
      <c r="M284">
        <v>524</v>
      </c>
      <c r="N284" t="s">
        <v>3438</v>
      </c>
      <c r="O284" t="s">
        <v>216</v>
      </c>
      <c r="P284" s="1">
        <v>44840</v>
      </c>
      <c r="Q284">
        <v>105.3</v>
      </c>
      <c r="R284">
        <v>25</v>
      </c>
      <c r="S284" t="s">
        <v>5233</v>
      </c>
      <c r="T284" t="s">
        <v>2688</v>
      </c>
      <c r="U284" t="s">
        <v>5293</v>
      </c>
      <c r="V284" t="s">
        <v>3597</v>
      </c>
      <c r="W284" t="s">
        <v>5294</v>
      </c>
      <c r="X284" t="s">
        <v>2688</v>
      </c>
      <c r="Y284" t="s">
        <v>2688</v>
      </c>
      <c r="Z284" t="s">
        <v>2747</v>
      </c>
      <c r="AA284" t="s">
        <v>2688</v>
      </c>
      <c r="AB284" t="s">
        <v>5295</v>
      </c>
      <c r="AD284" t="s">
        <v>5296</v>
      </c>
      <c r="AE284" t="s">
        <v>5297</v>
      </c>
      <c r="AH284" t="s">
        <v>5260</v>
      </c>
    </row>
    <row r="285" spans="1:36" ht="131.15" x14ac:dyDescent="0.4">
      <c r="A285" t="s">
        <v>213</v>
      </c>
      <c r="B285" t="s">
        <v>5298</v>
      </c>
      <c r="C285" t="s">
        <v>1411</v>
      </c>
      <c r="D285" t="s">
        <v>5299</v>
      </c>
      <c r="E285" t="s">
        <v>2679</v>
      </c>
      <c r="F285" t="s">
        <v>5300</v>
      </c>
      <c r="G285">
        <v>39.839189210900003</v>
      </c>
      <c r="H285">
        <v>-88.367987209999995</v>
      </c>
      <c r="I285" t="s">
        <v>1411</v>
      </c>
      <c r="J285" t="s">
        <v>2407</v>
      </c>
      <c r="K285" t="s">
        <v>207</v>
      </c>
      <c r="L285" t="s">
        <v>2408</v>
      </c>
      <c r="M285">
        <v>523</v>
      </c>
      <c r="N285" t="s">
        <v>3438</v>
      </c>
      <c r="O285" t="s">
        <v>213</v>
      </c>
      <c r="P285" s="1">
        <v>44840</v>
      </c>
      <c r="Q285">
        <v>34.1</v>
      </c>
      <c r="R285">
        <v>24</v>
      </c>
      <c r="S285" t="s">
        <v>5301</v>
      </c>
      <c r="T285" t="s">
        <v>2688</v>
      </c>
      <c r="U285" s="10" t="s">
        <v>5302</v>
      </c>
      <c r="V285" t="s">
        <v>3597</v>
      </c>
      <c r="W285" t="s">
        <v>5235</v>
      </c>
      <c r="X285" t="s">
        <v>2688</v>
      </c>
      <c r="Y285" t="s">
        <v>2688</v>
      </c>
      <c r="Z285" t="s">
        <v>2688</v>
      </c>
      <c r="AA285" t="s">
        <v>2688</v>
      </c>
      <c r="AB285" t="s">
        <v>5303</v>
      </c>
      <c r="AD285" t="s">
        <v>5304</v>
      </c>
      <c r="AE285" t="s">
        <v>5305</v>
      </c>
      <c r="AH285" t="s">
        <v>5260</v>
      </c>
    </row>
    <row r="286" spans="1:36" ht="72.900000000000006" x14ac:dyDescent="0.4">
      <c r="A286" t="s">
        <v>202</v>
      </c>
      <c r="B286" t="s">
        <v>5306</v>
      </c>
      <c r="C286" t="s">
        <v>1411</v>
      </c>
      <c r="D286" t="s">
        <v>5307</v>
      </c>
      <c r="E286" t="s">
        <v>2679</v>
      </c>
      <c r="F286" t="s">
        <v>5308</v>
      </c>
      <c r="G286">
        <v>39.839282124299999</v>
      </c>
      <c r="H286">
        <v>-88.367891823999997</v>
      </c>
      <c r="I286" t="s">
        <v>1411</v>
      </c>
      <c r="J286" t="s">
        <v>2407</v>
      </c>
      <c r="K286" t="s">
        <v>207</v>
      </c>
      <c r="L286" t="s">
        <v>2408</v>
      </c>
      <c r="M286">
        <v>521</v>
      </c>
      <c r="N286" t="s">
        <v>3438</v>
      </c>
      <c r="O286" t="s">
        <v>202</v>
      </c>
      <c r="P286" s="1">
        <v>44840</v>
      </c>
      <c r="Q286">
        <v>24.2</v>
      </c>
      <c r="R286">
        <v>14</v>
      </c>
      <c r="S286" t="s">
        <v>3607</v>
      </c>
      <c r="T286" t="s">
        <v>2688</v>
      </c>
      <c r="U286" s="10" t="s">
        <v>5309</v>
      </c>
      <c r="V286" t="s">
        <v>3597</v>
      </c>
      <c r="W286" t="s">
        <v>5310</v>
      </c>
      <c r="X286" t="s">
        <v>2688</v>
      </c>
      <c r="Y286" t="s">
        <v>2688</v>
      </c>
      <c r="Z286" t="s">
        <v>2688</v>
      </c>
      <c r="AA286" t="s">
        <v>2688</v>
      </c>
      <c r="AB286" t="s">
        <v>5311</v>
      </c>
      <c r="AC286" t="s">
        <v>5312</v>
      </c>
      <c r="AD286" t="s">
        <v>5313</v>
      </c>
      <c r="AE286" t="s">
        <v>5314</v>
      </c>
      <c r="AH286" t="s">
        <v>5315</v>
      </c>
    </row>
    <row r="287" spans="1:36" ht="87.45" x14ac:dyDescent="0.4">
      <c r="A287" t="s">
        <v>929</v>
      </c>
      <c r="B287" t="s">
        <v>5316</v>
      </c>
      <c r="C287" t="s">
        <v>3448</v>
      </c>
      <c r="D287" t="s">
        <v>5317</v>
      </c>
      <c r="E287" t="s">
        <v>2679</v>
      </c>
      <c r="F287" t="s">
        <v>5318</v>
      </c>
      <c r="G287">
        <v>42.080637398199997</v>
      </c>
      <c r="H287">
        <v>-73.370172847099994</v>
      </c>
      <c r="I287" t="s">
        <v>3448</v>
      </c>
      <c r="J287" t="s">
        <v>2431</v>
      </c>
      <c r="K287" t="s">
        <v>5319</v>
      </c>
      <c r="L287" t="s">
        <v>2433</v>
      </c>
      <c r="M287">
        <v>401</v>
      </c>
      <c r="N287" t="s">
        <v>3438</v>
      </c>
      <c r="O287" t="s">
        <v>929</v>
      </c>
      <c r="P287" s="1">
        <v>44794</v>
      </c>
      <c r="Q287">
        <v>24.6</v>
      </c>
      <c r="R287">
        <v>26</v>
      </c>
      <c r="S287" t="s">
        <v>3427</v>
      </c>
      <c r="T287" t="s">
        <v>2689</v>
      </c>
      <c r="U287" s="10" t="s">
        <v>5320</v>
      </c>
      <c r="V287" t="s">
        <v>5321</v>
      </c>
      <c r="W287" t="s">
        <v>5322</v>
      </c>
      <c r="X287" t="s">
        <v>2688</v>
      </c>
      <c r="Y287" t="s">
        <v>2688</v>
      </c>
      <c r="Z287" t="s">
        <v>2747</v>
      </c>
      <c r="AA287" t="s">
        <v>2689</v>
      </c>
      <c r="AB287" t="s">
        <v>5323</v>
      </c>
      <c r="AD287" t="s">
        <v>5324</v>
      </c>
      <c r="AE287" t="s">
        <v>5325</v>
      </c>
      <c r="AH287" t="s">
        <v>3445</v>
      </c>
      <c r="AJ287" s="10" t="s">
        <v>5326</v>
      </c>
    </row>
    <row r="288" spans="1:36" ht="102" x14ac:dyDescent="0.4">
      <c r="A288" t="s">
        <v>926</v>
      </c>
      <c r="B288" t="s">
        <v>5327</v>
      </c>
      <c r="C288" t="s">
        <v>3448</v>
      </c>
      <c r="D288" t="s">
        <v>5328</v>
      </c>
      <c r="E288" t="s">
        <v>2679</v>
      </c>
      <c r="F288" t="s">
        <v>5329</v>
      </c>
      <c r="G288">
        <v>42.083788951899997</v>
      </c>
      <c r="H288">
        <v>-73.368583973599996</v>
      </c>
      <c r="I288" t="s">
        <v>3448</v>
      </c>
      <c r="J288" t="s">
        <v>2431</v>
      </c>
      <c r="K288" t="s">
        <v>5319</v>
      </c>
      <c r="L288" t="s">
        <v>2433</v>
      </c>
      <c r="M288">
        <v>400</v>
      </c>
      <c r="N288" t="s">
        <v>3438</v>
      </c>
      <c r="O288" t="s">
        <v>926</v>
      </c>
      <c r="P288" s="1">
        <v>44794</v>
      </c>
      <c r="Q288">
        <v>38.6</v>
      </c>
      <c r="R288">
        <v>25</v>
      </c>
      <c r="S288" t="s">
        <v>3427</v>
      </c>
      <c r="T288" t="s">
        <v>2689</v>
      </c>
      <c r="U288" s="10" t="s">
        <v>5330</v>
      </c>
      <c r="V288" t="s">
        <v>5331</v>
      </c>
      <c r="W288" t="s">
        <v>5322</v>
      </c>
      <c r="X288" t="s">
        <v>2688</v>
      </c>
      <c r="Y288" t="s">
        <v>2688</v>
      </c>
      <c r="Z288" t="s">
        <v>2747</v>
      </c>
      <c r="AA288" t="s">
        <v>2689</v>
      </c>
      <c r="AB288" t="s">
        <v>5332</v>
      </c>
      <c r="AD288" t="s">
        <v>5333</v>
      </c>
      <c r="AE288" t="s">
        <v>5334</v>
      </c>
      <c r="AH288" t="s">
        <v>3445</v>
      </c>
      <c r="AJ288" t="s">
        <v>5060</v>
      </c>
    </row>
    <row r="289" spans="1:36" ht="72.900000000000006" x14ac:dyDescent="0.4">
      <c r="A289" t="s">
        <v>1675</v>
      </c>
      <c r="B289" t="s">
        <v>5335</v>
      </c>
      <c r="C289" t="s">
        <v>3448</v>
      </c>
      <c r="D289" t="s">
        <v>5336</v>
      </c>
      <c r="E289" t="s">
        <v>2679</v>
      </c>
      <c r="F289" t="s">
        <v>5337</v>
      </c>
      <c r="G289">
        <v>42.7167561232</v>
      </c>
      <c r="H289">
        <v>-73.855013391100002</v>
      </c>
      <c r="I289" t="s">
        <v>3448</v>
      </c>
      <c r="J289" t="s">
        <v>2448</v>
      </c>
      <c r="K289" t="s">
        <v>5338</v>
      </c>
      <c r="L289" t="s">
        <v>2449</v>
      </c>
      <c r="M289">
        <v>382</v>
      </c>
      <c r="N289" t="s">
        <v>3438</v>
      </c>
      <c r="O289" t="s">
        <v>1675</v>
      </c>
      <c r="P289" s="1">
        <v>44792</v>
      </c>
      <c r="Q289">
        <v>25.5</v>
      </c>
      <c r="R289">
        <v>22</v>
      </c>
      <c r="S289" t="s">
        <v>3427</v>
      </c>
      <c r="T289" t="s">
        <v>2688</v>
      </c>
      <c r="U289" s="10" t="s">
        <v>5339</v>
      </c>
      <c r="V289" t="s">
        <v>5340</v>
      </c>
      <c r="W289" t="s">
        <v>5341</v>
      </c>
      <c r="X289" t="s">
        <v>2688</v>
      </c>
      <c r="Y289" t="s">
        <v>2688</v>
      </c>
      <c r="Z289" t="s">
        <v>2747</v>
      </c>
      <c r="AA289" t="s">
        <v>2689</v>
      </c>
      <c r="AB289" t="s">
        <v>5342</v>
      </c>
      <c r="AC289" t="s">
        <v>5343</v>
      </c>
      <c r="AD289" t="s">
        <v>5344</v>
      </c>
      <c r="AE289" t="s">
        <v>5345</v>
      </c>
      <c r="AH289" t="s">
        <v>3445</v>
      </c>
      <c r="AJ289" t="s">
        <v>5346</v>
      </c>
    </row>
    <row r="290" spans="1:36" ht="145.75" x14ac:dyDescent="0.4">
      <c r="A290" t="s">
        <v>1816</v>
      </c>
      <c r="B290" t="s">
        <v>5347</v>
      </c>
      <c r="C290" t="s">
        <v>1411</v>
      </c>
      <c r="D290" t="s">
        <v>5348</v>
      </c>
      <c r="E290" t="s">
        <v>2679</v>
      </c>
      <c r="F290" t="s">
        <v>5349</v>
      </c>
      <c r="G290">
        <v>42.7341461834</v>
      </c>
      <c r="H290">
        <v>-76.902493257100005</v>
      </c>
      <c r="I290" t="s">
        <v>1411</v>
      </c>
      <c r="J290" t="s">
        <v>2448</v>
      </c>
      <c r="K290" t="s">
        <v>1789</v>
      </c>
      <c r="L290" t="s">
        <v>2453</v>
      </c>
      <c r="M290">
        <v>350</v>
      </c>
      <c r="N290" t="s">
        <v>3438</v>
      </c>
      <c r="O290" t="s">
        <v>1816</v>
      </c>
      <c r="P290" s="1">
        <v>44789</v>
      </c>
      <c r="Q290">
        <v>19.100000000000001</v>
      </c>
      <c r="R290">
        <v>22</v>
      </c>
      <c r="S290" t="s">
        <v>3427</v>
      </c>
      <c r="T290" t="s">
        <v>2689</v>
      </c>
      <c r="U290" s="10" t="s">
        <v>5350</v>
      </c>
      <c r="V290" t="s">
        <v>5351</v>
      </c>
      <c r="W290" t="s">
        <v>5352</v>
      </c>
      <c r="X290" t="s">
        <v>2688</v>
      </c>
      <c r="Y290" t="s">
        <v>2688</v>
      </c>
      <c r="Z290" t="s">
        <v>2747</v>
      </c>
      <c r="AA290" t="s">
        <v>2689</v>
      </c>
      <c r="AB290" t="s">
        <v>5353</v>
      </c>
      <c r="AD290" t="s">
        <v>5354</v>
      </c>
      <c r="AE290" s="9" t="s">
        <v>5355</v>
      </c>
      <c r="AH290" t="s">
        <v>3445</v>
      </c>
      <c r="AJ290" t="s">
        <v>5356</v>
      </c>
    </row>
    <row r="291" spans="1:36" ht="160.30000000000001" x14ac:dyDescent="0.4">
      <c r="A291" t="s">
        <v>1798</v>
      </c>
      <c r="B291" t="s">
        <v>5357</v>
      </c>
      <c r="C291" t="s">
        <v>3448</v>
      </c>
      <c r="D291" t="s">
        <v>5358</v>
      </c>
      <c r="E291" t="s">
        <v>2679</v>
      </c>
      <c r="F291" t="s">
        <v>5359</v>
      </c>
      <c r="G291">
        <v>42.699530725400002</v>
      </c>
      <c r="H291">
        <v>-76.895885802899997</v>
      </c>
      <c r="I291" t="s">
        <v>3448</v>
      </c>
      <c r="J291" t="s">
        <v>2448</v>
      </c>
      <c r="K291" t="s">
        <v>1789</v>
      </c>
      <c r="L291" t="s">
        <v>2453</v>
      </c>
      <c r="M291">
        <v>344</v>
      </c>
      <c r="N291" t="s">
        <v>3438</v>
      </c>
      <c r="O291" t="s">
        <v>1798</v>
      </c>
      <c r="P291" s="1">
        <v>44789</v>
      </c>
      <c r="Q291">
        <v>38.1</v>
      </c>
      <c r="R291">
        <v>25</v>
      </c>
      <c r="S291" t="s">
        <v>3464</v>
      </c>
      <c r="T291" t="s">
        <v>2689</v>
      </c>
      <c r="U291" s="10" t="s">
        <v>5360</v>
      </c>
      <c r="V291" t="s">
        <v>5361</v>
      </c>
      <c r="W291" t="s">
        <v>5362</v>
      </c>
      <c r="X291" t="s">
        <v>2688</v>
      </c>
      <c r="Y291" t="s">
        <v>2688</v>
      </c>
      <c r="Z291" t="s">
        <v>2747</v>
      </c>
      <c r="AA291" t="s">
        <v>2689</v>
      </c>
      <c r="AB291" t="s">
        <v>5363</v>
      </c>
      <c r="AD291" t="s">
        <v>5364</v>
      </c>
      <c r="AE291" t="s">
        <v>5365</v>
      </c>
      <c r="AH291" t="s">
        <v>3445</v>
      </c>
      <c r="AJ291" t="s">
        <v>4947</v>
      </c>
    </row>
    <row r="292" spans="1:36" ht="72.900000000000006" x14ac:dyDescent="0.4">
      <c r="A292" t="s">
        <v>1115</v>
      </c>
      <c r="B292" t="s">
        <v>5366</v>
      </c>
      <c r="C292" t="s">
        <v>1428</v>
      </c>
      <c r="D292" t="s">
        <v>5367</v>
      </c>
      <c r="E292" t="s">
        <v>2679</v>
      </c>
      <c r="F292" t="s">
        <v>5368</v>
      </c>
      <c r="G292">
        <v>42.765921642999999</v>
      </c>
      <c r="H292">
        <v>-84.382195780100005</v>
      </c>
      <c r="I292" t="s">
        <v>1428</v>
      </c>
      <c r="J292" t="s">
        <v>2436</v>
      </c>
      <c r="K292" t="s">
        <v>5369</v>
      </c>
      <c r="L292" t="s">
        <v>2437</v>
      </c>
      <c r="M292">
        <v>292</v>
      </c>
      <c r="N292" t="s">
        <v>3438</v>
      </c>
      <c r="O292" t="s">
        <v>1115</v>
      </c>
      <c r="P292" s="1">
        <v>44770</v>
      </c>
      <c r="Q292">
        <v>30</v>
      </c>
      <c r="R292">
        <v>20</v>
      </c>
      <c r="S292" t="s">
        <v>3427</v>
      </c>
      <c r="T292" t="s">
        <v>2688</v>
      </c>
      <c r="U292" s="10" t="s">
        <v>5370</v>
      </c>
      <c r="V292" t="s">
        <v>5371</v>
      </c>
      <c r="W292" t="s">
        <v>5372</v>
      </c>
      <c r="X292" t="s">
        <v>2688</v>
      </c>
      <c r="Y292" t="s">
        <v>2688</v>
      </c>
      <c r="Z292" t="s">
        <v>2747</v>
      </c>
      <c r="AA292" t="s">
        <v>2689</v>
      </c>
      <c r="AB292" t="s">
        <v>5373</v>
      </c>
      <c r="AC292" t="s">
        <v>5374</v>
      </c>
      <c r="AD292" t="s">
        <v>5375</v>
      </c>
      <c r="AE292" t="s">
        <v>5376</v>
      </c>
      <c r="AH292" t="s">
        <v>3445</v>
      </c>
    </row>
    <row r="293" spans="1:36" ht="102" x14ac:dyDescent="0.4">
      <c r="A293" t="s">
        <v>1300</v>
      </c>
      <c r="B293" t="s">
        <v>5377</v>
      </c>
      <c r="C293" t="s">
        <v>1411</v>
      </c>
      <c r="D293" t="s">
        <v>5378</v>
      </c>
      <c r="E293" t="s">
        <v>2679</v>
      </c>
      <c r="F293" t="s">
        <v>5379</v>
      </c>
      <c r="G293">
        <v>43.904322985100002</v>
      </c>
      <c r="H293">
        <v>-91.6392809898</v>
      </c>
      <c r="I293" t="s">
        <v>1411</v>
      </c>
      <c r="J293" t="s">
        <v>2439</v>
      </c>
      <c r="K293" t="s">
        <v>5380</v>
      </c>
      <c r="L293" t="s">
        <v>2441</v>
      </c>
      <c r="M293">
        <v>223</v>
      </c>
      <c r="N293" t="s">
        <v>3438</v>
      </c>
      <c r="O293" t="s">
        <v>1300</v>
      </c>
      <c r="P293" s="1">
        <v>44762</v>
      </c>
      <c r="Q293">
        <v>25.8</v>
      </c>
      <c r="R293">
        <v>22</v>
      </c>
      <c r="S293" t="s">
        <v>3427</v>
      </c>
      <c r="T293" t="s">
        <v>2689</v>
      </c>
      <c r="U293" s="10" t="s">
        <v>5381</v>
      </c>
      <c r="V293" t="s">
        <v>5382</v>
      </c>
      <c r="W293" t="s">
        <v>5383</v>
      </c>
      <c r="X293" t="s">
        <v>2688</v>
      </c>
      <c r="Y293" t="s">
        <v>2688</v>
      </c>
      <c r="Z293" t="s">
        <v>2747</v>
      </c>
      <c r="AA293" t="s">
        <v>2689</v>
      </c>
      <c r="AB293" t="s">
        <v>5384</v>
      </c>
      <c r="AD293" t="s">
        <v>5385</v>
      </c>
      <c r="AE293" t="s">
        <v>5386</v>
      </c>
      <c r="AH293" t="s">
        <v>3445</v>
      </c>
    </row>
    <row r="294" spans="1:36" ht="72.900000000000006" x14ac:dyDescent="0.4">
      <c r="A294" t="s">
        <v>1156</v>
      </c>
      <c r="B294" t="s">
        <v>5387</v>
      </c>
      <c r="C294" t="s">
        <v>1428</v>
      </c>
      <c r="D294" t="s">
        <v>5388</v>
      </c>
      <c r="E294" t="s">
        <v>2679</v>
      </c>
      <c r="F294" t="s">
        <v>5389</v>
      </c>
      <c r="G294">
        <v>42.417386225500003</v>
      </c>
      <c r="H294">
        <v>-83.999698106300002</v>
      </c>
      <c r="I294" t="s">
        <v>1428</v>
      </c>
      <c r="J294" t="s">
        <v>2436</v>
      </c>
      <c r="K294" t="s">
        <v>1126</v>
      </c>
      <c r="L294" t="s">
        <v>2438</v>
      </c>
      <c r="M294">
        <v>275</v>
      </c>
      <c r="N294" t="s">
        <v>3438</v>
      </c>
      <c r="O294" t="s">
        <v>1156</v>
      </c>
      <c r="P294" s="1">
        <v>44769</v>
      </c>
      <c r="Q294">
        <v>17</v>
      </c>
      <c r="R294">
        <v>20</v>
      </c>
      <c r="S294" t="s">
        <v>3464</v>
      </c>
      <c r="T294" t="s">
        <v>2689</v>
      </c>
      <c r="U294" s="10" t="s">
        <v>5390</v>
      </c>
      <c r="V294" t="s">
        <v>5391</v>
      </c>
      <c r="W294" t="s">
        <v>5392</v>
      </c>
      <c r="X294" t="s">
        <v>2688</v>
      </c>
      <c r="Y294" t="s">
        <v>2688</v>
      </c>
      <c r="Z294" t="s">
        <v>2689</v>
      </c>
      <c r="AA294" t="s">
        <v>2688</v>
      </c>
      <c r="AB294" t="s">
        <v>5393</v>
      </c>
      <c r="AD294" s="9" t="s">
        <v>5394</v>
      </c>
      <c r="AE294" t="s">
        <v>5395</v>
      </c>
      <c r="AH294" t="s">
        <v>3445</v>
      </c>
      <c r="AJ294" t="s">
        <v>4805</v>
      </c>
    </row>
    <row r="295" spans="1:36" ht="72.900000000000006" x14ac:dyDescent="0.4">
      <c r="A295" t="s">
        <v>1684</v>
      </c>
      <c r="B295" t="s">
        <v>5396</v>
      </c>
      <c r="C295" t="s">
        <v>1411</v>
      </c>
      <c r="D295" t="s">
        <v>5397</v>
      </c>
      <c r="E295" t="s">
        <v>2679</v>
      </c>
      <c r="F295" t="s">
        <v>5398</v>
      </c>
      <c r="G295">
        <v>43.057807423200003</v>
      </c>
      <c r="H295">
        <v>-78.971383329600002</v>
      </c>
      <c r="I295" t="s">
        <v>1411</v>
      </c>
      <c r="J295" t="s">
        <v>2448</v>
      </c>
      <c r="K295" t="s">
        <v>5399</v>
      </c>
      <c r="L295" t="s">
        <v>2450</v>
      </c>
      <c r="M295">
        <v>327</v>
      </c>
      <c r="N295" t="s">
        <v>3438</v>
      </c>
      <c r="O295" t="s">
        <v>1684</v>
      </c>
      <c r="P295" s="1">
        <v>44788</v>
      </c>
      <c r="Q295">
        <v>38.5</v>
      </c>
      <c r="R295">
        <v>12</v>
      </c>
      <c r="S295" t="s">
        <v>3464</v>
      </c>
      <c r="T295" t="s">
        <v>2689</v>
      </c>
      <c r="U295" s="10" t="s">
        <v>5400</v>
      </c>
      <c r="V295" t="s">
        <v>5401</v>
      </c>
      <c r="W295" t="s">
        <v>5402</v>
      </c>
      <c r="X295" t="s">
        <v>2688</v>
      </c>
      <c r="Y295" t="s">
        <v>2688</v>
      </c>
      <c r="Z295" t="s">
        <v>2688</v>
      </c>
      <c r="AA295" t="s">
        <v>2688</v>
      </c>
      <c r="AB295" t="s">
        <v>5403</v>
      </c>
      <c r="AD295" t="s">
        <v>5404</v>
      </c>
      <c r="AE295" t="s">
        <v>5405</v>
      </c>
      <c r="AH295" t="s">
        <v>3445</v>
      </c>
      <c r="AJ295" t="s">
        <v>5406</v>
      </c>
    </row>
    <row r="296" spans="1:36" ht="174.9" x14ac:dyDescent="0.4">
      <c r="A296" t="s">
        <v>1781</v>
      </c>
      <c r="B296" t="s">
        <v>5407</v>
      </c>
      <c r="C296" t="s">
        <v>3448</v>
      </c>
      <c r="D296" t="s">
        <v>5397</v>
      </c>
      <c r="E296" t="s">
        <v>2679</v>
      </c>
      <c r="F296" t="s">
        <v>5408</v>
      </c>
      <c r="G296">
        <v>44.101026468000001</v>
      </c>
      <c r="H296">
        <v>-76.076854085600004</v>
      </c>
      <c r="I296" t="s">
        <v>3448</v>
      </c>
      <c r="J296" t="s">
        <v>2448</v>
      </c>
      <c r="K296" t="s">
        <v>3660</v>
      </c>
      <c r="L296" t="s">
        <v>2452</v>
      </c>
      <c r="M296">
        <v>359</v>
      </c>
      <c r="N296" t="s">
        <v>3438</v>
      </c>
      <c r="O296" t="s">
        <v>1781</v>
      </c>
      <c r="P296" s="1">
        <v>44790</v>
      </c>
      <c r="Q296">
        <v>9.1999999999999993</v>
      </c>
      <c r="R296">
        <v>12</v>
      </c>
      <c r="S296" t="s">
        <v>3427</v>
      </c>
      <c r="T296" t="s">
        <v>2689</v>
      </c>
      <c r="U296" s="10" t="s">
        <v>5409</v>
      </c>
      <c r="V296" t="s">
        <v>5410</v>
      </c>
      <c r="W296" t="s">
        <v>5411</v>
      </c>
      <c r="X296" t="s">
        <v>2688</v>
      </c>
      <c r="Y296" t="s">
        <v>2688</v>
      </c>
      <c r="Z296" t="s">
        <v>2747</v>
      </c>
      <c r="AA296" t="s">
        <v>2688</v>
      </c>
      <c r="AB296" t="s">
        <v>5412</v>
      </c>
      <c r="AD296" t="s">
        <v>5413</v>
      </c>
      <c r="AE296" t="s">
        <v>5414</v>
      </c>
      <c r="AH296" t="s">
        <v>3445</v>
      </c>
      <c r="AJ296" t="s">
        <v>5415</v>
      </c>
    </row>
    <row r="297" spans="1:36" ht="116.6" x14ac:dyDescent="0.4">
      <c r="A297" t="s">
        <v>1775</v>
      </c>
      <c r="B297" t="s">
        <v>5416</v>
      </c>
      <c r="C297" t="s">
        <v>3448</v>
      </c>
      <c r="D297" t="s">
        <v>5417</v>
      </c>
      <c r="E297" t="s">
        <v>2679</v>
      </c>
      <c r="F297" t="s">
        <v>5418</v>
      </c>
      <c r="G297">
        <v>44.097956051200001</v>
      </c>
      <c r="H297">
        <v>-76.080299215500006</v>
      </c>
      <c r="I297" t="s">
        <v>3448</v>
      </c>
      <c r="J297" t="s">
        <v>2448</v>
      </c>
      <c r="K297" t="s">
        <v>3660</v>
      </c>
      <c r="L297" t="s">
        <v>2452</v>
      </c>
      <c r="M297">
        <v>357</v>
      </c>
      <c r="N297" t="s">
        <v>3438</v>
      </c>
      <c r="O297" t="s">
        <v>1775</v>
      </c>
      <c r="P297" s="1">
        <v>44790</v>
      </c>
      <c r="Q297">
        <v>40.1</v>
      </c>
      <c r="R297">
        <v>10</v>
      </c>
      <c r="S297" t="s">
        <v>3464</v>
      </c>
      <c r="T297" t="s">
        <v>2689</v>
      </c>
      <c r="U297" s="10" t="s">
        <v>5419</v>
      </c>
      <c r="V297" t="s">
        <v>5420</v>
      </c>
      <c r="W297" t="s">
        <v>5421</v>
      </c>
      <c r="X297" t="s">
        <v>2688</v>
      </c>
      <c r="Y297" t="s">
        <v>2688</v>
      </c>
      <c r="Z297" t="s">
        <v>2747</v>
      </c>
      <c r="AA297" t="s">
        <v>2688</v>
      </c>
      <c r="AB297" t="s">
        <v>5422</v>
      </c>
      <c r="AD297" t="s">
        <v>5423</v>
      </c>
      <c r="AE297" t="s">
        <v>5424</v>
      </c>
      <c r="AH297" t="s">
        <v>3445</v>
      </c>
      <c r="AJ297" s="10" t="s">
        <v>5425</v>
      </c>
    </row>
    <row r="298" spans="1:36" ht="131.15" x14ac:dyDescent="0.4">
      <c r="A298" t="s">
        <v>1769</v>
      </c>
      <c r="B298" t="s">
        <v>5426</v>
      </c>
      <c r="C298" t="s">
        <v>3448</v>
      </c>
      <c r="D298" t="s">
        <v>5427</v>
      </c>
      <c r="E298" t="s">
        <v>2679</v>
      </c>
      <c r="F298" t="s">
        <v>5428</v>
      </c>
      <c r="G298">
        <v>44.098207172999999</v>
      </c>
      <c r="H298">
        <v>-76.079331189499996</v>
      </c>
      <c r="I298" t="s">
        <v>3448</v>
      </c>
      <c r="J298" t="s">
        <v>2448</v>
      </c>
      <c r="K298" t="s">
        <v>3660</v>
      </c>
      <c r="L298" t="s">
        <v>2452</v>
      </c>
      <c r="M298">
        <v>355</v>
      </c>
      <c r="N298" t="s">
        <v>3438</v>
      </c>
      <c r="O298" t="s">
        <v>1769</v>
      </c>
      <c r="P298" s="1">
        <v>44790</v>
      </c>
      <c r="Q298">
        <v>32.5</v>
      </c>
      <c r="R298">
        <v>24</v>
      </c>
      <c r="S298" t="s">
        <v>3427</v>
      </c>
      <c r="T298" t="s">
        <v>2689</v>
      </c>
      <c r="U298" s="10" t="s">
        <v>5429</v>
      </c>
      <c r="V298" t="s">
        <v>5430</v>
      </c>
      <c r="W298" t="s">
        <v>5322</v>
      </c>
      <c r="X298" t="s">
        <v>2688</v>
      </c>
      <c r="Y298" t="s">
        <v>2688</v>
      </c>
      <c r="Z298" t="s">
        <v>2747</v>
      </c>
      <c r="AA298" t="s">
        <v>2688</v>
      </c>
      <c r="AB298" t="s">
        <v>5431</v>
      </c>
      <c r="AD298" t="s">
        <v>5432</v>
      </c>
      <c r="AE298" t="s">
        <v>5433</v>
      </c>
      <c r="AH298" t="s">
        <v>3445</v>
      </c>
      <c r="AJ298" t="s">
        <v>5434</v>
      </c>
    </row>
    <row r="299" spans="1:36" ht="160.30000000000001" x14ac:dyDescent="0.4">
      <c r="A299" t="s">
        <v>1766</v>
      </c>
      <c r="B299" t="s">
        <v>5435</v>
      </c>
      <c r="C299" t="s">
        <v>1411</v>
      </c>
      <c r="D299" t="s">
        <v>5427</v>
      </c>
      <c r="E299" t="s">
        <v>2679</v>
      </c>
      <c r="F299" t="s">
        <v>5436</v>
      </c>
      <c r="G299">
        <v>44.098671362799998</v>
      </c>
      <c r="H299">
        <v>-76.078800782599998</v>
      </c>
      <c r="I299" t="s">
        <v>1411</v>
      </c>
      <c r="J299" t="s">
        <v>2448</v>
      </c>
      <c r="K299" t="s">
        <v>3660</v>
      </c>
      <c r="L299" t="s">
        <v>2452</v>
      </c>
      <c r="M299">
        <v>354</v>
      </c>
      <c r="N299" t="s">
        <v>3438</v>
      </c>
      <c r="O299" t="s">
        <v>1766</v>
      </c>
      <c r="P299" s="1">
        <v>44790</v>
      </c>
      <c r="Q299">
        <v>35.700000000000003</v>
      </c>
      <c r="R299">
        <v>18</v>
      </c>
      <c r="S299" t="s">
        <v>3427</v>
      </c>
      <c r="T299" t="s">
        <v>2688</v>
      </c>
      <c r="U299" s="10" t="s">
        <v>5437</v>
      </c>
      <c r="V299" t="s">
        <v>5438</v>
      </c>
      <c r="W299" t="s">
        <v>5439</v>
      </c>
      <c r="X299" t="s">
        <v>2688</v>
      </c>
      <c r="Y299" t="s">
        <v>2688</v>
      </c>
      <c r="Z299" t="s">
        <v>2688</v>
      </c>
      <c r="AA299" t="s">
        <v>2688</v>
      </c>
      <c r="AB299" t="s">
        <v>5440</v>
      </c>
      <c r="AC299" t="s">
        <v>5441</v>
      </c>
      <c r="AD299" t="s">
        <v>5442</v>
      </c>
      <c r="AE299" t="s">
        <v>5443</v>
      </c>
      <c r="AH299" t="s">
        <v>3445</v>
      </c>
      <c r="AJ299" s="10" t="s">
        <v>5444</v>
      </c>
    </row>
    <row r="300" spans="1:36" ht="174.9" x14ac:dyDescent="0.4">
      <c r="A300" t="s">
        <v>1763</v>
      </c>
      <c r="B300" t="s">
        <v>5445</v>
      </c>
      <c r="C300" t="s">
        <v>1411</v>
      </c>
      <c r="D300" t="s">
        <v>5446</v>
      </c>
      <c r="E300" t="s">
        <v>2679</v>
      </c>
      <c r="F300" t="s">
        <v>5447</v>
      </c>
      <c r="G300">
        <v>44.098601457699999</v>
      </c>
      <c r="H300">
        <v>-76.076817121399998</v>
      </c>
      <c r="I300" t="s">
        <v>1411</v>
      </c>
      <c r="J300" t="s">
        <v>2448</v>
      </c>
      <c r="K300" t="s">
        <v>3660</v>
      </c>
      <c r="L300" t="s">
        <v>2452</v>
      </c>
      <c r="M300">
        <v>353</v>
      </c>
      <c r="N300" t="s">
        <v>3438</v>
      </c>
      <c r="O300" t="s">
        <v>1763</v>
      </c>
      <c r="P300" s="1">
        <v>44790</v>
      </c>
      <c r="Q300">
        <v>26.1</v>
      </c>
      <c r="R300">
        <v>26</v>
      </c>
      <c r="S300" t="s">
        <v>3427</v>
      </c>
      <c r="T300" t="s">
        <v>2689</v>
      </c>
      <c r="U300" s="10" t="s">
        <v>5448</v>
      </c>
      <c r="V300" t="s">
        <v>5449</v>
      </c>
      <c r="W300" t="s">
        <v>5322</v>
      </c>
      <c r="X300" t="s">
        <v>2688</v>
      </c>
      <c r="Y300" t="s">
        <v>2688</v>
      </c>
      <c r="Z300" t="s">
        <v>2688</v>
      </c>
      <c r="AA300" t="s">
        <v>2688</v>
      </c>
      <c r="AB300" t="s">
        <v>5450</v>
      </c>
      <c r="AD300" t="s">
        <v>5451</v>
      </c>
      <c r="AE300" t="s">
        <v>5452</v>
      </c>
      <c r="AH300" t="s">
        <v>3445</v>
      </c>
      <c r="AJ300" s="10" t="s">
        <v>5453</v>
      </c>
    </row>
    <row r="301" spans="1:36" ht="174.9" x14ac:dyDescent="0.4">
      <c r="A301" t="s">
        <v>1759</v>
      </c>
      <c r="B301" t="s">
        <v>5454</v>
      </c>
      <c r="C301" t="s">
        <v>1411</v>
      </c>
      <c r="D301" t="s">
        <v>5455</v>
      </c>
      <c r="E301" t="s">
        <v>2679</v>
      </c>
      <c r="F301" t="s">
        <v>5456</v>
      </c>
      <c r="G301">
        <v>44.099611141799997</v>
      </c>
      <c r="H301">
        <v>-76.075925370700006</v>
      </c>
      <c r="I301" t="s">
        <v>1411</v>
      </c>
      <c r="J301" t="s">
        <v>2448</v>
      </c>
      <c r="K301" t="s">
        <v>3660</v>
      </c>
      <c r="L301" t="s">
        <v>2452</v>
      </c>
      <c r="M301">
        <v>352</v>
      </c>
      <c r="N301" t="s">
        <v>3438</v>
      </c>
      <c r="O301" t="s">
        <v>1759</v>
      </c>
      <c r="P301" s="1">
        <v>44790</v>
      </c>
      <c r="Q301">
        <v>15.3</v>
      </c>
      <c r="R301">
        <v>12</v>
      </c>
      <c r="S301" t="s">
        <v>3464</v>
      </c>
      <c r="T301" t="s">
        <v>2689</v>
      </c>
      <c r="U301" s="10" t="s">
        <v>5457</v>
      </c>
      <c r="V301" t="s">
        <v>5458</v>
      </c>
      <c r="W301" t="s">
        <v>3663</v>
      </c>
      <c r="X301" t="s">
        <v>2688</v>
      </c>
      <c r="Y301" t="s">
        <v>2688</v>
      </c>
      <c r="Z301" t="s">
        <v>2688</v>
      </c>
      <c r="AA301" t="s">
        <v>2688</v>
      </c>
      <c r="AB301" t="s">
        <v>5459</v>
      </c>
      <c r="AD301" t="s">
        <v>5460</v>
      </c>
      <c r="AE301" t="s">
        <v>5461</v>
      </c>
      <c r="AH301" t="s">
        <v>3445</v>
      </c>
      <c r="AJ301" s="10" t="s">
        <v>3679</v>
      </c>
    </row>
    <row r="302" spans="1:36" ht="131.15" x14ac:dyDescent="0.4">
      <c r="A302" t="s">
        <v>2288</v>
      </c>
      <c r="B302" t="s">
        <v>5462</v>
      </c>
      <c r="C302" t="s">
        <v>3448</v>
      </c>
      <c r="D302" t="s">
        <v>5463</v>
      </c>
      <c r="E302" t="s">
        <v>2679</v>
      </c>
      <c r="F302" t="s">
        <v>5464</v>
      </c>
      <c r="G302">
        <v>43.598946360900001</v>
      </c>
      <c r="H302">
        <v>-73.185360515599996</v>
      </c>
      <c r="I302" t="s">
        <v>3448</v>
      </c>
      <c r="J302" t="s">
        <v>2466</v>
      </c>
      <c r="K302" t="s">
        <v>2270</v>
      </c>
      <c r="L302" t="s">
        <v>2467</v>
      </c>
      <c r="M302">
        <v>367</v>
      </c>
      <c r="N302" t="s">
        <v>3438</v>
      </c>
      <c r="O302" t="s">
        <v>2288</v>
      </c>
      <c r="P302" s="1">
        <v>44791</v>
      </c>
      <c r="Q302">
        <v>27.2</v>
      </c>
      <c r="R302">
        <v>20</v>
      </c>
      <c r="S302" t="s">
        <v>3427</v>
      </c>
      <c r="T302" t="s">
        <v>2689</v>
      </c>
      <c r="U302" t="s">
        <v>5465</v>
      </c>
      <c r="V302" t="s">
        <v>5466</v>
      </c>
      <c r="W302" t="s">
        <v>5467</v>
      </c>
      <c r="X302" t="s">
        <v>2688</v>
      </c>
      <c r="Y302" t="s">
        <v>2688</v>
      </c>
      <c r="Z302" t="s">
        <v>2747</v>
      </c>
      <c r="AA302" t="s">
        <v>2688</v>
      </c>
      <c r="AB302" t="s">
        <v>5468</v>
      </c>
      <c r="AD302" t="s">
        <v>5469</v>
      </c>
      <c r="AE302" t="s">
        <v>5470</v>
      </c>
      <c r="AH302" t="s">
        <v>3445</v>
      </c>
      <c r="AJ302" s="10" t="s">
        <v>5471</v>
      </c>
    </row>
    <row r="303" spans="1:36" ht="116.6" x14ac:dyDescent="0.4">
      <c r="A303" t="s">
        <v>2285</v>
      </c>
      <c r="B303" t="s">
        <v>5472</v>
      </c>
      <c r="C303" t="s">
        <v>1411</v>
      </c>
      <c r="D303" t="s">
        <v>5473</v>
      </c>
      <c r="E303" t="s">
        <v>2679</v>
      </c>
      <c r="F303" t="s">
        <v>5474</v>
      </c>
      <c r="G303">
        <v>43.599324468600003</v>
      </c>
      <c r="H303">
        <v>-73.184531964399994</v>
      </c>
      <c r="I303" t="s">
        <v>1411</v>
      </c>
      <c r="J303" t="s">
        <v>2466</v>
      </c>
      <c r="K303" t="s">
        <v>2270</v>
      </c>
      <c r="L303" t="s">
        <v>2467</v>
      </c>
      <c r="M303">
        <v>366</v>
      </c>
      <c r="N303" t="s">
        <v>3438</v>
      </c>
      <c r="O303" t="s">
        <v>2285</v>
      </c>
      <c r="P303" s="1">
        <v>44791</v>
      </c>
      <c r="Q303">
        <v>58.1</v>
      </c>
      <c r="R303">
        <v>26</v>
      </c>
      <c r="S303" t="s">
        <v>3427</v>
      </c>
      <c r="T303" t="s">
        <v>2689</v>
      </c>
      <c r="U303" s="10" t="s">
        <v>5475</v>
      </c>
      <c r="V303" t="s">
        <v>5476</v>
      </c>
      <c r="W303" t="s">
        <v>5477</v>
      </c>
      <c r="X303" t="s">
        <v>2688</v>
      </c>
      <c r="Y303" t="s">
        <v>2688</v>
      </c>
      <c r="Z303" t="s">
        <v>2688</v>
      </c>
      <c r="AA303" t="s">
        <v>2688</v>
      </c>
      <c r="AB303" t="s">
        <v>5478</v>
      </c>
      <c r="AD303" t="s">
        <v>5479</v>
      </c>
      <c r="AE303" t="s">
        <v>5480</v>
      </c>
      <c r="AH303" t="s">
        <v>3445</v>
      </c>
      <c r="AJ303" s="10" t="s">
        <v>5481</v>
      </c>
    </row>
    <row r="304" spans="1:36" ht="102" x14ac:dyDescent="0.4">
      <c r="A304" t="s">
        <v>2282</v>
      </c>
      <c r="B304" t="s">
        <v>5482</v>
      </c>
      <c r="C304" t="s">
        <v>1411</v>
      </c>
      <c r="D304" t="s">
        <v>5483</v>
      </c>
      <c r="E304" t="s">
        <v>2679</v>
      </c>
      <c r="F304" t="s">
        <v>5484</v>
      </c>
      <c r="G304">
        <v>43.599862293400001</v>
      </c>
      <c r="H304">
        <v>-73.183721015299994</v>
      </c>
      <c r="I304" t="s">
        <v>1411</v>
      </c>
      <c r="J304" t="s">
        <v>2466</v>
      </c>
      <c r="K304" t="s">
        <v>2270</v>
      </c>
      <c r="L304" t="s">
        <v>2467</v>
      </c>
      <c r="M304">
        <v>365</v>
      </c>
      <c r="N304" t="s">
        <v>3438</v>
      </c>
      <c r="O304" t="s">
        <v>2282</v>
      </c>
      <c r="P304" s="1">
        <v>44791</v>
      </c>
      <c r="Q304">
        <v>28.5</v>
      </c>
      <c r="R304">
        <v>22</v>
      </c>
      <c r="S304" t="s">
        <v>3427</v>
      </c>
      <c r="T304" t="s">
        <v>2689</v>
      </c>
      <c r="U304" s="10" t="s">
        <v>5485</v>
      </c>
      <c r="V304" t="s">
        <v>5486</v>
      </c>
      <c r="W304" t="s">
        <v>5487</v>
      </c>
      <c r="X304" t="s">
        <v>2688</v>
      </c>
      <c r="Y304" t="s">
        <v>2688</v>
      </c>
      <c r="Z304" t="s">
        <v>2688</v>
      </c>
      <c r="AA304" t="s">
        <v>2688</v>
      </c>
      <c r="AB304" t="s">
        <v>5488</v>
      </c>
      <c r="AD304" t="s">
        <v>5489</v>
      </c>
      <c r="AE304" t="s">
        <v>5490</v>
      </c>
      <c r="AH304" t="s">
        <v>3445</v>
      </c>
      <c r="AJ304" t="s">
        <v>5491</v>
      </c>
    </row>
    <row r="305" spans="1:36" ht="160.30000000000001" x14ac:dyDescent="0.4">
      <c r="A305" t="s">
        <v>2279</v>
      </c>
      <c r="B305" t="s">
        <v>5492</v>
      </c>
      <c r="C305" t="s">
        <v>3448</v>
      </c>
      <c r="D305" t="s">
        <v>5493</v>
      </c>
      <c r="E305" t="s">
        <v>2679</v>
      </c>
      <c r="F305" t="s">
        <v>5494</v>
      </c>
      <c r="G305">
        <v>43.600874953000002</v>
      </c>
      <c r="H305">
        <v>-73.182965051500005</v>
      </c>
      <c r="I305" t="s">
        <v>3448</v>
      </c>
      <c r="J305" t="s">
        <v>2466</v>
      </c>
      <c r="K305" t="s">
        <v>2270</v>
      </c>
      <c r="L305" t="s">
        <v>2467</v>
      </c>
      <c r="M305">
        <v>364</v>
      </c>
      <c r="N305" t="s">
        <v>3438</v>
      </c>
      <c r="O305" t="s">
        <v>2279</v>
      </c>
      <c r="P305" s="1">
        <v>44791</v>
      </c>
      <c r="Q305">
        <v>28.6</v>
      </c>
      <c r="R305">
        <v>24</v>
      </c>
      <c r="S305" t="s">
        <v>3427</v>
      </c>
      <c r="T305" t="s">
        <v>2689</v>
      </c>
      <c r="U305" s="10" t="s">
        <v>5495</v>
      </c>
      <c r="V305" t="s">
        <v>5496</v>
      </c>
      <c r="W305" t="s">
        <v>5497</v>
      </c>
      <c r="X305" t="s">
        <v>2688</v>
      </c>
      <c r="Y305" t="s">
        <v>2688</v>
      </c>
      <c r="Z305" t="s">
        <v>2747</v>
      </c>
      <c r="AA305" t="s">
        <v>2688</v>
      </c>
      <c r="AB305" t="s">
        <v>5498</v>
      </c>
      <c r="AD305" t="s">
        <v>5499</v>
      </c>
      <c r="AE305" t="s">
        <v>5500</v>
      </c>
      <c r="AH305" t="s">
        <v>3445</v>
      </c>
      <c r="AJ305" s="10" t="s">
        <v>5501</v>
      </c>
    </row>
    <row r="306" spans="1:36" ht="131.15" x14ac:dyDescent="0.4">
      <c r="A306" t="s">
        <v>2294</v>
      </c>
      <c r="B306" t="s">
        <v>5502</v>
      </c>
      <c r="C306" t="s">
        <v>3448</v>
      </c>
      <c r="D306" t="s">
        <v>5503</v>
      </c>
      <c r="E306" t="s">
        <v>2679</v>
      </c>
      <c r="F306" t="s">
        <v>5504</v>
      </c>
      <c r="G306">
        <v>43.600306199000002</v>
      </c>
      <c r="H306">
        <v>-73.183858394699996</v>
      </c>
      <c r="I306" t="s">
        <v>3448</v>
      </c>
      <c r="J306" t="s">
        <v>2466</v>
      </c>
      <c r="K306" t="s">
        <v>2270</v>
      </c>
      <c r="L306" t="s">
        <v>2467</v>
      </c>
      <c r="M306">
        <v>369</v>
      </c>
      <c r="N306" t="s">
        <v>3438</v>
      </c>
      <c r="O306" t="s">
        <v>2294</v>
      </c>
      <c r="P306" s="1">
        <v>44791</v>
      </c>
      <c r="Q306">
        <v>36</v>
      </c>
      <c r="R306">
        <v>24</v>
      </c>
      <c r="S306" t="s">
        <v>3427</v>
      </c>
      <c r="T306" t="s">
        <v>2689</v>
      </c>
      <c r="U306" s="10" t="s">
        <v>5505</v>
      </c>
      <c r="V306" t="s">
        <v>5506</v>
      </c>
      <c r="W306" t="s">
        <v>5507</v>
      </c>
      <c r="X306" t="s">
        <v>2688</v>
      </c>
      <c r="Y306" t="s">
        <v>2688</v>
      </c>
      <c r="Z306" t="s">
        <v>2747</v>
      </c>
      <c r="AA306" t="s">
        <v>2688</v>
      </c>
      <c r="AC306" t="s">
        <v>5508</v>
      </c>
      <c r="AD306" t="s">
        <v>5509</v>
      </c>
      <c r="AE306" t="s">
        <v>5510</v>
      </c>
      <c r="AH306" t="s">
        <v>3445</v>
      </c>
      <c r="AJ306" s="10" t="s">
        <v>5511</v>
      </c>
    </row>
    <row r="307" spans="1:36" ht="72.900000000000006" x14ac:dyDescent="0.4">
      <c r="A307" t="s">
        <v>2276</v>
      </c>
      <c r="B307" t="s">
        <v>5512</v>
      </c>
      <c r="C307" t="s">
        <v>1411</v>
      </c>
      <c r="D307" t="s">
        <v>5513</v>
      </c>
      <c r="E307" t="s">
        <v>2679</v>
      </c>
      <c r="F307" t="s">
        <v>5514</v>
      </c>
      <c r="G307">
        <v>43.601845661200002</v>
      </c>
      <c r="H307">
        <v>-73.181869452900003</v>
      </c>
      <c r="I307" t="s">
        <v>1411</v>
      </c>
      <c r="J307" t="s">
        <v>2466</v>
      </c>
      <c r="K307" t="s">
        <v>2270</v>
      </c>
      <c r="L307" t="s">
        <v>2467</v>
      </c>
      <c r="M307">
        <v>363</v>
      </c>
      <c r="N307" t="s">
        <v>3438</v>
      </c>
      <c r="O307" t="s">
        <v>2276</v>
      </c>
      <c r="P307" s="1">
        <v>44791</v>
      </c>
      <c r="Q307">
        <v>83.7</v>
      </c>
      <c r="R307">
        <v>27</v>
      </c>
      <c r="S307" t="s">
        <v>3427</v>
      </c>
      <c r="T307" t="s">
        <v>2689</v>
      </c>
      <c r="U307" s="10" t="s">
        <v>5515</v>
      </c>
      <c r="V307" t="s">
        <v>5516</v>
      </c>
      <c r="W307" t="s">
        <v>5507</v>
      </c>
      <c r="X307" t="s">
        <v>2688</v>
      </c>
      <c r="Y307" t="s">
        <v>2688</v>
      </c>
      <c r="Z307" t="s">
        <v>2688</v>
      </c>
      <c r="AA307" t="s">
        <v>2688</v>
      </c>
      <c r="AB307" t="s">
        <v>5517</v>
      </c>
      <c r="AD307" t="s">
        <v>5518</v>
      </c>
      <c r="AE307" t="s">
        <v>5519</v>
      </c>
      <c r="AH307" t="s">
        <v>3445</v>
      </c>
      <c r="AJ307" t="s">
        <v>5520</v>
      </c>
    </row>
    <row r="308" spans="1:36" x14ac:dyDescent="0.4">
      <c r="A308" t="s">
        <v>2273</v>
      </c>
      <c r="B308" t="s">
        <v>5521</v>
      </c>
      <c r="C308" t="s">
        <v>1411</v>
      </c>
      <c r="D308" t="s">
        <v>5522</v>
      </c>
      <c r="E308" t="s">
        <v>2679</v>
      </c>
      <c r="F308" t="s">
        <v>5523</v>
      </c>
      <c r="G308">
        <v>43.602051688400003</v>
      </c>
      <c r="H308">
        <v>-73.181909183100004</v>
      </c>
      <c r="I308" t="s">
        <v>1411</v>
      </c>
      <c r="J308" t="s">
        <v>2466</v>
      </c>
      <c r="K308" t="s">
        <v>2270</v>
      </c>
      <c r="L308" t="s">
        <v>2467</v>
      </c>
      <c r="M308">
        <v>362</v>
      </c>
      <c r="N308" t="s">
        <v>3438</v>
      </c>
      <c r="O308" t="s">
        <v>2273</v>
      </c>
      <c r="P308" s="1">
        <v>44791</v>
      </c>
      <c r="Q308">
        <v>22.7</v>
      </c>
      <c r="R308">
        <v>19</v>
      </c>
      <c r="S308" t="s">
        <v>3427</v>
      </c>
      <c r="T308" t="s">
        <v>2689</v>
      </c>
      <c r="U308" t="s">
        <v>5524</v>
      </c>
      <c r="V308" t="s">
        <v>5525</v>
      </c>
      <c r="W308" t="s">
        <v>5526</v>
      </c>
      <c r="X308" t="s">
        <v>2688</v>
      </c>
      <c r="Y308" t="s">
        <v>2688</v>
      </c>
      <c r="Z308" t="s">
        <v>2688</v>
      </c>
      <c r="AA308" t="s">
        <v>2688</v>
      </c>
      <c r="AB308" t="s">
        <v>5527</v>
      </c>
      <c r="AD308" t="s">
        <v>5528</v>
      </c>
      <c r="AE308" t="s">
        <v>5529</v>
      </c>
      <c r="AH308" t="s">
        <v>3445</v>
      </c>
      <c r="AJ308" t="s">
        <v>5530</v>
      </c>
    </row>
    <row r="309" spans="1:36" ht="72.900000000000006" x14ac:dyDescent="0.4">
      <c r="A309" t="s">
        <v>2267</v>
      </c>
      <c r="B309" t="s">
        <v>5531</v>
      </c>
      <c r="C309" t="s">
        <v>3448</v>
      </c>
      <c r="D309" t="s">
        <v>5532</v>
      </c>
      <c r="E309" t="s">
        <v>2679</v>
      </c>
      <c r="F309" t="s">
        <v>5533</v>
      </c>
      <c r="G309">
        <v>43.604514123900003</v>
      </c>
      <c r="H309">
        <v>-73.180291727300002</v>
      </c>
      <c r="I309" t="s">
        <v>3448</v>
      </c>
      <c r="J309" t="s">
        <v>2466</v>
      </c>
      <c r="K309" t="s">
        <v>2270</v>
      </c>
      <c r="L309" t="s">
        <v>2467</v>
      </c>
      <c r="M309">
        <v>361</v>
      </c>
      <c r="N309" t="s">
        <v>3438</v>
      </c>
      <c r="O309" t="s">
        <v>2267</v>
      </c>
      <c r="P309" s="1">
        <v>44791</v>
      </c>
      <c r="Q309">
        <v>14</v>
      </c>
      <c r="R309">
        <v>14</v>
      </c>
      <c r="S309" t="s">
        <v>3427</v>
      </c>
      <c r="T309" t="s">
        <v>2689</v>
      </c>
      <c r="U309" s="10" t="s">
        <v>5534</v>
      </c>
      <c r="V309" t="s">
        <v>5535</v>
      </c>
      <c r="W309" t="s">
        <v>5536</v>
      </c>
      <c r="X309" t="s">
        <v>2688</v>
      </c>
      <c r="Y309" t="s">
        <v>2688</v>
      </c>
      <c r="Z309" t="s">
        <v>2747</v>
      </c>
      <c r="AA309" t="s">
        <v>2688</v>
      </c>
      <c r="AB309" t="s">
        <v>5537</v>
      </c>
      <c r="AD309" t="s">
        <v>5538</v>
      </c>
      <c r="AE309" t="s">
        <v>5539</v>
      </c>
      <c r="AH309" t="s">
        <v>3445</v>
      </c>
      <c r="AJ309" t="s">
        <v>4947</v>
      </c>
    </row>
    <row r="310" spans="1:36" ht="116.6" x14ac:dyDescent="0.4">
      <c r="A310" t="s">
        <v>516</v>
      </c>
      <c r="B310" t="s">
        <v>5540</v>
      </c>
      <c r="C310" t="s">
        <v>3448</v>
      </c>
      <c r="D310" t="s">
        <v>5541</v>
      </c>
      <c r="E310" t="s">
        <v>2679</v>
      </c>
      <c r="F310" t="s">
        <v>5542</v>
      </c>
      <c r="G310">
        <v>40.456934259299999</v>
      </c>
      <c r="H310">
        <v>-85.507415402800007</v>
      </c>
      <c r="I310" t="s">
        <v>3448</v>
      </c>
      <c r="J310" t="s">
        <v>2413</v>
      </c>
      <c r="K310" t="s">
        <v>483</v>
      </c>
      <c r="L310" t="s">
        <v>2419</v>
      </c>
      <c r="M310">
        <v>496</v>
      </c>
      <c r="N310" t="s">
        <v>3438</v>
      </c>
      <c r="O310" t="s">
        <v>516</v>
      </c>
      <c r="P310" s="1">
        <v>44819</v>
      </c>
      <c r="Q310">
        <v>27.7</v>
      </c>
      <c r="R310">
        <v>25</v>
      </c>
      <c r="S310" t="s">
        <v>3427</v>
      </c>
      <c r="T310" t="s">
        <v>2688</v>
      </c>
      <c r="U310" s="10" t="s">
        <v>5543</v>
      </c>
      <c r="V310" s="10" t="s">
        <v>5544</v>
      </c>
      <c r="W310" t="s">
        <v>5545</v>
      </c>
      <c r="X310" t="s">
        <v>2688</v>
      </c>
      <c r="Y310" t="s">
        <v>2688</v>
      </c>
      <c r="Z310" t="s">
        <v>2747</v>
      </c>
      <c r="AA310" t="s">
        <v>2688</v>
      </c>
      <c r="AB310" t="s">
        <v>5546</v>
      </c>
      <c r="AC310" t="s">
        <v>5547</v>
      </c>
      <c r="AD310" t="s">
        <v>5548</v>
      </c>
      <c r="AE310" t="s">
        <v>5549</v>
      </c>
      <c r="AH310" t="s">
        <v>3445</v>
      </c>
      <c r="AJ310" s="10" t="s">
        <v>5550</v>
      </c>
    </row>
    <row r="311" spans="1:36" ht="72.900000000000006" x14ac:dyDescent="0.4">
      <c r="A311" t="s">
        <v>1103</v>
      </c>
      <c r="B311" t="s">
        <v>5551</v>
      </c>
      <c r="C311" t="s">
        <v>1428</v>
      </c>
      <c r="D311" t="s">
        <v>5552</v>
      </c>
      <c r="E311" t="s">
        <v>2679</v>
      </c>
      <c r="F311" t="s">
        <v>5553</v>
      </c>
      <c r="G311">
        <v>42.766037355199998</v>
      </c>
      <c r="H311">
        <v>-84.382325112900006</v>
      </c>
      <c r="I311" t="s">
        <v>1428</v>
      </c>
      <c r="J311" t="s">
        <v>2436</v>
      </c>
      <c r="K311" t="s">
        <v>5369</v>
      </c>
      <c r="L311" t="s">
        <v>2437</v>
      </c>
      <c r="M311">
        <v>288</v>
      </c>
      <c r="N311" t="s">
        <v>3438</v>
      </c>
      <c r="O311" t="s">
        <v>1103</v>
      </c>
      <c r="P311" s="1">
        <v>44770</v>
      </c>
      <c r="Q311">
        <v>38.700000000000003</v>
      </c>
      <c r="R311">
        <v>26</v>
      </c>
      <c r="S311" t="s">
        <v>3427</v>
      </c>
      <c r="T311" t="s">
        <v>2688</v>
      </c>
      <c r="U311" s="10" t="s">
        <v>5554</v>
      </c>
      <c r="V311" t="s">
        <v>5555</v>
      </c>
      <c r="W311" t="s">
        <v>5556</v>
      </c>
      <c r="X311" t="s">
        <v>2688</v>
      </c>
      <c r="Y311" t="s">
        <v>2688</v>
      </c>
      <c r="Z311" t="s">
        <v>2689</v>
      </c>
      <c r="AA311" t="s">
        <v>2689</v>
      </c>
      <c r="AB311" t="s">
        <v>5557</v>
      </c>
      <c r="AC311" t="s">
        <v>5558</v>
      </c>
      <c r="AD311" t="s">
        <v>5559</v>
      </c>
      <c r="AE311" t="s">
        <v>5560</v>
      </c>
      <c r="AH311" t="s">
        <v>3445</v>
      </c>
    </row>
    <row r="312" spans="1:36" x14ac:dyDescent="0.4">
      <c r="A312" t="s">
        <v>2312</v>
      </c>
      <c r="B312" t="s">
        <v>5561</v>
      </c>
      <c r="C312" t="s">
        <v>1411</v>
      </c>
      <c r="D312" t="s">
        <v>5562</v>
      </c>
      <c r="E312" t="s">
        <v>2679</v>
      </c>
      <c r="F312" t="s">
        <v>5563</v>
      </c>
      <c r="G312">
        <v>46.331921587700002</v>
      </c>
      <c r="H312">
        <v>-91.507260063700002</v>
      </c>
      <c r="I312" t="s">
        <v>1411</v>
      </c>
      <c r="J312" t="s">
        <v>2468</v>
      </c>
      <c r="K312" t="s">
        <v>2300</v>
      </c>
      <c r="L312" t="s">
        <v>2469</v>
      </c>
      <c r="M312">
        <v>233</v>
      </c>
      <c r="N312" t="s">
        <v>3438</v>
      </c>
      <c r="O312" t="s">
        <v>2312</v>
      </c>
      <c r="P312" s="1">
        <v>44763</v>
      </c>
      <c r="Q312">
        <v>15.6</v>
      </c>
      <c r="R312">
        <v>16</v>
      </c>
      <c r="S312" t="s">
        <v>4506</v>
      </c>
      <c r="T312" t="s">
        <v>2688</v>
      </c>
      <c r="U312" t="s">
        <v>5564</v>
      </c>
      <c r="V312" t="s">
        <v>5565</v>
      </c>
      <c r="W312" t="s">
        <v>3509</v>
      </c>
      <c r="X312" t="s">
        <v>2688</v>
      </c>
      <c r="Y312" t="s">
        <v>2688</v>
      </c>
      <c r="Z312" t="s">
        <v>2689</v>
      </c>
      <c r="AA312" t="s">
        <v>2689</v>
      </c>
      <c r="AB312" t="s">
        <v>5566</v>
      </c>
      <c r="AC312" t="s">
        <v>5567</v>
      </c>
      <c r="AD312" t="s">
        <v>5568</v>
      </c>
      <c r="AE312" t="s">
        <v>5569</v>
      </c>
      <c r="AH312" t="s">
        <v>3445</v>
      </c>
      <c r="AJ312" t="s">
        <v>5570</v>
      </c>
    </row>
    <row r="313" spans="1:36" ht="116.6" x14ac:dyDescent="0.4">
      <c r="A313" t="s">
        <v>1303</v>
      </c>
      <c r="B313" t="s">
        <v>5571</v>
      </c>
      <c r="C313" t="s">
        <v>3448</v>
      </c>
      <c r="D313" t="s">
        <v>5572</v>
      </c>
      <c r="E313" t="s">
        <v>2679</v>
      </c>
      <c r="F313" t="s">
        <v>5573</v>
      </c>
      <c r="G313">
        <v>43.904458744999999</v>
      </c>
      <c r="H313">
        <v>-91.639178395299993</v>
      </c>
      <c r="I313" t="s">
        <v>3448</v>
      </c>
      <c r="J313" t="s">
        <v>2439</v>
      </c>
      <c r="K313" t="s">
        <v>5380</v>
      </c>
      <c r="L313" t="s">
        <v>2441</v>
      </c>
      <c r="M313">
        <v>224</v>
      </c>
      <c r="N313" t="s">
        <v>3438</v>
      </c>
      <c r="O313" t="s">
        <v>1303</v>
      </c>
      <c r="P313" s="1">
        <v>44762</v>
      </c>
      <c r="Q313">
        <v>27.5</v>
      </c>
      <c r="R313">
        <v>23</v>
      </c>
      <c r="S313" t="s">
        <v>3427</v>
      </c>
      <c r="T313" t="s">
        <v>2689</v>
      </c>
      <c r="U313" s="10" t="s">
        <v>5574</v>
      </c>
      <c r="V313" t="s">
        <v>5575</v>
      </c>
      <c r="W313" t="s">
        <v>5576</v>
      </c>
      <c r="X313" t="s">
        <v>2688</v>
      </c>
      <c r="Y313" t="s">
        <v>2688</v>
      </c>
      <c r="Z313" t="s">
        <v>2747</v>
      </c>
      <c r="AA313" t="s">
        <v>2689</v>
      </c>
      <c r="AB313" t="s">
        <v>5577</v>
      </c>
      <c r="AD313" t="s">
        <v>5578</v>
      </c>
      <c r="AE313" t="s">
        <v>5579</v>
      </c>
      <c r="AH313" t="s">
        <v>3445</v>
      </c>
      <c r="AJ313" t="s">
        <v>5580</v>
      </c>
    </row>
    <row r="314" spans="1:36" ht="87.45" x14ac:dyDescent="0.4">
      <c r="A314" t="s">
        <v>2034</v>
      </c>
      <c r="B314" t="s">
        <v>5581</v>
      </c>
      <c r="C314" t="s">
        <v>1411</v>
      </c>
      <c r="D314" t="s">
        <v>5582</v>
      </c>
      <c r="E314" t="s">
        <v>2679</v>
      </c>
      <c r="F314" t="s">
        <v>5583</v>
      </c>
      <c r="G314">
        <v>36.844408256000001</v>
      </c>
      <c r="H314">
        <v>-96.426784945700007</v>
      </c>
      <c r="I314" t="s">
        <v>1411</v>
      </c>
      <c r="J314" t="s">
        <v>2457</v>
      </c>
      <c r="K314" t="s">
        <v>2007</v>
      </c>
      <c r="L314" t="s">
        <v>2459</v>
      </c>
      <c r="M314">
        <v>131</v>
      </c>
      <c r="N314" t="s">
        <v>3438</v>
      </c>
      <c r="O314" t="s">
        <v>2034</v>
      </c>
      <c r="P314" s="1">
        <v>44737</v>
      </c>
      <c r="Q314">
        <v>70.2</v>
      </c>
      <c r="R314">
        <v>26</v>
      </c>
      <c r="S314" t="s">
        <v>3427</v>
      </c>
      <c r="T314" t="s">
        <v>2689</v>
      </c>
      <c r="U314" s="10" t="s">
        <v>5584</v>
      </c>
      <c r="V314" t="s">
        <v>5585</v>
      </c>
      <c r="W314" t="s">
        <v>5586</v>
      </c>
      <c r="X314" t="s">
        <v>2688</v>
      </c>
      <c r="Y314" t="s">
        <v>2688</v>
      </c>
      <c r="Z314" t="s">
        <v>2689</v>
      </c>
      <c r="AA314" t="s">
        <v>2689</v>
      </c>
      <c r="AB314" t="s">
        <v>5587</v>
      </c>
      <c r="AD314" t="s">
        <v>5588</v>
      </c>
      <c r="AE314" t="s">
        <v>5589</v>
      </c>
      <c r="AH314" t="s">
        <v>3445</v>
      </c>
      <c r="AJ314" t="s">
        <v>5590</v>
      </c>
    </row>
    <row r="315" spans="1:36" ht="87.45" x14ac:dyDescent="0.4">
      <c r="A315" t="s">
        <v>1612</v>
      </c>
      <c r="B315" t="s">
        <v>5591</v>
      </c>
      <c r="C315" t="s">
        <v>3713</v>
      </c>
      <c r="D315" t="s">
        <v>5592</v>
      </c>
      <c r="E315" t="s">
        <v>2679</v>
      </c>
      <c r="F315" t="s">
        <v>5593</v>
      </c>
      <c r="G315">
        <v>38.514366801900003</v>
      </c>
      <c r="H315">
        <v>-90.555637618600002</v>
      </c>
      <c r="I315" t="s">
        <v>3713</v>
      </c>
      <c r="J315" t="s">
        <v>2442</v>
      </c>
      <c r="K315" t="s">
        <v>1585</v>
      </c>
      <c r="L315" t="s">
        <v>2447</v>
      </c>
      <c r="M315">
        <v>83</v>
      </c>
      <c r="N315" t="s">
        <v>3438</v>
      </c>
      <c r="O315" t="s">
        <v>1612</v>
      </c>
      <c r="P315" s="1">
        <v>44733</v>
      </c>
      <c r="Q315">
        <v>22.9</v>
      </c>
      <c r="R315">
        <v>12</v>
      </c>
      <c r="S315" t="s">
        <v>3607</v>
      </c>
      <c r="T315" t="s">
        <v>2689</v>
      </c>
      <c r="U315" s="10" t="s">
        <v>5594</v>
      </c>
      <c r="V315" t="s">
        <v>5595</v>
      </c>
      <c r="W315" t="s">
        <v>5596</v>
      </c>
      <c r="X315" t="s">
        <v>2688</v>
      </c>
      <c r="Y315" t="s">
        <v>2688</v>
      </c>
      <c r="Z315" t="s">
        <v>2689</v>
      </c>
      <c r="AA315" t="s">
        <v>2689</v>
      </c>
      <c r="AB315" t="s">
        <v>5597</v>
      </c>
      <c r="AD315" t="s">
        <v>5598</v>
      </c>
      <c r="AE315" t="s">
        <v>5599</v>
      </c>
      <c r="AH315" t="s">
        <v>3445</v>
      </c>
      <c r="AJ315" t="s">
        <v>5600</v>
      </c>
    </row>
    <row r="316" spans="1:36" ht="116.6" x14ac:dyDescent="0.4">
      <c r="A316" t="s">
        <v>717</v>
      </c>
      <c r="B316" t="s">
        <v>5601</v>
      </c>
      <c r="C316" t="s">
        <v>3713</v>
      </c>
      <c r="D316" t="s">
        <v>5602</v>
      </c>
      <c r="E316" t="s">
        <v>2679</v>
      </c>
      <c r="F316" t="s">
        <v>5603</v>
      </c>
      <c r="G316">
        <v>38.988887169400002</v>
      </c>
      <c r="H316">
        <v>-94.801484886599994</v>
      </c>
      <c r="I316" t="s">
        <v>3713</v>
      </c>
      <c r="J316" t="s">
        <v>2420</v>
      </c>
      <c r="K316" t="s">
        <v>674</v>
      </c>
      <c r="L316" t="s">
        <v>2423</v>
      </c>
      <c r="M316">
        <v>309</v>
      </c>
      <c r="N316" t="s">
        <v>3438</v>
      </c>
      <c r="O316" t="s">
        <v>717</v>
      </c>
      <c r="P316" s="1">
        <v>44775</v>
      </c>
      <c r="Q316">
        <v>38.200000000000003</v>
      </c>
      <c r="R316">
        <v>20</v>
      </c>
      <c r="S316" t="s">
        <v>3518</v>
      </c>
      <c r="T316" t="s">
        <v>2689</v>
      </c>
      <c r="U316" s="10" t="s">
        <v>5604</v>
      </c>
      <c r="V316" t="s">
        <v>5605</v>
      </c>
      <c r="W316" t="s">
        <v>5606</v>
      </c>
      <c r="X316" t="s">
        <v>2688</v>
      </c>
      <c r="Y316" t="s">
        <v>2688</v>
      </c>
      <c r="Z316" t="s">
        <v>2747</v>
      </c>
      <c r="AA316" t="s">
        <v>2689</v>
      </c>
      <c r="AB316" t="s">
        <v>5607</v>
      </c>
      <c r="AD316" t="s">
        <v>5608</v>
      </c>
      <c r="AE316" t="s">
        <v>5609</v>
      </c>
      <c r="AH316" t="s">
        <v>3445</v>
      </c>
    </row>
    <row r="317" spans="1:36" ht="174.9" x14ac:dyDescent="0.4">
      <c r="A317" t="s">
        <v>2124</v>
      </c>
      <c r="B317" t="s">
        <v>5610</v>
      </c>
      <c r="C317" t="s">
        <v>3594</v>
      </c>
      <c r="D317" t="s">
        <v>5611</v>
      </c>
      <c r="E317" t="s">
        <v>2679</v>
      </c>
      <c r="F317" t="s">
        <v>5612</v>
      </c>
      <c r="G317">
        <v>36.376954972199997</v>
      </c>
      <c r="H317">
        <v>-86.351742970000004</v>
      </c>
      <c r="I317" t="s">
        <v>3594</v>
      </c>
      <c r="J317" t="s">
        <v>2460</v>
      </c>
      <c r="K317" t="s">
        <v>3606</v>
      </c>
      <c r="L317" t="s">
        <v>2461</v>
      </c>
      <c r="M317">
        <v>154</v>
      </c>
      <c r="N317" t="s">
        <v>3438</v>
      </c>
      <c r="O317" t="s">
        <v>2124</v>
      </c>
      <c r="P317" s="1">
        <v>44753</v>
      </c>
      <c r="Q317">
        <v>29.5</v>
      </c>
      <c r="R317">
        <v>18</v>
      </c>
      <c r="S317" t="s">
        <v>3427</v>
      </c>
      <c r="T317" t="s">
        <v>2689</v>
      </c>
      <c r="U317" s="10" t="s">
        <v>5613</v>
      </c>
      <c r="V317" s="10" t="s">
        <v>5614</v>
      </c>
      <c r="W317" t="s">
        <v>5615</v>
      </c>
      <c r="X317" t="s">
        <v>2688</v>
      </c>
      <c r="Y317" t="s">
        <v>2688</v>
      </c>
      <c r="Z317" t="s">
        <v>2689</v>
      </c>
      <c r="AA317" t="s">
        <v>2689</v>
      </c>
      <c r="AB317" t="s">
        <v>5616</v>
      </c>
      <c r="AD317" t="s">
        <v>5617</v>
      </c>
      <c r="AE317" t="s">
        <v>5618</v>
      </c>
      <c r="AH317" t="s">
        <v>3614</v>
      </c>
    </row>
    <row r="318" spans="1:36" ht="102" x14ac:dyDescent="0.4">
      <c r="A318" t="s">
        <v>486</v>
      </c>
      <c r="B318" t="s">
        <v>5619</v>
      </c>
      <c r="C318" t="s">
        <v>1411</v>
      </c>
      <c r="D318" t="s">
        <v>5620</v>
      </c>
      <c r="E318" t="s">
        <v>2679</v>
      </c>
      <c r="F318" t="s">
        <v>5621</v>
      </c>
      <c r="G318">
        <v>40.457008900200002</v>
      </c>
      <c r="H318">
        <v>-85.511484900599996</v>
      </c>
      <c r="I318" t="s">
        <v>1411</v>
      </c>
      <c r="J318" t="s">
        <v>2413</v>
      </c>
      <c r="K318" t="s">
        <v>483</v>
      </c>
      <c r="L318" t="s">
        <v>2419</v>
      </c>
      <c r="M318">
        <v>486</v>
      </c>
      <c r="N318" t="s">
        <v>3438</v>
      </c>
      <c r="O318" t="s">
        <v>486</v>
      </c>
      <c r="P318" s="1">
        <v>44819</v>
      </c>
      <c r="Q318">
        <v>27.2</v>
      </c>
      <c r="R318">
        <v>25</v>
      </c>
      <c r="S318" t="s">
        <v>3427</v>
      </c>
      <c r="T318" t="s">
        <v>2689</v>
      </c>
      <c r="U318" s="10" t="s">
        <v>5622</v>
      </c>
      <c r="V318" s="10" t="s">
        <v>5623</v>
      </c>
      <c r="W318" t="s">
        <v>5624</v>
      </c>
      <c r="X318" t="s">
        <v>2688</v>
      </c>
      <c r="Y318" t="s">
        <v>2688</v>
      </c>
      <c r="Z318" t="s">
        <v>2689</v>
      </c>
      <c r="AA318" t="s">
        <v>2689</v>
      </c>
      <c r="AB318" t="s">
        <v>5625</v>
      </c>
      <c r="AD318" t="s">
        <v>5626</v>
      </c>
      <c r="AE318" t="s">
        <v>5627</v>
      </c>
      <c r="AH318" t="s">
        <v>3445</v>
      </c>
      <c r="AJ318" s="10" t="s">
        <v>5628</v>
      </c>
    </row>
    <row r="319" spans="1:36" ht="145.75" x14ac:dyDescent="0.4">
      <c r="A319" t="s">
        <v>489</v>
      </c>
      <c r="B319" t="s">
        <v>5629</v>
      </c>
      <c r="C319" t="s">
        <v>1411</v>
      </c>
      <c r="D319" t="s">
        <v>5620</v>
      </c>
      <c r="E319" t="s">
        <v>2679</v>
      </c>
      <c r="F319" t="s">
        <v>5630</v>
      </c>
      <c r="G319">
        <v>40.457911044399999</v>
      </c>
      <c r="H319">
        <v>-85.511369817000002</v>
      </c>
      <c r="I319" t="s">
        <v>1411</v>
      </c>
      <c r="J319" t="s">
        <v>2413</v>
      </c>
      <c r="K319" t="s">
        <v>483</v>
      </c>
      <c r="L319" t="s">
        <v>2419</v>
      </c>
      <c r="M319">
        <v>487</v>
      </c>
      <c r="N319" t="s">
        <v>3438</v>
      </c>
      <c r="O319" t="s">
        <v>489</v>
      </c>
      <c r="P319" s="1">
        <v>44819</v>
      </c>
      <c r="Q319">
        <v>88.5</v>
      </c>
      <c r="R319">
        <v>28</v>
      </c>
      <c r="S319" t="s">
        <v>3607</v>
      </c>
      <c r="T319" t="s">
        <v>2689</v>
      </c>
      <c r="U319" s="10" t="s">
        <v>5631</v>
      </c>
      <c r="V319" s="10" t="s">
        <v>5632</v>
      </c>
      <c r="W319" t="s">
        <v>5624</v>
      </c>
      <c r="X319" t="s">
        <v>2688</v>
      </c>
      <c r="Y319" t="s">
        <v>2688</v>
      </c>
      <c r="Z319" t="s">
        <v>2747</v>
      </c>
      <c r="AA319" t="s">
        <v>2689</v>
      </c>
      <c r="AB319" t="s">
        <v>5633</v>
      </c>
      <c r="AD319" t="s">
        <v>5634</v>
      </c>
      <c r="AE319" t="s">
        <v>5635</v>
      </c>
      <c r="AH319" t="s">
        <v>3445</v>
      </c>
      <c r="AJ319" s="10" t="s">
        <v>5636</v>
      </c>
    </row>
    <row r="320" spans="1:36" ht="102" x14ac:dyDescent="0.4">
      <c r="A320" t="s">
        <v>495</v>
      </c>
      <c r="B320" t="s">
        <v>5637</v>
      </c>
      <c r="C320" t="s">
        <v>3594</v>
      </c>
      <c r="D320" t="s">
        <v>5638</v>
      </c>
      <c r="E320" t="s">
        <v>2679</v>
      </c>
      <c r="F320" t="s">
        <v>5639</v>
      </c>
      <c r="G320">
        <v>40.458087231999997</v>
      </c>
      <c r="H320">
        <v>-85.511069744899999</v>
      </c>
      <c r="I320" t="s">
        <v>3594</v>
      </c>
      <c r="J320" t="s">
        <v>2413</v>
      </c>
      <c r="K320" t="s">
        <v>483</v>
      </c>
      <c r="L320" t="s">
        <v>2419</v>
      </c>
      <c r="M320">
        <v>489</v>
      </c>
      <c r="N320" t="s">
        <v>3438</v>
      </c>
      <c r="O320" t="s">
        <v>495</v>
      </c>
      <c r="P320" s="1">
        <v>44819</v>
      </c>
      <c r="Q320">
        <v>14.2</v>
      </c>
      <c r="R320">
        <v>18</v>
      </c>
      <c r="S320" t="s">
        <v>3427</v>
      </c>
      <c r="T320" t="s">
        <v>2689</v>
      </c>
      <c r="U320" s="10" t="s">
        <v>5640</v>
      </c>
      <c r="V320" s="10" t="s">
        <v>5641</v>
      </c>
      <c r="W320" t="s">
        <v>5624</v>
      </c>
      <c r="X320" t="s">
        <v>2688</v>
      </c>
      <c r="Y320" t="s">
        <v>2688</v>
      </c>
      <c r="Z320" t="s">
        <v>2747</v>
      </c>
      <c r="AA320" t="s">
        <v>2689</v>
      </c>
      <c r="AB320" t="s">
        <v>5642</v>
      </c>
      <c r="AD320" t="s">
        <v>5643</v>
      </c>
      <c r="AE320" t="s">
        <v>5644</v>
      </c>
      <c r="AH320" t="s">
        <v>3445</v>
      </c>
      <c r="AJ320" s="10" t="s">
        <v>5645</v>
      </c>
    </row>
    <row r="321" spans="1:36" ht="102" x14ac:dyDescent="0.4">
      <c r="A321" t="s">
        <v>501</v>
      </c>
      <c r="B321" t="s">
        <v>5646</v>
      </c>
      <c r="C321" t="s">
        <v>3448</v>
      </c>
      <c r="D321" t="s">
        <v>5647</v>
      </c>
      <c r="E321" t="s">
        <v>2679</v>
      </c>
      <c r="F321" t="s">
        <v>5648</v>
      </c>
      <c r="G321">
        <v>40.4560049854</v>
      </c>
      <c r="H321">
        <v>-85.511127424799994</v>
      </c>
      <c r="I321" t="s">
        <v>3448</v>
      </c>
      <c r="J321" t="s">
        <v>2413</v>
      </c>
      <c r="K321" t="s">
        <v>483</v>
      </c>
      <c r="L321" t="s">
        <v>2419</v>
      </c>
      <c r="M321">
        <v>491</v>
      </c>
      <c r="N321" t="s">
        <v>3438</v>
      </c>
      <c r="O321" t="s">
        <v>501</v>
      </c>
      <c r="P321" s="1">
        <v>44819</v>
      </c>
      <c r="Q321">
        <v>102.7</v>
      </c>
      <c r="R321">
        <v>28</v>
      </c>
      <c r="S321" t="s">
        <v>3607</v>
      </c>
      <c r="T321" t="s">
        <v>2688</v>
      </c>
      <c r="U321" s="10" t="s">
        <v>5649</v>
      </c>
      <c r="V321" s="10" t="s">
        <v>5650</v>
      </c>
      <c r="W321" t="s">
        <v>5624</v>
      </c>
      <c r="X321" t="s">
        <v>2688</v>
      </c>
      <c r="Y321" t="s">
        <v>2688</v>
      </c>
      <c r="Z321" t="s">
        <v>2747</v>
      </c>
      <c r="AA321" t="s">
        <v>2689</v>
      </c>
      <c r="AB321" t="s">
        <v>5651</v>
      </c>
      <c r="AC321" t="s">
        <v>5652</v>
      </c>
      <c r="AD321" t="s">
        <v>5653</v>
      </c>
      <c r="AE321" t="s">
        <v>5654</v>
      </c>
      <c r="AH321" t="s">
        <v>3445</v>
      </c>
      <c r="AJ321" s="10" t="s">
        <v>5628</v>
      </c>
    </row>
    <row r="322" spans="1:36" ht="116.6" x14ac:dyDescent="0.4">
      <c r="A322" t="s">
        <v>504</v>
      </c>
      <c r="B322" t="s">
        <v>5655</v>
      </c>
      <c r="C322" t="s">
        <v>1428</v>
      </c>
      <c r="D322" t="s">
        <v>5647</v>
      </c>
      <c r="E322" t="s">
        <v>2679</v>
      </c>
      <c r="F322" t="s">
        <v>5656</v>
      </c>
      <c r="G322">
        <v>40.455503091300002</v>
      </c>
      <c r="H322">
        <v>-85.510397097199998</v>
      </c>
      <c r="I322" t="s">
        <v>1428</v>
      </c>
      <c r="J322" t="s">
        <v>2413</v>
      </c>
      <c r="K322" t="s">
        <v>483</v>
      </c>
      <c r="L322" t="s">
        <v>2419</v>
      </c>
      <c r="M322">
        <v>492</v>
      </c>
      <c r="N322" t="s">
        <v>3438</v>
      </c>
      <c r="O322" t="s">
        <v>504</v>
      </c>
      <c r="P322" s="1">
        <v>44819</v>
      </c>
      <c r="Q322">
        <v>30.6</v>
      </c>
      <c r="R322">
        <v>27</v>
      </c>
      <c r="S322" t="s">
        <v>3427</v>
      </c>
      <c r="T322" t="s">
        <v>2689</v>
      </c>
      <c r="U322" s="10" t="s">
        <v>5657</v>
      </c>
      <c r="V322" s="10" t="s">
        <v>5658</v>
      </c>
      <c r="W322" t="s">
        <v>5659</v>
      </c>
      <c r="X322" t="s">
        <v>2688</v>
      </c>
      <c r="Y322" t="s">
        <v>2688</v>
      </c>
      <c r="Z322" t="s">
        <v>2747</v>
      </c>
      <c r="AA322" t="s">
        <v>2689</v>
      </c>
      <c r="AB322" t="s">
        <v>5660</v>
      </c>
      <c r="AD322" t="s">
        <v>5661</v>
      </c>
      <c r="AE322" t="s">
        <v>5662</v>
      </c>
      <c r="AH322" t="s">
        <v>3445</v>
      </c>
      <c r="AJ322" s="10" t="s">
        <v>5663</v>
      </c>
    </row>
    <row r="323" spans="1:36" ht="145.75" x14ac:dyDescent="0.4">
      <c r="A323" t="s">
        <v>522</v>
      </c>
      <c r="B323" t="s">
        <v>5664</v>
      </c>
      <c r="C323" t="s">
        <v>3594</v>
      </c>
      <c r="D323" t="s">
        <v>5665</v>
      </c>
      <c r="E323" t="s">
        <v>2679</v>
      </c>
      <c r="F323" t="s">
        <v>5666</v>
      </c>
      <c r="G323">
        <v>40.456968205999999</v>
      </c>
      <c r="H323">
        <v>-85.508564477899995</v>
      </c>
      <c r="I323" t="s">
        <v>3594</v>
      </c>
      <c r="J323" t="s">
        <v>2413</v>
      </c>
      <c r="K323" t="s">
        <v>483</v>
      </c>
      <c r="L323" t="s">
        <v>2419</v>
      </c>
      <c r="M323">
        <v>498</v>
      </c>
      <c r="N323" t="s">
        <v>3438</v>
      </c>
      <c r="O323" t="s">
        <v>522</v>
      </c>
      <c r="P323" s="1">
        <v>44819</v>
      </c>
      <c r="Q323">
        <v>27.6</v>
      </c>
      <c r="R323">
        <v>25</v>
      </c>
      <c r="S323" t="s">
        <v>3464</v>
      </c>
      <c r="T323" t="s">
        <v>2689</v>
      </c>
      <c r="U323" s="10" t="s">
        <v>5667</v>
      </c>
      <c r="V323" s="10" t="s">
        <v>5668</v>
      </c>
      <c r="W323" s="10" t="s">
        <v>5669</v>
      </c>
      <c r="X323" t="s">
        <v>2688</v>
      </c>
      <c r="Y323" t="s">
        <v>2688</v>
      </c>
      <c r="Z323" t="s">
        <v>2747</v>
      </c>
      <c r="AA323" t="s">
        <v>2688</v>
      </c>
      <c r="AB323" t="s">
        <v>5670</v>
      </c>
      <c r="AD323" t="s">
        <v>5671</v>
      </c>
      <c r="AE323" t="s">
        <v>5672</v>
      </c>
      <c r="AH323" t="s">
        <v>3445</v>
      </c>
      <c r="AJ323" s="10" t="s">
        <v>5673</v>
      </c>
    </row>
    <row r="324" spans="1:36" ht="72.900000000000006" x14ac:dyDescent="0.4">
      <c r="A324" t="s">
        <v>1832</v>
      </c>
      <c r="B324" t="s">
        <v>5674</v>
      </c>
      <c r="C324" t="s">
        <v>1411</v>
      </c>
      <c r="D324" t="s">
        <v>5675</v>
      </c>
      <c r="E324" t="s">
        <v>2679</v>
      </c>
      <c r="F324" t="s">
        <v>5676</v>
      </c>
      <c r="G324">
        <v>41.550978315099997</v>
      </c>
      <c r="H324">
        <v>-84.357112096700007</v>
      </c>
      <c r="I324" t="s">
        <v>1411</v>
      </c>
      <c r="J324" t="s">
        <v>2454</v>
      </c>
      <c r="K324" t="s">
        <v>1822</v>
      </c>
      <c r="L324" t="s">
        <v>2455</v>
      </c>
      <c r="M324">
        <v>253</v>
      </c>
      <c r="N324" t="s">
        <v>3438</v>
      </c>
      <c r="O324" t="s">
        <v>1832</v>
      </c>
      <c r="P324" s="1">
        <v>44768</v>
      </c>
      <c r="Q324">
        <v>127.5</v>
      </c>
      <c r="R324">
        <v>30</v>
      </c>
      <c r="S324" t="s">
        <v>3427</v>
      </c>
      <c r="T324" t="s">
        <v>2689</v>
      </c>
      <c r="U324" s="10" t="s">
        <v>5677</v>
      </c>
      <c r="V324" t="s">
        <v>5678</v>
      </c>
      <c r="W324" t="s">
        <v>5679</v>
      </c>
      <c r="X324" t="s">
        <v>2688</v>
      </c>
      <c r="Y324" t="s">
        <v>2688</v>
      </c>
      <c r="Z324" t="s">
        <v>2689</v>
      </c>
      <c r="AA324" t="s">
        <v>2689</v>
      </c>
      <c r="AB324" t="s">
        <v>5680</v>
      </c>
      <c r="AD324" t="s">
        <v>5681</v>
      </c>
      <c r="AE324" t="s">
        <v>5682</v>
      </c>
      <c r="AH324" t="s">
        <v>3445</v>
      </c>
      <c r="AJ324" t="s">
        <v>5600</v>
      </c>
    </row>
    <row r="325" spans="1:36" x14ac:dyDescent="0.4">
      <c r="A325" t="s">
        <v>2363</v>
      </c>
      <c r="B325" t="s">
        <v>5683</v>
      </c>
      <c r="C325" t="s">
        <v>3448</v>
      </c>
      <c r="D325" t="s">
        <v>5684</v>
      </c>
      <c r="E325" t="s">
        <v>2679</v>
      </c>
      <c r="F325" t="s">
        <v>5685</v>
      </c>
      <c r="G325">
        <v>43.0179062952</v>
      </c>
      <c r="H325">
        <v>-88.438301906099994</v>
      </c>
      <c r="I325" t="s">
        <v>3448</v>
      </c>
      <c r="J325" t="s">
        <v>2468</v>
      </c>
      <c r="K325" t="s">
        <v>5686</v>
      </c>
      <c r="L325" t="s">
        <v>2471</v>
      </c>
      <c r="M325">
        <v>243</v>
      </c>
      <c r="N325" t="s">
        <v>3438</v>
      </c>
      <c r="O325" t="s">
        <v>2363</v>
      </c>
      <c r="P325" s="1">
        <v>44764</v>
      </c>
      <c r="Q325">
        <v>108.4</v>
      </c>
      <c r="R325">
        <v>18</v>
      </c>
      <c r="S325" t="s">
        <v>3464</v>
      </c>
      <c r="T325" t="s">
        <v>2688</v>
      </c>
      <c r="U325" t="s">
        <v>2747</v>
      </c>
      <c r="V325" t="s">
        <v>5687</v>
      </c>
      <c r="W325" t="s">
        <v>5688</v>
      </c>
      <c r="X325" t="s">
        <v>2688</v>
      </c>
      <c r="Y325" t="s">
        <v>2688</v>
      </c>
      <c r="Z325" t="s">
        <v>2689</v>
      </c>
      <c r="AA325" t="s">
        <v>2688</v>
      </c>
      <c r="AB325" t="s">
        <v>5689</v>
      </c>
      <c r="AC325" t="s">
        <v>5690</v>
      </c>
      <c r="AD325" t="s">
        <v>5691</v>
      </c>
      <c r="AE325" t="s">
        <v>5692</v>
      </c>
      <c r="AH325" t="s">
        <v>3445</v>
      </c>
    </row>
    <row r="326" spans="1:36" ht="189.45" x14ac:dyDescent="0.4">
      <c r="A326" t="s">
        <v>2130</v>
      </c>
      <c r="B326" t="s">
        <v>5693</v>
      </c>
      <c r="C326" t="s">
        <v>1411</v>
      </c>
      <c r="D326" t="s">
        <v>5694</v>
      </c>
      <c r="E326" t="s">
        <v>2679</v>
      </c>
      <c r="F326" t="s">
        <v>5695</v>
      </c>
      <c r="G326">
        <v>36.377750082200002</v>
      </c>
      <c r="H326">
        <v>-86.351050449599995</v>
      </c>
      <c r="I326" t="s">
        <v>1411</v>
      </c>
      <c r="J326" t="s">
        <v>2460</v>
      </c>
      <c r="K326" t="s">
        <v>3606</v>
      </c>
      <c r="L326" t="s">
        <v>2461</v>
      </c>
      <c r="M326">
        <v>156</v>
      </c>
      <c r="N326" t="s">
        <v>3438</v>
      </c>
      <c r="O326" t="s">
        <v>2130</v>
      </c>
      <c r="P326" s="1">
        <v>44753</v>
      </c>
      <c r="Q326">
        <v>29.3</v>
      </c>
      <c r="R326">
        <v>26</v>
      </c>
      <c r="S326" t="s">
        <v>3427</v>
      </c>
      <c r="T326" t="s">
        <v>2689</v>
      </c>
      <c r="U326" s="10" t="s">
        <v>5696</v>
      </c>
      <c r="V326" s="10" t="s">
        <v>5697</v>
      </c>
      <c r="W326" t="s">
        <v>5698</v>
      </c>
      <c r="X326" t="s">
        <v>2688</v>
      </c>
      <c r="Y326" t="s">
        <v>2688</v>
      </c>
      <c r="Z326" t="s">
        <v>2689</v>
      </c>
      <c r="AA326" t="s">
        <v>2689</v>
      </c>
      <c r="AB326" t="s">
        <v>5699</v>
      </c>
      <c r="AD326" t="s">
        <v>5700</v>
      </c>
      <c r="AE326" t="s">
        <v>5701</v>
      </c>
      <c r="AH326" t="s">
        <v>3614</v>
      </c>
    </row>
    <row r="327" spans="1:36" ht="349.75" x14ac:dyDescent="0.4">
      <c r="A327" t="s">
        <v>2112</v>
      </c>
      <c r="B327" t="s">
        <v>5702</v>
      </c>
      <c r="C327" t="s">
        <v>1411</v>
      </c>
      <c r="D327" t="s">
        <v>5703</v>
      </c>
      <c r="E327" t="s">
        <v>2679</v>
      </c>
      <c r="F327" t="s">
        <v>5704</v>
      </c>
      <c r="G327">
        <v>36.375566041100001</v>
      </c>
      <c r="H327">
        <v>-86.357932817299996</v>
      </c>
      <c r="I327" t="s">
        <v>1411</v>
      </c>
      <c r="J327" t="s">
        <v>2460</v>
      </c>
      <c r="K327" t="s">
        <v>3606</v>
      </c>
      <c r="L327" t="s">
        <v>2461</v>
      </c>
      <c r="M327">
        <v>150</v>
      </c>
      <c r="N327" t="s">
        <v>3438</v>
      </c>
      <c r="O327" t="s">
        <v>2112</v>
      </c>
      <c r="P327" s="1">
        <v>44753</v>
      </c>
      <c r="Q327">
        <v>32.6</v>
      </c>
      <c r="R327">
        <v>14</v>
      </c>
      <c r="S327" t="s">
        <v>3427</v>
      </c>
      <c r="T327" t="s">
        <v>2689</v>
      </c>
      <c r="U327" s="10" t="s">
        <v>5705</v>
      </c>
      <c r="V327" s="10" t="s">
        <v>5706</v>
      </c>
      <c r="W327" t="s">
        <v>5707</v>
      </c>
      <c r="X327" t="s">
        <v>2688</v>
      </c>
      <c r="Y327" t="s">
        <v>2688</v>
      </c>
      <c r="Z327" t="s">
        <v>2689</v>
      </c>
      <c r="AA327" t="s">
        <v>2689</v>
      </c>
      <c r="AB327" t="s">
        <v>5708</v>
      </c>
      <c r="AD327" t="s">
        <v>5709</v>
      </c>
      <c r="AE327" t="s">
        <v>5710</v>
      </c>
      <c r="AH327" t="s">
        <v>3614</v>
      </c>
    </row>
    <row r="328" spans="1:36" ht="116.6" x14ac:dyDescent="0.4">
      <c r="A328" t="s">
        <v>2142</v>
      </c>
      <c r="B328" t="s">
        <v>5711</v>
      </c>
      <c r="C328" t="s">
        <v>3594</v>
      </c>
      <c r="D328" t="s">
        <v>5712</v>
      </c>
      <c r="E328" t="s">
        <v>2679</v>
      </c>
      <c r="F328" t="s">
        <v>5713</v>
      </c>
      <c r="G328">
        <v>36.378031597000003</v>
      </c>
      <c r="H328">
        <v>-86.350899624600004</v>
      </c>
      <c r="I328" t="s">
        <v>3594</v>
      </c>
      <c r="J328" t="s">
        <v>2460</v>
      </c>
      <c r="K328" t="s">
        <v>3606</v>
      </c>
      <c r="L328" t="s">
        <v>2461</v>
      </c>
      <c r="M328">
        <v>160</v>
      </c>
      <c r="N328" t="s">
        <v>3438</v>
      </c>
      <c r="O328" t="s">
        <v>2142</v>
      </c>
      <c r="P328" s="1">
        <v>44753</v>
      </c>
      <c r="Q328">
        <v>45.5</v>
      </c>
      <c r="R328">
        <v>24</v>
      </c>
      <c r="S328" t="s">
        <v>3427</v>
      </c>
      <c r="T328" t="s">
        <v>2689</v>
      </c>
      <c r="U328" s="10" t="s">
        <v>5714</v>
      </c>
      <c r="V328" t="s">
        <v>5715</v>
      </c>
      <c r="W328" t="s">
        <v>5716</v>
      </c>
      <c r="X328" t="s">
        <v>2688</v>
      </c>
      <c r="Y328" t="s">
        <v>2688</v>
      </c>
      <c r="Z328" t="s">
        <v>2689</v>
      </c>
      <c r="AA328" t="s">
        <v>2689</v>
      </c>
      <c r="AB328" t="s">
        <v>5717</v>
      </c>
      <c r="AD328" t="s">
        <v>5718</v>
      </c>
      <c r="AE328" t="s">
        <v>5719</v>
      </c>
      <c r="AH328" t="s">
        <v>3614</v>
      </c>
    </row>
    <row r="329" spans="1:36" ht="131.15" x14ac:dyDescent="0.4">
      <c r="A329" t="s">
        <v>2016</v>
      </c>
      <c r="B329" t="s">
        <v>5720</v>
      </c>
      <c r="C329" t="s">
        <v>3594</v>
      </c>
      <c r="D329" t="s">
        <v>5721</v>
      </c>
      <c r="E329" t="s">
        <v>2679</v>
      </c>
      <c r="F329" t="s">
        <v>5722</v>
      </c>
      <c r="G329">
        <v>36.845844034099997</v>
      </c>
      <c r="H329">
        <v>-96.428687553900005</v>
      </c>
      <c r="I329" t="s">
        <v>3594</v>
      </c>
      <c r="J329" t="s">
        <v>2457</v>
      </c>
      <c r="K329" t="s">
        <v>2007</v>
      </c>
      <c r="L329" t="s">
        <v>2459</v>
      </c>
      <c r="M329">
        <v>125</v>
      </c>
      <c r="N329" t="s">
        <v>3438</v>
      </c>
      <c r="O329" t="s">
        <v>2016</v>
      </c>
      <c r="P329" s="1">
        <v>44737</v>
      </c>
      <c r="Q329">
        <v>50.6</v>
      </c>
      <c r="R329">
        <v>19</v>
      </c>
      <c r="S329" t="s">
        <v>3464</v>
      </c>
      <c r="T329" t="s">
        <v>2689</v>
      </c>
      <c r="U329" s="10" t="s">
        <v>5723</v>
      </c>
      <c r="V329" t="s">
        <v>5724</v>
      </c>
      <c r="W329" t="s">
        <v>5725</v>
      </c>
      <c r="X329" t="s">
        <v>2688</v>
      </c>
      <c r="Y329" t="s">
        <v>2688</v>
      </c>
      <c r="Z329" t="s">
        <v>2689</v>
      </c>
      <c r="AA329" t="s">
        <v>2689</v>
      </c>
      <c r="AB329" t="s">
        <v>5726</v>
      </c>
      <c r="AD329" t="s">
        <v>5727</v>
      </c>
      <c r="AE329" t="s">
        <v>5728</v>
      </c>
      <c r="AH329" t="s">
        <v>3445</v>
      </c>
      <c r="AJ329" t="s">
        <v>3657</v>
      </c>
    </row>
    <row r="330" spans="1:36" ht="43.75" x14ac:dyDescent="0.4">
      <c r="A330" t="s">
        <v>1615</v>
      </c>
      <c r="B330" t="s">
        <v>5729</v>
      </c>
      <c r="C330" t="s">
        <v>3594</v>
      </c>
      <c r="D330" t="s">
        <v>5730</v>
      </c>
      <c r="E330" t="s">
        <v>2679</v>
      </c>
      <c r="F330" t="s">
        <v>5731</v>
      </c>
      <c r="G330">
        <v>38.514148704699998</v>
      </c>
      <c r="H330">
        <v>-90.555515661900003</v>
      </c>
      <c r="I330" t="s">
        <v>3594</v>
      </c>
      <c r="J330" t="s">
        <v>2442</v>
      </c>
      <c r="K330" t="s">
        <v>1585</v>
      </c>
      <c r="L330" t="s">
        <v>2447</v>
      </c>
      <c r="M330">
        <v>84</v>
      </c>
      <c r="N330" t="s">
        <v>3438</v>
      </c>
      <c r="O330" t="s">
        <v>1615</v>
      </c>
      <c r="P330" s="1">
        <v>44733</v>
      </c>
      <c r="Q330">
        <v>13.4</v>
      </c>
      <c r="R330">
        <v>11</v>
      </c>
      <c r="S330" t="s">
        <v>3427</v>
      </c>
      <c r="T330" t="s">
        <v>2689</v>
      </c>
      <c r="U330" s="10" t="s">
        <v>5732</v>
      </c>
      <c r="V330" t="s">
        <v>5733</v>
      </c>
      <c r="W330" t="s">
        <v>5734</v>
      </c>
      <c r="X330" t="s">
        <v>2688</v>
      </c>
      <c r="Y330" t="s">
        <v>2688</v>
      </c>
      <c r="Z330" t="s">
        <v>2689</v>
      </c>
      <c r="AA330" t="s">
        <v>2689</v>
      </c>
      <c r="AB330" t="s">
        <v>5735</v>
      </c>
      <c r="AD330" t="s">
        <v>5736</v>
      </c>
      <c r="AE330" t="s">
        <v>5737</v>
      </c>
      <c r="AH330" t="s">
        <v>3445</v>
      </c>
      <c r="AJ330" t="s">
        <v>5738</v>
      </c>
    </row>
    <row r="331" spans="1:36" ht="58.3" x14ac:dyDescent="0.4">
      <c r="A331" t="s">
        <v>1453</v>
      </c>
      <c r="B331" t="s">
        <v>5739</v>
      </c>
      <c r="C331" t="s">
        <v>3448</v>
      </c>
      <c r="D331" t="s">
        <v>5740</v>
      </c>
      <c r="E331" t="s">
        <v>2679</v>
      </c>
      <c r="F331" t="s">
        <v>5741</v>
      </c>
      <c r="G331">
        <v>37.978470574200003</v>
      </c>
      <c r="H331">
        <v>-92.768592080999994</v>
      </c>
      <c r="I331" t="s">
        <v>3448</v>
      </c>
      <c r="J331" t="s">
        <v>2442</v>
      </c>
      <c r="K331" t="s">
        <v>5742</v>
      </c>
      <c r="L331" t="s">
        <v>2444</v>
      </c>
      <c r="M331">
        <v>90</v>
      </c>
      <c r="N331" t="s">
        <v>3438</v>
      </c>
      <c r="O331" t="s">
        <v>1453</v>
      </c>
      <c r="P331" s="1">
        <v>44734</v>
      </c>
      <c r="Q331">
        <v>50.1</v>
      </c>
      <c r="R331">
        <v>26</v>
      </c>
      <c r="S331" t="s">
        <v>4374</v>
      </c>
      <c r="T331" t="s">
        <v>2689</v>
      </c>
      <c r="U331" s="10" t="s">
        <v>5743</v>
      </c>
      <c r="V331" t="s">
        <v>5744</v>
      </c>
      <c r="W331" t="s">
        <v>5745</v>
      </c>
      <c r="X331" t="s">
        <v>2688</v>
      </c>
      <c r="Y331" t="s">
        <v>2688</v>
      </c>
      <c r="Z331" t="s">
        <v>2689</v>
      </c>
      <c r="AA331" t="s">
        <v>2689</v>
      </c>
      <c r="AB331" t="s">
        <v>5746</v>
      </c>
      <c r="AD331" t="s">
        <v>5747</v>
      </c>
      <c r="AE331" t="s">
        <v>5748</v>
      </c>
      <c r="AH331" t="s">
        <v>3445</v>
      </c>
      <c r="AJ331" t="s">
        <v>5749</v>
      </c>
    </row>
    <row r="332" spans="1:36" ht="87.45" x14ac:dyDescent="0.4">
      <c r="A332" t="s">
        <v>690</v>
      </c>
      <c r="B332" t="s">
        <v>5750</v>
      </c>
      <c r="C332" t="s">
        <v>1411</v>
      </c>
      <c r="D332" t="s">
        <v>5751</v>
      </c>
      <c r="E332" t="s">
        <v>2679</v>
      </c>
      <c r="F332" t="s">
        <v>5752</v>
      </c>
      <c r="G332">
        <v>38.9814666706</v>
      </c>
      <c r="H332">
        <v>-94.791710497899999</v>
      </c>
      <c r="I332" t="s">
        <v>1411</v>
      </c>
      <c r="J332" t="s">
        <v>2420</v>
      </c>
      <c r="K332" t="s">
        <v>674</v>
      </c>
      <c r="L332" t="s">
        <v>2423</v>
      </c>
      <c r="M332">
        <v>300</v>
      </c>
      <c r="N332" t="s">
        <v>3438</v>
      </c>
      <c r="O332" t="s">
        <v>690</v>
      </c>
      <c r="P332" s="1">
        <v>44775</v>
      </c>
      <c r="Q332">
        <v>74.7</v>
      </c>
      <c r="R332">
        <v>23</v>
      </c>
      <c r="S332" t="s">
        <v>3427</v>
      </c>
      <c r="T332" t="s">
        <v>2689</v>
      </c>
      <c r="U332" s="10" t="s">
        <v>5753</v>
      </c>
      <c r="V332" t="s">
        <v>5754</v>
      </c>
      <c r="W332" t="s">
        <v>5755</v>
      </c>
      <c r="X332" t="s">
        <v>2688</v>
      </c>
      <c r="Y332" t="s">
        <v>2688</v>
      </c>
      <c r="Z332" t="s">
        <v>2689</v>
      </c>
      <c r="AA332" t="s">
        <v>2689</v>
      </c>
      <c r="AB332" t="s">
        <v>5756</v>
      </c>
      <c r="AD332" t="s">
        <v>5757</v>
      </c>
      <c r="AE332" t="s">
        <v>5758</v>
      </c>
      <c r="AH332" t="s">
        <v>3445</v>
      </c>
    </row>
    <row r="333" spans="1:36" ht="87.45" x14ac:dyDescent="0.4">
      <c r="A333" t="s">
        <v>916</v>
      </c>
      <c r="B333" t="s">
        <v>5759</v>
      </c>
      <c r="C333" t="s">
        <v>1411</v>
      </c>
      <c r="D333" t="s">
        <v>5760</v>
      </c>
      <c r="E333" t="s">
        <v>2679</v>
      </c>
      <c r="F333" t="s">
        <v>5761</v>
      </c>
      <c r="G333">
        <v>42.0562030874</v>
      </c>
      <c r="H333">
        <v>-73.351057584700001</v>
      </c>
      <c r="I333" t="s">
        <v>1411</v>
      </c>
      <c r="J333" t="s">
        <v>2431</v>
      </c>
      <c r="K333" t="s">
        <v>3683</v>
      </c>
      <c r="L333" t="s">
        <v>2432</v>
      </c>
      <c r="M333">
        <v>392</v>
      </c>
      <c r="N333" t="s">
        <v>3438</v>
      </c>
      <c r="O333" t="s">
        <v>916</v>
      </c>
      <c r="P333" s="1">
        <v>44794</v>
      </c>
      <c r="Q333">
        <v>32.200000000000003</v>
      </c>
      <c r="R333">
        <v>25</v>
      </c>
      <c r="S333" t="s">
        <v>3427</v>
      </c>
      <c r="T333" t="s">
        <v>2689</v>
      </c>
      <c r="U333" s="10" t="s">
        <v>5762</v>
      </c>
      <c r="V333" t="s">
        <v>5763</v>
      </c>
      <c r="W333" t="s">
        <v>5764</v>
      </c>
      <c r="X333" t="s">
        <v>2688</v>
      </c>
      <c r="Y333" t="s">
        <v>2688</v>
      </c>
      <c r="Z333" t="s">
        <v>2747</v>
      </c>
      <c r="AA333" t="s">
        <v>2688</v>
      </c>
      <c r="AB333" t="s">
        <v>5765</v>
      </c>
      <c r="AD333" t="s">
        <v>5766</v>
      </c>
      <c r="AE333" t="s">
        <v>5767</v>
      </c>
      <c r="AH333" t="s">
        <v>3445</v>
      </c>
      <c r="AJ333" t="s">
        <v>5768</v>
      </c>
    </row>
    <row r="334" spans="1:36" ht="116.6" x14ac:dyDescent="0.4">
      <c r="A334" t="s">
        <v>919</v>
      </c>
      <c r="B334" t="s">
        <v>5769</v>
      </c>
      <c r="C334" t="s">
        <v>3448</v>
      </c>
      <c r="D334" t="s">
        <v>5770</v>
      </c>
      <c r="E334" t="s">
        <v>2679</v>
      </c>
      <c r="F334" t="s">
        <v>5771</v>
      </c>
      <c r="G334">
        <v>42.057426399599997</v>
      </c>
      <c r="H334">
        <v>-73.350337492400001</v>
      </c>
      <c r="I334" t="s">
        <v>3448</v>
      </c>
      <c r="J334" t="s">
        <v>2431</v>
      </c>
      <c r="K334" t="s">
        <v>3683</v>
      </c>
      <c r="L334" t="s">
        <v>2432</v>
      </c>
      <c r="M334">
        <v>393</v>
      </c>
      <c r="N334" t="s">
        <v>3438</v>
      </c>
      <c r="O334" t="s">
        <v>919</v>
      </c>
      <c r="P334" s="1">
        <v>44794</v>
      </c>
      <c r="Q334">
        <v>23.7</v>
      </c>
      <c r="R334">
        <v>26</v>
      </c>
      <c r="S334" t="s">
        <v>3427</v>
      </c>
      <c r="T334" t="s">
        <v>2689</v>
      </c>
      <c r="U334" s="10" t="s">
        <v>5772</v>
      </c>
      <c r="V334" t="s">
        <v>5773</v>
      </c>
      <c r="W334" t="s">
        <v>5774</v>
      </c>
      <c r="X334" t="s">
        <v>2688</v>
      </c>
      <c r="Y334" t="s">
        <v>2688</v>
      </c>
      <c r="Z334" t="s">
        <v>2747</v>
      </c>
      <c r="AA334" t="s">
        <v>2688</v>
      </c>
      <c r="AB334" t="s">
        <v>5775</v>
      </c>
      <c r="AC334" t="s">
        <v>5776</v>
      </c>
      <c r="AD334" t="s">
        <v>5777</v>
      </c>
      <c r="AE334" t="s">
        <v>5778</v>
      </c>
      <c r="AH334" t="s">
        <v>3445</v>
      </c>
      <c r="AJ334" t="s">
        <v>5779</v>
      </c>
    </row>
    <row r="335" spans="1:36" ht="102" x14ac:dyDescent="0.4">
      <c r="A335" t="s">
        <v>951</v>
      </c>
      <c r="B335" t="s">
        <v>5780</v>
      </c>
      <c r="C335" t="s">
        <v>1411</v>
      </c>
      <c r="D335" t="s">
        <v>5781</v>
      </c>
      <c r="E335" t="s">
        <v>2679</v>
      </c>
      <c r="F335" t="s">
        <v>5782</v>
      </c>
      <c r="G335">
        <v>42.084580874099998</v>
      </c>
      <c r="H335">
        <v>-73.385150637500004</v>
      </c>
      <c r="I335" t="s">
        <v>1411</v>
      </c>
      <c r="J335" t="s">
        <v>2431</v>
      </c>
      <c r="K335" t="s">
        <v>952</v>
      </c>
      <c r="L335" t="s">
        <v>2435</v>
      </c>
      <c r="M335">
        <v>403</v>
      </c>
      <c r="N335" t="s">
        <v>3438</v>
      </c>
      <c r="O335" t="s">
        <v>951</v>
      </c>
      <c r="P335" s="1">
        <v>44795</v>
      </c>
      <c r="Q335">
        <v>37.6</v>
      </c>
      <c r="R335">
        <v>27</v>
      </c>
      <c r="S335" t="s">
        <v>3427</v>
      </c>
      <c r="T335" t="s">
        <v>2689</v>
      </c>
      <c r="U335" s="10" t="s">
        <v>5783</v>
      </c>
      <c r="V335" t="s">
        <v>5784</v>
      </c>
      <c r="W335" t="s">
        <v>5785</v>
      </c>
      <c r="X335" t="s">
        <v>2688</v>
      </c>
      <c r="Y335" t="s">
        <v>2688</v>
      </c>
      <c r="Z335" t="s">
        <v>2688</v>
      </c>
      <c r="AA335" t="s">
        <v>2688</v>
      </c>
      <c r="AB335" t="s">
        <v>5786</v>
      </c>
      <c r="AD335" t="s">
        <v>5787</v>
      </c>
      <c r="AE335" t="s">
        <v>5788</v>
      </c>
      <c r="AH335" t="s">
        <v>3445</v>
      </c>
      <c r="AJ335" s="10" t="s">
        <v>5789</v>
      </c>
    </row>
    <row r="336" spans="1:36" ht="102" x14ac:dyDescent="0.4">
      <c r="A336" t="s">
        <v>967</v>
      </c>
      <c r="B336" t="s">
        <v>5790</v>
      </c>
      <c r="C336" t="s">
        <v>3448</v>
      </c>
      <c r="D336" t="s">
        <v>5781</v>
      </c>
      <c r="E336" t="s">
        <v>2679</v>
      </c>
      <c r="F336" t="s">
        <v>5791</v>
      </c>
      <c r="G336">
        <v>42.082271073100003</v>
      </c>
      <c r="H336">
        <v>-73.384617967599993</v>
      </c>
      <c r="I336" t="s">
        <v>3448</v>
      </c>
      <c r="J336" t="s">
        <v>2431</v>
      </c>
      <c r="K336" t="s">
        <v>952</v>
      </c>
      <c r="L336" t="s">
        <v>2435</v>
      </c>
      <c r="M336">
        <v>408</v>
      </c>
      <c r="N336" t="s">
        <v>3438</v>
      </c>
      <c r="O336" t="s">
        <v>967</v>
      </c>
      <c r="P336" s="1">
        <v>44795</v>
      </c>
      <c r="Q336">
        <v>14.3</v>
      </c>
      <c r="R336">
        <v>25</v>
      </c>
      <c r="S336" t="s">
        <v>3427</v>
      </c>
      <c r="T336" t="s">
        <v>2689</v>
      </c>
      <c r="U336" s="10" t="s">
        <v>5792</v>
      </c>
      <c r="V336" t="s">
        <v>5793</v>
      </c>
      <c r="W336" t="s">
        <v>5794</v>
      </c>
      <c r="X336" t="s">
        <v>2688</v>
      </c>
      <c r="Y336" t="s">
        <v>2688</v>
      </c>
      <c r="Z336" t="s">
        <v>2747</v>
      </c>
      <c r="AA336" t="s">
        <v>2688</v>
      </c>
      <c r="AB336" t="s">
        <v>5795</v>
      </c>
      <c r="AD336" s="9" t="s">
        <v>5796</v>
      </c>
      <c r="AE336" t="s">
        <v>5797</v>
      </c>
      <c r="AH336" t="s">
        <v>3445</v>
      </c>
      <c r="AJ336" s="10" t="s">
        <v>5798</v>
      </c>
    </row>
    <row r="337" spans="1:36" ht="145.75" x14ac:dyDescent="0.4">
      <c r="A337" t="s">
        <v>492</v>
      </c>
      <c r="B337" t="s">
        <v>5799</v>
      </c>
      <c r="C337" t="s">
        <v>1411</v>
      </c>
      <c r="D337" t="s">
        <v>5800</v>
      </c>
      <c r="E337" t="s">
        <v>2679</v>
      </c>
      <c r="F337" t="s">
        <v>5801</v>
      </c>
      <c r="G337">
        <v>40.4580350966</v>
      </c>
      <c r="H337">
        <v>-85.5116220285</v>
      </c>
      <c r="I337" t="s">
        <v>1411</v>
      </c>
      <c r="J337" t="s">
        <v>2413</v>
      </c>
      <c r="K337" t="s">
        <v>483</v>
      </c>
      <c r="L337" t="s">
        <v>2419</v>
      </c>
      <c r="M337">
        <v>488</v>
      </c>
      <c r="N337" t="s">
        <v>3438</v>
      </c>
      <c r="O337" t="s">
        <v>492</v>
      </c>
      <c r="P337" s="1">
        <v>44819</v>
      </c>
      <c r="Q337">
        <v>54.9</v>
      </c>
      <c r="R337">
        <v>28</v>
      </c>
      <c r="S337" t="s">
        <v>3607</v>
      </c>
      <c r="T337" t="s">
        <v>2688</v>
      </c>
      <c r="U337" s="10" t="s">
        <v>5802</v>
      </c>
      <c r="V337" s="10" t="s">
        <v>5803</v>
      </c>
      <c r="W337" t="s">
        <v>5624</v>
      </c>
      <c r="X337" t="s">
        <v>2688</v>
      </c>
      <c r="Y337" t="s">
        <v>2688</v>
      </c>
      <c r="Z337" t="s">
        <v>2688</v>
      </c>
      <c r="AA337" t="s">
        <v>2688</v>
      </c>
      <c r="AB337" t="s">
        <v>5804</v>
      </c>
      <c r="AC337" t="s">
        <v>5805</v>
      </c>
      <c r="AD337" t="s">
        <v>5806</v>
      </c>
      <c r="AH337" t="s">
        <v>3445</v>
      </c>
      <c r="AJ337" s="10" t="s">
        <v>5807</v>
      </c>
    </row>
    <row r="338" spans="1:36" ht="131.15" x14ac:dyDescent="0.4">
      <c r="A338" t="s">
        <v>513</v>
      </c>
      <c r="B338" t="s">
        <v>5808</v>
      </c>
      <c r="C338" t="s">
        <v>3594</v>
      </c>
      <c r="D338" t="s">
        <v>5800</v>
      </c>
      <c r="E338" t="s">
        <v>2679</v>
      </c>
      <c r="F338" t="s">
        <v>5809</v>
      </c>
      <c r="G338">
        <v>40.456760879599997</v>
      </c>
      <c r="H338">
        <v>-85.508963791699998</v>
      </c>
      <c r="I338" t="s">
        <v>3594</v>
      </c>
      <c r="J338" t="s">
        <v>2413</v>
      </c>
      <c r="K338" t="s">
        <v>483</v>
      </c>
      <c r="L338" t="s">
        <v>2419</v>
      </c>
      <c r="M338">
        <v>495</v>
      </c>
      <c r="N338" t="s">
        <v>3438</v>
      </c>
      <c r="O338" t="s">
        <v>513</v>
      </c>
      <c r="P338" s="1">
        <v>44819</v>
      </c>
      <c r="Q338">
        <v>19.7</v>
      </c>
      <c r="R338">
        <v>21</v>
      </c>
      <c r="S338" t="s">
        <v>3427</v>
      </c>
      <c r="T338" t="s">
        <v>2689</v>
      </c>
      <c r="U338" s="10" t="s">
        <v>5810</v>
      </c>
      <c r="V338" s="10" t="s">
        <v>5811</v>
      </c>
      <c r="W338" t="s">
        <v>5812</v>
      </c>
      <c r="X338" t="s">
        <v>2688</v>
      </c>
      <c r="Y338" t="s">
        <v>2688</v>
      </c>
      <c r="Z338" t="s">
        <v>2747</v>
      </c>
      <c r="AA338" t="s">
        <v>2688</v>
      </c>
      <c r="AB338" t="s">
        <v>5813</v>
      </c>
      <c r="AD338" t="s">
        <v>5814</v>
      </c>
      <c r="AE338" t="s">
        <v>5815</v>
      </c>
      <c r="AH338" t="s">
        <v>3445</v>
      </c>
      <c r="AJ338" s="10" t="s">
        <v>5816</v>
      </c>
    </row>
    <row r="339" spans="1:36" x14ac:dyDescent="0.4">
      <c r="A339" t="s">
        <v>2357</v>
      </c>
      <c r="B339" t="s">
        <v>5817</v>
      </c>
      <c r="C339" t="s">
        <v>1411</v>
      </c>
      <c r="D339" t="s">
        <v>5818</v>
      </c>
      <c r="E339" t="s">
        <v>2679</v>
      </c>
      <c r="F339" t="s">
        <v>5819</v>
      </c>
      <c r="G339">
        <v>43.0175433227</v>
      </c>
      <c r="H339">
        <v>-88.436457443699993</v>
      </c>
      <c r="I339" t="s">
        <v>1411</v>
      </c>
      <c r="J339" t="s">
        <v>2468</v>
      </c>
      <c r="K339" t="s">
        <v>5686</v>
      </c>
      <c r="L339" t="s">
        <v>2471</v>
      </c>
      <c r="M339">
        <v>241</v>
      </c>
      <c r="N339" t="s">
        <v>3438</v>
      </c>
      <c r="O339" t="s">
        <v>2357</v>
      </c>
      <c r="P339" s="1">
        <v>44764</v>
      </c>
      <c r="Q339">
        <v>66</v>
      </c>
      <c r="R339">
        <v>16</v>
      </c>
      <c r="S339" t="s">
        <v>3427</v>
      </c>
      <c r="T339" t="s">
        <v>2688</v>
      </c>
      <c r="U339" t="s">
        <v>5820</v>
      </c>
      <c r="V339" t="s">
        <v>5821</v>
      </c>
      <c r="W339" t="s">
        <v>5688</v>
      </c>
      <c r="X339" t="s">
        <v>2688</v>
      </c>
      <c r="Y339" t="s">
        <v>2688</v>
      </c>
      <c r="Z339" t="s">
        <v>2688</v>
      </c>
      <c r="AA339" t="s">
        <v>2688</v>
      </c>
      <c r="AB339" t="s">
        <v>5822</v>
      </c>
      <c r="AC339" t="s">
        <v>5823</v>
      </c>
      <c r="AD339" t="s">
        <v>5824</v>
      </c>
      <c r="AE339" t="s">
        <v>5825</v>
      </c>
      <c r="AH339" t="s">
        <v>3445</v>
      </c>
    </row>
    <row r="340" spans="1:36" ht="116.6" x14ac:dyDescent="0.4">
      <c r="A340" t="s">
        <v>1876</v>
      </c>
      <c r="B340" t="s">
        <v>5826</v>
      </c>
      <c r="C340" t="s">
        <v>3448</v>
      </c>
      <c r="D340" t="s">
        <v>5827</v>
      </c>
      <c r="E340" t="s">
        <v>2679</v>
      </c>
      <c r="F340" t="s">
        <v>5828</v>
      </c>
      <c r="G340">
        <v>39.347136709899999</v>
      </c>
      <c r="H340">
        <v>-82.037191651800001</v>
      </c>
      <c r="I340" t="s">
        <v>3448</v>
      </c>
      <c r="J340" t="s">
        <v>2454</v>
      </c>
      <c r="K340" t="s">
        <v>5829</v>
      </c>
      <c r="L340" t="s">
        <v>2456</v>
      </c>
      <c r="M340">
        <v>516</v>
      </c>
      <c r="N340" t="s">
        <v>3438</v>
      </c>
      <c r="O340" t="s">
        <v>1876</v>
      </c>
      <c r="P340" s="1">
        <v>44822</v>
      </c>
      <c r="Q340">
        <v>64.099999999999994</v>
      </c>
      <c r="R340">
        <v>26</v>
      </c>
      <c r="S340" t="s">
        <v>3427</v>
      </c>
      <c r="T340" t="s">
        <v>2747</v>
      </c>
      <c r="U340" s="10" t="s">
        <v>5830</v>
      </c>
      <c r="V340" s="10" t="s">
        <v>5831</v>
      </c>
      <c r="W340" t="s">
        <v>5832</v>
      </c>
      <c r="X340" t="s">
        <v>2688</v>
      </c>
      <c r="Y340" t="s">
        <v>2688</v>
      </c>
      <c r="Z340" t="s">
        <v>2747</v>
      </c>
      <c r="AA340" t="s">
        <v>2689</v>
      </c>
      <c r="AB340" t="s">
        <v>5833</v>
      </c>
      <c r="AD340" t="s">
        <v>5834</v>
      </c>
      <c r="AE340" t="s">
        <v>5835</v>
      </c>
      <c r="AH340" t="s">
        <v>3445</v>
      </c>
      <c r="AJ340" s="10" t="s">
        <v>5836</v>
      </c>
    </row>
    <row r="341" spans="1:36" ht="116.6" x14ac:dyDescent="0.4">
      <c r="A341" t="s">
        <v>1882</v>
      </c>
      <c r="B341" t="s">
        <v>5837</v>
      </c>
      <c r="C341" t="s">
        <v>5838</v>
      </c>
      <c r="D341" t="s">
        <v>5839</v>
      </c>
      <c r="E341" t="s">
        <v>2679</v>
      </c>
      <c r="F341" t="s">
        <v>5840</v>
      </c>
      <c r="G341">
        <v>39.349452755500003</v>
      </c>
      <c r="H341">
        <v>-82.047292348100001</v>
      </c>
      <c r="I341" t="s">
        <v>5838</v>
      </c>
      <c r="J341" t="s">
        <v>2454</v>
      </c>
      <c r="K341" t="s">
        <v>5829</v>
      </c>
      <c r="L341" t="s">
        <v>2456</v>
      </c>
      <c r="M341">
        <v>518</v>
      </c>
      <c r="N341" t="s">
        <v>3438</v>
      </c>
      <c r="O341" t="s">
        <v>1882</v>
      </c>
      <c r="P341" s="1">
        <v>44822</v>
      </c>
      <c r="Q341">
        <v>24.7</v>
      </c>
      <c r="R341">
        <v>22</v>
      </c>
      <c r="S341" t="s">
        <v>3607</v>
      </c>
      <c r="T341" t="s">
        <v>2747</v>
      </c>
      <c r="U341" s="10" t="s">
        <v>5841</v>
      </c>
      <c r="V341" s="10" t="s">
        <v>5842</v>
      </c>
      <c r="W341" t="s">
        <v>5843</v>
      </c>
      <c r="X341" t="s">
        <v>2688</v>
      </c>
      <c r="Y341" t="s">
        <v>2688</v>
      </c>
      <c r="Z341" t="s">
        <v>2747</v>
      </c>
      <c r="AA341" t="s">
        <v>2689</v>
      </c>
      <c r="AB341" t="s">
        <v>5844</v>
      </c>
      <c r="AD341" t="s">
        <v>5845</v>
      </c>
      <c r="AE341" t="s">
        <v>5846</v>
      </c>
      <c r="AH341" t="s">
        <v>3445</v>
      </c>
      <c r="AJ341" s="10" t="s">
        <v>5847</v>
      </c>
    </row>
    <row r="342" spans="1:36" ht="116.6" x14ac:dyDescent="0.4">
      <c r="A342" t="s">
        <v>1885</v>
      </c>
      <c r="B342" t="s">
        <v>5848</v>
      </c>
      <c r="C342" t="s">
        <v>5838</v>
      </c>
      <c r="D342" t="s">
        <v>5839</v>
      </c>
      <c r="E342" t="s">
        <v>2679</v>
      </c>
      <c r="F342" t="s">
        <v>5849</v>
      </c>
      <c r="G342">
        <v>39.349526725700002</v>
      </c>
      <c r="H342">
        <v>-82.046924466299998</v>
      </c>
      <c r="I342" t="s">
        <v>5838</v>
      </c>
      <c r="J342" t="s">
        <v>2454</v>
      </c>
      <c r="K342" t="s">
        <v>5829</v>
      </c>
      <c r="L342" t="s">
        <v>2456</v>
      </c>
      <c r="M342">
        <v>519</v>
      </c>
      <c r="N342" t="s">
        <v>3438</v>
      </c>
      <c r="O342" t="s">
        <v>1885</v>
      </c>
      <c r="P342" s="1">
        <v>44822</v>
      </c>
      <c r="Q342">
        <v>54.6</v>
      </c>
      <c r="R342">
        <v>27</v>
      </c>
      <c r="S342" t="s">
        <v>3607</v>
      </c>
      <c r="T342" t="s">
        <v>2747</v>
      </c>
      <c r="U342" s="10" t="s">
        <v>5850</v>
      </c>
      <c r="V342" s="10" t="s">
        <v>5851</v>
      </c>
      <c r="W342" t="s">
        <v>5852</v>
      </c>
      <c r="X342" t="s">
        <v>2688</v>
      </c>
      <c r="Y342" t="s">
        <v>2688</v>
      </c>
      <c r="Z342" t="s">
        <v>2747</v>
      </c>
      <c r="AA342" t="s">
        <v>2689</v>
      </c>
      <c r="AB342" t="s">
        <v>5853</v>
      </c>
      <c r="AD342" t="s">
        <v>5854</v>
      </c>
      <c r="AE342" t="s">
        <v>5855</v>
      </c>
      <c r="AH342" t="s">
        <v>3445</v>
      </c>
      <c r="AJ342" s="10" t="s">
        <v>5856</v>
      </c>
    </row>
    <row r="343" spans="1:36" ht="102" x14ac:dyDescent="0.4">
      <c r="A343" t="s">
        <v>1888</v>
      </c>
      <c r="B343" t="s">
        <v>5857</v>
      </c>
      <c r="C343" t="s">
        <v>5838</v>
      </c>
      <c r="D343" t="s">
        <v>5858</v>
      </c>
      <c r="E343" t="s">
        <v>2679</v>
      </c>
      <c r="F343" t="s">
        <v>5859</v>
      </c>
      <c r="G343">
        <v>39.336198451999998</v>
      </c>
      <c r="H343">
        <v>-82.015277082200001</v>
      </c>
      <c r="I343" t="s">
        <v>5838</v>
      </c>
      <c r="J343" t="s">
        <v>2454</v>
      </c>
      <c r="K343" t="s">
        <v>5829</v>
      </c>
      <c r="L343" t="s">
        <v>2456</v>
      </c>
      <c r="M343">
        <v>520</v>
      </c>
      <c r="N343" t="s">
        <v>3438</v>
      </c>
      <c r="O343" t="s">
        <v>1888</v>
      </c>
      <c r="P343" s="1">
        <v>44822</v>
      </c>
      <c r="Q343">
        <v>23.7</v>
      </c>
      <c r="R343">
        <v>23</v>
      </c>
      <c r="S343" t="s">
        <v>3427</v>
      </c>
      <c r="T343" t="s">
        <v>2747</v>
      </c>
      <c r="U343" s="10" t="s">
        <v>5860</v>
      </c>
      <c r="V343" s="10" t="s">
        <v>5861</v>
      </c>
      <c r="W343" t="s">
        <v>5862</v>
      </c>
      <c r="X343" t="s">
        <v>2688</v>
      </c>
      <c r="Y343" t="s">
        <v>2688</v>
      </c>
      <c r="Z343" t="s">
        <v>2747</v>
      </c>
      <c r="AA343" t="s">
        <v>2689</v>
      </c>
      <c r="AB343" t="s">
        <v>5863</v>
      </c>
      <c r="AD343" t="s">
        <v>5864</v>
      </c>
      <c r="AE343" t="s">
        <v>5865</v>
      </c>
      <c r="AH343" t="s">
        <v>3445</v>
      </c>
      <c r="AJ343" t="s">
        <v>5866</v>
      </c>
    </row>
    <row r="344" spans="1:36" ht="189.45" x14ac:dyDescent="0.4">
      <c r="A344" t="s">
        <v>446</v>
      </c>
      <c r="B344" t="s">
        <v>5867</v>
      </c>
      <c r="C344" t="s">
        <v>3594</v>
      </c>
      <c r="D344" t="s">
        <v>5868</v>
      </c>
      <c r="E344" t="s">
        <v>2679</v>
      </c>
      <c r="F344" t="s">
        <v>5869</v>
      </c>
      <c r="G344">
        <v>39.198992732000001</v>
      </c>
      <c r="H344">
        <v>-86.538791824200004</v>
      </c>
      <c r="I344" t="s">
        <v>3594</v>
      </c>
      <c r="J344" t="s">
        <v>2413</v>
      </c>
      <c r="K344" t="s">
        <v>428</v>
      </c>
      <c r="L344" t="s">
        <v>2417</v>
      </c>
      <c r="M344">
        <v>507</v>
      </c>
      <c r="N344" t="s">
        <v>3438</v>
      </c>
      <c r="O344" t="s">
        <v>446</v>
      </c>
      <c r="P344" s="1">
        <v>44820</v>
      </c>
      <c r="Q344">
        <v>33</v>
      </c>
      <c r="R344">
        <v>27</v>
      </c>
      <c r="S344" t="s">
        <v>3427</v>
      </c>
      <c r="T344" t="s">
        <v>2747</v>
      </c>
      <c r="U344" s="10" t="s">
        <v>5870</v>
      </c>
      <c r="V344" s="10" t="s">
        <v>5871</v>
      </c>
      <c r="W344" t="s">
        <v>5872</v>
      </c>
      <c r="X344" t="s">
        <v>2688</v>
      </c>
      <c r="Y344" t="s">
        <v>2688</v>
      </c>
      <c r="Z344" t="s">
        <v>2747</v>
      </c>
      <c r="AA344" t="s">
        <v>2689</v>
      </c>
      <c r="AB344" t="s">
        <v>5873</v>
      </c>
      <c r="AD344" t="s">
        <v>5874</v>
      </c>
      <c r="AE344" t="s">
        <v>5875</v>
      </c>
      <c r="AH344" t="s">
        <v>5876</v>
      </c>
      <c r="AJ344" s="10" t="s">
        <v>5645</v>
      </c>
    </row>
    <row r="345" spans="1:36" ht="174.9" x14ac:dyDescent="0.4">
      <c r="A345" t="s">
        <v>397</v>
      </c>
      <c r="B345" t="s">
        <v>5877</v>
      </c>
      <c r="C345" t="s">
        <v>1411</v>
      </c>
      <c r="D345" t="s">
        <v>5868</v>
      </c>
      <c r="E345" t="s">
        <v>2679</v>
      </c>
      <c r="F345" t="s">
        <v>5878</v>
      </c>
      <c r="G345">
        <v>39.219944598200001</v>
      </c>
      <c r="H345">
        <v>-86.542607434199994</v>
      </c>
      <c r="I345" t="s">
        <v>1411</v>
      </c>
      <c r="J345" t="s">
        <v>2413</v>
      </c>
      <c r="K345" t="s">
        <v>5879</v>
      </c>
      <c r="L345" t="s">
        <v>2414</v>
      </c>
      <c r="M345">
        <v>499</v>
      </c>
      <c r="N345" t="s">
        <v>3438</v>
      </c>
      <c r="O345" t="s">
        <v>397</v>
      </c>
      <c r="P345" s="1">
        <v>44820</v>
      </c>
      <c r="Q345">
        <v>65.099999999999994</v>
      </c>
      <c r="R345">
        <v>27</v>
      </c>
      <c r="S345" t="s">
        <v>3607</v>
      </c>
      <c r="T345" t="s">
        <v>2689</v>
      </c>
      <c r="U345" s="10" t="s">
        <v>5880</v>
      </c>
      <c r="V345" s="10" t="s">
        <v>5881</v>
      </c>
      <c r="W345" t="s">
        <v>5882</v>
      </c>
      <c r="X345" t="s">
        <v>2688</v>
      </c>
      <c r="Y345" t="s">
        <v>2688</v>
      </c>
      <c r="Z345" t="s">
        <v>2689</v>
      </c>
      <c r="AA345" t="s">
        <v>2689</v>
      </c>
      <c r="AB345" t="s">
        <v>5883</v>
      </c>
      <c r="AD345" t="s">
        <v>5884</v>
      </c>
      <c r="AE345" t="s">
        <v>5885</v>
      </c>
      <c r="AH345" t="s">
        <v>3445</v>
      </c>
      <c r="AJ345" t="s">
        <v>5886</v>
      </c>
    </row>
    <row r="346" spans="1:36" ht="102" x14ac:dyDescent="0.4">
      <c r="A346" t="s">
        <v>431</v>
      </c>
      <c r="B346" t="s">
        <v>5887</v>
      </c>
      <c r="C346" t="s">
        <v>1411</v>
      </c>
      <c r="D346" t="s">
        <v>5888</v>
      </c>
      <c r="E346" t="s">
        <v>2679</v>
      </c>
      <c r="F346" t="s">
        <v>5889</v>
      </c>
      <c r="G346">
        <v>39.197507919800003</v>
      </c>
      <c r="H346">
        <v>-86.5390222427</v>
      </c>
      <c r="I346" t="s">
        <v>1411</v>
      </c>
      <c r="J346" t="s">
        <v>2413</v>
      </c>
      <c r="K346" t="s">
        <v>428</v>
      </c>
      <c r="L346" t="s">
        <v>2417</v>
      </c>
      <c r="M346">
        <v>502</v>
      </c>
      <c r="N346" t="s">
        <v>3438</v>
      </c>
      <c r="O346" t="s">
        <v>431</v>
      </c>
      <c r="P346" s="1">
        <v>44820</v>
      </c>
      <c r="Q346">
        <v>59.4</v>
      </c>
      <c r="R346">
        <v>28</v>
      </c>
      <c r="S346" t="s">
        <v>3607</v>
      </c>
      <c r="T346" t="s">
        <v>2689</v>
      </c>
      <c r="U346" s="10" t="s">
        <v>5890</v>
      </c>
      <c r="V346" s="10" t="s">
        <v>5891</v>
      </c>
      <c r="W346" t="s">
        <v>5872</v>
      </c>
      <c r="X346" t="s">
        <v>2688</v>
      </c>
      <c r="Y346" t="s">
        <v>2688</v>
      </c>
      <c r="Z346" t="s">
        <v>2689</v>
      </c>
      <c r="AA346" t="s">
        <v>2689</v>
      </c>
      <c r="AB346" t="s">
        <v>5892</v>
      </c>
      <c r="AD346" t="s">
        <v>5893</v>
      </c>
      <c r="AE346" t="s">
        <v>5894</v>
      </c>
      <c r="AH346" t="s">
        <v>5876</v>
      </c>
      <c r="AJ346" s="10" t="s">
        <v>5895</v>
      </c>
    </row>
    <row r="347" spans="1:36" ht="116.6" x14ac:dyDescent="0.4">
      <c r="A347" t="s">
        <v>434</v>
      </c>
      <c r="B347" t="s">
        <v>5896</v>
      </c>
      <c r="C347" t="s">
        <v>3594</v>
      </c>
      <c r="D347" t="s">
        <v>5888</v>
      </c>
      <c r="E347" t="s">
        <v>2679</v>
      </c>
      <c r="F347" t="s">
        <v>5897</v>
      </c>
      <c r="G347">
        <v>39.196934555699997</v>
      </c>
      <c r="H347">
        <v>-86.538233589499995</v>
      </c>
      <c r="I347" t="s">
        <v>3594</v>
      </c>
      <c r="J347" t="s">
        <v>2413</v>
      </c>
      <c r="K347" t="s">
        <v>428</v>
      </c>
      <c r="L347" t="s">
        <v>2417</v>
      </c>
      <c r="M347">
        <v>503</v>
      </c>
      <c r="N347" t="s">
        <v>3438</v>
      </c>
      <c r="O347" t="s">
        <v>434</v>
      </c>
      <c r="P347" s="1">
        <v>44820</v>
      </c>
      <c r="Q347">
        <v>28.5</v>
      </c>
      <c r="R347">
        <v>24</v>
      </c>
      <c r="S347" t="s">
        <v>3427</v>
      </c>
      <c r="T347" t="s">
        <v>2689</v>
      </c>
      <c r="U347" s="10" t="s">
        <v>5898</v>
      </c>
      <c r="V347" s="10" t="s">
        <v>5899</v>
      </c>
      <c r="W347" t="s">
        <v>5900</v>
      </c>
      <c r="X347" t="s">
        <v>2688</v>
      </c>
      <c r="Y347" t="s">
        <v>2688</v>
      </c>
      <c r="Z347" t="s">
        <v>2747</v>
      </c>
      <c r="AA347" t="s">
        <v>2689</v>
      </c>
      <c r="AB347" t="s">
        <v>5901</v>
      </c>
      <c r="AD347" t="s">
        <v>5902</v>
      </c>
      <c r="AE347" t="s">
        <v>5903</v>
      </c>
      <c r="AH347" t="s">
        <v>5904</v>
      </c>
      <c r="AJ347" t="s">
        <v>5040</v>
      </c>
    </row>
    <row r="348" spans="1:36" ht="102" x14ac:dyDescent="0.4">
      <c r="A348" t="s">
        <v>437</v>
      </c>
      <c r="B348" t="s">
        <v>5905</v>
      </c>
      <c r="C348" t="s">
        <v>3594</v>
      </c>
      <c r="D348" t="s">
        <v>5906</v>
      </c>
      <c r="E348" t="s">
        <v>2679</v>
      </c>
      <c r="F348" t="s">
        <v>5907</v>
      </c>
      <c r="G348">
        <v>39.196465797800002</v>
      </c>
      <c r="H348">
        <v>-86.537845926399996</v>
      </c>
      <c r="I348" t="s">
        <v>3594</v>
      </c>
      <c r="J348" t="s">
        <v>2413</v>
      </c>
      <c r="K348" t="s">
        <v>428</v>
      </c>
      <c r="L348" t="s">
        <v>2417</v>
      </c>
      <c r="M348">
        <v>504</v>
      </c>
      <c r="N348" t="s">
        <v>3438</v>
      </c>
      <c r="O348" t="s">
        <v>437</v>
      </c>
      <c r="P348" s="1">
        <v>44820</v>
      </c>
      <c r="Q348">
        <v>12.8</v>
      </c>
      <c r="R348">
        <v>14</v>
      </c>
      <c r="S348" t="s">
        <v>3427</v>
      </c>
      <c r="T348" t="s">
        <v>2689</v>
      </c>
      <c r="U348" s="10" t="s">
        <v>5908</v>
      </c>
      <c r="V348" s="10" t="s">
        <v>5909</v>
      </c>
      <c r="W348" t="s">
        <v>5910</v>
      </c>
      <c r="X348" t="s">
        <v>2688</v>
      </c>
      <c r="Y348" t="s">
        <v>2688</v>
      </c>
      <c r="Z348" t="s">
        <v>2747</v>
      </c>
      <c r="AA348" t="s">
        <v>2689</v>
      </c>
      <c r="AB348" t="s">
        <v>5911</v>
      </c>
      <c r="AD348" t="s">
        <v>5912</v>
      </c>
      <c r="AE348" t="s">
        <v>5913</v>
      </c>
      <c r="AH348" t="s">
        <v>5876</v>
      </c>
      <c r="AJ348" t="s">
        <v>5914</v>
      </c>
    </row>
    <row r="349" spans="1:36" ht="116.6" x14ac:dyDescent="0.4">
      <c r="A349" t="s">
        <v>440</v>
      </c>
      <c r="B349" t="s">
        <v>5915</v>
      </c>
      <c r="C349" t="s">
        <v>3594</v>
      </c>
      <c r="D349" t="s">
        <v>5906</v>
      </c>
      <c r="E349" t="s">
        <v>2679</v>
      </c>
      <c r="F349" t="s">
        <v>5916</v>
      </c>
      <c r="G349">
        <v>39.196371920399997</v>
      </c>
      <c r="H349">
        <v>-86.537014609300002</v>
      </c>
      <c r="I349" t="s">
        <v>3594</v>
      </c>
      <c r="J349" t="s">
        <v>2413</v>
      </c>
      <c r="K349" t="s">
        <v>428</v>
      </c>
      <c r="L349" t="s">
        <v>2417</v>
      </c>
      <c r="M349">
        <v>505</v>
      </c>
      <c r="N349" t="s">
        <v>3438</v>
      </c>
      <c r="O349" t="s">
        <v>440</v>
      </c>
      <c r="P349" s="1">
        <v>44820</v>
      </c>
      <c r="Q349">
        <v>29.1</v>
      </c>
      <c r="R349">
        <v>26</v>
      </c>
      <c r="S349" t="s">
        <v>3427</v>
      </c>
      <c r="T349" t="s">
        <v>2747</v>
      </c>
      <c r="U349" s="10" t="s">
        <v>5917</v>
      </c>
      <c r="V349" s="10" t="s">
        <v>5918</v>
      </c>
      <c r="W349" t="s">
        <v>5872</v>
      </c>
      <c r="X349" t="s">
        <v>2688</v>
      </c>
      <c r="Y349" t="s">
        <v>2688</v>
      </c>
      <c r="Z349" t="s">
        <v>2747</v>
      </c>
      <c r="AA349" t="s">
        <v>2689</v>
      </c>
      <c r="AB349" t="s">
        <v>5919</v>
      </c>
      <c r="AD349" t="s">
        <v>5920</v>
      </c>
      <c r="AE349" s="9" t="s">
        <v>5921</v>
      </c>
      <c r="AH349" t="s">
        <v>5876</v>
      </c>
      <c r="AJ349" t="s">
        <v>5040</v>
      </c>
    </row>
    <row r="350" spans="1:36" ht="131.15" x14ac:dyDescent="0.4">
      <c r="A350" t="s">
        <v>443</v>
      </c>
      <c r="B350" t="s">
        <v>5922</v>
      </c>
      <c r="C350" t="s">
        <v>3594</v>
      </c>
      <c r="D350" t="s">
        <v>5923</v>
      </c>
      <c r="E350" t="s">
        <v>2679</v>
      </c>
      <c r="F350" t="s">
        <v>5924</v>
      </c>
      <c r="G350">
        <v>39.197992309999997</v>
      </c>
      <c r="H350">
        <v>-86.539010424200001</v>
      </c>
      <c r="I350" t="s">
        <v>3594</v>
      </c>
      <c r="J350" t="s">
        <v>2413</v>
      </c>
      <c r="K350" t="s">
        <v>428</v>
      </c>
      <c r="L350" t="s">
        <v>2417</v>
      </c>
      <c r="M350">
        <v>506</v>
      </c>
      <c r="N350" t="s">
        <v>3438</v>
      </c>
      <c r="O350" t="s">
        <v>443</v>
      </c>
      <c r="P350" s="1">
        <v>44820</v>
      </c>
      <c r="Q350">
        <v>43.4</v>
      </c>
      <c r="R350">
        <v>28</v>
      </c>
      <c r="S350" t="s">
        <v>3427</v>
      </c>
      <c r="T350" t="s">
        <v>2747</v>
      </c>
      <c r="U350" s="10" t="s">
        <v>5925</v>
      </c>
      <c r="V350" s="10" t="s">
        <v>5926</v>
      </c>
      <c r="W350" t="s">
        <v>5872</v>
      </c>
      <c r="X350" t="s">
        <v>2688</v>
      </c>
      <c r="Y350" t="s">
        <v>2688</v>
      </c>
      <c r="Z350" t="s">
        <v>2747</v>
      </c>
      <c r="AA350" t="s">
        <v>2689</v>
      </c>
      <c r="AB350" t="s">
        <v>5927</v>
      </c>
      <c r="AD350" t="s">
        <v>5928</v>
      </c>
      <c r="AE350" t="s">
        <v>5929</v>
      </c>
      <c r="AH350" t="s">
        <v>5876</v>
      </c>
      <c r="AJ350" s="10" t="s">
        <v>5930</v>
      </c>
    </row>
    <row r="351" spans="1:36" ht="87.45" x14ac:dyDescent="0.4">
      <c r="A351" t="s">
        <v>407</v>
      </c>
      <c r="B351" t="s">
        <v>5931</v>
      </c>
      <c r="C351" t="s">
        <v>3448</v>
      </c>
      <c r="D351" t="s">
        <v>5932</v>
      </c>
      <c r="E351" t="s">
        <v>2679</v>
      </c>
      <c r="F351" t="s">
        <v>5933</v>
      </c>
      <c r="G351">
        <v>39.189670295500001</v>
      </c>
      <c r="H351">
        <v>-86.501873899299994</v>
      </c>
      <c r="I351" t="s">
        <v>3448</v>
      </c>
      <c r="J351" t="s">
        <v>2413</v>
      </c>
      <c r="K351" t="s">
        <v>5934</v>
      </c>
      <c r="L351" t="s">
        <v>2415</v>
      </c>
      <c r="M351">
        <v>508</v>
      </c>
      <c r="N351" t="s">
        <v>3438</v>
      </c>
      <c r="O351" t="s">
        <v>407</v>
      </c>
      <c r="P351" s="1">
        <v>44820</v>
      </c>
      <c r="Q351">
        <v>43.2</v>
      </c>
      <c r="R351">
        <v>27</v>
      </c>
      <c r="S351" t="s">
        <v>3607</v>
      </c>
      <c r="T351" t="s">
        <v>2747</v>
      </c>
      <c r="U351" s="10" t="s">
        <v>5935</v>
      </c>
      <c r="V351" s="10" t="s">
        <v>5936</v>
      </c>
      <c r="W351" t="s">
        <v>5937</v>
      </c>
      <c r="X351" t="s">
        <v>2688</v>
      </c>
      <c r="Y351" t="s">
        <v>2688</v>
      </c>
      <c r="Z351" t="s">
        <v>2747</v>
      </c>
      <c r="AA351" t="s">
        <v>2689</v>
      </c>
      <c r="AB351" t="s">
        <v>5938</v>
      </c>
      <c r="AD351" t="s">
        <v>5939</v>
      </c>
      <c r="AE351" t="s">
        <v>5940</v>
      </c>
      <c r="AH351" t="s">
        <v>5876</v>
      </c>
      <c r="AJ351" s="10" t="s">
        <v>5941</v>
      </c>
    </row>
    <row r="352" spans="1:36" ht="218.6" x14ac:dyDescent="0.4">
      <c r="A352" t="s">
        <v>349</v>
      </c>
      <c r="B352" t="s">
        <v>5942</v>
      </c>
      <c r="C352" t="s">
        <v>3448</v>
      </c>
      <c r="D352" t="s">
        <v>5943</v>
      </c>
      <c r="E352" t="s">
        <v>2679</v>
      </c>
      <c r="F352" t="s">
        <v>5944</v>
      </c>
      <c r="G352">
        <v>42.182447514499998</v>
      </c>
      <c r="H352">
        <v>-87.911874549499998</v>
      </c>
      <c r="I352" t="s">
        <v>3448</v>
      </c>
      <c r="J352" t="s">
        <v>2407</v>
      </c>
      <c r="K352" t="s">
        <v>351</v>
      </c>
      <c r="L352" t="s">
        <v>2412</v>
      </c>
      <c r="M352">
        <v>460</v>
      </c>
      <c r="N352" t="s">
        <v>3438</v>
      </c>
      <c r="O352" t="s">
        <v>349</v>
      </c>
      <c r="P352" s="1">
        <v>44812</v>
      </c>
      <c r="Q352">
        <v>47.9</v>
      </c>
      <c r="R352">
        <v>25</v>
      </c>
      <c r="S352" t="s">
        <v>3427</v>
      </c>
      <c r="T352" t="s">
        <v>2689</v>
      </c>
      <c r="U352" s="10" t="s">
        <v>5945</v>
      </c>
      <c r="V352" s="10" t="s">
        <v>5946</v>
      </c>
      <c r="W352" t="s">
        <v>5947</v>
      </c>
      <c r="X352" t="s">
        <v>2688</v>
      </c>
      <c r="Y352" t="s">
        <v>2688</v>
      </c>
      <c r="Z352" t="s">
        <v>2747</v>
      </c>
      <c r="AA352" t="s">
        <v>2689</v>
      </c>
      <c r="AB352" t="s">
        <v>5948</v>
      </c>
      <c r="AD352" t="s">
        <v>5949</v>
      </c>
      <c r="AE352" t="s">
        <v>5950</v>
      </c>
      <c r="AH352" t="s">
        <v>3445</v>
      </c>
      <c r="AJ352" s="10" t="s">
        <v>5951</v>
      </c>
    </row>
    <row r="353" spans="1:36" ht="145.75" x14ac:dyDescent="0.4">
      <c r="A353" t="s">
        <v>358</v>
      </c>
      <c r="B353" t="s">
        <v>5952</v>
      </c>
      <c r="C353" t="s">
        <v>1428</v>
      </c>
      <c r="D353" t="s">
        <v>5943</v>
      </c>
      <c r="E353" t="s">
        <v>2679</v>
      </c>
      <c r="F353" t="s">
        <v>5953</v>
      </c>
      <c r="G353">
        <v>42.182289012699997</v>
      </c>
      <c r="H353">
        <v>-87.910695131899999</v>
      </c>
      <c r="I353" t="s">
        <v>1428</v>
      </c>
      <c r="J353" t="s">
        <v>2407</v>
      </c>
      <c r="K353" t="s">
        <v>351</v>
      </c>
      <c r="L353" t="s">
        <v>2412</v>
      </c>
      <c r="M353">
        <v>462</v>
      </c>
      <c r="N353" t="s">
        <v>3438</v>
      </c>
      <c r="O353" t="s">
        <v>358</v>
      </c>
      <c r="P353" s="1">
        <v>44812</v>
      </c>
      <c r="Q353">
        <v>29.9</v>
      </c>
      <c r="R353">
        <v>23</v>
      </c>
      <c r="S353" t="s">
        <v>3427</v>
      </c>
      <c r="T353" t="s">
        <v>2689</v>
      </c>
      <c r="U353" s="10" t="s">
        <v>5954</v>
      </c>
      <c r="V353" s="10" t="s">
        <v>5955</v>
      </c>
      <c r="W353" t="s">
        <v>5956</v>
      </c>
      <c r="X353" t="s">
        <v>2688</v>
      </c>
      <c r="Y353" t="s">
        <v>2688</v>
      </c>
      <c r="Z353" t="s">
        <v>2747</v>
      </c>
      <c r="AA353" t="s">
        <v>2689</v>
      </c>
      <c r="AB353" t="s">
        <v>5957</v>
      </c>
      <c r="AD353" t="s">
        <v>5958</v>
      </c>
      <c r="AE353" t="s">
        <v>5959</v>
      </c>
      <c r="AH353" t="s">
        <v>3445</v>
      </c>
      <c r="AJ353" s="10" t="s">
        <v>5960</v>
      </c>
    </row>
    <row r="354" spans="1:36" ht="145.75" x14ac:dyDescent="0.4">
      <c r="A354" t="s">
        <v>361</v>
      </c>
      <c r="B354" t="s">
        <v>5961</v>
      </c>
      <c r="C354" t="s">
        <v>1411</v>
      </c>
      <c r="D354" t="s">
        <v>5962</v>
      </c>
      <c r="E354" t="s">
        <v>2679</v>
      </c>
      <c r="F354" t="s">
        <v>5963</v>
      </c>
      <c r="G354">
        <v>42.181784799399999</v>
      </c>
      <c r="H354">
        <v>-87.910498324900004</v>
      </c>
      <c r="I354" t="s">
        <v>1411</v>
      </c>
      <c r="J354" t="s">
        <v>2407</v>
      </c>
      <c r="K354" t="s">
        <v>351</v>
      </c>
      <c r="L354" t="s">
        <v>2412</v>
      </c>
      <c r="M354">
        <v>463</v>
      </c>
      <c r="N354" t="s">
        <v>3438</v>
      </c>
      <c r="O354" t="s">
        <v>361</v>
      </c>
      <c r="P354" s="1">
        <v>44812</v>
      </c>
      <c r="Q354">
        <v>80.400000000000006</v>
      </c>
      <c r="R354">
        <v>26</v>
      </c>
      <c r="S354" t="s">
        <v>3427</v>
      </c>
      <c r="T354" t="s">
        <v>2689</v>
      </c>
      <c r="U354" s="10" t="s">
        <v>5964</v>
      </c>
      <c r="V354" s="10" t="s">
        <v>5965</v>
      </c>
      <c r="W354" t="s">
        <v>5966</v>
      </c>
      <c r="X354" t="s">
        <v>2688</v>
      </c>
      <c r="Y354" t="s">
        <v>2688</v>
      </c>
      <c r="Z354" t="s">
        <v>2747</v>
      </c>
      <c r="AA354" t="s">
        <v>2689</v>
      </c>
      <c r="AB354" t="s">
        <v>5967</v>
      </c>
      <c r="AD354" t="s">
        <v>5968</v>
      </c>
      <c r="AE354" t="s">
        <v>5969</v>
      </c>
      <c r="AH354" t="s">
        <v>3445</v>
      </c>
      <c r="AJ354" t="s">
        <v>5040</v>
      </c>
    </row>
    <row r="355" spans="1:36" ht="320.60000000000002" x14ac:dyDescent="0.4">
      <c r="A355" t="s">
        <v>364</v>
      </c>
      <c r="B355" t="s">
        <v>5970</v>
      </c>
      <c r="C355" t="s">
        <v>3448</v>
      </c>
      <c r="D355" t="s">
        <v>5962</v>
      </c>
      <c r="E355" t="s">
        <v>2679</v>
      </c>
      <c r="F355" t="s">
        <v>5971</v>
      </c>
      <c r="G355">
        <v>42.181896488200003</v>
      </c>
      <c r="H355">
        <v>-87.909718053500001</v>
      </c>
      <c r="I355" t="s">
        <v>3448</v>
      </c>
      <c r="J355" t="s">
        <v>2407</v>
      </c>
      <c r="K355" t="s">
        <v>351</v>
      </c>
      <c r="L355" t="s">
        <v>2412</v>
      </c>
      <c r="M355">
        <v>464</v>
      </c>
      <c r="N355" t="s">
        <v>3438</v>
      </c>
      <c r="O355" t="s">
        <v>364</v>
      </c>
      <c r="P355" s="1">
        <v>44812</v>
      </c>
      <c r="Q355">
        <v>71.099999999999994</v>
      </c>
      <c r="R355">
        <v>25</v>
      </c>
      <c r="S355" t="s">
        <v>3427</v>
      </c>
      <c r="T355" t="s">
        <v>2689</v>
      </c>
      <c r="U355" t="s">
        <v>5254</v>
      </c>
      <c r="V355" s="10" t="s">
        <v>5972</v>
      </c>
      <c r="W355" t="s">
        <v>5947</v>
      </c>
      <c r="X355" t="s">
        <v>2688</v>
      </c>
      <c r="Y355" t="s">
        <v>2688</v>
      </c>
      <c r="Z355" t="s">
        <v>2747</v>
      </c>
      <c r="AA355" t="s">
        <v>2689</v>
      </c>
      <c r="AB355" t="s">
        <v>5973</v>
      </c>
      <c r="AD355" t="s">
        <v>5974</v>
      </c>
      <c r="AE355" t="s">
        <v>5975</v>
      </c>
      <c r="AH355" t="s">
        <v>3445</v>
      </c>
      <c r="AJ355" t="s">
        <v>5976</v>
      </c>
    </row>
    <row r="356" spans="1:36" ht="204" x14ac:dyDescent="0.4">
      <c r="A356" t="s">
        <v>367</v>
      </c>
      <c r="B356" t="s">
        <v>5977</v>
      </c>
      <c r="C356" t="s">
        <v>1428</v>
      </c>
      <c r="D356" t="s">
        <v>5978</v>
      </c>
      <c r="E356" t="s">
        <v>2679</v>
      </c>
      <c r="F356" t="s">
        <v>5979</v>
      </c>
      <c r="G356">
        <v>42.181995939499998</v>
      </c>
      <c r="H356">
        <v>-87.909609256400003</v>
      </c>
      <c r="I356" t="s">
        <v>1428</v>
      </c>
      <c r="J356" t="s">
        <v>2407</v>
      </c>
      <c r="K356" t="s">
        <v>351</v>
      </c>
      <c r="L356" t="s">
        <v>2412</v>
      </c>
      <c r="M356">
        <v>465</v>
      </c>
      <c r="N356" t="s">
        <v>3438</v>
      </c>
      <c r="O356" t="s">
        <v>367</v>
      </c>
      <c r="P356" s="1">
        <v>44812</v>
      </c>
      <c r="Q356">
        <v>70.5</v>
      </c>
      <c r="R356">
        <v>24</v>
      </c>
      <c r="S356" t="s">
        <v>3464</v>
      </c>
      <c r="T356" t="s">
        <v>2689</v>
      </c>
      <c r="U356" s="10" t="s">
        <v>5980</v>
      </c>
      <c r="V356" s="10" t="s">
        <v>5981</v>
      </c>
      <c r="W356" t="s">
        <v>5982</v>
      </c>
      <c r="X356" t="s">
        <v>2688</v>
      </c>
      <c r="Y356" t="s">
        <v>2688</v>
      </c>
      <c r="Z356" t="s">
        <v>2747</v>
      </c>
      <c r="AA356" t="s">
        <v>2689</v>
      </c>
      <c r="AB356" t="s">
        <v>5983</v>
      </c>
      <c r="AD356" t="s">
        <v>5984</v>
      </c>
      <c r="AE356" t="s">
        <v>5985</v>
      </c>
      <c r="AH356" t="s">
        <v>3445</v>
      </c>
      <c r="AJ356" t="s">
        <v>5040</v>
      </c>
    </row>
    <row r="357" spans="1:36" ht="174.9" x14ac:dyDescent="0.4">
      <c r="A357" t="s">
        <v>370</v>
      </c>
      <c r="B357" t="s">
        <v>5986</v>
      </c>
      <c r="C357" t="s">
        <v>3448</v>
      </c>
      <c r="D357" t="s">
        <v>5978</v>
      </c>
      <c r="E357" t="s">
        <v>2679</v>
      </c>
      <c r="F357" t="s">
        <v>5987</v>
      </c>
      <c r="G357">
        <v>42.181628854099998</v>
      </c>
      <c r="H357">
        <v>-87.908339062799996</v>
      </c>
      <c r="I357" t="s">
        <v>3448</v>
      </c>
      <c r="J357" t="s">
        <v>2407</v>
      </c>
      <c r="K357" t="s">
        <v>351</v>
      </c>
      <c r="L357" t="s">
        <v>2412</v>
      </c>
      <c r="M357">
        <v>466</v>
      </c>
      <c r="N357" t="s">
        <v>3438</v>
      </c>
      <c r="O357" t="s">
        <v>370</v>
      </c>
      <c r="P357" s="1">
        <v>44812</v>
      </c>
      <c r="Q357">
        <v>45.9</v>
      </c>
      <c r="R357">
        <v>26</v>
      </c>
      <c r="S357" t="s">
        <v>3427</v>
      </c>
      <c r="T357" t="s">
        <v>2688</v>
      </c>
      <c r="U357" s="10" t="s">
        <v>5988</v>
      </c>
      <c r="V357" s="10" t="s">
        <v>5989</v>
      </c>
      <c r="W357" t="s">
        <v>5966</v>
      </c>
      <c r="X357" t="s">
        <v>2688</v>
      </c>
      <c r="Y357" t="s">
        <v>2688</v>
      </c>
      <c r="Z357" t="s">
        <v>2747</v>
      </c>
      <c r="AA357" t="s">
        <v>2689</v>
      </c>
      <c r="AB357" t="s">
        <v>5990</v>
      </c>
      <c r="AC357" t="s">
        <v>5991</v>
      </c>
      <c r="AD357" t="s">
        <v>5992</v>
      </c>
      <c r="AE357" t="s">
        <v>5993</v>
      </c>
      <c r="AH357" t="s">
        <v>3445</v>
      </c>
      <c r="AJ357" t="s">
        <v>5040</v>
      </c>
    </row>
    <row r="358" spans="1:36" ht="276.89999999999998" x14ac:dyDescent="0.4">
      <c r="A358" t="s">
        <v>373</v>
      </c>
      <c r="B358" t="s">
        <v>5994</v>
      </c>
      <c r="C358" t="s">
        <v>1428</v>
      </c>
      <c r="D358" t="s">
        <v>5978</v>
      </c>
      <c r="E358" t="s">
        <v>2679</v>
      </c>
      <c r="F358" t="s">
        <v>5995</v>
      </c>
      <c r="G358">
        <v>42.181559032800003</v>
      </c>
      <c r="H358">
        <v>-87.907851906600001</v>
      </c>
      <c r="I358" t="s">
        <v>1428</v>
      </c>
      <c r="J358" t="s">
        <v>2407</v>
      </c>
      <c r="K358" t="s">
        <v>351</v>
      </c>
      <c r="L358" t="s">
        <v>2412</v>
      </c>
      <c r="M358">
        <v>467</v>
      </c>
      <c r="N358" t="s">
        <v>3438</v>
      </c>
      <c r="O358" t="s">
        <v>373</v>
      </c>
      <c r="P358" s="1">
        <v>44812</v>
      </c>
      <c r="Q358">
        <v>52.5</v>
      </c>
      <c r="R358">
        <v>24</v>
      </c>
      <c r="S358" t="s">
        <v>3427</v>
      </c>
      <c r="T358" t="s">
        <v>2689</v>
      </c>
      <c r="U358" s="10" t="s">
        <v>5996</v>
      </c>
      <c r="V358" s="10" t="s">
        <v>5997</v>
      </c>
      <c r="W358" t="s">
        <v>5998</v>
      </c>
      <c r="X358" t="s">
        <v>2688</v>
      </c>
      <c r="Y358" t="s">
        <v>2688</v>
      </c>
      <c r="Z358" t="s">
        <v>2747</v>
      </c>
      <c r="AA358" t="s">
        <v>2689</v>
      </c>
      <c r="AB358" t="s">
        <v>5999</v>
      </c>
      <c r="AD358" t="s">
        <v>6000</v>
      </c>
      <c r="AE358" t="s">
        <v>6001</v>
      </c>
      <c r="AH358" t="s">
        <v>3445</v>
      </c>
      <c r="AJ358" t="s">
        <v>5113</v>
      </c>
    </row>
    <row r="359" spans="1:36" ht="189.45" x14ac:dyDescent="0.4">
      <c r="A359" t="s">
        <v>376</v>
      </c>
      <c r="B359" t="s">
        <v>6002</v>
      </c>
      <c r="C359" t="s">
        <v>1411</v>
      </c>
      <c r="D359" t="s">
        <v>6003</v>
      </c>
      <c r="E359" t="s">
        <v>2679</v>
      </c>
      <c r="F359" t="s">
        <v>6004</v>
      </c>
      <c r="G359">
        <v>42.181446254299999</v>
      </c>
      <c r="H359">
        <v>-87.907490311299995</v>
      </c>
      <c r="I359" t="s">
        <v>1411</v>
      </c>
      <c r="J359" t="s">
        <v>2407</v>
      </c>
      <c r="K359" t="s">
        <v>351</v>
      </c>
      <c r="L359" t="s">
        <v>2412</v>
      </c>
      <c r="M359">
        <v>468</v>
      </c>
      <c r="N359" t="s">
        <v>3438</v>
      </c>
      <c r="O359" t="s">
        <v>376</v>
      </c>
      <c r="P359" s="1">
        <v>44812</v>
      </c>
      <c r="Q359">
        <v>53.2</v>
      </c>
      <c r="R359">
        <v>27</v>
      </c>
      <c r="S359" t="s">
        <v>3464</v>
      </c>
      <c r="T359" t="s">
        <v>2689</v>
      </c>
      <c r="U359" s="10" t="s">
        <v>6005</v>
      </c>
      <c r="V359" s="10" t="s">
        <v>6006</v>
      </c>
      <c r="W359" t="s">
        <v>5966</v>
      </c>
      <c r="X359" t="s">
        <v>2688</v>
      </c>
      <c r="Y359" t="s">
        <v>2688</v>
      </c>
      <c r="Z359" t="s">
        <v>2689</v>
      </c>
      <c r="AA359" t="s">
        <v>2689</v>
      </c>
      <c r="AB359" s="9" t="s">
        <v>6007</v>
      </c>
      <c r="AD359" t="s">
        <v>6008</v>
      </c>
      <c r="AE359" t="s">
        <v>6009</v>
      </c>
      <c r="AH359" t="s">
        <v>3445</v>
      </c>
      <c r="AJ359" t="s">
        <v>5040</v>
      </c>
    </row>
    <row r="360" spans="1:36" ht="116.6" x14ac:dyDescent="0.4">
      <c r="A360" t="s">
        <v>382</v>
      </c>
      <c r="B360" t="s">
        <v>6010</v>
      </c>
      <c r="C360" t="s">
        <v>1411</v>
      </c>
      <c r="D360" t="s">
        <v>6003</v>
      </c>
      <c r="E360" t="s">
        <v>2679</v>
      </c>
      <c r="F360" t="s">
        <v>6011</v>
      </c>
      <c r="G360">
        <v>42.180990781699997</v>
      </c>
      <c r="H360">
        <v>-87.906918581699998</v>
      </c>
      <c r="I360" t="s">
        <v>1411</v>
      </c>
      <c r="J360" t="s">
        <v>2407</v>
      </c>
      <c r="K360" t="s">
        <v>351</v>
      </c>
      <c r="L360" t="s">
        <v>2412</v>
      </c>
      <c r="M360">
        <v>470</v>
      </c>
      <c r="N360" t="s">
        <v>3438</v>
      </c>
      <c r="O360" t="s">
        <v>382</v>
      </c>
      <c r="P360" s="1">
        <v>44812</v>
      </c>
      <c r="Q360">
        <v>52</v>
      </c>
      <c r="R360">
        <v>24</v>
      </c>
      <c r="S360" t="s">
        <v>3427</v>
      </c>
      <c r="T360" t="s">
        <v>2689</v>
      </c>
      <c r="U360" s="10" t="s">
        <v>6012</v>
      </c>
      <c r="V360" s="10" t="s">
        <v>6013</v>
      </c>
      <c r="W360" t="s">
        <v>6014</v>
      </c>
      <c r="X360" t="s">
        <v>2688</v>
      </c>
      <c r="Y360" t="s">
        <v>2688</v>
      </c>
      <c r="Z360" t="s">
        <v>2747</v>
      </c>
      <c r="AA360" t="s">
        <v>2689</v>
      </c>
      <c r="AB360" s="9" t="s">
        <v>6015</v>
      </c>
      <c r="AD360" t="s">
        <v>6016</v>
      </c>
      <c r="AE360" t="s">
        <v>6017</v>
      </c>
      <c r="AH360" t="s">
        <v>3445</v>
      </c>
      <c r="AJ360" t="s">
        <v>6018</v>
      </c>
    </row>
    <row r="361" spans="1:36" ht="174.9" x14ac:dyDescent="0.4">
      <c r="A361" t="s">
        <v>379</v>
      </c>
      <c r="B361" t="s">
        <v>6019</v>
      </c>
      <c r="C361" t="s">
        <v>3448</v>
      </c>
      <c r="D361" t="s">
        <v>6020</v>
      </c>
      <c r="E361" t="s">
        <v>2679</v>
      </c>
      <c r="F361" t="s">
        <v>6021</v>
      </c>
      <c r="G361">
        <v>42.181249405300001</v>
      </c>
      <c r="H361">
        <v>-87.906781872799996</v>
      </c>
      <c r="I361" t="s">
        <v>3448</v>
      </c>
      <c r="J361" t="s">
        <v>2407</v>
      </c>
      <c r="K361" t="s">
        <v>351</v>
      </c>
      <c r="L361" t="s">
        <v>2412</v>
      </c>
      <c r="M361">
        <v>469</v>
      </c>
      <c r="N361" t="s">
        <v>3438</v>
      </c>
      <c r="O361" t="s">
        <v>379</v>
      </c>
      <c r="P361" s="1">
        <v>44812</v>
      </c>
      <c r="Q361">
        <v>43.8</v>
      </c>
      <c r="R361">
        <v>24</v>
      </c>
      <c r="S361" t="s">
        <v>3427</v>
      </c>
      <c r="T361" t="s">
        <v>2689</v>
      </c>
      <c r="U361" s="10" t="s">
        <v>6022</v>
      </c>
      <c r="V361" s="10" t="s">
        <v>6023</v>
      </c>
      <c r="W361" t="s">
        <v>5966</v>
      </c>
      <c r="X361" t="s">
        <v>2688</v>
      </c>
      <c r="Y361" t="s">
        <v>2688</v>
      </c>
      <c r="Z361" t="s">
        <v>2747</v>
      </c>
      <c r="AA361" t="s">
        <v>2689</v>
      </c>
      <c r="AB361" t="s">
        <v>6024</v>
      </c>
      <c r="AD361" t="s">
        <v>6025</v>
      </c>
      <c r="AE361" t="s">
        <v>6026</v>
      </c>
      <c r="AH361" t="s">
        <v>3445</v>
      </c>
      <c r="AJ361" t="s">
        <v>5040</v>
      </c>
    </row>
    <row r="362" spans="1:36" ht="218.6" x14ac:dyDescent="0.4">
      <c r="A362" t="s">
        <v>385</v>
      </c>
      <c r="B362" t="s">
        <v>6027</v>
      </c>
      <c r="C362" t="s">
        <v>1428</v>
      </c>
      <c r="D362" t="s">
        <v>6020</v>
      </c>
      <c r="E362" t="s">
        <v>2679</v>
      </c>
      <c r="F362" t="s">
        <v>6028</v>
      </c>
      <c r="G362">
        <v>42.179950419900003</v>
      </c>
      <c r="H362">
        <v>-87.906466210299996</v>
      </c>
      <c r="I362" t="s">
        <v>1428</v>
      </c>
      <c r="J362" t="s">
        <v>2407</v>
      </c>
      <c r="K362" t="s">
        <v>351</v>
      </c>
      <c r="L362" t="s">
        <v>2412</v>
      </c>
      <c r="M362">
        <v>471</v>
      </c>
      <c r="N362" t="s">
        <v>3438</v>
      </c>
      <c r="O362" t="s">
        <v>385</v>
      </c>
      <c r="P362" s="1">
        <v>44812</v>
      </c>
      <c r="Q362">
        <v>47.9</v>
      </c>
      <c r="R362">
        <v>24</v>
      </c>
      <c r="S362" t="s">
        <v>6029</v>
      </c>
      <c r="T362" t="s">
        <v>2689</v>
      </c>
      <c r="U362" t="s">
        <v>6030</v>
      </c>
      <c r="V362" s="10" t="s">
        <v>6031</v>
      </c>
      <c r="W362" t="s">
        <v>6032</v>
      </c>
      <c r="X362" t="s">
        <v>2688</v>
      </c>
      <c r="Y362" t="s">
        <v>2688</v>
      </c>
      <c r="Z362" t="s">
        <v>2747</v>
      </c>
      <c r="AA362" t="s">
        <v>2689</v>
      </c>
      <c r="AB362" t="s">
        <v>6033</v>
      </c>
      <c r="AC362" t="s">
        <v>6034</v>
      </c>
      <c r="AD362" t="s">
        <v>6035</v>
      </c>
      <c r="AE362" t="s">
        <v>6036</v>
      </c>
      <c r="AH362" t="s">
        <v>3445</v>
      </c>
      <c r="AJ362" t="s">
        <v>5040</v>
      </c>
    </row>
    <row r="363" spans="1:36" ht="160.30000000000001" x14ac:dyDescent="0.4">
      <c r="A363" t="s">
        <v>388</v>
      </c>
      <c r="B363" t="s">
        <v>6037</v>
      </c>
      <c r="C363" t="s">
        <v>3448</v>
      </c>
      <c r="D363" t="s">
        <v>6038</v>
      </c>
      <c r="E363" t="s">
        <v>2679</v>
      </c>
      <c r="F363" t="s">
        <v>6039</v>
      </c>
      <c r="G363">
        <v>42.179822595799997</v>
      </c>
      <c r="H363">
        <v>-87.906599734099998</v>
      </c>
      <c r="I363" t="s">
        <v>3448</v>
      </c>
      <c r="J363" t="s">
        <v>2407</v>
      </c>
      <c r="K363" t="s">
        <v>351</v>
      </c>
      <c r="L363" t="s">
        <v>2412</v>
      </c>
      <c r="M363">
        <v>472</v>
      </c>
      <c r="N363" t="s">
        <v>3438</v>
      </c>
      <c r="O363" t="s">
        <v>388</v>
      </c>
      <c r="P363" s="1">
        <v>44812</v>
      </c>
      <c r="Q363">
        <v>25.5</v>
      </c>
      <c r="R363">
        <v>24</v>
      </c>
      <c r="S363" t="s">
        <v>6029</v>
      </c>
      <c r="T363" t="s">
        <v>2689</v>
      </c>
      <c r="U363" s="10" t="s">
        <v>6040</v>
      </c>
      <c r="V363" s="10" t="s">
        <v>6041</v>
      </c>
      <c r="W363" t="s">
        <v>6014</v>
      </c>
      <c r="X363" t="s">
        <v>2688</v>
      </c>
      <c r="Y363" t="s">
        <v>2688</v>
      </c>
      <c r="Z363" t="s">
        <v>2747</v>
      </c>
      <c r="AA363" t="s">
        <v>2689</v>
      </c>
      <c r="AB363" t="s">
        <v>6042</v>
      </c>
      <c r="AD363" t="s">
        <v>6043</v>
      </c>
      <c r="AE363" t="s">
        <v>6044</v>
      </c>
      <c r="AH363" t="s">
        <v>3445</v>
      </c>
      <c r="AJ363" t="s">
        <v>5113</v>
      </c>
    </row>
    <row r="364" spans="1:36" ht="189.45" x14ac:dyDescent="0.4">
      <c r="A364" t="s">
        <v>391</v>
      </c>
      <c r="B364" s="9" t="s">
        <v>6045</v>
      </c>
      <c r="C364" t="s">
        <v>1411</v>
      </c>
      <c r="D364" t="s">
        <v>6038</v>
      </c>
      <c r="E364" t="s">
        <v>2679</v>
      </c>
      <c r="F364" t="s">
        <v>6046</v>
      </c>
      <c r="G364">
        <v>42.179904548800003</v>
      </c>
      <c r="H364">
        <v>-87.906630392799997</v>
      </c>
      <c r="I364" t="s">
        <v>1411</v>
      </c>
      <c r="J364" t="s">
        <v>2407</v>
      </c>
      <c r="K364" t="s">
        <v>351</v>
      </c>
      <c r="L364" t="s">
        <v>2412</v>
      </c>
      <c r="M364">
        <v>473</v>
      </c>
      <c r="N364" t="s">
        <v>3438</v>
      </c>
      <c r="O364" t="s">
        <v>391</v>
      </c>
      <c r="P364" s="1">
        <v>44812</v>
      </c>
      <c r="Q364">
        <v>39.6</v>
      </c>
      <c r="R364">
        <v>25</v>
      </c>
      <c r="S364" t="s">
        <v>3427</v>
      </c>
      <c r="T364" t="s">
        <v>2689</v>
      </c>
      <c r="U364" s="10" t="s">
        <v>6047</v>
      </c>
      <c r="V364" s="10" t="s">
        <v>6048</v>
      </c>
      <c r="W364" t="s">
        <v>6049</v>
      </c>
      <c r="X364" t="s">
        <v>2688</v>
      </c>
      <c r="Y364" t="s">
        <v>2688</v>
      </c>
      <c r="Z364" t="s">
        <v>2689</v>
      </c>
      <c r="AA364" t="s">
        <v>2689</v>
      </c>
      <c r="AB364" t="s">
        <v>6050</v>
      </c>
      <c r="AD364" t="s">
        <v>6051</v>
      </c>
      <c r="AE364" t="s">
        <v>6052</v>
      </c>
      <c r="AH364" t="s">
        <v>3445</v>
      </c>
      <c r="AJ364" t="s">
        <v>5040</v>
      </c>
    </row>
    <row r="365" spans="1:36" ht="160.30000000000001" x14ac:dyDescent="0.4">
      <c r="A365" t="s">
        <v>394</v>
      </c>
      <c r="B365" t="s">
        <v>6053</v>
      </c>
      <c r="C365" t="s">
        <v>1428</v>
      </c>
      <c r="D365" t="s">
        <v>6054</v>
      </c>
      <c r="E365" t="s">
        <v>2679</v>
      </c>
      <c r="F365" t="s">
        <v>6055</v>
      </c>
      <c r="G365">
        <v>42.179018226499998</v>
      </c>
      <c r="H365">
        <v>-87.906087013000004</v>
      </c>
      <c r="I365" t="s">
        <v>1428</v>
      </c>
      <c r="J365" t="s">
        <v>2407</v>
      </c>
      <c r="K365" t="s">
        <v>351</v>
      </c>
      <c r="L365" t="s">
        <v>2412</v>
      </c>
      <c r="M365">
        <v>474</v>
      </c>
      <c r="N365" t="s">
        <v>3438</v>
      </c>
      <c r="O365" t="s">
        <v>394</v>
      </c>
      <c r="P365" s="1">
        <v>44812</v>
      </c>
      <c r="Q365">
        <v>44.7</v>
      </c>
      <c r="R365">
        <v>25</v>
      </c>
      <c r="S365" t="s">
        <v>3427</v>
      </c>
      <c r="T365" t="s">
        <v>2689</v>
      </c>
      <c r="U365" s="10" t="s">
        <v>6056</v>
      </c>
      <c r="V365" s="10" t="s">
        <v>6057</v>
      </c>
      <c r="W365" t="s">
        <v>6058</v>
      </c>
      <c r="X365" t="s">
        <v>2688</v>
      </c>
      <c r="Y365" t="s">
        <v>2688</v>
      </c>
      <c r="Z365" t="s">
        <v>2747</v>
      </c>
      <c r="AA365" t="s">
        <v>2689</v>
      </c>
      <c r="AB365" t="s">
        <v>6059</v>
      </c>
      <c r="AD365" t="s">
        <v>6060</v>
      </c>
      <c r="AE365" t="s">
        <v>6061</v>
      </c>
      <c r="AH365" t="s">
        <v>3445</v>
      </c>
      <c r="AJ365" t="s">
        <v>5113</v>
      </c>
    </row>
    <row r="366" spans="1:36" ht="145.75" x14ac:dyDescent="0.4">
      <c r="A366" t="s">
        <v>2195</v>
      </c>
      <c r="B366" t="s">
        <v>6062</v>
      </c>
      <c r="C366" t="s">
        <v>3713</v>
      </c>
      <c r="D366" t="s">
        <v>6063</v>
      </c>
      <c r="E366" t="s">
        <v>2679</v>
      </c>
      <c r="F366" t="s">
        <v>6064</v>
      </c>
      <c r="G366">
        <v>32.637773710300003</v>
      </c>
      <c r="H366">
        <v>-96.977354362699998</v>
      </c>
      <c r="I366" t="s">
        <v>3713</v>
      </c>
      <c r="J366" t="s">
        <v>2463</v>
      </c>
      <c r="K366" t="s">
        <v>2198</v>
      </c>
      <c r="L366" t="s">
        <v>2403</v>
      </c>
      <c r="M366">
        <v>449</v>
      </c>
      <c r="N366" t="s">
        <v>3438</v>
      </c>
      <c r="O366" t="s">
        <v>2195</v>
      </c>
      <c r="P366" s="1">
        <v>44808</v>
      </c>
      <c r="Q366">
        <v>34.700000000000003</v>
      </c>
      <c r="R366">
        <v>22</v>
      </c>
      <c r="S366" t="s">
        <v>3427</v>
      </c>
      <c r="T366" t="s">
        <v>2689</v>
      </c>
      <c r="U366" s="10" t="s">
        <v>6065</v>
      </c>
      <c r="V366" t="s">
        <v>6066</v>
      </c>
      <c r="W366" t="s">
        <v>6067</v>
      </c>
      <c r="X366" t="s">
        <v>2688</v>
      </c>
      <c r="Y366" t="s">
        <v>2688</v>
      </c>
      <c r="Z366" t="s">
        <v>2747</v>
      </c>
      <c r="AA366" t="s">
        <v>2689</v>
      </c>
      <c r="AB366" t="s">
        <v>6068</v>
      </c>
      <c r="AD366" t="s">
        <v>6069</v>
      </c>
      <c r="AE366" t="s">
        <v>6070</v>
      </c>
      <c r="AH366" t="s">
        <v>6071</v>
      </c>
      <c r="AJ366" t="s">
        <v>5113</v>
      </c>
    </row>
    <row r="367" spans="1:36" ht="189.45" x14ac:dyDescent="0.4">
      <c r="A367" t="s">
        <v>2201</v>
      </c>
      <c r="B367" t="s">
        <v>6072</v>
      </c>
      <c r="C367" t="s">
        <v>3713</v>
      </c>
      <c r="D367" t="s">
        <v>6063</v>
      </c>
      <c r="E367" t="s">
        <v>2679</v>
      </c>
      <c r="F367" t="s">
        <v>6073</v>
      </c>
      <c r="G367">
        <v>32.638212083900001</v>
      </c>
      <c r="H367">
        <v>-96.977670276599994</v>
      </c>
      <c r="I367" t="s">
        <v>3713</v>
      </c>
      <c r="J367" t="s">
        <v>2463</v>
      </c>
      <c r="K367" t="s">
        <v>2198</v>
      </c>
      <c r="L367" t="s">
        <v>2403</v>
      </c>
      <c r="M367">
        <v>450</v>
      </c>
      <c r="N367" t="s">
        <v>3438</v>
      </c>
      <c r="O367" t="s">
        <v>2201</v>
      </c>
      <c r="P367" s="1">
        <v>44808</v>
      </c>
      <c r="Q367">
        <v>38.6</v>
      </c>
      <c r="R367">
        <v>18</v>
      </c>
      <c r="S367" t="s">
        <v>3464</v>
      </c>
      <c r="T367" t="s">
        <v>2689</v>
      </c>
      <c r="U367" s="10" t="s">
        <v>6074</v>
      </c>
      <c r="V367" s="10" t="s">
        <v>6075</v>
      </c>
      <c r="W367" t="s">
        <v>6076</v>
      </c>
      <c r="X367" t="s">
        <v>2688</v>
      </c>
      <c r="Y367" t="s">
        <v>2688</v>
      </c>
      <c r="Z367" t="s">
        <v>2747</v>
      </c>
      <c r="AA367" t="s">
        <v>2689</v>
      </c>
      <c r="AB367" t="s">
        <v>6077</v>
      </c>
      <c r="AD367" t="s">
        <v>6078</v>
      </c>
      <c r="AE367" t="s">
        <v>6079</v>
      </c>
      <c r="AH367" t="s">
        <v>5079</v>
      </c>
      <c r="AJ367" s="10" t="s">
        <v>6080</v>
      </c>
    </row>
    <row r="368" spans="1:36" ht="43.75" x14ac:dyDescent="0.4">
      <c r="A368" t="s">
        <v>2204</v>
      </c>
      <c r="B368" t="s">
        <v>6081</v>
      </c>
      <c r="C368" t="s">
        <v>1411</v>
      </c>
      <c r="D368" t="s">
        <v>6063</v>
      </c>
      <c r="E368" t="s">
        <v>2679</v>
      </c>
      <c r="F368" t="s">
        <v>6082</v>
      </c>
      <c r="G368">
        <v>32.638365514599997</v>
      </c>
      <c r="H368">
        <v>-96.976029267599998</v>
      </c>
      <c r="I368" t="s">
        <v>1411</v>
      </c>
      <c r="J368" t="s">
        <v>2463</v>
      </c>
      <c r="K368" t="s">
        <v>2198</v>
      </c>
      <c r="L368" t="s">
        <v>2403</v>
      </c>
      <c r="M368">
        <v>451</v>
      </c>
      <c r="N368" t="s">
        <v>3438</v>
      </c>
      <c r="O368" t="s">
        <v>2204</v>
      </c>
      <c r="P368" s="1">
        <v>44808</v>
      </c>
      <c r="Q368">
        <v>83.3</v>
      </c>
      <c r="R368">
        <v>20</v>
      </c>
      <c r="S368" t="s">
        <v>3427</v>
      </c>
      <c r="T368" t="s">
        <v>2689</v>
      </c>
      <c r="U368" s="10" t="s">
        <v>6083</v>
      </c>
      <c r="V368" s="10" t="s">
        <v>6084</v>
      </c>
      <c r="W368" t="s">
        <v>6085</v>
      </c>
      <c r="X368" t="s">
        <v>2688</v>
      </c>
      <c r="Y368" t="s">
        <v>2688</v>
      </c>
      <c r="Z368" t="s">
        <v>2747</v>
      </c>
      <c r="AA368" t="s">
        <v>2689</v>
      </c>
      <c r="AB368" t="s">
        <v>6086</v>
      </c>
      <c r="AD368" t="s">
        <v>6087</v>
      </c>
      <c r="AE368" t="s">
        <v>6088</v>
      </c>
      <c r="AH368" t="s">
        <v>6089</v>
      </c>
      <c r="AJ368" t="s">
        <v>6090</v>
      </c>
    </row>
    <row r="369" spans="1:36" ht="102" x14ac:dyDescent="0.4">
      <c r="A369" t="s">
        <v>2210</v>
      </c>
      <c r="B369" t="s">
        <v>6091</v>
      </c>
      <c r="C369" t="s">
        <v>3713</v>
      </c>
      <c r="D369" t="s">
        <v>6092</v>
      </c>
      <c r="E369" t="s">
        <v>2679</v>
      </c>
      <c r="F369" t="s">
        <v>6093</v>
      </c>
      <c r="G369">
        <v>32.638398413600001</v>
      </c>
      <c r="H369">
        <v>-96.979216151000003</v>
      </c>
      <c r="I369" t="s">
        <v>3713</v>
      </c>
      <c r="J369" t="s">
        <v>2463</v>
      </c>
      <c r="K369" t="s">
        <v>2198</v>
      </c>
      <c r="L369" t="s">
        <v>2403</v>
      </c>
      <c r="M369">
        <v>453</v>
      </c>
      <c r="N369" t="s">
        <v>3438</v>
      </c>
      <c r="O369" t="s">
        <v>2210</v>
      </c>
      <c r="P369" s="1">
        <v>44808</v>
      </c>
      <c r="Q369">
        <v>57.4</v>
      </c>
      <c r="R369">
        <v>20</v>
      </c>
      <c r="S369" t="s">
        <v>3464</v>
      </c>
      <c r="T369" t="s">
        <v>2689</v>
      </c>
      <c r="U369" s="10" t="s">
        <v>6094</v>
      </c>
      <c r="V369" s="10" t="s">
        <v>6095</v>
      </c>
      <c r="W369" t="s">
        <v>6096</v>
      </c>
      <c r="X369" t="s">
        <v>2688</v>
      </c>
      <c r="Y369" t="s">
        <v>2688</v>
      </c>
      <c r="Z369" t="s">
        <v>2747</v>
      </c>
      <c r="AA369" t="s">
        <v>2689</v>
      </c>
      <c r="AB369" t="s">
        <v>6097</v>
      </c>
      <c r="AC369" t="s">
        <v>6098</v>
      </c>
      <c r="AD369" t="s">
        <v>6099</v>
      </c>
      <c r="AE369" t="s">
        <v>6100</v>
      </c>
      <c r="AH369" t="s">
        <v>5079</v>
      </c>
      <c r="AJ369" t="s">
        <v>5113</v>
      </c>
    </row>
    <row r="370" spans="1:36" ht="87.45" x14ac:dyDescent="0.4">
      <c r="A370" t="s">
        <v>2216</v>
      </c>
      <c r="B370" t="s">
        <v>6101</v>
      </c>
      <c r="C370" t="s">
        <v>3713</v>
      </c>
      <c r="D370" t="s">
        <v>6092</v>
      </c>
      <c r="E370" t="s">
        <v>2679</v>
      </c>
      <c r="F370" t="s">
        <v>6102</v>
      </c>
      <c r="G370">
        <v>32.634967322199998</v>
      </c>
      <c r="H370">
        <v>-96.979818323900005</v>
      </c>
      <c r="I370" t="s">
        <v>3713</v>
      </c>
      <c r="J370" t="s">
        <v>2463</v>
      </c>
      <c r="K370" t="s">
        <v>2198</v>
      </c>
      <c r="L370" t="s">
        <v>2403</v>
      </c>
      <c r="M370">
        <v>455</v>
      </c>
      <c r="N370" t="s">
        <v>3438</v>
      </c>
      <c r="O370" t="s">
        <v>2216</v>
      </c>
      <c r="P370" s="1">
        <v>44808</v>
      </c>
      <c r="Q370">
        <v>18.399999999999999</v>
      </c>
      <c r="R370">
        <v>15</v>
      </c>
      <c r="S370" t="s">
        <v>3464</v>
      </c>
      <c r="T370" t="s">
        <v>2689</v>
      </c>
      <c r="U370" s="10" t="s">
        <v>6103</v>
      </c>
      <c r="V370" s="10" t="s">
        <v>6104</v>
      </c>
      <c r="W370" t="s">
        <v>6105</v>
      </c>
      <c r="X370" t="s">
        <v>2688</v>
      </c>
      <c r="Y370" t="s">
        <v>2688</v>
      </c>
      <c r="Z370" t="s">
        <v>2747</v>
      </c>
      <c r="AA370" t="s">
        <v>2689</v>
      </c>
      <c r="AB370" t="s">
        <v>6106</v>
      </c>
      <c r="AD370" t="s">
        <v>6107</v>
      </c>
      <c r="AE370" t="s">
        <v>6108</v>
      </c>
      <c r="AH370" t="s">
        <v>5079</v>
      </c>
      <c r="AJ370" s="10" t="s">
        <v>6109</v>
      </c>
    </row>
    <row r="371" spans="1:36" ht="43.75" x14ac:dyDescent="0.4">
      <c r="A371" t="s">
        <v>2219</v>
      </c>
      <c r="B371" t="s">
        <v>6110</v>
      </c>
      <c r="C371" t="s">
        <v>1411</v>
      </c>
      <c r="D371" t="s">
        <v>6111</v>
      </c>
      <c r="E371" t="s">
        <v>2679</v>
      </c>
      <c r="F371" t="s">
        <v>6112</v>
      </c>
      <c r="G371">
        <v>32.6319701225</v>
      </c>
      <c r="H371">
        <v>-96.975921979299997</v>
      </c>
      <c r="I371" t="s">
        <v>1411</v>
      </c>
      <c r="J371" t="s">
        <v>2463</v>
      </c>
      <c r="K371" t="s">
        <v>2198</v>
      </c>
      <c r="L371" t="s">
        <v>2403</v>
      </c>
      <c r="M371">
        <v>456</v>
      </c>
      <c r="N371" t="s">
        <v>3438</v>
      </c>
      <c r="O371" t="s">
        <v>2219</v>
      </c>
      <c r="P371" s="1">
        <v>44808</v>
      </c>
      <c r="Q371">
        <v>46.5</v>
      </c>
      <c r="R371">
        <v>17</v>
      </c>
      <c r="S371" t="s">
        <v>3584</v>
      </c>
      <c r="T371" t="s">
        <v>2689</v>
      </c>
      <c r="U371" s="10" t="s">
        <v>6113</v>
      </c>
      <c r="V371" t="s">
        <v>6114</v>
      </c>
      <c r="W371" t="s">
        <v>6115</v>
      </c>
      <c r="X371" t="s">
        <v>2688</v>
      </c>
      <c r="Y371" t="s">
        <v>2688</v>
      </c>
      <c r="Z371" t="s">
        <v>2747</v>
      </c>
      <c r="AA371" t="s">
        <v>2689</v>
      </c>
      <c r="AB371" t="s">
        <v>6116</v>
      </c>
      <c r="AD371" t="s">
        <v>6117</v>
      </c>
      <c r="AE371" t="s">
        <v>6118</v>
      </c>
      <c r="AH371" t="s">
        <v>5079</v>
      </c>
      <c r="AJ371" t="s">
        <v>5113</v>
      </c>
    </row>
    <row r="372" spans="1:36" ht="43.75" x14ac:dyDescent="0.4">
      <c r="A372" t="s">
        <v>2230</v>
      </c>
      <c r="B372" t="s">
        <v>6119</v>
      </c>
      <c r="C372" t="s">
        <v>1411</v>
      </c>
      <c r="D372" t="s">
        <v>6120</v>
      </c>
      <c r="E372" t="s">
        <v>2679</v>
      </c>
      <c r="F372" t="s">
        <v>6121</v>
      </c>
      <c r="G372">
        <v>32.610577074799998</v>
      </c>
      <c r="H372">
        <v>-96.991302939199997</v>
      </c>
      <c r="I372" t="s">
        <v>1411</v>
      </c>
      <c r="J372" t="s">
        <v>2463</v>
      </c>
      <c r="K372" t="s">
        <v>2198</v>
      </c>
      <c r="L372" t="s">
        <v>2403</v>
      </c>
      <c r="M372">
        <v>459</v>
      </c>
      <c r="N372" t="s">
        <v>3438</v>
      </c>
      <c r="O372" t="s">
        <v>2230</v>
      </c>
      <c r="P372" s="1">
        <v>44808</v>
      </c>
      <c r="Q372">
        <v>41.5</v>
      </c>
      <c r="R372">
        <v>22</v>
      </c>
      <c r="S372" t="s">
        <v>3464</v>
      </c>
      <c r="T372" t="s">
        <v>2689</v>
      </c>
      <c r="U372" s="10" t="s">
        <v>6122</v>
      </c>
      <c r="V372" s="10" t="s">
        <v>6123</v>
      </c>
      <c r="W372" t="s">
        <v>6124</v>
      </c>
      <c r="X372" t="s">
        <v>2688</v>
      </c>
      <c r="Y372" t="s">
        <v>2688</v>
      </c>
      <c r="Z372" t="s">
        <v>2747</v>
      </c>
      <c r="AA372" t="s">
        <v>2689</v>
      </c>
      <c r="AB372" t="s">
        <v>6125</v>
      </c>
      <c r="AD372" t="s">
        <v>6126</v>
      </c>
      <c r="AE372" s="9" t="s">
        <v>6127</v>
      </c>
      <c r="AH372" t="s">
        <v>5079</v>
      </c>
      <c r="AJ372" t="s">
        <v>5113</v>
      </c>
    </row>
    <row r="373" spans="1:36" ht="72.900000000000006" x14ac:dyDescent="0.4">
      <c r="A373" t="s">
        <v>44</v>
      </c>
      <c r="B373" t="s">
        <v>6128</v>
      </c>
      <c r="C373" t="s">
        <v>1411</v>
      </c>
      <c r="D373" t="s">
        <v>6120</v>
      </c>
      <c r="E373" t="s">
        <v>2679</v>
      </c>
      <c r="F373" t="s">
        <v>6129</v>
      </c>
      <c r="G373">
        <v>34.804446604100001</v>
      </c>
      <c r="H373">
        <v>-92.326559582800002</v>
      </c>
      <c r="I373" t="s">
        <v>1411</v>
      </c>
      <c r="J373" t="s">
        <v>2405</v>
      </c>
      <c r="K373" t="s">
        <v>5003</v>
      </c>
      <c r="L373" t="s">
        <v>2401</v>
      </c>
      <c r="M373">
        <v>410</v>
      </c>
      <c r="N373" t="s">
        <v>3438</v>
      </c>
      <c r="O373" t="s">
        <v>44</v>
      </c>
      <c r="P373" s="1">
        <v>44803</v>
      </c>
      <c r="Q373">
        <v>53.1</v>
      </c>
      <c r="R373">
        <v>26</v>
      </c>
      <c r="S373" t="s">
        <v>4506</v>
      </c>
      <c r="T373" t="s">
        <v>2689</v>
      </c>
      <c r="U373" s="10" t="s">
        <v>6130</v>
      </c>
      <c r="V373" t="s">
        <v>6131</v>
      </c>
      <c r="W373" t="s">
        <v>6132</v>
      </c>
      <c r="X373" t="s">
        <v>2688</v>
      </c>
      <c r="Y373" t="s">
        <v>2688</v>
      </c>
      <c r="Z373" t="s">
        <v>2747</v>
      </c>
      <c r="AA373" t="s">
        <v>2689</v>
      </c>
      <c r="AB373" t="s">
        <v>6133</v>
      </c>
      <c r="AD373" t="s">
        <v>6134</v>
      </c>
      <c r="AE373" t="s">
        <v>6135</v>
      </c>
      <c r="AH373" t="s">
        <v>3445</v>
      </c>
      <c r="AJ373" t="s">
        <v>5040</v>
      </c>
    </row>
    <row r="374" spans="1:36" ht="116.6" x14ac:dyDescent="0.4">
      <c r="A374" t="s">
        <v>29</v>
      </c>
      <c r="B374" t="s">
        <v>6136</v>
      </c>
      <c r="C374" t="s">
        <v>1432</v>
      </c>
      <c r="D374" t="s">
        <v>6137</v>
      </c>
      <c r="E374" t="s">
        <v>2679</v>
      </c>
      <c r="F374" t="s">
        <v>6138</v>
      </c>
      <c r="G374">
        <v>34.8044033535</v>
      </c>
      <c r="H374">
        <v>-92.326360009699997</v>
      </c>
      <c r="I374" t="s">
        <v>1432</v>
      </c>
      <c r="J374" t="s">
        <v>2405</v>
      </c>
      <c r="K374" t="s">
        <v>5003</v>
      </c>
      <c r="L374" t="s">
        <v>2401</v>
      </c>
      <c r="M374">
        <v>409</v>
      </c>
      <c r="N374" t="s">
        <v>3438</v>
      </c>
      <c r="O374" t="s">
        <v>29</v>
      </c>
      <c r="P374" s="1">
        <v>44803</v>
      </c>
      <c r="Q374">
        <v>31.5</v>
      </c>
      <c r="R374">
        <v>23</v>
      </c>
      <c r="S374" t="s">
        <v>3464</v>
      </c>
      <c r="T374" t="s">
        <v>2689</v>
      </c>
      <c r="U374" s="10" t="s">
        <v>6139</v>
      </c>
      <c r="V374" t="s">
        <v>6140</v>
      </c>
      <c r="W374" t="s">
        <v>6141</v>
      </c>
      <c r="X374" t="s">
        <v>2688</v>
      </c>
      <c r="Y374" t="s">
        <v>2688</v>
      </c>
      <c r="Z374" t="s">
        <v>2747</v>
      </c>
      <c r="AA374" t="s">
        <v>2689</v>
      </c>
      <c r="AB374" t="s">
        <v>6142</v>
      </c>
      <c r="AD374" t="s">
        <v>6143</v>
      </c>
      <c r="AE374" t="s">
        <v>6144</v>
      </c>
      <c r="AH374" t="s">
        <v>3445</v>
      </c>
      <c r="AJ374" t="s">
        <v>5779</v>
      </c>
    </row>
    <row r="375" spans="1:36" ht="116.6" x14ac:dyDescent="0.4">
      <c r="A375" t="s">
        <v>63</v>
      </c>
      <c r="B375" t="s">
        <v>6145</v>
      </c>
      <c r="C375" t="s">
        <v>3448</v>
      </c>
      <c r="D375" t="s">
        <v>6146</v>
      </c>
      <c r="E375" t="s">
        <v>2679</v>
      </c>
      <c r="F375" t="s">
        <v>6147</v>
      </c>
      <c r="G375">
        <v>34.806174323900002</v>
      </c>
      <c r="H375">
        <v>-92.327670604100007</v>
      </c>
      <c r="I375" t="s">
        <v>3448</v>
      </c>
      <c r="J375" t="s">
        <v>2405</v>
      </c>
      <c r="K375" t="s">
        <v>5003</v>
      </c>
      <c r="L375" t="s">
        <v>2401</v>
      </c>
      <c r="M375">
        <v>415</v>
      </c>
      <c r="N375" t="s">
        <v>3438</v>
      </c>
      <c r="O375" t="s">
        <v>63</v>
      </c>
      <c r="P375" s="1">
        <v>44803</v>
      </c>
      <c r="Q375">
        <v>65.5</v>
      </c>
      <c r="R375">
        <v>27</v>
      </c>
      <c r="S375" t="s">
        <v>3427</v>
      </c>
      <c r="T375" t="s">
        <v>2689</v>
      </c>
      <c r="U375" s="10" t="s">
        <v>6148</v>
      </c>
      <c r="V375" s="10" t="s">
        <v>6149</v>
      </c>
      <c r="W375" t="s">
        <v>6150</v>
      </c>
      <c r="X375" t="s">
        <v>2688</v>
      </c>
      <c r="Y375" t="s">
        <v>2688</v>
      </c>
      <c r="Z375" t="s">
        <v>2747</v>
      </c>
      <c r="AA375" t="s">
        <v>2689</v>
      </c>
      <c r="AB375" t="s">
        <v>6151</v>
      </c>
      <c r="AD375" t="s">
        <v>6152</v>
      </c>
      <c r="AE375" t="s">
        <v>6153</v>
      </c>
      <c r="AH375" t="s">
        <v>3445</v>
      </c>
      <c r="AJ375" t="s">
        <v>6154</v>
      </c>
    </row>
    <row r="376" spans="1:36" ht="72.900000000000006" x14ac:dyDescent="0.4">
      <c r="A376" t="s">
        <v>68</v>
      </c>
      <c r="B376" t="s">
        <v>6155</v>
      </c>
      <c r="C376" t="s">
        <v>3713</v>
      </c>
      <c r="D376" t="s">
        <v>6146</v>
      </c>
      <c r="E376" t="s">
        <v>2679</v>
      </c>
      <c r="F376" t="s">
        <v>6156</v>
      </c>
      <c r="G376">
        <v>34.806970395199997</v>
      </c>
      <c r="H376">
        <v>-92.328983545400007</v>
      </c>
      <c r="I376" t="s">
        <v>3713</v>
      </c>
      <c r="J376" t="s">
        <v>2405</v>
      </c>
      <c r="K376" t="s">
        <v>5003</v>
      </c>
      <c r="L376" t="s">
        <v>2401</v>
      </c>
      <c r="M376">
        <v>416</v>
      </c>
      <c r="N376" t="s">
        <v>3438</v>
      </c>
      <c r="O376" t="s">
        <v>68</v>
      </c>
      <c r="P376" s="1">
        <v>44803</v>
      </c>
      <c r="Q376">
        <v>52.3</v>
      </c>
      <c r="R376">
        <v>26</v>
      </c>
      <c r="S376" t="s">
        <v>3427</v>
      </c>
      <c r="T376" t="s">
        <v>2689</v>
      </c>
      <c r="U376" s="10" t="s">
        <v>6157</v>
      </c>
      <c r="V376" s="10" t="s">
        <v>6158</v>
      </c>
      <c r="W376" t="s">
        <v>6159</v>
      </c>
      <c r="X376" t="s">
        <v>2688</v>
      </c>
      <c r="Y376" t="s">
        <v>2688</v>
      </c>
      <c r="Z376" t="s">
        <v>2747</v>
      </c>
      <c r="AA376" t="s">
        <v>2689</v>
      </c>
      <c r="AB376" t="s">
        <v>6160</v>
      </c>
      <c r="AD376" t="s">
        <v>6161</v>
      </c>
      <c r="AE376" t="s">
        <v>6162</v>
      </c>
      <c r="AH376" t="s">
        <v>3445</v>
      </c>
      <c r="AJ376" s="10" t="s">
        <v>5011</v>
      </c>
    </row>
    <row r="377" spans="1:36" ht="102" x14ac:dyDescent="0.4">
      <c r="A377" t="s">
        <v>71</v>
      </c>
      <c r="B377" t="s">
        <v>6163</v>
      </c>
      <c r="C377" t="s">
        <v>1411</v>
      </c>
      <c r="D377" t="s">
        <v>6146</v>
      </c>
      <c r="E377" t="s">
        <v>2679</v>
      </c>
      <c r="F377" t="s">
        <v>6164</v>
      </c>
      <c r="G377">
        <v>34.806734821799999</v>
      </c>
      <c r="H377">
        <v>-92.330207470900007</v>
      </c>
      <c r="I377" t="s">
        <v>1411</v>
      </c>
      <c r="J377" t="s">
        <v>2405</v>
      </c>
      <c r="K377" t="s">
        <v>5003</v>
      </c>
      <c r="L377" t="s">
        <v>2401</v>
      </c>
      <c r="M377">
        <v>417</v>
      </c>
      <c r="N377" t="s">
        <v>3438</v>
      </c>
      <c r="O377" t="s">
        <v>71</v>
      </c>
      <c r="P377" s="1">
        <v>44803</v>
      </c>
      <c r="Q377">
        <v>78.900000000000006</v>
      </c>
      <c r="R377">
        <v>26</v>
      </c>
      <c r="S377" t="s">
        <v>3427</v>
      </c>
      <c r="T377" t="s">
        <v>2689</v>
      </c>
      <c r="U377" s="10" t="s">
        <v>6165</v>
      </c>
      <c r="V377" s="10" t="s">
        <v>6166</v>
      </c>
      <c r="W377" t="s">
        <v>6167</v>
      </c>
      <c r="X377" t="s">
        <v>2688</v>
      </c>
      <c r="Y377" t="s">
        <v>2688</v>
      </c>
      <c r="Z377" t="s">
        <v>2747</v>
      </c>
      <c r="AA377" t="s">
        <v>2689</v>
      </c>
      <c r="AB377" t="s">
        <v>6168</v>
      </c>
      <c r="AD377" t="s">
        <v>6169</v>
      </c>
      <c r="AE377" t="s">
        <v>6170</v>
      </c>
      <c r="AH377" t="s">
        <v>3445</v>
      </c>
      <c r="AJ377" s="10" t="s">
        <v>5011</v>
      </c>
    </row>
    <row r="378" spans="1:36" ht="131.15" x14ac:dyDescent="0.4">
      <c r="A378" t="s">
        <v>80</v>
      </c>
      <c r="B378" t="s">
        <v>6171</v>
      </c>
      <c r="C378" t="s">
        <v>3448</v>
      </c>
      <c r="D378" t="s">
        <v>6172</v>
      </c>
      <c r="E378" t="s">
        <v>2679</v>
      </c>
      <c r="F378" t="s">
        <v>6173</v>
      </c>
      <c r="G378">
        <v>34.803410726599999</v>
      </c>
      <c r="H378">
        <v>-92.329332735500003</v>
      </c>
      <c r="I378" t="s">
        <v>3448</v>
      </c>
      <c r="J378" t="s">
        <v>2405</v>
      </c>
      <c r="K378" t="s">
        <v>5003</v>
      </c>
      <c r="L378" t="s">
        <v>2401</v>
      </c>
      <c r="M378">
        <v>420</v>
      </c>
      <c r="N378" t="s">
        <v>3438</v>
      </c>
      <c r="O378" t="s">
        <v>80</v>
      </c>
      <c r="P378" s="1">
        <v>44803</v>
      </c>
      <c r="Q378">
        <v>38.5</v>
      </c>
      <c r="R378">
        <v>24</v>
      </c>
      <c r="S378" t="s">
        <v>3427</v>
      </c>
      <c r="T378" t="s">
        <v>2689</v>
      </c>
      <c r="U378" s="10" t="s">
        <v>6174</v>
      </c>
      <c r="V378" s="10" t="s">
        <v>6175</v>
      </c>
      <c r="W378" t="s">
        <v>6176</v>
      </c>
      <c r="X378" t="s">
        <v>2688</v>
      </c>
      <c r="Y378" t="s">
        <v>2688</v>
      </c>
      <c r="Z378" t="s">
        <v>2747</v>
      </c>
      <c r="AA378" t="s">
        <v>2689</v>
      </c>
      <c r="AB378" t="s">
        <v>6177</v>
      </c>
      <c r="AD378" t="s">
        <v>6178</v>
      </c>
      <c r="AE378" t="s">
        <v>6179</v>
      </c>
      <c r="AH378" t="s">
        <v>3445</v>
      </c>
      <c r="AJ378" t="s">
        <v>5113</v>
      </c>
    </row>
    <row r="379" spans="1:36" ht="87.45" x14ac:dyDescent="0.4">
      <c r="A379" t="s">
        <v>83</v>
      </c>
      <c r="B379" t="s">
        <v>6180</v>
      </c>
      <c r="C379" t="s">
        <v>3594</v>
      </c>
      <c r="D379" t="s">
        <v>6172</v>
      </c>
      <c r="E379" t="s">
        <v>2679</v>
      </c>
      <c r="F379" t="s">
        <v>6181</v>
      </c>
      <c r="G379">
        <v>34.801959274399998</v>
      </c>
      <c r="H379">
        <v>-92.328046867699996</v>
      </c>
      <c r="I379" t="s">
        <v>3594</v>
      </c>
      <c r="J379" t="s">
        <v>2405</v>
      </c>
      <c r="K379" t="s">
        <v>5003</v>
      </c>
      <c r="L379" t="s">
        <v>2401</v>
      </c>
      <c r="M379">
        <v>421</v>
      </c>
      <c r="N379" t="s">
        <v>3438</v>
      </c>
      <c r="O379" t="s">
        <v>83</v>
      </c>
      <c r="P379" s="1">
        <v>44803</v>
      </c>
      <c r="Q379">
        <v>62.6</v>
      </c>
      <c r="R379">
        <v>27</v>
      </c>
      <c r="S379" t="s">
        <v>3427</v>
      </c>
      <c r="T379" t="s">
        <v>2689</v>
      </c>
      <c r="U379" s="10" t="s">
        <v>6182</v>
      </c>
      <c r="V379" s="10" t="s">
        <v>6183</v>
      </c>
      <c r="W379" t="s">
        <v>6184</v>
      </c>
      <c r="X379" t="s">
        <v>2688</v>
      </c>
      <c r="Y379" t="s">
        <v>2688</v>
      </c>
      <c r="Z379" t="s">
        <v>2747</v>
      </c>
      <c r="AA379" t="s">
        <v>2689</v>
      </c>
      <c r="AB379" t="s">
        <v>6185</v>
      </c>
      <c r="AD379" t="s">
        <v>6186</v>
      </c>
      <c r="AE379" t="s">
        <v>6187</v>
      </c>
      <c r="AH379" t="s">
        <v>3445</v>
      </c>
      <c r="AJ379" s="10" t="s">
        <v>5011</v>
      </c>
    </row>
    <row r="380" spans="1:36" ht="116.6" x14ac:dyDescent="0.4">
      <c r="A380" t="s">
        <v>88</v>
      </c>
      <c r="B380" t="s">
        <v>6188</v>
      </c>
      <c r="C380" t="s">
        <v>3594</v>
      </c>
      <c r="D380" t="s">
        <v>6172</v>
      </c>
      <c r="E380" t="s">
        <v>2679</v>
      </c>
      <c r="F380" t="s">
        <v>6189</v>
      </c>
      <c r="G380">
        <v>34.801642731800001</v>
      </c>
      <c r="H380">
        <v>-92.328373510500001</v>
      </c>
      <c r="I380" t="s">
        <v>3594</v>
      </c>
      <c r="J380" t="s">
        <v>2405</v>
      </c>
      <c r="K380" t="s">
        <v>5003</v>
      </c>
      <c r="L380" t="s">
        <v>2401</v>
      </c>
      <c r="M380">
        <v>422</v>
      </c>
      <c r="N380" t="s">
        <v>3438</v>
      </c>
      <c r="O380" t="s">
        <v>88</v>
      </c>
      <c r="P380" s="1">
        <v>44803</v>
      </c>
      <c r="Q380">
        <v>49.7</v>
      </c>
      <c r="R380">
        <v>26</v>
      </c>
      <c r="S380" t="s">
        <v>3427</v>
      </c>
      <c r="T380" t="s">
        <v>2689</v>
      </c>
      <c r="U380" s="10" t="s">
        <v>6190</v>
      </c>
      <c r="V380" s="10" t="s">
        <v>6191</v>
      </c>
      <c r="W380" t="s">
        <v>6192</v>
      </c>
      <c r="X380" t="s">
        <v>2688</v>
      </c>
      <c r="Y380" t="s">
        <v>2688</v>
      </c>
      <c r="Z380" t="s">
        <v>2747</v>
      </c>
      <c r="AA380" t="s">
        <v>2689</v>
      </c>
      <c r="AB380" t="s">
        <v>6193</v>
      </c>
      <c r="AD380" t="s">
        <v>6194</v>
      </c>
      <c r="AE380" t="s">
        <v>6195</v>
      </c>
      <c r="AH380" t="s">
        <v>3445</v>
      </c>
      <c r="AJ380" s="10" t="s">
        <v>5011</v>
      </c>
    </row>
    <row r="381" spans="1:36" ht="116.6" x14ac:dyDescent="0.4">
      <c r="A381" t="s">
        <v>91</v>
      </c>
      <c r="B381" t="s">
        <v>6196</v>
      </c>
      <c r="C381" t="s">
        <v>1411</v>
      </c>
      <c r="D381" t="s">
        <v>6197</v>
      </c>
      <c r="E381" t="s">
        <v>2679</v>
      </c>
      <c r="F381" t="s">
        <v>6198</v>
      </c>
      <c r="G381">
        <v>34.802384697900003</v>
      </c>
      <c r="H381">
        <v>-92.327424846699998</v>
      </c>
      <c r="I381" t="s">
        <v>1411</v>
      </c>
      <c r="J381" t="s">
        <v>2405</v>
      </c>
      <c r="K381" t="s">
        <v>5003</v>
      </c>
      <c r="L381" t="s">
        <v>2401</v>
      </c>
      <c r="M381">
        <v>423</v>
      </c>
      <c r="N381" t="s">
        <v>3438</v>
      </c>
      <c r="O381" t="s">
        <v>91</v>
      </c>
      <c r="P381" s="1">
        <v>44803</v>
      </c>
      <c r="Q381">
        <v>42.3</v>
      </c>
      <c r="R381">
        <v>26</v>
      </c>
      <c r="S381" t="s">
        <v>3427</v>
      </c>
      <c r="T381" t="s">
        <v>2689</v>
      </c>
      <c r="U381" s="10" t="s">
        <v>6199</v>
      </c>
      <c r="V381" s="10" t="s">
        <v>6200</v>
      </c>
      <c r="W381" t="s">
        <v>6201</v>
      </c>
      <c r="X381" t="s">
        <v>2688</v>
      </c>
      <c r="Y381" t="s">
        <v>2688</v>
      </c>
      <c r="Z381" t="s">
        <v>2689</v>
      </c>
      <c r="AA381" t="s">
        <v>2689</v>
      </c>
      <c r="AB381" t="s">
        <v>6202</v>
      </c>
      <c r="AD381" t="s">
        <v>6203</v>
      </c>
      <c r="AE381" t="s">
        <v>6204</v>
      </c>
      <c r="AH381" t="s">
        <v>3445</v>
      </c>
      <c r="AJ381" s="10" t="s">
        <v>6205</v>
      </c>
    </row>
    <row r="382" spans="1:36" ht="87.45" x14ac:dyDescent="0.4">
      <c r="A382" t="s">
        <v>97</v>
      </c>
      <c r="B382" t="s">
        <v>6206</v>
      </c>
      <c r="C382" t="s">
        <v>3713</v>
      </c>
      <c r="D382" t="s">
        <v>6207</v>
      </c>
      <c r="E382" t="s">
        <v>2679</v>
      </c>
      <c r="F382" t="s">
        <v>6208</v>
      </c>
      <c r="G382">
        <v>34.805386592700003</v>
      </c>
      <c r="H382">
        <v>-92.324116006599994</v>
      </c>
      <c r="I382" t="s">
        <v>3713</v>
      </c>
      <c r="J382" t="s">
        <v>2405</v>
      </c>
      <c r="K382" t="s">
        <v>5003</v>
      </c>
      <c r="L382" t="s">
        <v>2401</v>
      </c>
      <c r="M382">
        <v>425</v>
      </c>
      <c r="N382" t="s">
        <v>3438</v>
      </c>
      <c r="O382" t="s">
        <v>97</v>
      </c>
      <c r="P382" s="1">
        <v>44803</v>
      </c>
      <c r="Q382">
        <v>22.2</v>
      </c>
      <c r="R382">
        <v>24</v>
      </c>
      <c r="S382" t="s">
        <v>3427</v>
      </c>
      <c r="T382" t="s">
        <v>2689</v>
      </c>
      <c r="U382" s="10" t="s">
        <v>6209</v>
      </c>
      <c r="V382" s="10" t="s">
        <v>6210</v>
      </c>
      <c r="W382" t="s">
        <v>6211</v>
      </c>
      <c r="X382" t="s">
        <v>2688</v>
      </c>
      <c r="Y382" t="s">
        <v>2688</v>
      </c>
      <c r="Z382" t="s">
        <v>2747</v>
      </c>
      <c r="AA382" t="s">
        <v>2689</v>
      </c>
      <c r="AB382" t="s">
        <v>6212</v>
      </c>
      <c r="AD382" t="s">
        <v>6213</v>
      </c>
      <c r="AE382" t="s">
        <v>6214</v>
      </c>
      <c r="AH382" t="s">
        <v>3445</v>
      </c>
      <c r="AJ382" t="s">
        <v>5040</v>
      </c>
    </row>
    <row r="383" spans="1:36" ht="131.15" x14ac:dyDescent="0.4">
      <c r="A383" t="s">
        <v>100</v>
      </c>
      <c r="B383" t="s">
        <v>6215</v>
      </c>
      <c r="C383" t="s">
        <v>1411</v>
      </c>
      <c r="D383" t="s">
        <v>6207</v>
      </c>
      <c r="E383" t="s">
        <v>2679</v>
      </c>
      <c r="F383" t="s">
        <v>6216</v>
      </c>
      <c r="G383">
        <v>34.806193057500003</v>
      </c>
      <c r="H383">
        <v>-92.323084194299994</v>
      </c>
      <c r="I383" t="s">
        <v>1411</v>
      </c>
      <c r="J383" t="s">
        <v>2405</v>
      </c>
      <c r="K383" t="s">
        <v>5003</v>
      </c>
      <c r="L383" t="s">
        <v>2401</v>
      </c>
      <c r="M383">
        <v>426</v>
      </c>
      <c r="N383" t="s">
        <v>3438</v>
      </c>
      <c r="O383" t="s">
        <v>100</v>
      </c>
      <c r="P383" s="1">
        <v>44803</v>
      </c>
      <c r="Q383">
        <v>30.9</v>
      </c>
      <c r="R383">
        <v>24</v>
      </c>
      <c r="S383" t="s">
        <v>3464</v>
      </c>
      <c r="T383" t="s">
        <v>2689</v>
      </c>
      <c r="U383" s="10" t="s">
        <v>6217</v>
      </c>
      <c r="V383" s="10" t="s">
        <v>6218</v>
      </c>
      <c r="W383" t="s">
        <v>6219</v>
      </c>
      <c r="X383" t="s">
        <v>2688</v>
      </c>
      <c r="Y383" t="s">
        <v>2688</v>
      </c>
      <c r="Z383" t="s">
        <v>2747</v>
      </c>
      <c r="AA383" t="s">
        <v>2689</v>
      </c>
      <c r="AB383" t="s">
        <v>6220</v>
      </c>
      <c r="AD383" t="s">
        <v>6221</v>
      </c>
      <c r="AE383" t="s">
        <v>6222</v>
      </c>
      <c r="AH383" t="s">
        <v>3445</v>
      </c>
      <c r="AJ383" s="10" t="s">
        <v>6223</v>
      </c>
    </row>
    <row r="384" spans="1:36" ht="116.6" x14ac:dyDescent="0.4">
      <c r="A384" t="s">
        <v>103</v>
      </c>
      <c r="B384" t="s">
        <v>6224</v>
      </c>
      <c r="C384" t="s">
        <v>1432</v>
      </c>
      <c r="D384" t="s">
        <v>6225</v>
      </c>
      <c r="E384" t="s">
        <v>2679</v>
      </c>
      <c r="F384" t="s">
        <v>6226</v>
      </c>
      <c r="G384">
        <v>34.806822370799999</v>
      </c>
      <c r="H384">
        <v>-92.322251368400003</v>
      </c>
      <c r="I384" t="s">
        <v>1432</v>
      </c>
      <c r="J384" t="s">
        <v>2405</v>
      </c>
      <c r="K384" t="s">
        <v>5003</v>
      </c>
      <c r="L384" t="s">
        <v>2401</v>
      </c>
      <c r="M384">
        <v>427</v>
      </c>
      <c r="N384" t="s">
        <v>3438</v>
      </c>
      <c r="O384" t="s">
        <v>103</v>
      </c>
      <c r="P384" s="1">
        <v>44803</v>
      </c>
      <c r="Q384">
        <v>46.9</v>
      </c>
      <c r="R384">
        <v>25</v>
      </c>
      <c r="S384" t="s">
        <v>3464</v>
      </c>
      <c r="T384" t="s">
        <v>2689</v>
      </c>
      <c r="U384" s="10" t="s">
        <v>6227</v>
      </c>
      <c r="V384" s="10" t="s">
        <v>6228</v>
      </c>
      <c r="W384" t="s">
        <v>6229</v>
      </c>
      <c r="X384" t="s">
        <v>2688</v>
      </c>
      <c r="Y384" t="s">
        <v>2688</v>
      </c>
      <c r="Z384" t="s">
        <v>2747</v>
      </c>
      <c r="AA384" t="s">
        <v>2689</v>
      </c>
      <c r="AB384" t="s">
        <v>6230</v>
      </c>
      <c r="AD384" t="s">
        <v>6231</v>
      </c>
      <c r="AE384" t="s">
        <v>6232</v>
      </c>
      <c r="AH384" t="s">
        <v>3445</v>
      </c>
      <c r="AJ384" t="s">
        <v>5040</v>
      </c>
    </row>
    <row r="385" spans="1:36" ht="58.3" x14ac:dyDescent="0.4">
      <c r="A385" t="s">
        <v>106</v>
      </c>
      <c r="B385" t="s">
        <v>6233</v>
      </c>
      <c r="C385" t="s">
        <v>3448</v>
      </c>
      <c r="D385" t="s">
        <v>6225</v>
      </c>
      <c r="E385" t="s">
        <v>2679</v>
      </c>
      <c r="F385" t="s">
        <v>6234</v>
      </c>
      <c r="G385">
        <v>34.809351610100002</v>
      </c>
      <c r="H385">
        <v>-92.326314747400005</v>
      </c>
      <c r="I385" t="s">
        <v>3448</v>
      </c>
      <c r="J385" t="s">
        <v>2405</v>
      </c>
      <c r="K385" t="s">
        <v>5003</v>
      </c>
      <c r="L385" t="s">
        <v>2401</v>
      </c>
      <c r="M385">
        <v>428</v>
      </c>
      <c r="N385" t="s">
        <v>3438</v>
      </c>
      <c r="O385" t="s">
        <v>106</v>
      </c>
      <c r="P385" s="1">
        <v>44803</v>
      </c>
      <c r="Q385">
        <v>71</v>
      </c>
      <c r="R385">
        <v>27</v>
      </c>
      <c r="S385" t="s">
        <v>3427</v>
      </c>
      <c r="T385" t="s">
        <v>2689</v>
      </c>
      <c r="U385" s="10" t="s">
        <v>6235</v>
      </c>
      <c r="V385" s="10" t="s">
        <v>6236</v>
      </c>
      <c r="W385" t="s">
        <v>6237</v>
      </c>
      <c r="X385" t="s">
        <v>2688</v>
      </c>
      <c r="Y385" t="s">
        <v>2688</v>
      </c>
      <c r="Z385" t="s">
        <v>2747</v>
      </c>
      <c r="AA385" t="s">
        <v>2689</v>
      </c>
      <c r="AB385" t="s">
        <v>6238</v>
      </c>
      <c r="AD385" t="s">
        <v>6239</v>
      </c>
      <c r="AE385" t="s">
        <v>6240</v>
      </c>
      <c r="AH385" t="s">
        <v>3445</v>
      </c>
      <c r="AJ385" t="s">
        <v>5040</v>
      </c>
    </row>
    <row r="386" spans="1:36" ht="72.900000000000006" x14ac:dyDescent="0.4">
      <c r="A386" t="s">
        <v>895</v>
      </c>
      <c r="B386" t="s">
        <v>6241</v>
      </c>
      <c r="C386" t="s">
        <v>3594</v>
      </c>
      <c r="D386" t="s">
        <v>6242</v>
      </c>
      <c r="E386" t="s">
        <v>2679</v>
      </c>
      <c r="F386" t="s">
        <v>6243</v>
      </c>
      <c r="G386">
        <v>42.056327951199997</v>
      </c>
      <c r="H386">
        <v>-73.350247889800002</v>
      </c>
      <c r="I386" t="s">
        <v>3594</v>
      </c>
      <c r="J386" t="s">
        <v>2431</v>
      </c>
      <c r="K386" t="s">
        <v>3683</v>
      </c>
      <c r="L386" t="s">
        <v>2432</v>
      </c>
      <c r="M386">
        <v>386</v>
      </c>
      <c r="N386" t="s">
        <v>3438</v>
      </c>
      <c r="O386" t="s">
        <v>895</v>
      </c>
      <c r="P386" s="1">
        <v>44794</v>
      </c>
      <c r="Q386">
        <v>7.9</v>
      </c>
      <c r="R386">
        <v>15</v>
      </c>
      <c r="S386" t="s">
        <v>3427</v>
      </c>
      <c r="T386" t="s">
        <v>2689</v>
      </c>
      <c r="U386" s="10" t="s">
        <v>6244</v>
      </c>
      <c r="V386" t="s">
        <v>6245</v>
      </c>
      <c r="W386" t="s">
        <v>6246</v>
      </c>
      <c r="X386" t="s">
        <v>2688</v>
      </c>
      <c r="Y386" t="s">
        <v>2688</v>
      </c>
      <c r="Z386" t="s">
        <v>2747</v>
      </c>
      <c r="AA386" t="s">
        <v>2689</v>
      </c>
      <c r="AB386" t="s">
        <v>6247</v>
      </c>
      <c r="AD386" t="s">
        <v>6248</v>
      </c>
      <c r="AE386" t="s">
        <v>6249</v>
      </c>
      <c r="AH386" t="s">
        <v>3445</v>
      </c>
      <c r="AJ386" t="s">
        <v>6250</v>
      </c>
    </row>
    <row r="387" spans="1:36" ht="116.6" x14ac:dyDescent="0.4">
      <c r="A387" t="s">
        <v>901</v>
      </c>
      <c r="B387" t="s">
        <v>6251</v>
      </c>
      <c r="C387" t="s">
        <v>3594</v>
      </c>
      <c r="D387" t="s">
        <v>6252</v>
      </c>
      <c r="E387" t="s">
        <v>2679</v>
      </c>
      <c r="F387" t="s">
        <v>6253</v>
      </c>
      <c r="G387">
        <v>42.056115763299999</v>
      </c>
      <c r="H387">
        <v>-73.350261887599999</v>
      </c>
      <c r="I387" t="s">
        <v>3594</v>
      </c>
      <c r="J387" t="s">
        <v>2431</v>
      </c>
      <c r="K387" t="s">
        <v>3683</v>
      </c>
      <c r="L387" t="s">
        <v>2432</v>
      </c>
      <c r="M387">
        <v>387</v>
      </c>
      <c r="N387" t="s">
        <v>3438</v>
      </c>
      <c r="O387" t="s">
        <v>901</v>
      </c>
      <c r="P387" s="1">
        <v>44794</v>
      </c>
      <c r="Q387">
        <v>11.2</v>
      </c>
      <c r="R387">
        <v>20</v>
      </c>
      <c r="S387" t="s">
        <v>3427</v>
      </c>
      <c r="T387" t="s">
        <v>2689</v>
      </c>
      <c r="U387" s="10" t="s">
        <v>6254</v>
      </c>
      <c r="V387" t="s">
        <v>6255</v>
      </c>
      <c r="W387" t="s">
        <v>6256</v>
      </c>
      <c r="X387" t="s">
        <v>2688</v>
      </c>
      <c r="Y387" t="s">
        <v>2688</v>
      </c>
      <c r="Z387" t="s">
        <v>2747</v>
      </c>
      <c r="AA387" t="s">
        <v>2689</v>
      </c>
      <c r="AB387" t="s">
        <v>6257</v>
      </c>
      <c r="AD387" t="s">
        <v>6258</v>
      </c>
      <c r="AE387" t="s">
        <v>6259</v>
      </c>
      <c r="AH387" t="s">
        <v>3445</v>
      </c>
      <c r="AJ387" t="s">
        <v>6260</v>
      </c>
    </row>
    <row r="388" spans="1:36" ht="160.30000000000001" x14ac:dyDescent="0.4">
      <c r="A388" t="s">
        <v>904</v>
      </c>
      <c r="B388" t="s">
        <v>6261</v>
      </c>
      <c r="C388" t="s">
        <v>3594</v>
      </c>
      <c r="D388" t="s">
        <v>6262</v>
      </c>
      <c r="E388" t="s">
        <v>2679</v>
      </c>
      <c r="F388" t="s">
        <v>6263</v>
      </c>
      <c r="G388">
        <v>42.056183195700001</v>
      </c>
      <c r="H388">
        <v>-73.350246381100007</v>
      </c>
      <c r="I388" t="s">
        <v>3594</v>
      </c>
      <c r="J388" t="s">
        <v>2431</v>
      </c>
      <c r="K388" t="s">
        <v>3683</v>
      </c>
      <c r="L388" t="s">
        <v>2432</v>
      </c>
      <c r="M388">
        <v>388</v>
      </c>
      <c r="N388" t="s">
        <v>3438</v>
      </c>
      <c r="O388" t="s">
        <v>904</v>
      </c>
      <c r="P388" s="1">
        <v>44794</v>
      </c>
      <c r="Q388">
        <v>11.1</v>
      </c>
      <c r="R388">
        <v>23</v>
      </c>
      <c r="S388" t="s">
        <v>3427</v>
      </c>
      <c r="T388" t="s">
        <v>2689</v>
      </c>
      <c r="U388" s="10" t="s">
        <v>6264</v>
      </c>
      <c r="V388" t="s">
        <v>6265</v>
      </c>
      <c r="W388" t="s">
        <v>6266</v>
      </c>
      <c r="X388" t="s">
        <v>2688</v>
      </c>
      <c r="Y388" t="s">
        <v>2688</v>
      </c>
      <c r="Z388" t="s">
        <v>2747</v>
      </c>
      <c r="AA388" t="s">
        <v>2689</v>
      </c>
      <c r="AB388" t="s">
        <v>6267</v>
      </c>
      <c r="AD388" t="s">
        <v>6268</v>
      </c>
      <c r="AE388" t="s">
        <v>6269</v>
      </c>
      <c r="AH388" t="s">
        <v>3445</v>
      </c>
      <c r="AJ388" s="10" t="s">
        <v>6270</v>
      </c>
    </row>
    <row r="389" spans="1:36" ht="116.6" x14ac:dyDescent="0.4">
      <c r="A389" t="s">
        <v>913</v>
      </c>
      <c r="B389" t="s">
        <v>6271</v>
      </c>
      <c r="C389" t="s">
        <v>3594</v>
      </c>
      <c r="D389" t="s">
        <v>6272</v>
      </c>
      <c r="E389" t="s">
        <v>2679</v>
      </c>
      <c r="F389" t="s">
        <v>6273</v>
      </c>
      <c r="G389">
        <v>42.055996698400001</v>
      </c>
      <c r="H389">
        <v>-73.351078620199999</v>
      </c>
      <c r="I389" t="s">
        <v>3594</v>
      </c>
      <c r="J389" t="s">
        <v>2431</v>
      </c>
      <c r="K389" t="s">
        <v>3683</v>
      </c>
      <c r="L389" t="s">
        <v>2432</v>
      </c>
      <c r="M389">
        <v>391</v>
      </c>
      <c r="N389" t="s">
        <v>3438</v>
      </c>
      <c r="O389" t="s">
        <v>913</v>
      </c>
      <c r="P389" s="1">
        <v>44794</v>
      </c>
      <c r="Q389">
        <v>18.899999999999999</v>
      </c>
      <c r="R389">
        <v>25</v>
      </c>
      <c r="S389" t="s">
        <v>3427</v>
      </c>
      <c r="T389" t="s">
        <v>2689</v>
      </c>
      <c r="U389" s="10" t="s">
        <v>6274</v>
      </c>
      <c r="V389" t="s">
        <v>6275</v>
      </c>
      <c r="W389" t="s">
        <v>6246</v>
      </c>
      <c r="X389" t="s">
        <v>2688</v>
      </c>
      <c r="Y389" t="s">
        <v>2688</v>
      </c>
      <c r="Z389" t="s">
        <v>2747</v>
      </c>
      <c r="AA389" t="s">
        <v>2689</v>
      </c>
      <c r="AB389" t="s">
        <v>6276</v>
      </c>
      <c r="AD389" t="s">
        <v>6277</v>
      </c>
      <c r="AE389" t="s">
        <v>6278</v>
      </c>
      <c r="AH389" t="s">
        <v>3445</v>
      </c>
      <c r="AJ389" t="s">
        <v>6279</v>
      </c>
    </row>
    <row r="390" spans="1:36" ht="87.45" x14ac:dyDescent="0.4">
      <c r="A390" t="s">
        <v>958</v>
      </c>
      <c r="B390" t="s">
        <v>6280</v>
      </c>
      <c r="C390" t="s">
        <v>3448</v>
      </c>
      <c r="D390" t="s">
        <v>6281</v>
      </c>
      <c r="E390" t="s">
        <v>2679</v>
      </c>
      <c r="F390" t="s">
        <v>6282</v>
      </c>
      <c r="G390">
        <v>42.084757983700001</v>
      </c>
      <c r="H390">
        <v>-73.385237138799994</v>
      </c>
      <c r="I390" t="s">
        <v>3448</v>
      </c>
      <c r="J390" t="s">
        <v>2431</v>
      </c>
      <c r="K390" t="s">
        <v>952</v>
      </c>
      <c r="L390" t="s">
        <v>2435</v>
      </c>
      <c r="M390">
        <v>405</v>
      </c>
      <c r="N390" t="s">
        <v>3438</v>
      </c>
      <c r="O390" t="s">
        <v>958</v>
      </c>
      <c r="P390" s="1">
        <v>44795</v>
      </c>
      <c r="Q390">
        <v>18.5</v>
      </c>
      <c r="R390">
        <v>26</v>
      </c>
      <c r="S390" t="s">
        <v>3427</v>
      </c>
      <c r="T390" t="s">
        <v>2689</v>
      </c>
      <c r="U390" s="10" t="s">
        <v>6283</v>
      </c>
      <c r="V390" t="s">
        <v>6284</v>
      </c>
      <c r="W390" t="s">
        <v>6285</v>
      </c>
      <c r="X390" t="s">
        <v>2688</v>
      </c>
      <c r="Y390" t="s">
        <v>2688</v>
      </c>
      <c r="Z390" t="s">
        <v>2747</v>
      </c>
      <c r="AA390" t="s">
        <v>2689</v>
      </c>
      <c r="AB390" t="s">
        <v>6286</v>
      </c>
      <c r="AD390" t="s">
        <v>6287</v>
      </c>
      <c r="AE390" t="s">
        <v>6288</v>
      </c>
      <c r="AH390" t="s">
        <v>3445</v>
      </c>
      <c r="AJ390" s="10" t="s">
        <v>3636</v>
      </c>
    </row>
    <row r="391" spans="1:36" ht="102" x14ac:dyDescent="0.4">
      <c r="A391" t="s">
        <v>964</v>
      </c>
      <c r="B391" t="s">
        <v>6289</v>
      </c>
      <c r="C391" t="s">
        <v>1411</v>
      </c>
      <c r="D391" t="s">
        <v>6290</v>
      </c>
      <c r="E391" t="s">
        <v>2679</v>
      </c>
      <c r="F391" t="s">
        <v>6291</v>
      </c>
      <c r="G391">
        <v>42.084773993200002</v>
      </c>
      <c r="H391">
        <v>-73.385483063799995</v>
      </c>
      <c r="I391" t="s">
        <v>1411</v>
      </c>
      <c r="J391" t="s">
        <v>2431</v>
      </c>
      <c r="K391" t="s">
        <v>952</v>
      </c>
      <c r="L391" t="s">
        <v>2435</v>
      </c>
      <c r="M391">
        <v>407</v>
      </c>
      <c r="N391" t="s">
        <v>3438</v>
      </c>
      <c r="O391" t="s">
        <v>964</v>
      </c>
      <c r="P391" s="1">
        <v>44795</v>
      </c>
      <c r="Q391">
        <v>39.700000000000003</v>
      </c>
      <c r="R391">
        <v>27</v>
      </c>
      <c r="S391" t="s">
        <v>3427</v>
      </c>
      <c r="T391" t="s">
        <v>2689</v>
      </c>
      <c r="U391" s="10" t="s">
        <v>6292</v>
      </c>
      <c r="V391" t="s">
        <v>6293</v>
      </c>
      <c r="W391" t="s">
        <v>6294</v>
      </c>
      <c r="X391" t="s">
        <v>2688</v>
      </c>
      <c r="Y391" t="s">
        <v>2688</v>
      </c>
      <c r="Z391" t="s">
        <v>2689</v>
      </c>
      <c r="AA391" t="s">
        <v>2689</v>
      </c>
      <c r="AB391" t="s">
        <v>6295</v>
      </c>
      <c r="AD391" t="s">
        <v>6296</v>
      </c>
      <c r="AE391" t="s">
        <v>6297</v>
      </c>
      <c r="AH391" t="s">
        <v>3445</v>
      </c>
      <c r="AJ391" s="10" t="s">
        <v>6298</v>
      </c>
    </row>
    <row r="392" spans="1:36" ht="87.45" x14ac:dyDescent="0.4">
      <c r="A392" t="s">
        <v>939</v>
      </c>
      <c r="B392" t="s">
        <v>6299</v>
      </c>
      <c r="C392" t="s">
        <v>1411</v>
      </c>
      <c r="D392" t="s">
        <v>6290</v>
      </c>
      <c r="E392" t="s">
        <v>2679</v>
      </c>
      <c r="F392" t="s">
        <v>6300</v>
      </c>
      <c r="G392">
        <v>42.287037363300001</v>
      </c>
      <c r="H392">
        <v>-73.315456118499995</v>
      </c>
      <c r="I392" t="s">
        <v>1411</v>
      </c>
      <c r="J392" t="s">
        <v>2431</v>
      </c>
      <c r="K392" t="s">
        <v>936</v>
      </c>
      <c r="L392" t="s">
        <v>2434</v>
      </c>
      <c r="M392">
        <v>395</v>
      </c>
      <c r="N392" t="s">
        <v>3438</v>
      </c>
      <c r="O392" t="s">
        <v>939</v>
      </c>
      <c r="P392" s="1">
        <v>44794</v>
      </c>
      <c r="Q392">
        <v>20.5</v>
      </c>
      <c r="R392">
        <v>24</v>
      </c>
      <c r="S392" t="s">
        <v>3427</v>
      </c>
      <c r="T392" t="s">
        <v>2688</v>
      </c>
      <c r="U392" s="10" t="s">
        <v>6301</v>
      </c>
      <c r="V392" t="s">
        <v>6302</v>
      </c>
      <c r="W392" t="s">
        <v>6303</v>
      </c>
      <c r="X392" t="s">
        <v>2688</v>
      </c>
      <c r="Y392" t="s">
        <v>2688</v>
      </c>
      <c r="Z392" t="s">
        <v>2747</v>
      </c>
      <c r="AA392" t="s">
        <v>2689</v>
      </c>
      <c r="AB392" t="s">
        <v>6304</v>
      </c>
      <c r="AD392" t="s">
        <v>6305</v>
      </c>
      <c r="AE392" t="s">
        <v>6306</v>
      </c>
      <c r="AH392" t="s">
        <v>6307</v>
      </c>
      <c r="AJ392" t="s">
        <v>6308</v>
      </c>
    </row>
    <row r="393" spans="1:36" x14ac:dyDescent="0.4">
      <c r="A393" t="s">
        <v>942</v>
      </c>
      <c r="B393" t="s">
        <v>6309</v>
      </c>
      <c r="C393" t="s">
        <v>1411</v>
      </c>
      <c r="D393" t="s">
        <v>6290</v>
      </c>
      <c r="E393" t="s">
        <v>2679</v>
      </c>
      <c r="F393" t="s">
        <v>6310</v>
      </c>
      <c r="G393">
        <v>42.286700955599997</v>
      </c>
      <c r="H393">
        <v>-73.316926974899999</v>
      </c>
      <c r="I393" t="s">
        <v>1411</v>
      </c>
      <c r="J393" t="s">
        <v>2431</v>
      </c>
      <c r="K393" t="s">
        <v>936</v>
      </c>
      <c r="L393" t="s">
        <v>2434</v>
      </c>
      <c r="M393">
        <v>396</v>
      </c>
      <c r="N393" t="s">
        <v>3438</v>
      </c>
      <c r="O393" t="s">
        <v>942</v>
      </c>
      <c r="P393" s="1">
        <v>44794</v>
      </c>
      <c r="Q393">
        <v>103</v>
      </c>
      <c r="R393">
        <v>24</v>
      </c>
      <c r="S393" t="s">
        <v>3427</v>
      </c>
      <c r="T393" t="s">
        <v>2689</v>
      </c>
      <c r="U393" t="s">
        <v>3597</v>
      </c>
      <c r="V393" t="s">
        <v>6311</v>
      </c>
      <c r="W393" t="s">
        <v>6312</v>
      </c>
      <c r="X393" t="s">
        <v>2688</v>
      </c>
      <c r="Y393" t="s">
        <v>2688</v>
      </c>
      <c r="Z393" t="s">
        <v>2747</v>
      </c>
      <c r="AA393" t="s">
        <v>2689</v>
      </c>
      <c r="AB393" t="s">
        <v>6313</v>
      </c>
      <c r="AD393" t="s">
        <v>6314</v>
      </c>
      <c r="AE393" t="s">
        <v>6315</v>
      </c>
      <c r="AH393" t="s">
        <v>6307</v>
      </c>
      <c r="AJ393" t="s">
        <v>5113</v>
      </c>
    </row>
    <row r="394" spans="1:36" x14ac:dyDescent="0.4">
      <c r="A394" t="s">
        <v>945</v>
      </c>
      <c r="B394" t="s">
        <v>6316</v>
      </c>
      <c r="C394" t="s">
        <v>1411</v>
      </c>
      <c r="D394" t="s">
        <v>6317</v>
      </c>
      <c r="E394" t="s">
        <v>2679</v>
      </c>
      <c r="F394" t="s">
        <v>6318</v>
      </c>
      <c r="G394">
        <v>42.290086070999998</v>
      </c>
      <c r="H394">
        <v>-73.317854767699998</v>
      </c>
      <c r="I394" t="s">
        <v>1411</v>
      </c>
      <c r="J394" t="s">
        <v>2431</v>
      </c>
      <c r="K394" t="s">
        <v>936</v>
      </c>
      <c r="L394" t="s">
        <v>2434</v>
      </c>
      <c r="M394">
        <v>397</v>
      </c>
      <c r="N394" t="s">
        <v>3438</v>
      </c>
      <c r="O394" t="s">
        <v>945</v>
      </c>
      <c r="P394" s="1">
        <v>44794</v>
      </c>
      <c r="Q394">
        <v>124</v>
      </c>
      <c r="R394">
        <v>27</v>
      </c>
      <c r="S394" t="s">
        <v>3427</v>
      </c>
      <c r="T394" t="s">
        <v>2689</v>
      </c>
      <c r="U394" t="s">
        <v>6319</v>
      </c>
      <c r="V394" t="s">
        <v>6320</v>
      </c>
      <c r="W394" t="s">
        <v>5310</v>
      </c>
      <c r="X394" t="s">
        <v>2688</v>
      </c>
      <c r="Y394" t="s">
        <v>2688</v>
      </c>
      <c r="Z394" t="s">
        <v>2689</v>
      </c>
      <c r="AA394" t="s">
        <v>2689</v>
      </c>
      <c r="AB394" t="s">
        <v>6321</v>
      </c>
      <c r="AD394" t="s">
        <v>6322</v>
      </c>
      <c r="AE394" t="s">
        <v>6323</v>
      </c>
      <c r="AH394" t="s">
        <v>6324</v>
      </c>
      <c r="AJ394" t="s">
        <v>6325</v>
      </c>
    </row>
    <row r="395" spans="1:36" ht="58.3" x14ac:dyDescent="0.4">
      <c r="A395" t="s">
        <v>948</v>
      </c>
      <c r="B395" t="s">
        <v>6326</v>
      </c>
      <c r="C395" t="s">
        <v>1411</v>
      </c>
      <c r="D395" t="s">
        <v>6317</v>
      </c>
      <c r="E395" t="s">
        <v>2679</v>
      </c>
      <c r="F395" t="s">
        <v>6327</v>
      </c>
      <c r="G395">
        <v>42.290115533399998</v>
      </c>
      <c r="H395">
        <v>-73.319378010999998</v>
      </c>
      <c r="I395" t="s">
        <v>1411</v>
      </c>
      <c r="J395" t="s">
        <v>2431</v>
      </c>
      <c r="K395" t="s">
        <v>936</v>
      </c>
      <c r="L395" t="s">
        <v>2434</v>
      </c>
      <c r="M395">
        <v>398</v>
      </c>
      <c r="N395" t="s">
        <v>3438</v>
      </c>
      <c r="O395" t="s">
        <v>948</v>
      </c>
      <c r="P395" s="1">
        <v>44794</v>
      </c>
      <c r="Q395">
        <v>143</v>
      </c>
      <c r="R395">
        <v>28</v>
      </c>
      <c r="S395" t="s">
        <v>3427</v>
      </c>
      <c r="T395" t="s">
        <v>2689</v>
      </c>
      <c r="U395" s="10" t="s">
        <v>6328</v>
      </c>
      <c r="V395" t="s">
        <v>6329</v>
      </c>
      <c r="W395" t="s">
        <v>6330</v>
      </c>
      <c r="X395" t="s">
        <v>2688</v>
      </c>
      <c r="Y395" t="s">
        <v>2688</v>
      </c>
      <c r="Z395" t="s">
        <v>2689</v>
      </c>
      <c r="AA395" t="s">
        <v>2689</v>
      </c>
      <c r="AB395" t="s">
        <v>6331</v>
      </c>
      <c r="AD395" t="s">
        <v>6332</v>
      </c>
      <c r="AE395" t="s">
        <v>6333</v>
      </c>
      <c r="AH395" t="s">
        <v>3445</v>
      </c>
      <c r="AJ395" t="s">
        <v>5040</v>
      </c>
    </row>
    <row r="396" spans="1:36" ht="58.3" x14ac:dyDescent="0.4">
      <c r="A396" t="s">
        <v>1728</v>
      </c>
      <c r="B396" t="s">
        <v>6334</v>
      </c>
      <c r="C396" t="s">
        <v>5838</v>
      </c>
      <c r="D396" t="s">
        <v>6317</v>
      </c>
      <c r="E396" t="s">
        <v>2679</v>
      </c>
      <c r="F396" t="s">
        <v>6335</v>
      </c>
      <c r="G396">
        <v>43.081381400200002</v>
      </c>
      <c r="H396">
        <v>-73.301493208899998</v>
      </c>
      <c r="I396" t="s">
        <v>5838</v>
      </c>
      <c r="J396" t="s">
        <v>2448</v>
      </c>
      <c r="K396" t="s">
        <v>1736</v>
      </c>
      <c r="L396" t="s">
        <v>2451</v>
      </c>
      <c r="M396">
        <v>370</v>
      </c>
      <c r="N396" t="s">
        <v>3438</v>
      </c>
      <c r="O396" t="s">
        <v>1728</v>
      </c>
      <c r="P396" s="1">
        <v>44791</v>
      </c>
      <c r="Q396">
        <v>16.5</v>
      </c>
      <c r="R396">
        <v>16</v>
      </c>
      <c r="S396" t="s">
        <v>3427</v>
      </c>
      <c r="T396" t="s">
        <v>2688</v>
      </c>
      <c r="U396" s="10" t="s">
        <v>6336</v>
      </c>
      <c r="V396" t="s">
        <v>6337</v>
      </c>
      <c r="W396" t="s">
        <v>6338</v>
      </c>
      <c r="X396" t="s">
        <v>2688</v>
      </c>
      <c r="Y396" t="s">
        <v>2688</v>
      </c>
      <c r="Z396" t="s">
        <v>2747</v>
      </c>
      <c r="AA396" t="s">
        <v>2689</v>
      </c>
      <c r="AB396" t="s">
        <v>6339</v>
      </c>
      <c r="AC396" t="s">
        <v>6340</v>
      </c>
      <c r="AD396" t="s">
        <v>6341</v>
      </c>
      <c r="AE396" t="s">
        <v>6342</v>
      </c>
      <c r="AH396" t="s">
        <v>3445</v>
      </c>
      <c r="AJ396" t="s">
        <v>6343</v>
      </c>
    </row>
    <row r="397" spans="1:36" ht="204" x14ac:dyDescent="0.4">
      <c r="A397" t="s">
        <v>1659</v>
      </c>
      <c r="B397" t="s">
        <v>6344</v>
      </c>
      <c r="C397" t="s">
        <v>4832</v>
      </c>
      <c r="D397" t="s">
        <v>6345</v>
      </c>
      <c r="E397" t="s">
        <v>2679</v>
      </c>
      <c r="F397" t="s">
        <v>6346</v>
      </c>
      <c r="G397">
        <v>42.719609574499998</v>
      </c>
      <c r="H397">
        <v>-73.860288793300001</v>
      </c>
      <c r="I397" t="s">
        <v>4832</v>
      </c>
      <c r="J397" t="s">
        <v>2448</v>
      </c>
      <c r="K397" t="s">
        <v>5338</v>
      </c>
      <c r="L397" t="s">
        <v>2449</v>
      </c>
      <c r="M397">
        <v>377</v>
      </c>
      <c r="N397" t="s">
        <v>3438</v>
      </c>
      <c r="O397" t="s">
        <v>1659</v>
      </c>
      <c r="P397" s="1">
        <v>44792</v>
      </c>
      <c r="Q397">
        <v>5.8</v>
      </c>
      <c r="R397">
        <v>10</v>
      </c>
      <c r="S397" t="s">
        <v>3427</v>
      </c>
      <c r="T397" t="s">
        <v>2689</v>
      </c>
      <c r="U397" s="10" t="s">
        <v>6347</v>
      </c>
      <c r="V397" t="s">
        <v>6348</v>
      </c>
      <c r="W397" t="s">
        <v>6349</v>
      </c>
      <c r="X397" t="s">
        <v>2688</v>
      </c>
      <c r="Y397" t="s">
        <v>2688</v>
      </c>
      <c r="Z397" t="s">
        <v>2747</v>
      </c>
      <c r="AA397" t="s">
        <v>2689</v>
      </c>
      <c r="AB397" t="s">
        <v>6350</v>
      </c>
      <c r="AD397" t="s">
        <v>6351</v>
      </c>
      <c r="AE397" t="s">
        <v>6352</v>
      </c>
      <c r="AH397" t="s">
        <v>3445</v>
      </c>
      <c r="AJ397" s="10" t="s">
        <v>6353</v>
      </c>
    </row>
    <row r="398" spans="1:36" ht="131.15" x14ac:dyDescent="0.4">
      <c r="A398" t="s">
        <v>2291</v>
      </c>
      <c r="B398" t="s">
        <v>6354</v>
      </c>
      <c r="C398" t="s">
        <v>1411</v>
      </c>
      <c r="D398" t="s">
        <v>6355</v>
      </c>
      <c r="E398" t="s">
        <v>2679</v>
      </c>
      <c r="F398" t="s">
        <v>6356</v>
      </c>
      <c r="G398">
        <v>43.597817402399997</v>
      </c>
      <c r="H398">
        <v>-73.186865737700003</v>
      </c>
      <c r="I398" t="s">
        <v>1411</v>
      </c>
      <c r="J398" t="s">
        <v>2466</v>
      </c>
      <c r="K398" t="s">
        <v>2270</v>
      </c>
      <c r="L398" t="s">
        <v>2467</v>
      </c>
      <c r="M398">
        <v>368</v>
      </c>
      <c r="N398" t="s">
        <v>3438</v>
      </c>
      <c r="O398" t="s">
        <v>2291</v>
      </c>
      <c r="P398" s="1">
        <v>44791</v>
      </c>
      <c r="Q398">
        <v>18.5</v>
      </c>
      <c r="R398">
        <v>16</v>
      </c>
      <c r="S398" t="s">
        <v>3427</v>
      </c>
      <c r="T398" t="s">
        <v>2688</v>
      </c>
      <c r="U398" s="10" t="s">
        <v>6357</v>
      </c>
      <c r="V398" t="s">
        <v>6358</v>
      </c>
      <c r="W398" t="s">
        <v>6359</v>
      </c>
      <c r="X398" t="s">
        <v>2688</v>
      </c>
      <c r="Y398" t="s">
        <v>2688</v>
      </c>
      <c r="Z398" t="s">
        <v>2689</v>
      </c>
      <c r="AA398" t="s">
        <v>2689</v>
      </c>
      <c r="AB398" t="s">
        <v>6360</v>
      </c>
      <c r="AC398" t="s">
        <v>6361</v>
      </c>
      <c r="AD398" t="s">
        <v>6362</v>
      </c>
      <c r="AE398" t="s">
        <v>6363</v>
      </c>
      <c r="AH398" t="s">
        <v>3445</v>
      </c>
      <c r="AJ398" s="10" t="s">
        <v>6364</v>
      </c>
    </row>
    <row r="399" spans="1:36" ht="160.30000000000001" x14ac:dyDescent="0.4">
      <c r="A399" t="s">
        <v>1772</v>
      </c>
      <c r="B399" t="s">
        <v>6365</v>
      </c>
      <c r="C399" t="s">
        <v>1411</v>
      </c>
      <c r="D399" t="s">
        <v>6366</v>
      </c>
      <c r="E399" t="s">
        <v>2679</v>
      </c>
      <c r="F399" t="s">
        <v>6367</v>
      </c>
      <c r="G399">
        <v>44.098000265700001</v>
      </c>
      <c r="H399">
        <v>-76.079870564900006</v>
      </c>
      <c r="I399" t="s">
        <v>1411</v>
      </c>
      <c r="J399" t="s">
        <v>2448</v>
      </c>
      <c r="K399" t="s">
        <v>3660</v>
      </c>
      <c r="L399" t="s">
        <v>2452</v>
      </c>
      <c r="M399">
        <v>356</v>
      </c>
      <c r="N399" t="s">
        <v>3438</v>
      </c>
      <c r="O399" t="s">
        <v>1772</v>
      </c>
      <c r="P399" s="1">
        <v>44790</v>
      </c>
      <c r="Q399">
        <v>13.4</v>
      </c>
      <c r="R399">
        <v>10</v>
      </c>
      <c r="S399" t="s">
        <v>3464</v>
      </c>
      <c r="T399" t="s">
        <v>2689</v>
      </c>
      <c r="U399" s="10" t="s">
        <v>6368</v>
      </c>
      <c r="V399" t="s">
        <v>6369</v>
      </c>
      <c r="W399" t="s">
        <v>6370</v>
      </c>
      <c r="X399" t="s">
        <v>2688</v>
      </c>
      <c r="Y399" t="s">
        <v>2688</v>
      </c>
      <c r="Z399" t="s">
        <v>2689</v>
      </c>
      <c r="AA399" t="s">
        <v>2689</v>
      </c>
      <c r="AB399" t="s">
        <v>6371</v>
      </c>
      <c r="AD399" t="s">
        <v>6372</v>
      </c>
      <c r="AE399" t="s">
        <v>6373</v>
      </c>
      <c r="AH399" t="s">
        <v>3445</v>
      </c>
      <c r="AJ399" s="10" t="s">
        <v>6374</v>
      </c>
    </row>
    <row r="400" spans="1:36" ht="131.15" x14ac:dyDescent="0.4">
      <c r="A400" t="s">
        <v>1784</v>
      </c>
      <c r="B400" t="s">
        <v>6375</v>
      </c>
      <c r="C400" t="s">
        <v>3448</v>
      </c>
      <c r="D400" t="s">
        <v>6376</v>
      </c>
      <c r="E400" t="s">
        <v>2679</v>
      </c>
      <c r="F400" t="s">
        <v>6377</v>
      </c>
      <c r="G400">
        <v>44.102035313899997</v>
      </c>
      <c r="H400">
        <v>-76.078288732199994</v>
      </c>
      <c r="I400" t="s">
        <v>3448</v>
      </c>
      <c r="J400" t="s">
        <v>2448</v>
      </c>
      <c r="K400" t="s">
        <v>3660</v>
      </c>
      <c r="L400" t="s">
        <v>2452</v>
      </c>
      <c r="M400">
        <v>360</v>
      </c>
      <c r="N400" t="s">
        <v>3438</v>
      </c>
      <c r="O400" t="s">
        <v>1784</v>
      </c>
      <c r="P400" s="1">
        <v>44790</v>
      </c>
      <c r="Q400">
        <v>8.1999999999999993</v>
      </c>
      <c r="R400">
        <v>15</v>
      </c>
      <c r="S400" t="s">
        <v>3427</v>
      </c>
      <c r="T400" t="s">
        <v>2689</v>
      </c>
      <c r="U400" s="10" t="s">
        <v>6378</v>
      </c>
      <c r="V400" s="10" t="s">
        <v>6379</v>
      </c>
      <c r="W400" t="s">
        <v>6380</v>
      </c>
      <c r="X400" t="s">
        <v>2688</v>
      </c>
      <c r="Y400" t="s">
        <v>2689</v>
      </c>
      <c r="Z400" t="s">
        <v>2747</v>
      </c>
      <c r="AA400" t="s">
        <v>2689</v>
      </c>
      <c r="AB400" t="s">
        <v>6381</v>
      </c>
      <c r="AD400" s="9" t="s">
        <v>6382</v>
      </c>
      <c r="AE400" t="s">
        <v>6383</v>
      </c>
      <c r="AH400" t="s">
        <v>3445</v>
      </c>
      <c r="AJ400" s="10" t="s">
        <v>6384</v>
      </c>
    </row>
    <row r="401" spans="1:36" ht="87.45" x14ac:dyDescent="0.4">
      <c r="A401" t="s">
        <v>1692</v>
      </c>
      <c r="B401" t="s">
        <v>6385</v>
      </c>
      <c r="C401" t="s">
        <v>1411</v>
      </c>
      <c r="D401" t="s">
        <v>6386</v>
      </c>
      <c r="E401" t="s">
        <v>2679</v>
      </c>
      <c r="F401" t="s">
        <v>6387</v>
      </c>
      <c r="G401">
        <v>43.0598326167</v>
      </c>
      <c r="H401">
        <v>-78.972598035000004</v>
      </c>
      <c r="I401" t="s">
        <v>1411</v>
      </c>
      <c r="J401" t="s">
        <v>2448</v>
      </c>
      <c r="K401" t="s">
        <v>5399</v>
      </c>
      <c r="L401" t="s">
        <v>2450</v>
      </c>
      <c r="M401">
        <v>329</v>
      </c>
      <c r="N401" t="s">
        <v>3438</v>
      </c>
      <c r="O401" t="s">
        <v>1692</v>
      </c>
      <c r="P401" s="1">
        <v>44788</v>
      </c>
      <c r="Q401">
        <v>30.3</v>
      </c>
      <c r="R401">
        <v>22</v>
      </c>
      <c r="S401" t="s">
        <v>3464</v>
      </c>
      <c r="T401" t="s">
        <v>2689</v>
      </c>
      <c r="U401" s="10" t="s">
        <v>6388</v>
      </c>
      <c r="V401" t="s">
        <v>6389</v>
      </c>
      <c r="W401" t="s">
        <v>6390</v>
      </c>
      <c r="X401" t="s">
        <v>2688</v>
      </c>
      <c r="Y401" t="s">
        <v>2688</v>
      </c>
      <c r="Z401" t="s">
        <v>2689</v>
      </c>
      <c r="AA401" t="s">
        <v>2689</v>
      </c>
      <c r="AB401" t="s">
        <v>6391</v>
      </c>
      <c r="AD401" t="s">
        <v>6392</v>
      </c>
      <c r="AE401" t="s">
        <v>6393</v>
      </c>
      <c r="AH401" t="s">
        <v>3445</v>
      </c>
      <c r="AJ401" s="10" t="s">
        <v>6394</v>
      </c>
    </row>
    <row r="402" spans="1:36" ht="102" x14ac:dyDescent="0.4">
      <c r="A402" t="s">
        <v>1695</v>
      </c>
      <c r="B402" t="s">
        <v>6395</v>
      </c>
      <c r="C402" t="s">
        <v>1411</v>
      </c>
      <c r="D402" t="s">
        <v>6386</v>
      </c>
      <c r="E402" t="s">
        <v>2679</v>
      </c>
      <c r="F402" t="s">
        <v>6396</v>
      </c>
      <c r="G402">
        <v>43.061139858399997</v>
      </c>
      <c r="H402">
        <v>-78.973371014099996</v>
      </c>
      <c r="I402" t="s">
        <v>1411</v>
      </c>
      <c r="J402" t="s">
        <v>2448</v>
      </c>
      <c r="K402" t="s">
        <v>5399</v>
      </c>
      <c r="L402" t="s">
        <v>2450</v>
      </c>
      <c r="M402">
        <v>330</v>
      </c>
      <c r="N402" t="s">
        <v>3438</v>
      </c>
      <c r="O402" t="s">
        <v>1695</v>
      </c>
      <c r="P402" s="1">
        <v>44788</v>
      </c>
      <c r="Q402">
        <v>35.5</v>
      </c>
      <c r="R402">
        <v>24</v>
      </c>
      <c r="S402" t="s">
        <v>3464</v>
      </c>
      <c r="T402" t="s">
        <v>2689</v>
      </c>
      <c r="U402" s="10" t="s">
        <v>6397</v>
      </c>
      <c r="V402" s="10" t="s">
        <v>6398</v>
      </c>
      <c r="W402" t="s">
        <v>6399</v>
      </c>
      <c r="X402" t="s">
        <v>2688</v>
      </c>
      <c r="Y402" t="s">
        <v>2688</v>
      </c>
      <c r="Z402" t="s">
        <v>2689</v>
      </c>
      <c r="AA402" t="s">
        <v>2689</v>
      </c>
      <c r="AB402" t="s">
        <v>6400</v>
      </c>
      <c r="AD402" t="s">
        <v>6401</v>
      </c>
      <c r="AE402" t="s">
        <v>6402</v>
      </c>
      <c r="AH402" t="s">
        <v>3445</v>
      </c>
      <c r="AJ402" t="s">
        <v>6403</v>
      </c>
    </row>
    <row r="403" spans="1:36" ht="87.45" x14ac:dyDescent="0.4">
      <c r="A403" t="s">
        <v>1701</v>
      </c>
      <c r="B403" t="s">
        <v>6404</v>
      </c>
      <c r="C403" t="s">
        <v>1428</v>
      </c>
      <c r="D403" t="s">
        <v>6405</v>
      </c>
      <c r="E403" t="s">
        <v>2679</v>
      </c>
      <c r="F403" t="s">
        <v>6406</v>
      </c>
      <c r="G403">
        <v>43.057043743400001</v>
      </c>
      <c r="H403">
        <v>-78.985976839900005</v>
      </c>
      <c r="I403" t="s">
        <v>1428</v>
      </c>
      <c r="J403" t="s">
        <v>2448</v>
      </c>
      <c r="K403" t="s">
        <v>5399</v>
      </c>
      <c r="L403" t="s">
        <v>2450</v>
      </c>
      <c r="M403">
        <v>332</v>
      </c>
      <c r="N403" t="s">
        <v>3438</v>
      </c>
      <c r="O403" t="s">
        <v>1701</v>
      </c>
      <c r="P403" s="1">
        <v>44788</v>
      </c>
      <c r="Q403">
        <v>36.5</v>
      </c>
      <c r="R403">
        <v>24</v>
      </c>
      <c r="S403" t="s">
        <v>3427</v>
      </c>
      <c r="T403" t="s">
        <v>2689</v>
      </c>
      <c r="U403" s="10" t="s">
        <v>6407</v>
      </c>
      <c r="V403" t="s">
        <v>6408</v>
      </c>
      <c r="W403" t="s">
        <v>6409</v>
      </c>
      <c r="X403" t="s">
        <v>2688</v>
      </c>
      <c r="Y403" t="s">
        <v>2688</v>
      </c>
      <c r="Z403" t="s">
        <v>2747</v>
      </c>
      <c r="AA403" t="s">
        <v>2689</v>
      </c>
      <c r="AB403" t="s">
        <v>6410</v>
      </c>
      <c r="AD403" t="s">
        <v>6411</v>
      </c>
      <c r="AE403" t="s">
        <v>6412</v>
      </c>
      <c r="AH403" t="s">
        <v>3445</v>
      </c>
      <c r="AJ403" t="s">
        <v>6413</v>
      </c>
    </row>
    <row r="404" spans="1:36" ht="87.45" x14ac:dyDescent="0.4">
      <c r="A404" t="s">
        <v>1698</v>
      </c>
      <c r="B404" t="s">
        <v>6414</v>
      </c>
      <c r="C404" t="s">
        <v>3448</v>
      </c>
      <c r="D404" t="s">
        <v>6405</v>
      </c>
      <c r="E404" t="s">
        <v>2679</v>
      </c>
      <c r="F404" t="s">
        <v>6415</v>
      </c>
      <c r="G404">
        <v>43.057086914800003</v>
      </c>
      <c r="H404">
        <v>-78.986177640099996</v>
      </c>
      <c r="I404" t="s">
        <v>3448</v>
      </c>
      <c r="J404" t="s">
        <v>2448</v>
      </c>
      <c r="K404" t="s">
        <v>5399</v>
      </c>
      <c r="L404" t="s">
        <v>2450</v>
      </c>
      <c r="M404">
        <v>331</v>
      </c>
      <c r="N404" t="s">
        <v>3438</v>
      </c>
      <c r="O404" t="s">
        <v>1698</v>
      </c>
      <c r="P404" s="1">
        <v>44788</v>
      </c>
      <c r="Q404">
        <v>82.4</v>
      </c>
      <c r="R404">
        <v>27</v>
      </c>
      <c r="S404" t="s">
        <v>3464</v>
      </c>
      <c r="T404" t="s">
        <v>2689</v>
      </c>
      <c r="U404" s="10" t="s">
        <v>6416</v>
      </c>
      <c r="V404" s="10" t="s">
        <v>6417</v>
      </c>
      <c r="W404" t="s">
        <v>6418</v>
      </c>
      <c r="X404" t="s">
        <v>2688</v>
      </c>
      <c r="Y404" t="s">
        <v>2688</v>
      </c>
      <c r="Z404" t="s">
        <v>2747</v>
      </c>
      <c r="AA404" t="s">
        <v>2689</v>
      </c>
      <c r="AB404" t="s">
        <v>6419</v>
      </c>
      <c r="AD404" t="s">
        <v>6420</v>
      </c>
      <c r="AE404" t="s">
        <v>6421</v>
      </c>
      <c r="AH404" t="s">
        <v>3445</v>
      </c>
      <c r="AJ404" t="s">
        <v>6413</v>
      </c>
    </row>
    <row r="405" spans="1:36" ht="116.6" x14ac:dyDescent="0.4">
      <c r="A405" t="s">
        <v>1704</v>
      </c>
      <c r="B405" t="s">
        <v>6422</v>
      </c>
      <c r="C405" t="s">
        <v>3448</v>
      </c>
      <c r="D405" t="s">
        <v>6405</v>
      </c>
      <c r="E405" t="s">
        <v>2679</v>
      </c>
      <c r="F405" t="s">
        <v>6423</v>
      </c>
      <c r="G405">
        <v>43.056894634000002</v>
      </c>
      <c r="H405">
        <v>-78.985356465099997</v>
      </c>
      <c r="I405" t="s">
        <v>3448</v>
      </c>
      <c r="J405" t="s">
        <v>2448</v>
      </c>
      <c r="K405" t="s">
        <v>5399</v>
      </c>
      <c r="L405" t="s">
        <v>2450</v>
      </c>
      <c r="M405">
        <v>333</v>
      </c>
      <c r="N405" t="s">
        <v>3438</v>
      </c>
      <c r="O405" t="s">
        <v>1704</v>
      </c>
      <c r="P405" s="1">
        <v>44788</v>
      </c>
      <c r="Q405">
        <v>54.3</v>
      </c>
      <c r="R405">
        <v>26</v>
      </c>
      <c r="S405" t="s">
        <v>4506</v>
      </c>
      <c r="T405" t="s">
        <v>2689</v>
      </c>
      <c r="U405" s="10" t="s">
        <v>6424</v>
      </c>
      <c r="V405" s="10" t="s">
        <v>6425</v>
      </c>
      <c r="W405" t="s">
        <v>6418</v>
      </c>
      <c r="X405" t="s">
        <v>2688</v>
      </c>
      <c r="Y405" t="s">
        <v>2688</v>
      </c>
      <c r="Z405" t="s">
        <v>2747</v>
      </c>
      <c r="AA405" t="s">
        <v>2689</v>
      </c>
      <c r="AB405" t="s">
        <v>6426</v>
      </c>
      <c r="AD405" t="s">
        <v>6427</v>
      </c>
      <c r="AE405" t="s">
        <v>6428</v>
      </c>
      <c r="AH405" t="s">
        <v>3445</v>
      </c>
      <c r="AJ405" s="10" t="s">
        <v>6429</v>
      </c>
    </row>
    <row r="406" spans="1:36" ht="87.45" x14ac:dyDescent="0.4">
      <c r="A406" t="s">
        <v>1707</v>
      </c>
      <c r="B406" t="s">
        <v>6430</v>
      </c>
      <c r="C406" t="s">
        <v>3448</v>
      </c>
      <c r="D406" t="s">
        <v>6431</v>
      </c>
      <c r="E406" t="s">
        <v>2679</v>
      </c>
      <c r="F406" t="s">
        <v>6432</v>
      </c>
      <c r="G406">
        <v>43.056719074999997</v>
      </c>
      <c r="H406">
        <v>-78.983997842400001</v>
      </c>
      <c r="I406" t="s">
        <v>3448</v>
      </c>
      <c r="J406" t="s">
        <v>2448</v>
      </c>
      <c r="K406" t="s">
        <v>5399</v>
      </c>
      <c r="L406" t="s">
        <v>2450</v>
      </c>
      <c r="M406">
        <v>334</v>
      </c>
      <c r="N406" t="s">
        <v>3438</v>
      </c>
      <c r="O406" t="s">
        <v>1707</v>
      </c>
      <c r="P406" s="1">
        <v>44788</v>
      </c>
      <c r="Q406">
        <v>47.6</v>
      </c>
      <c r="R406">
        <v>29</v>
      </c>
      <c r="S406" t="s">
        <v>3427</v>
      </c>
      <c r="T406" t="s">
        <v>2689</v>
      </c>
      <c r="U406" s="10" t="s">
        <v>6433</v>
      </c>
      <c r="V406" s="10" t="s">
        <v>6434</v>
      </c>
      <c r="W406" t="s">
        <v>6435</v>
      </c>
      <c r="X406" t="s">
        <v>2688</v>
      </c>
      <c r="Y406" t="s">
        <v>2688</v>
      </c>
      <c r="Z406" t="s">
        <v>2747</v>
      </c>
      <c r="AA406" t="s">
        <v>2689</v>
      </c>
      <c r="AB406" t="s">
        <v>6436</v>
      </c>
      <c r="AD406" t="s">
        <v>6437</v>
      </c>
      <c r="AE406" t="s">
        <v>6438</v>
      </c>
      <c r="AH406" t="s">
        <v>3445</v>
      </c>
      <c r="AJ406" s="10" t="s">
        <v>6439</v>
      </c>
    </row>
    <row r="407" spans="1:36" ht="131.15" x14ac:dyDescent="0.4">
      <c r="A407" t="s">
        <v>1710</v>
      </c>
      <c r="B407" t="s">
        <v>6440</v>
      </c>
      <c r="C407" t="s">
        <v>1428</v>
      </c>
      <c r="D407" t="s">
        <v>6431</v>
      </c>
      <c r="E407" t="s">
        <v>2679</v>
      </c>
      <c r="F407" t="s">
        <v>6441</v>
      </c>
      <c r="G407">
        <v>43.056817632700003</v>
      </c>
      <c r="H407">
        <v>-78.984047286500001</v>
      </c>
      <c r="I407" t="s">
        <v>1428</v>
      </c>
      <c r="J407" t="s">
        <v>2448</v>
      </c>
      <c r="K407" t="s">
        <v>5399</v>
      </c>
      <c r="L407" t="s">
        <v>2450</v>
      </c>
      <c r="M407">
        <v>335</v>
      </c>
      <c r="N407" t="s">
        <v>3438</v>
      </c>
      <c r="O407" t="s">
        <v>1710</v>
      </c>
      <c r="P407" s="1">
        <v>44788</v>
      </c>
      <c r="Q407">
        <v>48.7</v>
      </c>
      <c r="R407">
        <v>24</v>
      </c>
      <c r="S407" t="s">
        <v>4506</v>
      </c>
      <c r="T407" t="s">
        <v>2689</v>
      </c>
      <c r="U407" s="10" t="s">
        <v>6442</v>
      </c>
      <c r="V407" s="10" t="s">
        <v>6443</v>
      </c>
      <c r="W407" t="s">
        <v>6444</v>
      </c>
      <c r="X407" t="s">
        <v>2688</v>
      </c>
      <c r="Y407" t="s">
        <v>2688</v>
      </c>
      <c r="Z407" t="s">
        <v>2689</v>
      </c>
      <c r="AA407" t="s">
        <v>2689</v>
      </c>
      <c r="AB407" t="s">
        <v>6445</v>
      </c>
      <c r="AD407" t="s">
        <v>6446</v>
      </c>
      <c r="AE407" t="s">
        <v>6447</v>
      </c>
      <c r="AH407" t="s">
        <v>3445</v>
      </c>
      <c r="AJ407" t="s">
        <v>6448</v>
      </c>
    </row>
    <row r="408" spans="1:36" ht="102" x14ac:dyDescent="0.4">
      <c r="A408" t="s">
        <v>1713</v>
      </c>
      <c r="B408" t="s">
        <v>6449</v>
      </c>
      <c r="C408" t="s">
        <v>1411</v>
      </c>
      <c r="D408" t="s">
        <v>6450</v>
      </c>
      <c r="E408" t="s">
        <v>2679</v>
      </c>
      <c r="F408" t="s">
        <v>6451</v>
      </c>
      <c r="G408">
        <v>43.056682068900002</v>
      </c>
      <c r="H408">
        <v>-78.981487210899999</v>
      </c>
      <c r="I408" t="s">
        <v>1411</v>
      </c>
      <c r="J408" t="s">
        <v>2448</v>
      </c>
      <c r="K408" t="s">
        <v>5399</v>
      </c>
      <c r="L408" t="s">
        <v>2450</v>
      </c>
      <c r="M408">
        <v>336</v>
      </c>
      <c r="N408" t="s">
        <v>3438</v>
      </c>
      <c r="O408" t="s">
        <v>1713</v>
      </c>
      <c r="P408" s="1">
        <v>44788</v>
      </c>
      <c r="Q408">
        <v>31.8</v>
      </c>
      <c r="R408">
        <v>26</v>
      </c>
      <c r="S408" t="s">
        <v>3464</v>
      </c>
      <c r="T408" t="s">
        <v>2689</v>
      </c>
      <c r="U408" s="10" t="s">
        <v>6452</v>
      </c>
      <c r="V408" t="s">
        <v>6453</v>
      </c>
      <c r="W408" t="s">
        <v>6454</v>
      </c>
      <c r="X408" t="s">
        <v>2688</v>
      </c>
      <c r="Y408" t="s">
        <v>2688</v>
      </c>
      <c r="Z408" t="s">
        <v>2747</v>
      </c>
      <c r="AA408" t="s">
        <v>2689</v>
      </c>
      <c r="AB408" t="s">
        <v>6455</v>
      </c>
      <c r="AD408" t="s">
        <v>6456</v>
      </c>
      <c r="AE408" t="s">
        <v>6457</v>
      </c>
      <c r="AH408" t="s">
        <v>3445</v>
      </c>
      <c r="AJ408" t="s">
        <v>6458</v>
      </c>
    </row>
    <row r="409" spans="1:36" ht="116.6" x14ac:dyDescent="0.4">
      <c r="A409" t="s">
        <v>1716</v>
      </c>
      <c r="B409" t="s">
        <v>6459</v>
      </c>
      <c r="C409" t="s">
        <v>3594</v>
      </c>
      <c r="D409" t="s">
        <v>6450</v>
      </c>
      <c r="E409" t="s">
        <v>2679</v>
      </c>
      <c r="F409" t="s">
        <v>6460</v>
      </c>
      <c r="G409">
        <v>43.055664797799999</v>
      </c>
      <c r="H409">
        <v>-78.978361989800007</v>
      </c>
      <c r="I409" t="s">
        <v>3594</v>
      </c>
      <c r="J409" t="s">
        <v>2448</v>
      </c>
      <c r="K409" t="s">
        <v>5399</v>
      </c>
      <c r="L409" t="s">
        <v>2450</v>
      </c>
      <c r="M409">
        <v>337</v>
      </c>
      <c r="N409" t="s">
        <v>3438</v>
      </c>
      <c r="O409" t="s">
        <v>1716</v>
      </c>
      <c r="P409" s="1">
        <v>44788</v>
      </c>
      <c r="Q409">
        <v>21.3</v>
      </c>
      <c r="R409">
        <v>12</v>
      </c>
      <c r="S409" t="s">
        <v>3427</v>
      </c>
      <c r="U409" s="10" t="s">
        <v>6461</v>
      </c>
      <c r="V409" t="s">
        <v>6462</v>
      </c>
      <c r="W409" t="s">
        <v>6463</v>
      </c>
      <c r="X409" t="s">
        <v>2688</v>
      </c>
      <c r="Y409" t="s">
        <v>2688</v>
      </c>
      <c r="Z409" t="s">
        <v>2747</v>
      </c>
      <c r="AA409" t="s">
        <v>2689</v>
      </c>
      <c r="AB409" t="s">
        <v>6464</v>
      </c>
      <c r="AD409" t="s">
        <v>6465</v>
      </c>
      <c r="AE409" t="s">
        <v>6466</v>
      </c>
      <c r="AH409" t="s">
        <v>3445</v>
      </c>
      <c r="AJ409" t="s">
        <v>6467</v>
      </c>
    </row>
    <row r="410" spans="1:36" ht="145.75" x14ac:dyDescent="0.4">
      <c r="A410" t="s">
        <v>1719</v>
      </c>
      <c r="B410" t="s">
        <v>6468</v>
      </c>
      <c r="C410" t="s">
        <v>3448</v>
      </c>
      <c r="D410" t="s">
        <v>6469</v>
      </c>
      <c r="E410" t="s">
        <v>2679</v>
      </c>
      <c r="F410" t="s">
        <v>6470</v>
      </c>
      <c r="G410">
        <v>43.055789773400001</v>
      </c>
      <c r="H410">
        <v>-78.976873560000001</v>
      </c>
      <c r="I410" t="s">
        <v>3448</v>
      </c>
      <c r="J410" t="s">
        <v>2448</v>
      </c>
      <c r="K410" t="s">
        <v>5399</v>
      </c>
      <c r="L410" t="s">
        <v>2450</v>
      </c>
      <c r="M410">
        <v>338</v>
      </c>
      <c r="N410" t="s">
        <v>3438</v>
      </c>
      <c r="O410" t="s">
        <v>1719</v>
      </c>
      <c r="P410" s="1">
        <v>44788</v>
      </c>
      <c r="Q410">
        <v>19</v>
      </c>
      <c r="R410">
        <v>25</v>
      </c>
      <c r="S410" t="s">
        <v>3427</v>
      </c>
      <c r="T410" t="s">
        <v>2689</v>
      </c>
      <c r="U410" t="s">
        <v>6471</v>
      </c>
      <c r="V410" s="10" t="s">
        <v>6472</v>
      </c>
      <c r="W410" t="s">
        <v>6473</v>
      </c>
      <c r="X410" t="s">
        <v>2688</v>
      </c>
      <c r="Y410" t="s">
        <v>2688</v>
      </c>
      <c r="Z410" t="s">
        <v>2747</v>
      </c>
      <c r="AA410" t="s">
        <v>2689</v>
      </c>
      <c r="AB410" t="s">
        <v>6474</v>
      </c>
      <c r="AD410" t="s">
        <v>6475</v>
      </c>
      <c r="AE410" t="s">
        <v>6476</v>
      </c>
      <c r="AH410" t="s">
        <v>3445</v>
      </c>
      <c r="AJ410" s="10" t="s">
        <v>6477</v>
      </c>
    </row>
    <row r="411" spans="1:36" ht="189.45" x14ac:dyDescent="0.4">
      <c r="A411" t="s">
        <v>1722</v>
      </c>
      <c r="B411" t="s">
        <v>6478</v>
      </c>
      <c r="C411" t="s">
        <v>1428</v>
      </c>
      <c r="D411" t="s">
        <v>6469</v>
      </c>
      <c r="E411" t="s">
        <v>2679</v>
      </c>
      <c r="F411" t="s">
        <v>6479</v>
      </c>
      <c r="G411">
        <v>43.055558558599998</v>
      </c>
      <c r="H411">
        <v>-78.974873973100003</v>
      </c>
      <c r="I411" t="s">
        <v>1428</v>
      </c>
      <c r="J411" t="s">
        <v>2448</v>
      </c>
      <c r="K411" t="s">
        <v>5399</v>
      </c>
      <c r="L411" t="s">
        <v>2450</v>
      </c>
      <c r="M411">
        <v>339</v>
      </c>
      <c r="N411" t="s">
        <v>3438</v>
      </c>
      <c r="O411" t="s">
        <v>1722</v>
      </c>
      <c r="P411" s="1">
        <v>44788</v>
      </c>
      <c r="Q411">
        <v>29.7</v>
      </c>
      <c r="R411">
        <v>22</v>
      </c>
      <c r="S411" t="s">
        <v>3464</v>
      </c>
      <c r="T411" t="s">
        <v>2689</v>
      </c>
      <c r="U411" s="10" t="s">
        <v>6480</v>
      </c>
      <c r="V411" s="10" t="s">
        <v>6481</v>
      </c>
      <c r="W411" t="s">
        <v>6482</v>
      </c>
      <c r="X411" t="s">
        <v>2688</v>
      </c>
      <c r="Y411" t="s">
        <v>2688</v>
      </c>
      <c r="Z411" t="s">
        <v>2747</v>
      </c>
      <c r="AA411" t="s">
        <v>2689</v>
      </c>
      <c r="AB411" t="s">
        <v>6483</v>
      </c>
      <c r="AD411" t="s">
        <v>6484</v>
      </c>
      <c r="AE411" t="s">
        <v>6485</v>
      </c>
      <c r="AH411" t="s">
        <v>3445</v>
      </c>
      <c r="AJ411" s="10" t="s">
        <v>6486</v>
      </c>
    </row>
    <row r="412" spans="1:36" ht="174.9" x14ac:dyDescent="0.4">
      <c r="A412" t="s">
        <v>1725</v>
      </c>
      <c r="B412" t="s">
        <v>6487</v>
      </c>
      <c r="C412" t="s">
        <v>1428</v>
      </c>
      <c r="D412" t="s">
        <v>6488</v>
      </c>
      <c r="E412" t="s">
        <v>2679</v>
      </c>
      <c r="F412" t="s">
        <v>6489</v>
      </c>
      <c r="G412">
        <v>43.055667464400003</v>
      </c>
      <c r="H412">
        <v>-78.974000641999993</v>
      </c>
      <c r="I412" t="s">
        <v>1428</v>
      </c>
      <c r="J412" t="s">
        <v>2448</v>
      </c>
      <c r="K412" t="s">
        <v>5399</v>
      </c>
      <c r="L412" t="s">
        <v>2450</v>
      </c>
      <c r="M412">
        <v>340</v>
      </c>
      <c r="N412" t="s">
        <v>3438</v>
      </c>
      <c r="O412" t="s">
        <v>1725</v>
      </c>
      <c r="P412" s="1">
        <v>44788</v>
      </c>
      <c r="Q412">
        <v>14.7</v>
      </c>
      <c r="R412">
        <v>10</v>
      </c>
      <c r="S412" t="s">
        <v>3464</v>
      </c>
      <c r="T412" t="s">
        <v>2689</v>
      </c>
      <c r="U412" t="s">
        <v>6490</v>
      </c>
      <c r="V412" s="10" t="s">
        <v>6491</v>
      </c>
      <c r="W412" t="s">
        <v>6492</v>
      </c>
      <c r="X412" t="s">
        <v>2688</v>
      </c>
      <c r="Y412" t="s">
        <v>2688</v>
      </c>
      <c r="Z412" t="s">
        <v>2747</v>
      </c>
      <c r="AA412" t="s">
        <v>2689</v>
      </c>
      <c r="AB412" t="s">
        <v>6493</v>
      </c>
      <c r="AD412" t="s">
        <v>6494</v>
      </c>
      <c r="AE412" t="s">
        <v>6495</v>
      </c>
      <c r="AH412" t="s">
        <v>3445</v>
      </c>
      <c r="AJ412" s="10" t="s">
        <v>6496</v>
      </c>
    </row>
    <row r="413" spans="1:36" ht="87.45" x14ac:dyDescent="0.4">
      <c r="A413" t="s">
        <v>641</v>
      </c>
      <c r="B413" t="s">
        <v>6497</v>
      </c>
      <c r="C413" t="s">
        <v>1411</v>
      </c>
      <c r="D413" t="s">
        <v>6498</v>
      </c>
      <c r="E413" t="s">
        <v>2679</v>
      </c>
      <c r="F413" t="s">
        <v>6499</v>
      </c>
      <c r="G413">
        <v>39.1070968565</v>
      </c>
      <c r="H413">
        <v>-96.6077768058</v>
      </c>
      <c r="I413" t="s">
        <v>1411</v>
      </c>
      <c r="J413" t="s">
        <v>2420</v>
      </c>
      <c r="K413" t="s">
        <v>3704</v>
      </c>
      <c r="L413" t="s">
        <v>2422</v>
      </c>
      <c r="M413">
        <v>317</v>
      </c>
      <c r="N413" t="s">
        <v>3438</v>
      </c>
      <c r="O413" t="s">
        <v>641</v>
      </c>
      <c r="P413" s="1">
        <v>44777</v>
      </c>
      <c r="Q413">
        <v>105</v>
      </c>
      <c r="R413">
        <v>28</v>
      </c>
      <c r="S413" t="s">
        <v>3427</v>
      </c>
      <c r="T413" t="s">
        <v>2689</v>
      </c>
      <c r="U413" s="10" t="s">
        <v>6500</v>
      </c>
      <c r="V413" t="s">
        <v>6501</v>
      </c>
      <c r="W413" t="s">
        <v>6502</v>
      </c>
      <c r="X413" t="s">
        <v>2688</v>
      </c>
      <c r="Y413" t="s">
        <v>2688</v>
      </c>
      <c r="Z413" t="s">
        <v>2689</v>
      </c>
      <c r="AA413" t="s">
        <v>2689</v>
      </c>
      <c r="AB413" t="s">
        <v>6503</v>
      </c>
      <c r="AD413" t="s">
        <v>6504</v>
      </c>
      <c r="AE413" t="s">
        <v>6505</v>
      </c>
      <c r="AH413" t="s">
        <v>3445</v>
      </c>
      <c r="AJ413" s="10" t="s">
        <v>6506</v>
      </c>
    </row>
    <row r="414" spans="1:36" ht="116.6" x14ac:dyDescent="0.4">
      <c r="A414" t="s">
        <v>638</v>
      </c>
      <c r="B414" t="s">
        <v>6507</v>
      </c>
      <c r="C414" t="s">
        <v>6508</v>
      </c>
      <c r="D414" t="s">
        <v>6498</v>
      </c>
      <c r="E414" t="s">
        <v>2679</v>
      </c>
      <c r="F414" t="s">
        <v>6509</v>
      </c>
      <c r="G414">
        <v>38.9170015001</v>
      </c>
      <c r="H414">
        <v>-94.973569621199999</v>
      </c>
      <c r="I414" t="s">
        <v>6510</v>
      </c>
      <c r="J414" t="s">
        <v>2420</v>
      </c>
      <c r="K414" t="s">
        <v>635</v>
      </c>
      <c r="L414" t="s">
        <v>2421</v>
      </c>
      <c r="M414">
        <v>316</v>
      </c>
      <c r="N414" t="s">
        <v>3438</v>
      </c>
      <c r="O414" t="s">
        <v>638</v>
      </c>
      <c r="P414" s="1">
        <v>44776</v>
      </c>
      <c r="Q414">
        <v>2.8</v>
      </c>
      <c r="R414">
        <v>2</v>
      </c>
      <c r="S414" t="s">
        <v>3464</v>
      </c>
      <c r="T414" t="s">
        <v>2689</v>
      </c>
      <c r="U414" s="10" t="s">
        <v>6511</v>
      </c>
      <c r="V414" t="s">
        <v>6512</v>
      </c>
      <c r="W414" t="s">
        <v>6513</v>
      </c>
      <c r="X414" t="s">
        <v>2688</v>
      </c>
      <c r="Y414" t="s">
        <v>2688</v>
      </c>
      <c r="Z414" t="s">
        <v>2747</v>
      </c>
      <c r="AA414" t="s">
        <v>2689</v>
      </c>
      <c r="AB414" t="s">
        <v>6514</v>
      </c>
      <c r="AD414" t="s">
        <v>6515</v>
      </c>
      <c r="AE414" t="s">
        <v>6516</v>
      </c>
      <c r="AH414" t="s">
        <v>3445</v>
      </c>
      <c r="AJ414" s="10" t="s">
        <v>6517</v>
      </c>
    </row>
    <row r="415" spans="1:36" ht="116.6" x14ac:dyDescent="0.4">
      <c r="A415" t="s">
        <v>677</v>
      </c>
      <c r="B415" t="s">
        <v>6518</v>
      </c>
      <c r="C415" t="s">
        <v>1411</v>
      </c>
      <c r="D415" t="s">
        <v>6519</v>
      </c>
      <c r="E415" t="s">
        <v>2679</v>
      </c>
      <c r="F415" t="s">
        <v>6520</v>
      </c>
      <c r="G415">
        <v>38.980843820700002</v>
      </c>
      <c r="H415">
        <v>-94.789308831100001</v>
      </c>
      <c r="I415" t="s">
        <v>1411</v>
      </c>
      <c r="J415" t="s">
        <v>2420</v>
      </c>
      <c r="K415" t="s">
        <v>674</v>
      </c>
      <c r="L415" t="s">
        <v>2423</v>
      </c>
      <c r="M415">
        <v>296</v>
      </c>
      <c r="N415" t="s">
        <v>3438</v>
      </c>
      <c r="O415" t="s">
        <v>677</v>
      </c>
      <c r="P415" s="1">
        <v>44775</v>
      </c>
      <c r="Q415">
        <v>19.3</v>
      </c>
      <c r="R415">
        <v>14</v>
      </c>
      <c r="S415" t="s">
        <v>3427</v>
      </c>
      <c r="T415" t="s">
        <v>2689</v>
      </c>
      <c r="U415" s="10" t="s">
        <v>6521</v>
      </c>
      <c r="V415" t="s">
        <v>6522</v>
      </c>
      <c r="W415" t="s">
        <v>6523</v>
      </c>
      <c r="X415" t="s">
        <v>2688</v>
      </c>
      <c r="Y415" t="s">
        <v>2688</v>
      </c>
      <c r="Z415" t="s">
        <v>2689</v>
      </c>
      <c r="AA415" t="s">
        <v>2689</v>
      </c>
      <c r="AB415" t="s">
        <v>6524</v>
      </c>
      <c r="AD415" t="s">
        <v>6525</v>
      </c>
      <c r="AE415" t="s">
        <v>6526</v>
      </c>
      <c r="AH415" t="s">
        <v>3445</v>
      </c>
    </row>
    <row r="416" spans="1:36" ht="160.30000000000001" x14ac:dyDescent="0.4">
      <c r="A416" t="s">
        <v>681</v>
      </c>
      <c r="B416" t="s">
        <v>6527</v>
      </c>
      <c r="C416" t="s">
        <v>3594</v>
      </c>
      <c r="D416" t="s">
        <v>6528</v>
      </c>
      <c r="E416" t="s">
        <v>2679</v>
      </c>
      <c r="F416" t="s">
        <v>6529</v>
      </c>
      <c r="G416">
        <v>38.981256075200001</v>
      </c>
      <c r="H416">
        <v>-94.790538372599997</v>
      </c>
      <c r="I416" t="s">
        <v>3594</v>
      </c>
      <c r="J416" t="s">
        <v>2420</v>
      </c>
      <c r="K416" t="s">
        <v>674</v>
      </c>
      <c r="L416" t="s">
        <v>2423</v>
      </c>
      <c r="M416">
        <v>297</v>
      </c>
      <c r="N416" t="s">
        <v>3438</v>
      </c>
      <c r="O416" t="s">
        <v>681</v>
      </c>
      <c r="P416" s="1">
        <v>44775</v>
      </c>
      <c r="Q416">
        <v>26</v>
      </c>
      <c r="R416">
        <v>24</v>
      </c>
      <c r="S416" t="s">
        <v>3427</v>
      </c>
      <c r="T416" t="s">
        <v>2688</v>
      </c>
      <c r="U416" s="10" t="s">
        <v>6530</v>
      </c>
      <c r="V416" t="s">
        <v>6531</v>
      </c>
      <c r="W416" t="s">
        <v>6532</v>
      </c>
      <c r="X416" t="s">
        <v>2688</v>
      </c>
      <c r="Y416" t="s">
        <v>2688</v>
      </c>
      <c r="Z416" t="s">
        <v>2747</v>
      </c>
      <c r="AA416" t="s">
        <v>2689</v>
      </c>
      <c r="AB416" t="s">
        <v>6533</v>
      </c>
      <c r="AC416" t="s">
        <v>6534</v>
      </c>
      <c r="AD416" t="s">
        <v>6535</v>
      </c>
      <c r="AE416" t="s">
        <v>6536</v>
      </c>
      <c r="AH416" t="s">
        <v>3445</v>
      </c>
    </row>
    <row r="417" spans="1:36" ht="160.30000000000001" x14ac:dyDescent="0.4">
      <c r="A417" t="s">
        <v>684</v>
      </c>
      <c r="B417" t="s">
        <v>6537</v>
      </c>
      <c r="C417" t="s">
        <v>1411</v>
      </c>
      <c r="D417" t="s">
        <v>6528</v>
      </c>
      <c r="E417" t="s">
        <v>2679</v>
      </c>
      <c r="F417" t="s">
        <v>6538</v>
      </c>
      <c r="G417">
        <v>38.981183460399997</v>
      </c>
      <c r="H417">
        <v>-94.790278476899999</v>
      </c>
      <c r="I417" t="s">
        <v>1411</v>
      </c>
      <c r="J417" t="s">
        <v>2420</v>
      </c>
      <c r="K417" t="s">
        <v>674</v>
      </c>
      <c r="L417" t="s">
        <v>2423</v>
      </c>
      <c r="M417">
        <v>298</v>
      </c>
      <c r="N417" t="s">
        <v>3438</v>
      </c>
      <c r="O417" t="s">
        <v>684</v>
      </c>
      <c r="P417" s="1">
        <v>44775</v>
      </c>
      <c r="Q417">
        <v>34</v>
      </c>
      <c r="R417">
        <v>25</v>
      </c>
      <c r="S417" t="s">
        <v>3427</v>
      </c>
      <c r="T417" t="s">
        <v>2689</v>
      </c>
      <c r="U417" s="10" t="s">
        <v>6539</v>
      </c>
      <c r="V417" t="s">
        <v>6540</v>
      </c>
      <c r="W417" t="s">
        <v>6541</v>
      </c>
      <c r="X417" t="s">
        <v>2688</v>
      </c>
      <c r="Y417" t="s">
        <v>2688</v>
      </c>
      <c r="Z417" t="s">
        <v>2689</v>
      </c>
      <c r="AA417" t="s">
        <v>2689</v>
      </c>
      <c r="AB417" t="s">
        <v>6542</v>
      </c>
      <c r="AD417" t="s">
        <v>6543</v>
      </c>
      <c r="AE417" t="s">
        <v>6544</v>
      </c>
      <c r="AH417" t="s">
        <v>3445</v>
      </c>
    </row>
    <row r="418" spans="1:36" ht="116.6" x14ac:dyDescent="0.4">
      <c r="A418" t="s">
        <v>687</v>
      </c>
      <c r="B418" t="s">
        <v>6545</v>
      </c>
      <c r="C418" t="s">
        <v>3713</v>
      </c>
      <c r="D418" t="s">
        <v>6546</v>
      </c>
      <c r="E418" t="s">
        <v>2679</v>
      </c>
      <c r="F418" t="s">
        <v>6547</v>
      </c>
      <c r="G418">
        <v>38.9816336381</v>
      </c>
      <c r="H418">
        <v>-94.791622571700003</v>
      </c>
      <c r="I418" t="s">
        <v>3713</v>
      </c>
      <c r="J418" t="s">
        <v>2420</v>
      </c>
      <c r="K418" t="s">
        <v>674</v>
      </c>
      <c r="L418" t="s">
        <v>2423</v>
      </c>
      <c r="M418">
        <v>299</v>
      </c>
      <c r="N418" t="s">
        <v>3438</v>
      </c>
      <c r="O418" t="s">
        <v>687</v>
      </c>
      <c r="P418" s="1">
        <v>44775</v>
      </c>
      <c r="Q418">
        <v>26.5</v>
      </c>
      <c r="R418">
        <v>24</v>
      </c>
      <c r="S418" t="s">
        <v>3518</v>
      </c>
      <c r="T418" t="s">
        <v>2689</v>
      </c>
      <c r="U418" s="10" t="s">
        <v>6548</v>
      </c>
      <c r="V418" t="s">
        <v>6549</v>
      </c>
      <c r="W418" t="s">
        <v>6550</v>
      </c>
      <c r="X418" t="s">
        <v>2688</v>
      </c>
      <c r="Y418" t="s">
        <v>2688</v>
      </c>
      <c r="Z418" t="s">
        <v>2747</v>
      </c>
      <c r="AA418" t="s">
        <v>2689</v>
      </c>
      <c r="AB418" t="s">
        <v>6551</v>
      </c>
      <c r="AD418" t="s">
        <v>6552</v>
      </c>
      <c r="AE418" t="s">
        <v>6553</v>
      </c>
      <c r="AH418" t="s">
        <v>3445</v>
      </c>
      <c r="AJ418" s="10" t="s">
        <v>6554</v>
      </c>
    </row>
    <row r="419" spans="1:36" ht="102" x14ac:dyDescent="0.4">
      <c r="A419" t="s">
        <v>696</v>
      </c>
      <c r="B419" t="s">
        <v>6555</v>
      </c>
      <c r="C419" t="s">
        <v>1411</v>
      </c>
      <c r="D419" t="s">
        <v>6556</v>
      </c>
      <c r="E419" t="s">
        <v>2679</v>
      </c>
      <c r="F419" t="s">
        <v>6557</v>
      </c>
      <c r="G419">
        <v>38.981893519000003</v>
      </c>
      <c r="H419">
        <v>-94.793885936999999</v>
      </c>
      <c r="I419" t="s">
        <v>1411</v>
      </c>
      <c r="J419" t="s">
        <v>2420</v>
      </c>
      <c r="K419" t="s">
        <v>674</v>
      </c>
      <c r="L419" t="s">
        <v>2423</v>
      </c>
      <c r="M419">
        <v>302</v>
      </c>
      <c r="N419" t="s">
        <v>3438</v>
      </c>
      <c r="O419" t="s">
        <v>696</v>
      </c>
      <c r="P419" s="1">
        <v>44775</v>
      </c>
      <c r="Q419">
        <v>36.1</v>
      </c>
      <c r="R419">
        <v>25</v>
      </c>
      <c r="S419" t="s">
        <v>3427</v>
      </c>
      <c r="T419" t="s">
        <v>2689</v>
      </c>
      <c r="U419" s="10" t="s">
        <v>6558</v>
      </c>
      <c r="V419" t="s">
        <v>6559</v>
      </c>
      <c r="W419" t="s">
        <v>6560</v>
      </c>
      <c r="X419" t="s">
        <v>2688</v>
      </c>
      <c r="Y419" t="s">
        <v>2688</v>
      </c>
      <c r="Z419" t="s">
        <v>2689</v>
      </c>
      <c r="AA419" t="s">
        <v>2689</v>
      </c>
      <c r="AB419" t="s">
        <v>6561</v>
      </c>
      <c r="AD419" t="s">
        <v>6562</v>
      </c>
      <c r="AE419" t="s">
        <v>6563</v>
      </c>
      <c r="AH419" t="s">
        <v>3445</v>
      </c>
    </row>
    <row r="420" spans="1:36" ht="116.6" x14ac:dyDescent="0.4">
      <c r="A420" t="s">
        <v>705</v>
      </c>
      <c r="B420" t="s">
        <v>6564</v>
      </c>
      <c r="C420" t="s">
        <v>3594</v>
      </c>
      <c r="D420" t="s">
        <v>6565</v>
      </c>
      <c r="E420" t="s">
        <v>2679</v>
      </c>
      <c r="F420" t="s">
        <v>6566</v>
      </c>
      <c r="G420">
        <v>38.982539889400002</v>
      </c>
      <c r="H420">
        <v>-94.795415131499993</v>
      </c>
      <c r="I420" t="s">
        <v>3594</v>
      </c>
      <c r="J420" t="s">
        <v>2420</v>
      </c>
      <c r="K420" t="s">
        <v>674</v>
      </c>
      <c r="L420" t="s">
        <v>2423</v>
      </c>
      <c r="M420">
        <v>305</v>
      </c>
      <c r="N420" t="s">
        <v>3438</v>
      </c>
      <c r="O420" t="s">
        <v>705</v>
      </c>
      <c r="P420" s="1">
        <v>44775</v>
      </c>
      <c r="Q420">
        <v>13.2</v>
      </c>
      <c r="R420">
        <v>20</v>
      </c>
      <c r="S420" t="s">
        <v>3427</v>
      </c>
      <c r="T420" t="s">
        <v>2689</v>
      </c>
      <c r="U420" s="10" t="s">
        <v>6567</v>
      </c>
      <c r="V420" t="s">
        <v>6568</v>
      </c>
      <c r="W420" t="s">
        <v>4913</v>
      </c>
      <c r="X420" t="s">
        <v>2688</v>
      </c>
      <c r="Y420" t="s">
        <v>2688</v>
      </c>
      <c r="Z420" t="s">
        <v>2747</v>
      </c>
      <c r="AA420" t="s">
        <v>2689</v>
      </c>
      <c r="AB420" t="s">
        <v>6569</v>
      </c>
      <c r="AD420" t="s">
        <v>6570</v>
      </c>
      <c r="AE420" t="s">
        <v>6571</v>
      </c>
      <c r="AH420" t="s">
        <v>3445</v>
      </c>
    </row>
    <row r="421" spans="1:36" ht="160.30000000000001" x14ac:dyDescent="0.4">
      <c r="A421" t="s">
        <v>711</v>
      </c>
      <c r="B421" t="s">
        <v>6572</v>
      </c>
      <c r="C421" t="s">
        <v>3713</v>
      </c>
      <c r="D421" t="s">
        <v>6573</v>
      </c>
      <c r="E421" t="s">
        <v>2679</v>
      </c>
      <c r="F421" t="s">
        <v>6574</v>
      </c>
      <c r="G421">
        <v>38.980748928200001</v>
      </c>
      <c r="H421">
        <v>-94.7911502515</v>
      </c>
      <c r="I421" t="s">
        <v>3713</v>
      </c>
      <c r="J421" t="s">
        <v>2420</v>
      </c>
      <c r="K421" t="s">
        <v>674</v>
      </c>
      <c r="L421" t="s">
        <v>2423</v>
      </c>
      <c r="M421">
        <v>307</v>
      </c>
      <c r="N421" t="s">
        <v>3438</v>
      </c>
      <c r="O421" t="s">
        <v>711</v>
      </c>
      <c r="P421" s="1">
        <v>44775</v>
      </c>
      <c r="Q421">
        <v>39.5</v>
      </c>
      <c r="R421">
        <v>24</v>
      </c>
      <c r="S421" t="s">
        <v>4506</v>
      </c>
      <c r="U421" s="10" t="s">
        <v>6575</v>
      </c>
      <c r="V421" t="s">
        <v>6576</v>
      </c>
      <c r="W421" t="s">
        <v>4913</v>
      </c>
      <c r="X421" t="s">
        <v>2688</v>
      </c>
      <c r="Y421" t="s">
        <v>2688</v>
      </c>
      <c r="Z421" t="s">
        <v>2747</v>
      </c>
      <c r="AA421" t="s">
        <v>2689</v>
      </c>
      <c r="AB421" t="s">
        <v>6577</v>
      </c>
      <c r="AD421" t="s">
        <v>6578</v>
      </c>
      <c r="AE421" t="s">
        <v>6579</v>
      </c>
      <c r="AH421" t="s">
        <v>3445</v>
      </c>
      <c r="AJ421" t="s">
        <v>6580</v>
      </c>
    </row>
    <row r="422" spans="1:36" x14ac:dyDescent="0.4">
      <c r="A422" t="s">
        <v>708</v>
      </c>
      <c r="B422" t="s">
        <v>6581</v>
      </c>
      <c r="C422" t="s">
        <v>3713</v>
      </c>
      <c r="D422" t="s">
        <v>6573</v>
      </c>
      <c r="E422" t="s">
        <v>2679</v>
      </c>
      <c r="F422" t="s">
        <v>6582</v>
      </c>
      <c r="G422">
        <v>38.980742306499998</v>
      </c>
      <c r="H422">
        <v>-94.7899410781</v>
      </c>
      <c r="I422" t="s">
        <v>3713</v>
      </c>
      <c r="J422" t="s">
        <v>2420</v>
      </c>
      <c r="K422" t="s">
        <v>674</v>
      </c>
      <c r="L422" t="s">
        <v>2423</v>
      </c>
      <c r="M422">
        <v>306</v>
      </c>
      <c r="N422" t="s">
        <v>3438</v>
      </c>
      <c r="O422" t="s">
        <v>708</v>
      </c>
      <c r="P422" s="1">
        <v>44775</v>
      </c>
      <c r="Q422">
        <v>33.4</v>
      </c>
      <c r="R422">
        <v>20</v>
      </c>
      <c r="S422" t="s">
        <v>4506</v>
      </c>
      <c r="T422" t="s">
        <v>2689</v>
      </c>
      <c r="U422" t="s">
        <v>6583</v>
      </c>
      <c r="V422" t="s">
        <v>6584</v>
      </c>
      <c r="W422" t="s">
        <v>6585</v>
      </c>
      <c r="X422" t="s">
        <v>2688</v>
      </c>
      <c r="Y422" t="s">
        <v>2688</v>
      </c>
      <c r="Z422" t="s">
        <v>2747</v>
      </c>
      <c r="AA422" t="s">
        <v>2689</v>
      </c>
      <c r="AB422" t="s">
        <v>6586</v>
      </c>
      <c r="AD422" t="s">
        <v>6587</v>
      </c>
      <c r="AE422" t="s">
        <v>6588</v>
      </c>
      <c r="AH422" t="s">
        <v>3445</v>
      </c>
      <c r="AJ422" t="s">
        <v>6589</v>
      </c>
    </row>
    <row r="423" spans="1:36" ht="116.6" x14ac:dyDescent="0.4">
      <c r="A423" t="s">
        <v>714</v>
      </c>
      <c r="B423" t="s">
        <v>6590</v>
      </c>
      <c r="C423" t="s">
        <v>3713</v>
      </c>
      <c r="D423" t="s">
        <v>6573</v>
      </c>
      <c r="E423" t="s">
        <v>2679</v>
      </c>
      <c r="F423" t="s">
        <v>6591</v>
      </c>
      <c r="G423">
        <v>38.988257814199997</v>
      </c>
      <c r="H423">
        <v>-94.801288666299996</v>
      </c>
      <c r="I423" t="s">
        <v>3713</v>
      </c>
      <c r="J423" t="s">
        <v>2420</v>
      </c>
      <c r="K423" t="s">
        <v>674</v>
      </c>
      <c r="L423" t="s">
        <v>2423</v>
      </c>
      <c r="M423">
        <v>308</v>
      </c>
      <c r="N423" t="s">
        <v>3438</v>
      </c>
      <c r="O423" t="s">
        <v>714</v>
      </c>
      <c r="P423" s="1">
        <v>44775</v>
      </c>
      <c r="Q423">
        <v>19.7</v>
      </c>
      <c r="R423">
        <v>20</v>
      </c>
      <c r="S423" t="s">
        <v>3464</v>
      </c>
      <c r="T423" t="s">
        <v>2689</v>
      </c>
      <c r="U423" s="10" t="s">
        <v>6592</v>
      </c>
      <c r="V423" t="s">
        <v>6593</v>
      </c>
      <c r="W423" t="s">
        <v>6594</v>
      </c>
      <c r="X423" t="s">
        <v>2688</v>
      </c>
      <c r="Y423" t="s">
        <v>2688</v>
      </c>
      <c r="Z423" t="s">
        <v>2747</v>
      </c>
      <c r="AA423" t="s">
        <v>2689</v>
      </c>
      <c r="AB423" t="s">
        <v>6595</v>
      </c>
      <c r="AD423" t="s">
        <v>6596</v>
      </c>
      <c r="AE423" t="s">
        <v>6597</v>
      </c>
      <c r="AH423" t="s">
        <v>3445</v>
      </c>
    </row>
    <row r="424" spans="1:36" ht="116.6" x14ac:dyDescent="0.4">
      <c r="A424" t="s">
        <v>720</v>
      </c>
      <c r="B424" t="s">
        <v>6598</v>
      </c>
      <c r="C424" t="s">
        <v>3448</v>
      </c>
      <c r="D424" t="s">
        <v>6599</v>
      </c>
      <c r="E424" t="s">
        <v>2679</v>
      </c>
      <c r="F424" t="s">
        <v>6600</v>
      </c>
      <c r="G424">
        <v>38.980219988199998</v>
      </c>
      <c r="H424">
        <v>-94.808407751900006</v>
      </c>
      <c r="I424" t="s">
        <v>3448</v>
      </c>
      <c r="J424" t="s">
        <v>2420</v>
      </c>
      <c r="K424" t="s">
        <v>674</v>
      </c>
      <c r="L424" t="s">
        <v>2423</v>
      </c>
      <c r="M424">
        <v>310</v>
      </c>
      <c r="N424" t="s">
        <v>3438</v>
      </c>
      <c r="O424" t="s">
        <v>720</v>
      </c>
      <c r="P424" s="1">
        <v>44776</v>
      </c>
      <c r="Q424">
        <v>10.5</v>
      </c>
      <c r="R424">
        <v>12</v>
      </c>
      <c r="S424" t="s">
        <v>3427</v>
      </c>
      <c r="T424" t="s">
        <v>2689</v>
      </c>
      <c r="U424" s="10" t="s">
        <v>6601</v>
      </c>
      <c r="V424" t="s">
        <v>6602</v>
      </c>
      <c r="W424" t="s">
        <v>6603</v>
      </c>
      <c r="X424" t="s">
        <v>2688</v>
      </c>
      <c r="Y424" t="s">
        <v>2688</v>
      </c>
      <c r="Z424" t="s">
        <v>2747</v>
      </c>
      <c r="AA424" t="s">
        <v>2689</v>
      </c>
      <c r="AB424" t="s">
        <v>6604</v>
      </c>
      <c r="AD424" t="s">
        <v>6605</v>
      </c>
      <c r="AE424" t="s">
        <v>6606</v>
      </c>
      <c r="AH424" t="s">
        <v>3445</v>
      </c>
    </row>
    <row r="425" spans="1:36" ht="116.6" x14ac:dyDescent="0.4">
      <c r="A425" t="s">
        <v>732</v>
      </c>
      <c r="B425" t="s">
        <v>6607</v>
      </c>
      <c r="C425" t="s">
        <v>3448</v>
      </c>
      <c r="D425" t="s">
        <v>6608</v>
      </c>
      <c r="E425" t="s">
        <v>2679</v>
      </c>
      <c r="F425" t="s">
        <v>6609</v>
      </c>
      <c r="G425">
        <v>38.979792511100001</v>
      </c>
      <c r="H425">
        <v>-94.807475349000001</v>
      </c>
      <c r="I425" t="s">
        <v>3448</v>
      </c>
      <c r="J425" t="s">
        <v>2420</v>
      </c>
      <c r="K425" t="s">
        <v>674</v>
      </c>
      <c r="L425" t="s">
        <v>2423</v>
      </c>
      <c r="M425">
        <v>314</v>
      </c>
      <c r="N425" t="s">
        <v>3438</v>
      </c>
      <c r="O425" t="s">
        <v>732</v>
      </c>
      <c r="P425" s="1">
        <v>44776</v>
      </c>
      <c r="Q425">
        <v>39.5</v>
      </c>
      <c r="R425">
        <v>26</v>
      </c>
      <c r="S425" t="s">
        <v>3427</v>
      </c>
      <c r="U425" s="10" t="s">
        <v>6610</v>
      </c>
      <c r="V425" t="s">
        <v>6611</v>
      </c>
      <c r="W425" t="s">
        <v>6612</v>
      </c>
      <c r="X425" t="s">
        <v>2688</v>
      </c>
      <c r="Y425" t="s">
        <v>2688</v>
      </c>
      <c r="Z425" t="s">
        <v>2747</v>
      </c>
      <c r="AA425" t="s">
        <v>2689</v>
      </c>
      <c r="AB425" t="s">
        <v>6613</v>
      </c>
      <c r="AC425" t="s">
        <v>6614</v>
      </c>
      <c r="AD425" t="s">
        <v>6615</v>
      </c>
      <c r="AH425" t="s">
        <v>3445</v>
      </c>
    </row>
    <row r="426" spans="1:36" x14ac:dyDescent="0.4">
      <c r="A426" t="s">
        <v>1124</v>
      </c>
      <c r="B426" t="s">
        <v>6616</v>
      </c>
      <c r="C426" t="s">
        <v>4832</v>
      </c>
      <c r="D426" t="s">
        <v>6608</v>
      </c>
      <c r="E426" t="s">
        <v>2679</v>
      </c>
      <c r="F426" t="s">
        <v>6617</v>
      </c>
      <c r="G426">
        <v>42.413274524800002</v>
      </c>
      <c r="H426">
        <v>-83.988868435900002</v>
      </c>
      <c r="I426" t="s">
        <v>4832</v>
      </c>
      <c r="J426" t="s">
        <v>2436</v>
      </c>
      <c r="K426" t="s">
        <v>1126</v>
      </c>
      <c r="L426" t="s">
        <v>2438</v>
      </c>
      <c r="M426">
        <v>265</v>
      </c>
      <c r="N426" t="s">
        <v>3438</v>
      </c>
      <c r="O426" t="s">
        <v>1124</v>
      </c>
      <c r="P426" s="1">
        <v>44769</v>
      </c>
      <c r="Q426">
        <v>0.4</v>
      </c>
      <c r="R426">
        <v>0.1</v>
      </c>
      <c r="S426" t="s">
        <v>3427</v>
      </c>
      <c r="T426" t="s">
        <v>2688</v>
      </c>
      <c r="U426" t="s">
        <v>2747</v>
      </c>
      <c r="V426" t="s">
        <v>6618</v>
      </c>
      <c r="W426" t="s">
        <v>6619</v>
      </c>
      <c r="X426" t="s">
        <v>2688</v>
      </c>
      <c r="Y426" t="s">
        <v>2688</v>
      </c>
      <c r="Z426" t="s">
        <v>2689</v>
      </c>
      <c r="AA426" t="s">
        <v>2689</v>
      </c>
      <c r="AB426" t="s">
        <v>6620</v>
      </c>
      <c r="AC426" t="s">
        <v>6621</v>
      </c>
      <c r="AE426" t="s">
        <v>6622</v>
      </c>
      <c r="AH426" t="s">
        <v>3445</v>
      </c>
    </row>
    <row r="427" spans="1:36" ht="58.3" x14ac:dyDescent="0.4">
      <c r="A427" t="s">
        <v>1141</v>
      </c>
      <c r="B427" t="s">
        <v>6623</v>
      </c>
      <c r="C427" t="s">
        <v>4832</v>
      </c>
      <c r="D427" t="s">
        <v>6624</v>
      </c>
      <c r="E427" t="s">
        <v>2679</v>
      </c>
      <c r="F427" t="s">
        <v>6625</v>
      </c>
      <c r="G427">
        <v>42.411756459000003</v>
      </c>
      <c r="H427">
        <v>-83.985454929599996</v>
      </c>
      <c r="I427" t="s">
        <v>4832</v>
      </c>
      <c r="J427" t="s">
        <v>2436</v>
      </c>
      <c r="K427" t="s">
        <v>1126</v>
      </c>
      <c r="L427" t="s">
        <v>2438</v>
      </c>
      <c r="M427">
        <v>270</v>
      </c>
      <c r="N427" t="s">
        <v>3438</v>
      </c>
      <c r="O427" t="s">
        <v>1141</v>
      </c>
      <c r="P427" s="1">
        <v>44769</v>
      </c>
      <c r="Q427">
        <v>0.4</v>
      </c>
      <c r="R427">
        <v>0.1</v>
      </c>
      <c r="S427" t="s">
        <v>3427</v>
      </c>
      <c r="T427" t="s">
        <v>2689</v>
      </c>
      <c r="U427" s="10" t="s">
        <v>6626</v>
      </c>
      <c r="V427" t="s">
        <v>6627</v>
      </c>
      <c r="W427" t="s">
        <v>6628</v>
      </c>
      <c r="X427" t="s">
        <v>2688</v>
      </c>
      <c r="Y427" t="s">
        <v>2688</v>
      </c>
      <c r="Z427" t="s">
        <v>2689</v>
      </c>
      <c r="AA427" t="s">
        <v>2689</v>
      </c>
      <c r="AB427" t="s">
        <v>6629</v>
      </c>
      <c r="AD427" s="9" t="s">
        <v>6630</v>
      </c>
      <c r="AE427" t="s">
        <v>6631</v>
      </c>
      <c r="AH427" t="s">
        <v>3445</v>
      </c>
    </row>
    <row r="428" spans="1:36" ht="87.45" x14ac:dyDescent="0.4">
      <c r="A428" t="s">
        <v>1819</v>
      </c>
      <c r="B428" t="s">
        <v>6632</v>
      </c>
      <c r="C428" t="s">
        <v>1428</v>
      </c>
      <c r="D428" t="s">
        <v>6624</v>
      </c>
      <c r="E428" t="s">
        <v>2679</v>
      </c>
      <c r="F428" t="s">
        <v>6633</v>
      </c>
      <c r="G428">
        <v>41.553294641599997</v>
      </c>
      <c r="H428">
        <v>-84.361376725100001</v>
      </c>
      <c r="I428" t="s">
        <v>1428</v>
      </c>
      <c r="J428" t="s">
        <v>2454</v>
      </c>
      <c r="K428" t="s">
        <v>1822</v>
      </c>
      <c r="L428" t="s">
        <v>2455</v>
      </c>
      <c r="M428">
        <v>250</v>
      </c>
      <c r="N428" t="s">
        <v>3438</v>
      </c>
      <c r="O428" t="s">
        <v>1819</v>
      </c>
      <c r="P428" s="1">
        <v>44768</v>
      </c>
      <c r="Q428">
        <v>15.1</v>
      </c>
      <c r="R428">
        <v>12</v>
      </c>
      <c r="S428" t="s">
        <v>3427</v>
      </c>
      <c r="T428" t="s">
        <v>2689</v>
      </c>
      <c r="U428" s="10" t="s">
        <v>6634</v>
      </c>
      <c r="V428" t="s">
        <v>6635</v>
      </c>
      <c r="W428" t="s">
        <v>6636</v>
      </c>
      <c r="X428" t="s">
        <v>2688</v>
      </c>
      <c r="Y428" t="s">
        <v>2688</v>
      </c>
      <c r="Z428" t="s">
        <v>2689</v>
      </c>
      <c r="AA428" t="s">
        <v>2689</v>
      </c>
      <c r="AB428" t="s">
        <v>6637</v>
      </c>
      <c r="AD428" t="s">
        <v>6638</v>
      </c>
      <c r="AE428" t="s">
        <v>6639</v>
      </c>
      <c r="AH428" t="s">
        <v>3445</v>
      </c>
    </row>
    <row r="429" spans="1:36" x14ac:dyDescent="0.4">
      <c r="A429" t="s">
        <v>1865</v>
      </c>
      <c r="B429" t="s">
        <v>6640</v>
      </c>
      <c r="C429" t="s">
        <v>3448</v>
      </c>
      <c r="D429" t="s">
        <v>6641</v>
      </c>
      <c r="E429" t="s">
        <v>2679</v>
      </c>
      <c r="F429" t="s">
        <v>6642</v>
      </c>
      <c r="G429">
        <v>41.5534200054</v>
      </c>
      <c r="H429">
        <v>-84.358128486300004</v>
      </c>
      <c r="I429" t="s">
        <v>3448</v>
      </c>
      <c r="J429" t="s">
        <v>2454</v>
      </c>
      <c r="K429" t="s">
        <v>1822</v>
      </c>
      <c r="L429" t="s">
        <v>2455</v>
      </c>
      <c r="M429">
        <v>264</v>
      </c>
      <c r="N429" t="s">
        <v>3438</v>
      </c>
      <c r="O429" t="s">
        <v>1865</v>
      </c>
      <c r="P429" s="1">
        <v>44768</v>
      </c>
      <c r="Q429">
        <v>16.3</v>
      </c>
      <c r="R429">
        <v>24</v>
      </c>
      <c r="S429" t="s">
        <v>3427</v>
      </c>
      <c r="T429" t="s">
        <v>2689</v>
      </c>
      <c r="U429" t="s">
        <v>6643</v>
      </c>
      <c r="V429" t="s">
        <v>6644</v>
      </c>
      <c r="W429" t="s">
        <v>6645</v>
      </c>
      <c r="X429" t="s">
        <v>2688</v>
      </c>
      <c r="Y429" t="s">
        <v>2688</v>
      </c>
      <c r="Z429" t="s">
        <v>2689</v>
      </c>
      <c r="AA429" t="s">
        <v>2689</v>
      </c>
      <c r="AB429" t="s">
        <v>6646</v>
      </c>
      <c r="AD429" t="s">
        <v>6647</v>
      </c>
      <c r="AE429" t="s">
        <v>6648</v>
      </c>
      <c r="AH429" t="s">
        <v>3445</v>
      </c>
    </row>
    <row r="430" spans="1:36" ht="116.6" x14ac:dyDescent="0.4">
      <c r="A430" t="s">
        <v>210</v>
      </c>
      <c r="B430" t="s">
        <v>6649</v>
      </c>
      <c r="C430" t="s">
        <v>1411</v>
      </c>
      <c r="D430" t="s">
        <v>6650</v>
      </c>
      <c r="E430" t="s">
        <v>2679</v>
      </c>
      <c r="F430" t="s">
        <v>6651</v>
      </c>
      <c r="G430">
        <v>39.839281998600001</v>
      </c>
      <c r="H430">
        <v>-88.367903893900007</v>
      </c>
      <c r="I430" t="s">
        <v>1411</v>
      </c>
      <c r="J430" t="s">
        <v>2407</v>
      </c>
      <c r="K430" t="s">
        <v>207</v>
      </c>
      <c r="L430" t="s">
        <v>2408</v>
      </c>
      <c r="M430">
        <v>522</v>
      </c>
      <c r="N430" t="s">
        <v>3438</v>
      </c>
      <c r="O430" t="s">
        <v>210</v>
      </c>
      <c r="P430" s="1">
        <v>44840</v>
      </c>
      <c r="Q430">
        <v>61.6</v>
      </c>
      <c r="R430">
        <v>24</v>
      </c>
      <c r="S430" t="s">
        <v>3607</v>
      </c>
      <c r="T430" t="s">
        <v>2688</v>
      </c>
      <c r="U430" s="10" t="s">
        <v>6652</v>
      </c>
      <c r="V430" t="s">
        <v>3597</v>
      </c>
      <c r="W430" t="s">
        <v>5310</v>
      </c>
      <c r="X430" t="s">
        <v>2688</v>
      </c>
      <c r="Y430" t="s">
        <v>2688</v>
      </c>
      <c r="Z430" t="s">
        <v>2688</v>
      </c>
      <c r="AA430" t="s">
        <v>2688</v>
      </c>
      <c r="AB430" t="s">
        <v>6653</v>
      </c>
      <c r="AC430" t="s">
        <v>6654</v>
      </c>
      <c r="AD430" t="s">
        <v>6655</v>
      </c>
      <c r="AE430" t="s">
        <v>6656</v>
      </c>
      <c r="AH430" t="s">
        <v>5260</v>
      </c>
    </row>
    <row r="431" spans="1:36" x14ac:dyDescent="0.4">
      <c r="A431" t="s">
        <v>2360</v>
      </c>
      <c r="B431" t="s">
        <v>6657</v>
      </c>
      <c r="C431" t="s">
        <v>3448</v>
      </c>
      <c r="D431" t="s">
        <v>6658</v>
      </c>
      <c r="E431" t="s">
        <v>2679</v>
      </c>
      <c r="F431" t="s">
        <v>6659</v>
      </c>
      <c r="G431">
        <v>43.017875910800001</v>
      </c>
      <c r="H431">
        <v>-88.437706204199998</v>
      </c>
      <c r="I431" t="s">
        <v>3448</v>
      </c>
      <c r="J431" t="s">
        <v>2468</v>
      </c>
      <c r="K431" t="s">
        <v>5686</v>
      </c>
      <c r="L431" t="s">
        <v>2471</v>
      </c>
      <c r="M431">
        <v>242</v>
      </c>
      <c r="N431" t="s">
        <v>3438</v>
      </c>
      <c r="O431" t="s">
        <v>2360</v>
      </c>
      <c r="P431" s="1">
        <v>44764</v>
      </c>
      <c r="Q431">
        <v>108.9</v>
      </c>
      <c r="R431">
        <v>19</v>
      </c>
      <c r="S431" t="s">
        <v>3518</v>
      </c>
      <c r="T431" t="s">
        <v>2689</v>
      </c>
      <c r="U431" t="s">
        <v>2747</v>
      </c>
      <c r="V431" t="s">
        <v>6660</v>
      </c>
      <c r="W431" t="s">
        <v>5688</v>
      </c>
      <c r="X431" t="s">
        <v>2688</v>
      </c>
      <c r="Y431" t="s">
        <v>2688</v>
      </c>
      <c r="Z431" t="s">
        <v>2689</v>
      </c>
      <c r="AA431" t="s">
        <v>2688</v>
      </c>
      <c r="AB431" t="s">
        <v>6661</v>
      </c>
      <c r="AC431" t="s">
        <v>6662</v>
      </c>
      <c r="AD431" t="s">
        <v>6663</v>
      </c>
      <c r="AE431" t="s">
        <v>6664</v>
      </c>
      <c r="AH431" t="s">
        <v>3445</v>
      </c>
      <c r="AJ431" t="s">
        <v>6665</v>
      </c>
    </row>
    <row r="432" spans="1:36" x14ac:dyDescent="0.4">
      <c r="A432" t="s">
        <v>2346</v>
      </c>
      <c r="B432" t="s">
        <v>6666</v>
      </c>
      <c r="C432" t="s">
        <v>1411</v>
      </c>
      <c r="D432" t="s">
        <v>6667</v>
      </c>
      <c r="E432" t="s">
        <v>2679</v>
      </c>
      <c r="F432" t="s">
        <v>6668</v>
      </c>
      <c r="G432">
        <v>43.0164187588</v>
      </c>
      <c r="H432">
        <v>-88.438460407899996</v>
      </c>
      <c r="I432" t="s">
        <v>1411</v>
      </c>
      <c r="J432" t="s">
        <v>2468</v>
      </c>
      <c r="K432" t="s">
        <v>5686</v>
      </c>
      <c r="L432" t="s">
        <v>2471</v>
      </c>
      <c r="M432">
        <v>238</v>
      </c>
      <c r="N432" t="s">
        <v>3438</v>
      </c>
      <c r="O432" t="s">
        <v>2346</v>
      </c>
      <c r="P432" s="1">
        <v>44764</v>
      </c>
      <c r="Q432">
        <v>25.9</v>
      </c>
      <c r="R432">
        <v>19</v>
      </c>
      <c r="S432" t="s">
        <v>3518</v>
      </c>
      <c r="T432" t="s">
        <v>2689</v>
      </c>
      <c r="U432" t="s">
        <v>2747</v>
      </c>
      <c r="V432" t="s">
        <v>6669</v>
      </c>
      <c r="W432" t="s">
        <v>5688</v>
      </c>
      <c r="X432" t="s">
        <v>2688</v>
      </c>
      <c r="Y432" t="s">
        <v>2688</v>
      </c>
      <c r="Z432" t="s">
        <v>2688</v>
      </c>
      <c r="AA432" t="s">
        <v>2688</v>
      </c>
      <c r="AB432" t="s">
        <v>6670</v>
      </c>
      <c r="AC432" t="s">
        <v>6671</v>
      </c>
      <c r="AD432" t="s">
        <v>6672</v>
      </c>
      <c r="AE432" t="s">
        <v>6673</v>
      </c>
      <c r="AH432" t="s">
        <v>3445</v>
      </c>
      <c r="AJ432" t="s">
        <v>6674</v>
      </c>
    </row>
    <row r="433" spans="1:36" ht="43.75" x14ac:dyDescent="0.4">
      <c r="A433" t="s">
        <v>2372</v>
      </c>
      <c r="B433" t="s">
        <v>6675</v>
      </c>
      <c r="C433" t="s">
        <v>1411</v>
      </c>
      <c r="D433" t="s">
        <v>6676</v>
      </c>
      <c r="E433" t="s">
        <v>2679</v>
      </c>
      <c r="F433" t="s">
        <v>6677</v>
      </c>
      <c r="G433">
        <v>43.017804497</v>
      </c>
      <c r="H433">
        <v>-88.440753696599998</v>
      </c>
      <c r="I433" t="s">
        <v>1411</v>
      </c>
      <c r="J433" t="s">
        <v>2468</v>
      </c>
      <c r="K433" t="s">
        <v>5686</v>
      </c>
      <c r="L433" t="s">
        <v>2471</v>
      </c>
      <c r="M433">
        <v>248</v>
      </c>
      <c r="N433" t="s">
        <v>3438</v>
      </c>
      <c r="O433" t="s">
        <v>2372</v>
      </c>
      <c r="P433" s="1">
        <v>44764</v>
      </c>
      <c r="Q433">
        <v>88.6</v>
      </c>
      <c r="R433">
        <v>25</v>
      </c>
      <c r="S433" t="s">
        <v>3464</v>
      </c>
      <c r="T433" t="s">
        <v>2689</v>
      </c>
      <c r="U433" s="10" t="s">
        <v>6678</v>
      </c>
      <c r="V433" t="s">
        <v>6679</v>
      </c>
      <c r="W433" t="s">
        <v>6680</v>
      </c>
      <c r="X433" t="s">
        <v>2688</v>
      </c>
      <c r="Y433" t="s">
        <v>2688</v>
      </c>
      <c r="Z433" t="s">
        <v>2689</v>
      </c>
      <c r="AA433" t="s">
        <v>2689</v>
      </c>
      <c r="AB433" t="s">
        <v>6681</v>
      </c>
      <c r="AD433" t="s">
        <v>6682</v>
      </c>
      <c r="AE433" t="s">
        <v>6683</v>
      </c>
      <c r="AH433" t="s">
        <v>3445</v>
      </c>
    </row>
    <row r="434" spans="1:36" ht="43.75" x14ac:dyDescent="0.4">
      <c r="A434" t="s">
        <v>2375</v>
      </c>
      <c r="B434" t="s">
        <v>6684</v>
      </c>
      <c r="C434" t="s">
        <v>3448</v>
      </c>
      <c r="D434" t="s">
        <v>6685</v>
      </c>
      <c r="E434" t="s">
        <v>2679</v>
      </c>
      <c r="F434" t="s">
        <v>6686</v>
      </c>
      <c r="G434">
        <v>43.017659993000002</v>
      </c>
      <c r="H434">
        <v>-88.441016553099999</v>
      </c>
      <c r="I434" t="s">
        <v>3448</v>
      </c>
      <c r="J434" t="s">
        <v>2468</v>
      </c>
      <c r="K434" t="s">
        <v>5686</v>
      </c>
      <c r="L434" t="s">
        <v>2471</v>
      </c>
      <c r="M434">
        <v>249</v>
      </c>
      <c r="N434" t="s">
        <v>3438</v>
      </c>
      <c r="O434" t="s">
        <v>2375</v>
      </c>
      <c r="P434" s="1">
        <v>44764</v>
      </c>
      <c r="Q434">
        <v>66.5</v>
      </c>
      <c r="R434">
        <v>18</v>
      </c>
      <c r="S434" t="s">
        <v>3427</v>
      </c>
      <c r="T434" t="s">
        <v>2689</v>
      </c>
      <c r="U434" s="10" t="s">
        <v>6687</v>
      </c>
      <c r="V434" t="s">
        <v>6688</v>
      </c>
      <c r="W434" t="s">
        <v>6689</v>
      </c>
      <c r="X434" t="s">
        <v>2688</v>
      </c>
      <c r="Y434" t="s">
        <v>2688</v>
      </c>
      <c r="Z434" t="s">
        <v>2689</v>
      </c>
      <c r="AA434" t="s">
        <v>2689</v>
      </c>
      <c r="AB434" t="s">
        <v>6690</v>
      </c>
      <c r="AD434" t="s">
        <v>6691</v>
      </c>
      <c r="AE434" t="s">
        <v>6692</v>
      </c>
      <c r="AH434" t="s">
        <v>3445</v>
      </c>
    </row>
    <row r="435" spans="1:36" ht="87.45" x14ac:dyDescent="0.4">
      <c r="A435" t="s">
        <v>2351</v>
      </c>
      <c r="B435" t="s">
        <v>6693</v>
      </c>
      <c r="C435" t="s">
        <v>1411</v>
      </c>
      <c r="D435" t="s">
        <v>6685</v>
      </c>
      <c r="E435" t="s">
        <v>2679</v>
      </c>
      <c r="F435" t="s">
        <v>6694</v>
      </c>
      <c r="G435">
        <v>43.016482167900001</v>
      </c>
      <c r="H435">
        <v>-88.434111625</v>
      </c>
      <c r="I435" t="s">
        <v>1411</v>
      </c>
      <c r="J435" t="s">
        <v>2468</v>
      </c>
      <c r="K435" t="s">
        <v>5686</v>
      </c>
      <c r="L435" t="s">
        <v>2471</v>
      </c>
      <c r="M435">
        <v>239</v>
      </c>
      <c r="N435" t="s">
        <v>3438</v>
      </c>
      <c r="O435" t="s">
        <v>2351</v>
      </c>
      <c r="P435" s="1">
        <v>44764</v>
      </c>
      <c r="Q435">
        <v>22.6</v>
      </c>
      <c r="R435">
        <v>23</v>
      </c>
      <c r="S435" t="s">
        <v>3464</v>
      </c>
      <c r="T435" t="s">
        <v>2747</v>
      </c>
      <c r="U435" s="10" t="s">
        <v>6695</v>
      </c>
      <c r="V435" t="s">
        <v>6696</v>
      </c>
      <c r="W435" t="s">
        <v>6697</v>
      </c>
      <c r="X435" t="s">
        <v>2688</v>
      </c>
      <c r="Y435" t="s">
        <v>2688</v>
      </c>
      <c r="Z435" t="s">
        <v>2688</v>
      </c>
      <c r="AA435" t="s">
        <v>2688</v>
      </c>
      <c r="AB435" t="s">
        <v>6698</v>
      </c>
      <c r="AD435" t="s">
        <v>6699</v>
      </c>
      <c r="AE435" t="s">
        <v>6700</v>
      </c>
      <c r="AG435" t="s">
        <v>6701</v>
      </c>
      <c r="AH435" t="s">
        <v>3445</v>
      </c>
    </row>
    <row r="436" spans="1:36" x14ac:dyDescent="0.4">
      <c r="A436" t="s">
        <v>2354</v>
      </c>
      <c r="B436" t="s">
        <v>6702</v>
      </c>
      <c r="C436" t="s">
        <v>1411</v>
      </c>
      <c r="D436" t="s">
        <v>6703</v>
      </c>
      <c r="E436" t="s">
        <v>2679</v>
      </c>
      <c r="F436" t="s">
        <v>6704</v>
      </c>
      <c r="G436">
        <v>43.017079923300003</v>
      </c>
      <c r="H436">
        <v>-88.4355637898</v>
      </c>
      <c r="I436" t="s">
        <v>1411</v>
      </c>
      <c r="J436" t="s">
        <v>2468</v>
      </c>
      <c r="K436" t="s">
        <v>5686</v>
      </c>
      <c r="L436" t="s">
        <v>2471</v>
      </c>
      <c r="M436">
        <v>240</v>
      </c>
      <c r="N436" t="s">
        <v>3438</v>
      </c>
      <c r="O436" t="s">
        <v>2354</v>
      </c>
      <c r="P436" s="1">
        <v>44764</v>
      </c>
      <c r="Q436">
        <v>154.9</v>
      </c>
      <c r="R436">
        <v>27</v>
      </c>
      <c r="S436" t="s">
        <v>3518</v>
      </c>
      <c r="T436" t="s">
        <v>2689</v>
      </c>
      <c r="U436" t="s">
        <v>2747</v>
      </c>
      <c r="V436" t="s">
        <v>6705</v>
      </c>
      <c r="W436" t="s">
        <v>5688</v>
      </c>
      <c r="X436" t="s">
        <v>2688</v>
      </c>
      <c r="Y436" t="s">
        <v>2688</v>
      </c>
      <c r="Z436" t="s">
        <v>2688</v>
      </c>
      <c r="AA436" t="s">
        <v>2688</v>
      </c>
      <c r="AB436" t="s">
        <v>6706</v>
      </c>
      <c r="AD436" t="s">
        <v>6707</v>
      </c>
      <c r="AE436" t="s">
        <v>6708</v>
      </c>
      <c r="AH436" t="s">
        <v>3445</v>
      </c>
    </row>
    <row r="437" spans="1:36" x14ac:dyDescent="0.4">
      <c r="A437" t="s">
        <v>2369</v>
      </c>
      <c r="B437" t="s">
        <v>6709</v>
      </c>
      <c r="C437" t="s">
        <v>3448</v>
      </c>
      <c r="D437" t="s">
        <v>6710</v>
      </c>
      <c r="E437" t="s">
        <v>2679</v>
      </c>
      <c r="F437" t="s">
        <v>6711</v>
      </c>
      <c r="G437">
        <v>43.017825242199997</v>
      </c>
      <c r="H437">
        <v>-88.440506514199996</v>
      </c>
      <c r="I437" t="s">
        <v>3448</v>
      </c>
      <c r="J437" t="s">
        <v>2468</v>
      </c>
      <c r="K437" t="s">
        <v>5686</v>
      </c>
      <c r="L437" t="s">
        <v>2471</v>
      </c>
      <c r="M437">
        <v>247</v>
      </c>
      <c r="N437" t="s">
        <v>3438</v>
      </c>
      <c r="O437" t="s">
        <v>2369</v>
      </c>
      <c r="P437" s="1">
        <v>44764</v>
      </c>
      <c r="Q437">
        <v>91.5</v>
      </c>
      <c r="R437">
        <v>22</v>
      </c>
      <c r="S437" t="s">
        <v>3427</v>
      </c>
      <c r="T437" t="s">
        <v>2689</v>
      </c>
      <c r="U437" t="s">
        <v>6712</v>
      </c>
      <c r="V437" t="s">
        <v>6713</v>
      </c>
      <c r="W437" t="s">
        <v>6714</v>
      </c>
      <c r="X437" t="s">
        <v>2688</v>
      </c>
      <c r="Y437" t="s">
        <v>2688</v>
      </c>
      <c r="Z437" t="s">
        <v>2747</v>
      </c>
      <c r="AA437" t="s">
        <v>2688</v>
      </c>
      <c r="AB437" t="s">
        <v>6715</v>
      </c>
      <c r="AD437" t="s">
        <v>6716</v>
      </c>
      <c r="AE437" t="s">
        <v>6717</v>
      </c>
      <c r="AH437" t="s">
        <v>3445</v>
      </c>
    </row>
    <row r="438" spans="1:36" ht="58.3" x14ac:dyDescent="0.4">
      <c r="A438" t="s">
        <v>2366</v>
      </c>
      <c r="B438" t="s">
        <v>6718</v>
      </c>
      <c r="C438" t="s">
        <v>3448</v>
      </c>
      <c r="D438" t="s">
        <v>6719</v>
      </c>
      <c r="E438" t="s">
        <v>2679</v>
      </c>
      <c r="F438" t="s">
        <v>6720</v>
      </c>
      <c r="G438">
        <v>43.018181515000002</v>
      </c>
      <c r="H438">
        <v>-88.439411418600002</v>
      </c>
      <c r="I438" t="s">
        <v>3448</v>
      </c>
      <c r="J438" t="s">
        <v>2468</v>
      </c>
      <c r="K438" t="s">
        <v>5686</v>
      </c>
      <c r="L438" t="s">
        <v>2471</v>
      </c>
      <c r="M438">
        <v>244</v>
      </c>
      <c r="N438" t="s">
        <v>3438</v>
      </c>
      <c r="O438" t="s">
        <v>2366</v>
      </c>
      <c r="P438" s="1">
        <v>44764</v>
      </c>
      <c r="Q438">
        <v>108</v>
      </c>
      <c r="R438">
        <v>20</v>
      </c>
      <c r="S438" t="s">
        <v>3427</v>
      </c>
      <c r="T438" t="s">
        <v>2689</v>
      </c>
      <c r="U438" s="10" t="s">
        <v>6721</v>
      </c>
      <c r="V438" t="s">
        <v>6722</v>
      </c>
      <c r="W438" t="s">
        <v>6723</v>
      </c>
      <c r="X438" t="s">
        <v>2688</v>
      </c>
      <c r="Y438" t="s">
        <v>2688</v>
      </c>
      <c r="Z438" t="s">
        <v>2689</v>
      </c>
      <c r="AA438" t="s">
        <v>2688</v>
      </c>
      <c r="AB438" t="s">
        <v>6724</v>
      </c>
      <c r="AD438" t="s">
        <v>6725</v>
      </c>
      <c r="AE438" t="s">
        <v>6726</v>
      </c>
      <c r="AH438" t="s">
        <v>3445</v>
      </c>
    </row>
    <row r="439" spans="1:36" ht="131.15" x14ac:dyDescent="0.4">
      <c r="A439" t="s">
        <v>1292</v>
      </c>
      <c r="B439" t="s">
        <v>6727</v>
      </c>
      <c r="C439" t="s">
        <v>1411</v>
      </c>
      <c r="D439" t="s">
        <v>6728</v>
      </c>
      <c r="E439" t="s">
        <v>2679</v>
      </c>
      <c r="F439" t="s">
        <v>6729</v>
      </c>
      <c r="G439">
        <v>43.902454200800001</v>
      </c>
      <c r="H439">
        <v>-91.639119721900002</v>
      </c>
      <c r="I439" t="s">
        <v>1411</v>
      </c>
      <c r="J439" t="s">
        <v>2439</v>
      </c>
      <c r="K439" t="s">
        <v>5380</v>
      </c>
      <c r="L439" t="s">
        <v>2441</v>
      </c>
      <c r="M439">
        <v>221</v>
      </c>
      <c r="N439" t="s">
        <v>3438</v>
      </c>
      <c r="O439" t="s">
        <v>1292</v>
      </c>
      <c r="P439" s="1">
        <v>44762</v>
      </c>
      <c r="Q439">
        <v>75.900000000000006</v>
      </c>
      <c r="R439">
        <v>20</v>
      </c>
      <c r="S439" t="s">
        <v>4506</v>
      </c>
      <c r="T439" t="s">
        <v>2689</v>
      </c>
      <c r="U439" s="10" t="s">
        <v>6730</v>
      </c>
      <c r="V439" t="s">
        <v>6731</v>
      </c>
      <c r="W439" t="s">
        <v>6732</v>
      </c>
      <c r="X439" t="s">
        <v>2688</v>
      </c>
      <c r="Y439" t="s">
        <v>2688</v>
      </c>
      <c r="Z439" t="s">
        <v>2689</v>
      </c>
      <c r="AA439" t="s">
        <v>2689</v>
      </c>
      <c r="AB439" t="s">
        <v>6733</v>
      </c>
      <c r="AD439" t="s">
        <v>6734</v>
      </c>
      <c r="AE439" t="s">
        <v>6735</v>
      </c>
      <c r="AH439" t="s">
        <v>3445</v>
      </c>
    </row>
    <row r="440" spans="1:36" ht="58.3" x14ac:dyDescent="0.4">
      <c r="A440" t="s">
        <v>1306</v>
      </c>
      <c r="B440" t="s">
        <v>6736</v>
      </c>
      <c r="C440" t="s">
        <v>1411</v>
      </c>
      <c r="D440" t="s">
        <v>6737</v>
      </c>
      <c r="E440" t="s">
        <v>2679</v>
      </c>
      <c r="F440" t="s">
        <v>6738</v>
      </c>
      <c r="G440">
        <v>43.904338686899997</v>
      </c>
      <c r="H440">
        <v>-91.638197377300003</v>
      </c>
      <c r="I440" t="s">
        <v>1411</v>
      </c>
      <c r="J440" t="s">
        <v>2439</v>
      </c>
      <c r="K440" t="s">
        <v>5380</v>
      </c>
      <c r="L440" t="s">
        <v>2441</v>
      </c>
      <c r="M440">
        <v>225</v>
      </c>
      <c r="N440" t="s">
        <v>3438</v>
      </c>
      <c r="O440" t="s">
        <v>1306</v>
      </c>
      <c r="P440" s="1">
        <v>44762</v>
      </c>
      <c r="Q440">
        <v>73.5</v>
      </c>
      <c r="R440">
        <v>20</v>
      </c>
      <c r="S440" t="s">
        <v>3518</v>
      </c>
      <c r="T440" t="s">
        <v>2688</v>
      </c>
      <c r="U440" s="10" t="s">
        <v>6739</v>
      </c>
      <c r="V440" t="s">
        <v>6740</v>
      </c>
      <c r="W440" t="s">
        <v>5383</v>
      </c>
      <c r="X440" t="s">
        <v>2688</v>
      </c>
      <c r="Y440" t="s">
        <v>2688</v>
      </c>
      <c r="Z440" t="s">
        <v>2689</v>
      </c>
      <c r="AA440" t="s">
        <v>2689</v>
      </c>
      <c r="AB440" t="s">
        <v>6741</v>
      </c>
      <c r="AC440" t="s">
        <v>6742</v>
      </c>
      <c r="AD440" t="s">
        <v>6743</v>
      </c>
      <c r="AE440" t="s">
        <v>6744</v>
      </c>
      <c r="AH440" t="s">
        <v>3445</v>
      </c>
    </row>
    <row r="441" spans="1:36" x14ac:dyDescent="0.4">
      <c r="A441" t="s">
        <v>1309</v>
      </c>
      <c r="B441" t="s">
        <v>6745</v>
      </c>
      <c r="C441" t="s">
        <v>1411</v>
      </c>
      <c r="D441" t="s">
        <v>6737</v>
      </c>
      <c r="E441" t="s">
        <v>2679</v>
      </c>
      <c r="F441" t="s">
        <v>6746</v>
      </c>
      <c r="G441">
        <v>43.8921076572</v>
      </c>
      <c r="H441">
        <v>-91.642808597599995</v>
      </c>
      <c r="I441" t="s">
        <v>1411</v>
      </c>
      <c r="J441" t="s">
        <v>2439</v>
      </c>
      <c r="K441" t="s">
        <v>5380</v>
      </c>
      <c r="L441" t="s">
        <v>2441</v>
      </c>
      <c r="M441">
        <v>226</v>
      </c>
      <c r="N441" t="s">
        <v>3438</v>
      </c>
      <c r="O441" t="s">
        <v>1309</v>
      </c>
      <c r="P441" s="1">
        <v>44762</v>
      </c>
      <c r="Q441">
        <v>56.9</v>
      </c>
      <c r="R441">
        <v>23</v>
      </c>
      <c r="S441" t="s">
        <v>3518</v>
      </c>
      <c r="T441" t="s">
        <v>2689</v>
      </c>
      <c r="U441" t="s">
        <v>3597</v>
      </c>
      <c r="V441" t="s">
        <v>6747</v>
      </c>
      <c r="W441" t="s">
        <v>5171</v>
      </c>
      <c r="X441" t="s">
        <v>2688</v>
      </c>
      <c r="Y441" t="s">
        <v>2688</v>
      </c>
      <c r="Z441" t="s">
        <v>2689</v>
      </c>
      <c r="AA441" t="s">
        <v>2689</v>
      </c>
      <c r="AB441" t="s">
        <v>6748</v>
      </c>
      <c r="AD441" t="s">
        <v>6749</v>
      </c>
      <c r="AE441" t="s">
        <v>6750</v>
      </c>
      <c r="AH441" t="s">
        <v>3445</v>
      </c>
    </row>
    <row r="442" spans="1:36" ht="291.45" x14ac:dyDescent="0.4">
      <c r="A442" t="s">
        <v>1312</v>
      </c>
      <c r="B442" t="s">
        <v>6751</v>
      </c>
      <c r="C442" t="s">
        <v>3448</v>
      </c>
      <c r="D442" t="s">
        <v>6752</v>
      </c>
      <c r="E442" t="s">
        <v>2679</v>
      </c>
      <c r="F442" t="s">
        <v>6753</v>
      </c>
      <c r="G442">
        <v>43.8961292105</v>
      </c>
      <c r="H442">
        <v>-91.6317981296</v>
      </c>
      <c r="I442" t="s">
        <v>3448</v>
      </c>
      <c r="J442" t="s">
        <v>2439</v>
      </c>
      <c r="K442" t="s">
        <v>5380</v>
      </c>
      <c r="L442" t="s">
        <v>2441</v>
      </c>
      <c r="M442">
        <v>227</v>
      </c>
      <c r="N442" t="s">
        <v>3438</v>
      </c>
      <c r="O442" t="s">
        <v>1312</v>
      </c>
      <c r="P442" s="1">
        <v>44762</v>
      </c>
      <c r="Q442">
        <v>63.1</v>
      </c>
      <c r="R442">
        <v>24</v>
      </c>
      <c r="S442" t="s">
        <v>3518</v>
      </c>
      <c r="T442" t="s">
        <v>2689</v>
      </c>
      <c r="U442" s="10" t="s">
        <v>6754</v>
      </c>
      <c r="V442" t="s">
        <v>6755</v>
      </c>
      <c r="W442" t="s">
        <v>6756</v>
      </c>
      <c r="X442" t="s">
        <v>2688</v>
      </c>
      <c r="Y442" t="s">
        <v>2688</v>
      </c>
      <c r="Z442" t="s">
        <v>2689</v>
      </c>
      <c r="AA442" t="s">
        <v>2689</v>
      </c>
      <c r="AB442" t="s">
        <v>6757</v>
      </c>
      <c r="AD442" t="s">
        <v>6758</v>
      </c>
      <c r="AE442" t="s">
        <v>6759</v>
      </c>
      <c r="AG442" t="s">
        <v>6760</v>
      </c>
      <c r="AH442" t="s">
        <v>3445</v>
      </c>
    </row>
    <row r="443" spans="1:36" ht="102" x14ac:dyDescent="0.4">
      <c r="A443" t="s">
        <v>1315</v>
      </c>
      <c r="B443" t="s">
        <v>6761</v>
      </c>
      <c r="C443" t="s">
        <v>3448</v>
      </c>
      <c r="D443" t="s">
        <v>6762</v>
      </c>
      <c r="E443" t="s">
        <v>2679</v>
      </c>
      <c r="F443" t="s">
        <v>6763</v>
      </c>
      <c r="G443">
        <v>43.892279737700001</v>
      </c>
      <c r="H443">
        <v>-91.632306994999993</v>
      </c>
      <c r="I443" t="s">
        <v>3448</v>
      </c>
      <c r="J443" t="s">
        <v>2439</v>
      </c>
      <c r="K443" t="s">
        <v>5380</v>
      </c>
      <c r="L443" t="s">
        <v>2441</v>
      </c>
      <c r="M443">
        <v>228</v>
      </c>
      <c r="N443" t="s">
        <v>3438</v>
      </c>
      <c r="O443" t="s">
        <v>1315</v>
      </c>
      <c r="P443" s="1">
        <v>44762</v>
      </c>
      <c r="Q443">
        <v>30</v>
      </c>
      <c r="R443">
        <v>24</v>
      </c>
      <c r="S443" t="s">
        <v>3427</v>
      </c>
      <c r="T443" t="s">
        <v>2689</v>
      </c>
      <c r="U443" s="10" t="s">
        <v>6764</v>
      </c>
      <c r="V443" s="10" t="s">
        <v>6765</v>
      </c>
      <c r="W443" t="s">
        <v>6766</v>
      </c>
      <c r="X443" t="s">
        <v>2688</v>
      </c>
      <c r="Y443" t="s">
        <v>2688</v>
      </c>
      <c r="Z443" t="s">
        <v>2747</v>
      </c>
      <c r="AA443" t="s">
        <v>2689</v>
      </c>
      <c r="AB443" t="s">
        <v>6767</v>
      </c>
      <c r="AD443" t="s">
        <v>6768</v>
      </c>
      <c r="AE443" t="s">
        <v>6769</v>
      </c>
      <c r="AH443" t="s">
        <v>3445</v>
      </c>
      <c r="AJ443" t="s">
        <v>6770</v>
      </c>
    </row>
    <row r="444" spans="1:36" ht="58.3" x14ac:dyDescent="0.4">
      <c r="A444" t="s">
        <v>2340</v>
      </c>
      <c r="B444" t="s">
        <v>6771</v>
      </c>
      <c r="C444" t="s">
        <v>3448</v>
      </c>
      <c r="D444" t="s">
        <v>6772</v>
      </c>
      <c r="E444" t="s">
        <v>2679</v>
      </c>
      <c r="F444" t="s">
        <v>6773</v>
      </c>
      <c r="G444">
        <v>43.150694123500003</v>
      </c>
      <c r="H444">
        <v>-90.045196311599994</v>
      </c>
      <c r="I444" t="s">
        <v>3448</v>
      </c>
      <c r="J444" t="s">
        <v>2468</v>
      </c>
      <c r="K444" t="s">
        <v>6774</v>
      </c>
      <c r="L444" t="s">
        <v>2470</v>
      </c>
      <c r="M444">
        <v>219</v>
      </c>
      <c r="N444" t="s">
        <v>3438</v>
      </c>
      <c r="O444" t="s">
        <v>2340</v>
      </c>
      <c r="P444" s="1">
        <v>44761</v>
      </c>
      <c r="Q444">
        <v>37.5</v>
      </c>
      <c r="R444">
        <v>23</v>
      </c>
      <c r="S444" t="s">
        <v>3607</v>
      </c>
      <c r="T444" t="s">
        <v>2689</v>
      </c>
      <c r="U444" s="10" t="s">
        <v>6775</v>
      </c>
      <c r="V444" t="s">
        <v>6776</v>
      </c>
      <c r="W444" t="s">
        <v>6777</v>
      </c>
      <c r="X444" t="s">
        <v>2688</v>
      </c>
      <c r="Y444" t="s">
        <v>2688</v>
      </c>
      <c r="Z444" t="s">
        <v>2747</v>
      </c>
      <c r="AA444" t="s">
        <v>2689</v>
      </c>
      <c r="AB444" t="s">
        <v>6778</v>
      </c>
      <c r="AD444" t="s">
        <v>6779</v>
      </c>
      <c r="AE444" t="s">
        <v>6780</v>
      </c>
      <c r="AH444" t="s">
        <v>3445</v>
      </c>
    </row>
    <row r="445" spans="1:36" ht="102" x14ac:dyDescent="0.4">
      <c r="A445" t="s">
        <v>2331</v>
      </c>
      <c r="B445" t="s">
        <v>6781</v>
      </c>
      <c r="C445" t="s">
        <v>3448</v>
      </c>
      <c r="D445" t="s">
        <v>6782</v>
      </c>
      <c r="E445" t="s">
        <v>2679</v>
      </c>
      <c r="F445" t="s">
        <v>6783</v>
      </c>
      <c r="G445">
        <v>43.148235376000002</v>
      </c>
      <c r="H445">
        <v>-90.041200909799997</v>
      </c>
      <c r="I445" t="s">
        <v>3448</v>
      </c>
      <c r="J445" t="s">
        <v>2468</v>
      </c>
      <c r="K445" t="s">
        <v>6774</v>
      </c>
      <c r="L445" t="s">
        <v>2470</v>
      </c>
      <c r="M445">
        <v>216</v>
      </c>
      <c r="N445" t="s">
        <v>3438</v>
      </c>
      <c r="O445" t="s">
        <v>2331</v>
      </c>
      <c r="P445" s="1">
        <v>44761</v>
      </c>
      <c r="Q445">
        <v>45</v>
      </c>
      <c r="R445">
        <v>20</v>
      </c>
      <c r="S445" t="s">
        <v>3427</v>
      </c>
      <c r="T445" t="s">
        <v>2689</v>
      </c>
      <c r="U445" s="10" t="s">
        <v>6784</v>
      </c>
      <c r="V445" t="s">
        <v>6785</v>
      </c>
      <c r="W445" t="s">
        <v>6786</v>
      </c>
      <c r="X445" t="s">
        <v>2688</v>
      </c>
      <c r="Y445" t="s">
        <v>2688</v>
      </c>
      <c r="Z445" t="s">
        <v>2689</v>
      </c>
      <c r="AA445" t="s">
        <v>2689</v>
      </c>
      <c r="AB445" t="s">
        <v>6787</v>
      </c>
      <c r="AD445" t="s">
        <v>6788</v>
      </c>
      <c r="AH445" t="s">
        <v>3445</v>
      </c>
    </row>
    <row r="446" spans="1:36" x14ac:dyDescent="0.4">
      <c r="A446" t="s">
        <v>2337</v>
      </c>
      <c r="B446" t="s">
        <v>6789</v>
      </c>
      <c r="C446" t="s">
        <v>3448</v>
      </c>
      <c r="D446" t="s">
        <v>6790</v>
      </c>
      <c r="E446" t="s">
        <v>2679</v>
      </c>
      <c r="F446" t="s">
        <v>6791</v>
      </c>
      <c r="G446">
        <v>43.1501262496</v>
      </c>
      <c r="H446">
        <v>-90.044722315000001</v>
      </c>
      <c r="I446" t="s">
        <v>3448</v>
      </c>
      <c r="J446" t="s">
        <v>2468</v>
      </c>
      <c r="K446" t="s">
        <v>6774</v>
      </c>
      <c r="L446" t="s">
        <v>2470</v>
      </c>
      <c r="M446">
        <v>218</v>
      </c>
      <c r="N446" t="s">
        <v>3438</v>
      </c>
      <c r="O446" t="s">
        <v>2337</v>
      </c>
      <c r="P446" s="1">
        <v>44761</v>
      </c>
      <c r="Q446">
        <v>43.5</v>
      </c>
      <c r="R446">
        <v>24</v>
      </c>
      <c r="S446" t="s">
        <v>3607</v>
      </c>
      <c r="T446" t="s">
        <v>2689</v>
      </c>
      <c r="U446" t="s">
        <v>6792</v>
      </c>
      <c r="V446" t="s">
        <v>6793</v>
      </c>
      <c r="W446" t="s">
        <v>6794</v>
      </c>
      <c r="X446" t="s">
        <v>2688</v>
      </c>
      <c r="Y446" t="s">
        <v>2688</v>
      </c>
      <c r="Z446" t="s">
        <v>2747</v>
      </c>
      <c r="AA446" t="s">
        <v>2689</v>
      </c>
      <c r="AB446" t="s">
        <v>6795</v>
      </c>
      <c r="AD446" t="s">
        <v>6796</v>
      </c>
      <c r="AE446" t="s">
        <v>6797</v>
      </c>
      <c r="AH446" t="s">
        <v>3445</v>
      </c>
      <c r="AJ446" t="s">
        <v>6798</v>
      </c>
    </row>
    <row r="447" spans="1:36" ht="116.6" x14ac:dyDescent="0.4">
      <c r="A447" t="s">
        <v>2334</v>
      </c>
      <c r="B447" t="s">
        <v>6799</v>
      </c>
      <c r="C447" t="s">
        <v>3448</v>
      </c>
      <c r="D447" t="s">
        <v>6800</v>
      </c>
      <c r="E447" t="s">
        <v>2679</v>
      </c>
      <c r="F447" t="s">
        <v>6801</v>
      </c>
      <c r="G447">
        <v>43.148742648800003</v>
      </c>
      <c r="H447">
        <v>-90.041619418300002</v>
      </c>
      <c r="I447" t="s">
        <v>3448</v>
      </c>
      <c r="J447" t="s">
        <v>2468</v>
      </c>
      <c r="K447" t="s">
        <v>6774</v>
      </c>
      <c r="L447" t="s">
        <v>2470</v>
      </c>
      <c r="M447">
        <v>217</v>
      </c>
      <c r="N447" t="s">
        <v>3438</v>
      </c>
      <c r="O447" t="s">
        <v>2334</v>
      </c>
      <c r="P447" s="1">
        <v>44761</v>
      </c>
      <c r="Q447">
        <v>26.1</v>
      </c>
      <c r="R447">
        <v>18</v>
      </c>
      <c r="S447" t="s">
        <v>3427</v>
      </c>
      <c r="T447" t="s">
        <v>2689</v>
      </c>
      <c r="U447" s="10" t="s">
        <v>6802</v>
      </c>
      <c r="V447" t="s">
        <v>6803</v>
      </c>
      <c r="W447" t="s">
        <v>6804</v>
      </c>
      <c r="X447" t="s">
        <v>2688</v>
      </c>
      <c r="Y447" t="s">
        <v>2688</v>
      </c>
      <c r="Z447" t="s">
        <v>2689</v>
      </c>
      <c r="AA447" t="s">
        <v>2689</v>
      </c>
      <c r="AB447" t="s">
        <v>6805</v>
      </c>
      <c r="AD447" t="s">
        <v>6806</v>
      </c>
      <c r="AH447" t="s">
        <v>3445</v>
      </c>
    </row>
    <row r="448" spans="1:36" ht="174.9" x14ac:dyDescent="0.4">
      <c r="A448" t="s">
        <v>2343</v>
      </c>
      <c r="B448" t="s">
        <v>6807</v>
      </c>
      <c r="C448" t="s">
        <v>1411</v>
      </c>
      <c r="D448" t="s">
        <v>6808</v>
      </c>
      <c r="E448" t="s">
        <v>2679</v>
      </c>
      <c r="F448" t="s">
        <v>6809</v>
      </c>
      <c r="G448">
        <v>43.148659542200001</v>
      </c>
      <c r="H448">
        <v>-90.043326141400001</v>
      </c>
      <c r="I448" t="s">
        <v>1411</v>
      </c>
      <c r="J448" t="s">
        <v>2468</v>
      </c>
      <c r="K448" t="s">
        <v>6774</v>
      </c>
      <c r="L448" t="s">
        <v>2470</v>
      </c>
      <c r="M448">
        <v>220</v>
      </c>
      <c r="N448" t="s">
        <v>3438</v>
      </c>
      <c r="O448" t="s">
        <v>2343</v>
      </c>
      <c r="P448" s="1">
        <v>44761</v>
      </c>
      <c r="Q448">
        <v>55.7</v>
      </c>
      <c r="R448">
        <v>26</v>
      </c>
      <c r="S448" t="s">
        <v>3427</v>
      </c>
      <c r="T448" t="s">
        <v>2689</v>
      </c>
      <c r="U448" s="10" t="s">
        <v>6810</v>
      </c>
      <c r="V448" t="s">
        <v>6811</v>
      </c>
      <c r="W448" t="s">
        <v>6812</v>
      </c>
      <c r="X448" t="s">
        <v>2688</v>
      </c>
      <c r="Y448" t="s">
        <v>2688</v>
      </c>
      <c r="Z448" t="s">
        <v>2689</v>
      </c>
      <c r="AA448" t="s">
        <v>2689</v>
      </c>
      <c r="AB448" t="s">
        <v>6813</v>
      </c>
      <c r="AD448" t="s">
        <v>6814</v>
      </c>
      <c r="AE448" t="s">
        <v>6815</v>
      </c>
      <c r="AH448" t="s">
        <v>3445</v>
      </c>
      <c r="AJ448" t="s">
        <v>6816</v>
      </c>
    </row>
    <row r="449" spans="1:36" ht="116.6" x14ac:dyDescent="0.4">
      <c r="A449" t="s">
        <v>2327</v>
      </c>
      <c r="B449" t="s">
        <v>6817</v>
      </c>
      <c r="C449" t="s">
        <v>1411</v>
      </c>
      <c r="D449" t="s">
        <v>6818</v>
      </c>
      <c r="E449" t="s">
        <v>2679</v>
      </c>
      <c r="F449" t="s">
        <v>6819</v>
      </c>
      <c r="G449">
        <v>43.148628902600002</v>
      </c>
      <c r="H449">
        <v>-90.043599657499996</v>
      </c>
      <c r="I449" t="s">
        <v>1411</v>
      </c>
      <c r="J449" t="s">
        <v>2468</v>
      </c>
      <c r="K449" t="s">
        <v>6774</v>
      </c>
      <c r="L449" t="s">
        <v>2470</v>
      </c>
      <c r="M449">
        <v>215</v>
      </c>
      <c r="N449" t="s">
        <v>3438</v>
      </c>
      <c r="O449" t="s">
        <v>2327</v>
      </c>
      <c r="P449" s="1">
        <v>44761</v>
      </c>
      <c r="Q449">
        <v>28</v>
      </c>
      <c r="R449">
        <v>12</v>
      </c>
      <c r="S449" t="s">
        <v>3427</v>
      </c>
      <c r="T449" t="s">
        <v>2689</v>
      </c>
      <c r="U449" s="10" t="s">
        <v>6820</v>
      </c>
      <c r="V449" t="s">
        <v>6821</v>
      </c>
      <c r="W449" t="s">
        <v>6822</v>
      </c>
      <c r="X449" t="s">
        <v>2688</v>
      </c>
      <c r="Y449" t="s">
        <v>2688</v>
      </c>
      <c r="Z449" t="s">
        <v>2689</v>
      </c>
      <c r="AA449" t="s">
        <v>2689</v>
      </c>
      <c r="AB449" t="s">
        <v>6823</v>
      </c>
      <c r="AD449" t="s">
        <v>6824</v>
      </c>
      <c r="AE449" t="s">
        <v>6825</v>
      </c>
      <c r="AH449" t="s">
        <v>3445</v>
      </c>
      <c r="AJ449" s="10" t="s">
        <v>6826</v>
      </c>
    </row>
    <row r="450" spans="1:36" ht="131.15" x14ac:dyDescent="0.4">
      <c r="A450" t="s">
        <v>2148</v>
      </c>
      <c r="B450" t="s">
        <v>6827</v>
      </c>
      <c r="C450" t="s">
        <v>3448</v>
      </c>
      <c r="D450" t="s">
        <v>6828</v>
      </c>
      <c r="E450" t="s">
        <v>2679</v>
      </c>
      <c r="F450" t="s">
        <v>6829</v>
      </c>
      <c r="G450">
        <v>36.376807401000001</v>
      </c>
      <c r="H450">
        <v>-86.358141359000001</v>
      </c>
      <c r="I450" t="s">
        <v>3448</v>
      </c>
      <c r="J450" t="s">
        <v>2460</v>
      </c>
      <c r="K450" t="s">
        <v>3606</v>
      </c>
      <c r="L450" t="s">
        <v>2461</v>
      </c>
      <c r="M450">
        <v>162</v>
      </c>
      <c r="N450" t="s">
        <v>3438</v>
      </c>
      <c r="O450" t="s">
        <v>2148</v>
      </c>
      <c r="P450" s="1">
        <v>44753</v>
      </c>
      <c r="Q450">
        <v>10.7</v>
      </c>
      <c r="R450">
        <v>9</v>
      </c>
      <c r="S450" t="s">
        <v>3427</v>
      </c>
      <c r="T450" t="s">
        <v>2689</v>
      </c>
      <c r="U450" s="10" t="s">
        <v>6830</v>
      </c>
      <c r="V450" s="10" t="s">
        <v>6831</v>
      </c>
      <c r="W450" t="s">
        <v>6832</v>
      </c>
      <c r="X450" t="s">
        <v>2688</v>
      </c>
      <c r="Y450" t="s">
        <v>2688</v>
      </c>
      <c r="Z450" t="s">
        <v>2689</v>
      </c>
      <c r="AA450" t="s">
        <v>2689</v>
      </c>
      <c r="AB450" t="s">
        <v>6833</v>
      </c>
      <c r="AD450" t="s">
        <v>6834</v>
      </c>
      <c r="AE450" t="s">
        <v>6835</v>
      </c>
      <c r="AH450" t="s">
        <v>6836</v>
      </c>
    </row>
    <row r="451" spans="1:36" ht="174.9" x14ac:dyDescent="0.4">
      <c r="A451" t="s">
        <v>2133</v>
      </c>
      <c r="B451" t="s">
        <v>6837</v>
      </c>
      <c r="C451" t="s">
        <v>3448</v>
      </c>
      <c r="D451" t="s">
        <v>6838</v>
      </c>
      <c r="E451" t="s">
        <v>2679</v>
      </c>
      <c r="F451" t="s">
        <v>6839</v>
      </c>
      <c r="G451">
        <v>36.377688722400002</v>
      </c>
      <c r="H451">
        <v>-86.351041053900005</v>
      </c>
      <c r="I451" t="s">
        <v>3448</v>
      </c>
      <c r="J451" t="s">
        <v>2460</v>
      </c>
      <c r="K451" t="s">
        <v>3606</v>
      </c>
      <c r="L451" t="s">
        <v>2461</v>
      </c>
      <c r="M451">
        <v>157</v>
      </c>
      <c r="N451" t="s">
        <v>3438</v>
      </c>
      <c r="O451" t="s">
        <v>2133</v>
      </c>
      <c r="P451" s="1">
        <v>44753</v>
      </c>
      <c r="Q451">
        <v>27.8</v>
      </c>
      <c r="R451">
        <v>22</v>
      </c>
      <c r="S451" t="s">
        <v>3427</v>
      </c>
      <c r="T451" t="s">
        <v>2689</v>
      </c>
      <c r="U451" s="10" t="s">
        <v>6840</v>
      </c>
      <c r="V451" t="s">
        <v>6841</v>
      </c>
      <c r="W451" t="s">
        <v>6842</v>
      </c>
      <c r="X451" t="s">
        <v>2688</v>
      </c>
      <c r="Y451" t="s">
        <v>2688</v>
      </c>
      <c r="Z451" t="s">
        <v>2689</v>
      </c>
      <c r="AA451" t="s">
        <v>2689</v>
      </c>
      <c r="AB451" t="s">
        <v>6843</v>
      </c>
      <c r="AD451" t="s">
        <v>6844</v>
      </c>
      <c r="AE451" t="s">
        <v>6845</v>
      </c>
      <c r="AH451" t="s">
        <v>3614</v>
      </c>
    </row>
    <row r="452" spans="1:36" ht="160.30000000000001" x14ac:dyDescent="0.4">
      <c r="A452" t="s">
        <v>2118</v>
      </c>
      <c r="B452" t="s">
        <v>6846</v>
      </c>
      <c r="C452" t="s">
        <v>3594</v>
      </c>
      <c r="D452" t="s">
        <v>6847</v>
      </c>
      <c r="E452" t="s">
        <v>2679</v>
      </c>
      <c r="F452" t="s">
        <v>6848</v>
      </c>
      <c r="G452">
        <v>36.376709734499997</v>
      </c>
      <c r="H452">
        <v>-86.352029437900001</v>
      </c>
      <c r="I452" t="s">
        <v>3594</v>
      </c>
      <c r="J452" t="s">
        <v>2460</v>
      </c>
      <c r="K452" t="s">
        <v>3606</v>
      </c>
      <c r="L452" t="s">
        <v>2461</v>
      </c>
      <c r="M452">
        <v>152</v>
      </c>
      <c r="N452" t="s">
        <v>3438</v>
      </c>
      <c r="O452" t="s">
        <v>2118</v>
      </c>
      <c r="P452" s="1">
        <v>44753</v>
      </c>
      <c r="Q452">
        <v>22.8</v>
      </c>
      <c r="R452">
        <v>14</v>
      </c>
      <c r="S452" t="s">
        <v>3464</v>
      </c>
      <c r="T452" t="s">
        <v>2689</v>
      </c>
      <c r="U452" s="10" t="s">
        <v>6849</v>
      </c>
      <c r="V452" s="10" t="s">
        <v>6850</v>
      </c>
      <c r="W452" t="s">
        <v>6851</v>
      </c>
      <c r="X452" t="s">
        <v>2688</v>
      </c>
      <c r="Y452" t="s">
        <v>2688</v>
      </c>
      <c r="Z452" t="s">
        <v>2689</v>
      </c>
      <c r="AA452" t="s">
        <v>2689</v>
      </c>
      <c r="AB452" t="s">
        <v>6852</v>
      </c>
      <c r="AD452" t="s">
        <v>6853</v>
      </c>
      <c r="AE452" t="s">
        <v>6854</v>
      </c>
      <c r="AH452" t="s">
        <v>3614</v>
      </c>
    </row>
    <row r="453" spans="1:36" ht="160.30000000000001" x14ac:dyDescent="0.4">
      <c r="A453" t="s">
        <v>2102</v>
      </c>
      <c r="B453" t="s">
        <v>6855</v>
      </c>
      <c r="C453" t="s">
        <v>1411</v>
      </c>
      <c r="D453" t="s">
        <v>6856</v>
      </c>
      <c r="E453" t="s">
        <v>2679</v>
      </c>
      <c r="F453" t="s">
        <v>6857</v>
      </c>
      <c r="G453">
        <v>36.376004079399998</v>
      </c>
      <c r="H453">
        <v>-86.358015462799997</v>
      </c>
      <c r="I453" t="s">
        <v>1411</v>
      </c>
      <c r="J453" t="s">
        <v>2460</v>
      </c>
      <c r="K453" t="s">
        <v>3606</v>
      </c>
      <c r="L453" t="s">
        <v>2461</v>
      </c>
      <c r="M453">
        <v>148</v>
      </c>
      <c r="N453" t="s">
        <v>3438</v>
      </c>
      <c r="O453" t="s">
        <v>2102</v>
      </c>
      <c r="P453" s="1">
        <v>44753</v>
      </c>
      <c r="R453">
        <v>19</v>
      </c>
      <c r="S453" t="s">
        <v>3607</v>
      </c>
      <c r="T453" t="s">
        <v>2688</v>
      </c>
      <c r="U453" s="10" t="s">
        <v>6858</v>
      </c>
      <c r="V453" s="10" t="s">
        <v>6859</v>
      </c>
      <c r="W453" t="s">
        <v>5707</v>
      </c>
      <c r="X453" t="s">
        <v>2688</v>
      </c>
      <c r="Y453" t="s">
        <v>2688</v>
      </c>
      <c r="Z453" t="s">
        <v>2689</v>
      </c>
      <c r="AA453" t="s">
        <v>2689</v>
      </c>
      <c r="AB453" t="s">
        <v>6860</v>
      </c>
      <c r="AC453" t="s">
        <v>6861</v>
      </c>
      <c r="AD453" t="s">
        <v>6862</v>
      </c>
      <c r="AE453" t="s">
        <v>6863</v>
      </c>
      <c r="AH453" t="s">
        <v>3614</v>
      </c>
    </row>
    <row r="454" spans="1:36" ht="131.15" x14ac:dyDescent="0.4">
      <c r="A454" t="s">
        <v>2121</v>
      </c>
      <c r="B454" t="s">
        <v>6864</v>
      </c>
      <c r="C454" t="s">
        <v>1411</v>
      </c>
      <c r="D454" t="s">
        <v>6865</v>
      </c>
      <c r="E454" t="s">
        <v>2679</v>
      </c>
      <c r="F454" t="s">
        <v>6866</v>
      </c>
      <c r="G454">
        <v>36.376797801800002</v>
      </c>
      <c r="H454">
        <v>-86.351840150599998</v>
      </c>
      <c r="I454" t="s">
        <v>1411</v>
      </c>
      <c r="J454" t="s">
        <v>2460</v>
      </c>
      <c r="K454" t="s">
        <v>3606</v>
      </c>
      <c r="L454" t="s">
        <v>2461</v>
      </c>
      <c r="M454">
        <v>153</v>
      </c>
      <c r="N454" t="s">
        <v>3438</v>
      </c>
      <c r="O454" t="s">
        <v>2121</v>
      </c>
      <c r="P454" s="1">
        <v>44753</v>
      </c>
      <c r="Q454">
        <v>24</v>
      </c>
      <c r="R454">
        <v>16</v>
      </c>
      <c r="S454" t="s">
        <v>3427</v>
      </c>
      <c r="T454" t="s">
        <v>2689</v>
      </c>
      <c r="U454" s="10" t="s">
        <v>6867</v>
      </c>
      <c r="V454" s="10" t="s">
        <v>5614</v>
      </c>
      <c r="W454" t="s">
        <v>6868</v>
      </c>
      <c r="X454" t="s">
        <v>2688</v>
      </c>
      <c r="Y454" t="s">
        <v>2688</v>
      </c>
      <c r="Z454" t="s">
        <v>2689</v>
      </c>
      <c r="AA454" t="s">
        <v>2689</v>
      </c>
      <c r="AB454" t="s">
        <v>6869</v>
      </c>
      <c r="AD454" t="s">
        <v>6870</v>
      </c>
      <c r="AE454" t="s">
        <v>6871</v>
      </c>
      <c r="AH454" t="s">
        <v>3614</v>
      </c>
    </row>
    <row r="455" spans="1:36" ht="335.15" x14ac:dyDescent="0.4">
      <c r="A455" t="s">
        <v>2109</v>
      </c>
      <c r="B455" t="s">
        <v>6872</v>
      </c>
      <c r="C455" t="s">
        <v>3594</v>
      </c>
      <c r="D455" t="s">
        <v>6873</v>
      </c>
      <c r="E455" t="s">
        <v>2679</v>
      </c>
      <c r="F455" t="s">
        <v>6874</v>
      </c>
      <c r="G455">
        <v>36.375574003899999</v>
      </c>
      <c r="H455">
        <v>-86.357898451500006</v>
      </c>
      <c r="I455" t="s">
        <v>3594</v>
      </c>
      <c r="J455" t="s">
        <v>2460</v>
      </c>
      <c r="K455" t="s">
        <v>3606</v>
      </c>
      <c r="L455" t="s">
        <v>2461</v>
      </c>
      <c r="M455">
        <v>149</v>
      </c>
      <c r="N455" t="s">
        <v>3438</v>
      </c>
      <c r="O455" t="s">
        <v>2109</v>
      </c>
      <c r="P455" s="1">
        <v>44753</v>
      </c>
      <c r="Q455">
        <v>32.1</v>
      </c>
      <c r="R455">
        <v>17</v>
      </c>
      <c r="S455" t="s">
        <v>3427</v>
      </c>
      <c r="T455" t="s">
        <v>2689</v>
      </c>
      <c r="U455" s="10" t="s">
        <v>6875</v>
      </c>
      <c r="V455" s="10" t="s">
        <v>6876</v>
      </c>
      <c r="W455" t="s">
        <v>5707</v>
      </c>
      <c r="X455" t="s">
        <v>2688</v>
      </c>
      <c r="Y455" t="s">
        <v>2688</v>
      </c>
      <c r="Z455" t="s">
        <v>2689</v>
      </c>
      <c r="AA455" t="s">
        <v>2689</v>
      </c>
      <c r="AB455" t="s">
        <v>6877</v>
      </c>
      <c r="AD455" t="s">
        <v>6878</v>
      </c>
      <c r="AE455" t="s">
        <v>6879</v>
      </c>
      <c r="AH455" t="s">
        <v>3614</v>
      </c>
    </row>
    <row r="456" spans="1:36" ht="102" x14ac:dyDescent="0.4">
      <c r="A456" t="s">
        <v>2139</v>
      </c>
      <c r="B456" t="s">
        <v>6880</v>
      </c>
      <c r="C456" t="s">
        <v>3448</v>
      </c>
      <c r="D456" t="s">
        <v>6881</v>
      </c>
      <c r="E456" t="s">
        <v>2679</v>
      </c>
      <c r="F456" t="s">
        <v>6882</v>
      </c>
      <c r="G456">
        <v>36.377984183000002</v>
      </c>
      <c r="H456">
        <v>-86.350783660999994</v>
      </c>
      <c r="I456" t="s">
        <v>3448</v>
      </c>
      <c r="J456" t="s">
        <v>2460</v>
      </c>
      <c r="K456" t="s">
        <v>3606</v>
      </c>
      <c r="L456" t="s">
        <v>2461</v>
      </c>
      <c r="M456">
        <v>159</v>
      </c>
      <c r="N456" t="s">
        <v>3438</v>
      </c>
      <c r="O456" t="s">
        <v>2139</v>
      </c>
      <c r="P456" s="1">
        <v>44753</v>
      </c>
      <c r="Q456">
        <v>13.5</v>
      </c>
      <c r="R456">
        <v>16</v>
      </c>
      <c r="S456" t="s">
        <v>3427</v>
      </c>
      <c r="T456" t="s">
        <v>2689</v>
      </c>
      <c r="U456" s="10" t="s">
        <v>6883</v>
      </c>
      <c r="V456" s="10" t="s">
        <v>6884</v>
      </c>
      <c r="W456" t="s">
        <v>5716</v>
      </c>
      <c r="X456" t="s">
        <v>2688</v>
      </c>
      <c r="Y456" t="s">
        <v>2688</v>
      </c>
      <c r="Z456" t="s">
        <v>2689</v>
      </c>
      <c r="AA456" t="s">
        <v>2689</v>
      </c>
      <c r="AB456" t="s">
        <v>6885</v>
      </c>
      <c r="AD456" t="s">
        <v>6886</v>
      </c>
      <c r="AE456" t="s">
        <v>6887</v>
      </c>
      <c r="AH456" t="s">
        <v>3614</v>
      </c>
    </row>
    <row r="457" spans="1:36" ht="189.45" x14ac:dyDescent="0.4">
      <c r="A457" t="s">
        <v>2136</v>
      </c>
      <c r="B457" t="s">
        <v>6888</v>
      </c>
      <c r="C457" t="s">
        <v>3594</v>
      </c>
      <c r="D457" t="s">
        <v>6889</v>
      </c>
      <c r="E457" t="s">
        <v>2679</v>
      </c>
      <c r="F457" t="s">
        <v>6890</v>
      </c>
      <c r="G457">
        <v>36.377769516400001</v>
      </c>
      <c r="H457">
        <v>-86.350959168900005</v>
      </c>
      <c r="I457" t="s">
        <v>3594</v>
      </c>
      <c r="J457" t="s">
        <v>2460</v>
      </c>
      <c r="K457" t="s">
        <v>3606</v>
      </c>
      <c r="L457" t="s">
        <v>2461</v>
      </c>
      <c r="M457">
        <v>158</v>
      </c>
      <c r="N457" t="s">
        <v>3438</v>
      </c>
      <c r="O457" t="s">
        <v>2136</v>
      </c>
      <c r="P457" s="1">
        <v>44753</v>
      </c>
      <c r="Q457">
        <v>25.7</v>
      </c>
      <c r="R457">
        <v>24</v>
      </c>
      <c r="S457" t="s">
        <v>3427</v>
      </c>
      <c r="T457" t="s">
        <v>2689</v>
      </c>
      <c r="U457" s="10" t="s">
        <v>6891</v>
      </c>
      <c r="V457" t="s">
        <v>5715</v>
      </c>
      <c r="W457" t="s">
        <v>5716</v>
      </c>
      <c r="X457" t="s">
        <v>2688</v>
      </c>
      <c r="Y457" t="s">
        <v>2688</v>
      </c>
      <c r="Z457" t="s">
        <v>2689</v>
      </c>
      <c r="AA457" t="s">
        <v>2689</v>
      </c>
      <c r="AB457" t="s">
        <v>6892</v>
      </c>
      <c r="AD457" t="s">
        <v>6893</v>
      </c>
      <c r="AE457" t="s">
        <v>6894</v>
      </c>
      <c r="AH457" t="s">
        <v>3614</v>
      </c>
    </row>
    <row r="458" spans="1:36" ht="87.45" x14ac:dyDescent="0.4">
      <c r="A458" t="s">
        <v>2145</v>
      </c>
      <c r="B458" t="s">
        <v>6895</v>
      </c>
      <c r="C458" t="s">
        <v>3448</v>
      </c>
      <c r="D458" t="s">
        <v>6896</v>
      </c>
      <c r="E458" t="s">
        <v>2679</v>
      </c>
      <c r="F458" t="s">
        <v>6897</v>
      </c>
      <c r="G458">
        <v>36.378324689700001</v>
      </c>
      <c r="H458">
        <v>-86.350729385799994</v>
      </c>
      <c r="I458" t="s">
        <v>3448</v>
      </c>
      <c r="J458" t="s">
        <v>2460</v>
      </c>
      <c r="K458" t="s">
        <v>3606</v>
      </c>
      <c r="L458" t="s">
        <v>2461</v>
      </c>
      <c r="M458">
        <v>161</v>
      </c>
      <c r="N458" t="s">
        <v>3438</v>
      </c>
      <c r="O458" t="s">
        <v>2145</v>
      </c>
      <c r="P458" s="1">
        <v>44753</v>
      </c>
      <c r="Q458">
        <v>61.2</v>
      </c>
      <c r="R458">
        <v>29</v>
      </c>
      <c r="S458" t="s">
        <v>3427</v>
      </c>
      <c r="T458" t="s">
        <v>2689</v>
      </c>
      <c r="U458" s="10" t="s">
        <v>6898</v>
      </c>
      <c r="V458" s="10" t="s">
        <v>6899</v>
      </c>
      <c r="W458" t="s">
        <v>5716</v>
      </c>
      <c r="X458" t="s">
        <v>2688</v>
      </c>
      <c r="Y458" t="s">
        <v>2688</v>
      </c>
      <c r="Z458" t="s">
        <v>2689</v>
      </c>
      <c r="AA458" t="s">
        <v>2689</v>
      </c>
      <c r="AB458" s="9" t="s">
        <v>6900</v>
      </c>
      <c r="AD458" t="s">
        <v>6901</v>
      </c>
      <c r="AE458" t="s">
        <v>6902</v>
      </c>
      <c r="AH458" t="s">
        <v>3614</v>
      </c>
    </row>
    <row r="459" spans="1:36" x14ac:dyDescent="0.4">
      <c r="A459" t="s">
        <v>266</v>
      </c>
      <c r="B459" t="s">
        <v>6903</v>
      </c>
      <c r="C459" t="s">
        <v>1411</v>
      </c>
      <c r="D459" t="s">
        <v>6904</v>
      </c>
      <c r="E459" t="s">
        <v>2679</v>
      </c>
      <c r="F459" t="s">
        <v>6905</v>
      </c>
      <c r="G459">
        <v>41.8137772416</v>
      </c>
      <c r="H459">
        <v>-88.062842088799997</v>
      </c>
      <c r="I459" t="s">
        <v>1411</v>
      </c>
      <c r="J459" t="s">
        <v>2407</v>
      </c>
      <c r="K459" t="s">
        <v>259</v>
      </c>
      <c r="L459" t="s">
        <v>2410</v>
      </c>
      <c r="M459">
        <v>137</v>
      </c>
      <c r="N459" t="s">
        <v>3438</v>
      </c>
      <c r="O459" t="s">
        <v>266</v>
      </c>
      <c r="P459" s="1">
        <v>44748</v>
      </c>
      <c r="Q459">
        <v>51.2</v>
      </c>
      <c r="R459">
        <v>23</v>
      </c>
      <c r="S459" t="s">
        <v>3427</v>
      </c>
      <c r="T459" t="s">
        <v>2689</v>
      </c>
      <c r="U459" t="s">
        <v>6906</v>
      </c>
      <c r="V459" t="s">
        <v>6907</v>
      </c>
      <c r="W459" t="s">
        <v>6908</v>
      </c>
      <c r="X459" t="s">
        <v>2688</v>
      </c>
      <c r="Y459" t="s">
        <v>2688</v>
      </c>
      <c r="Z459" t="s">
        <v>2688</v>
      </c>
      <c r="AA459" t="s">
        <v>2688</v>
      </c>
      <c r="AB459" t="s">
        <v>6909</v>
      </c>
      <c r="AD459" t="s">
        <v>6910</v>
      </c>
      <c r="AE459" t="s">
        <v>6911</v>
      </c>
      <c r="AH459" t="s">
        <v>3445</v>
      </c>
      <c r="AJ459" t="s">
        <v>6912</v>
      </c>
    </row>
    <row r="460" spans="1:36" ht="160.30000000000001" x14ac:dyDescent="0.4">
      <c r="A460" t="s">
        <v>262</v>
      </c>
      <c r="B460" t="s">
        <v>6913</v>
      </c>
      <c r="C460" t="s">
        <v>3448</v>
      </c>
      <c r="D460" t="s">
        <v>6914</v>
      </c>
      <c r="E460" t="s">
        <v>2679</v>
      </c>
      <c r="F460" t="s">
        <v>6915</v>
      </c>
      <c r="G460">
        <v>41.8137215012</v>
      </c>
      <c r="H460">
        <v>-88.063304275299998</v>
      </c>
      <c r="I460" t="s">
        <v>3448</v>
      </c>
      <c r="J460" t="s">
        <v>2407</v>
      </c>
      <c r="K460" t="s">
        <v>259</v>
      </c>
      <c r="L460" t="s">
        <v>2410</v>
      </c>
      <c r="M460">
        <v>136</v>
      </c>
      <c r="N460" t="s">
        <v>3438</v>
      </c>
      <c r="O460" t="s">
        <v>262</v>
      </c>
      <c r="P460" s="1">
        <v>44748</v>
      </c>
      <c r="Q460">
        <v>90</v>
      </c>
      <c r="R460">
        <v>25</v>
      </c>
      <c r="S460" t="s">
        <v>3427</v>
      </c>
      <c r="T460" t="s">
        <v>2689</v>
      </c>
      <c r="U460" t="s">
        <v>6916</v>
      </c>
      <c r="V460" t="s">
        <v>6917</v>
      </c>
      <c r="W460" t="s">
        <v>6908</v>
      </c>
      <c r="X460" t="s">
        <v>2688</v>
      </c>
      <c r="Y460" t="s">
        <v>2688</v>
      </c>
      <c r="Z460" t="s">
        <v>2689</v>
      </c>
      <c r="AA460" t="s">
        <v>2689</v>
      </c>
      <c r="AB460" t="s">
        <v>6918</v>
      </c>
      <c r="AD460" t="s">
        <v>6919</v>
      </c>
      <c r="AE460" t="s">
        <v>6920</v>
      </c>
      <c r="AH460" t="s">
        <v>3445</v>
      </c>
      <c r="AJ460" s="10" t="s">
        <v>6921</v>
      </c>
    </row>
    <row r="461" spans="1:36" x14ac:dyDescent="0.4">
      <c r="A461" t="s">
        <v>308</v>
      </c>
      <c r="B461" t="s">
        <v>6922</v>
      </c>
      <c r="C461" t="s">
        <v>3448</v>
      </c>
      <c r="D461" t="s">
        <v>6923</v>
      </c>
      <c r="E461" t="s">
        <v>2679</v>
      </c>
      <c r="F461" t="s">
        <v>6924</v>
      </c>
      <c r="G461">
        <v>41.821003287700002</v>
      </c>
      <c r="H461">
        <v>-88.052682056999998</v>
      </c>
      <c r="I461" t="s">
        <v>3448</v>
      </c>
      <c r="J461" t="s">
        <v>2407</v>
      </c>
      <c r="K461" t="s">
        <v>259</v>
      </c>
      <c r="L461" t="s">
        <v>2410</v>
      </c>
      <c r="M461">
        <v>147</v>
      </c>
      <c r="N461" t="s">
        <v>3438</v>
      </c>
      <c r="O461" t="s">
        <v>308</v>
      </c>
      <c r="P461" s="1">
        <v>44748</v>
      </c>
      <c r="Q461">
        <v>75</v>
      </c>
      <c r="R461">
        <v>23</v>
      </c>
      <c r="S461" t="s">
        <v>4506</v>
      </c>
      <c r="T461" t="s">
        <v>2689</v>
      </c>
      <c r="U461" t="s">
        <v>5293</v>
      </c>
      <c r="V461" t="s">
        <v>6925</v>
      </c>
      <c r="W461" t="s">
        <v>6926</v>
      </c>
      <c r="X461" t="s">
        <v>2688</v>
      </c>
      <c r="Y461" t="s">
        <v>2688</v>
      </c>
      <c r="Z461" t="s">
        <v>2689</v>
      </c>
      <c r="AA461" t="s">
        <v>2688</v>
      </c>
      <c r="AB461" t="s">
        <v>6927</v>
      </c>
      <c r="AD461" t="s">
        <v>6928</v>
      </c>
      <c r="AE461" t="s">
        <v>6929</v>
      </c>
      <c r="AH461" t="s">
        <v>3445</v>
      </c>
      <c r="AJ461" t="s">
        <v>6930</v>
      </c>
    </row>
    <row r="462" spans="1:36" x14ac:dyDescent="0.4">
      <c r="A462" t="s">
        <v>270</v>
      </c>
      <c r="B462" t="s">
        <v>6931</v>
      </c>
      <c r="C462" t="s">
        <v>3448</v>
      </c>
      <c r="D462" t="s">
        <v>6932</v>
      </c>
      <c r="E462" t="s">
        <v>2679</v>
      </c>
      <c r="F462" t="s">
        <v>6933</v>
      </c>
      <c r="G462">
        <v>41.813858351699999</v>
      </c>
      <c r="H462">
        <v>-88.062836062200006</v>
      </c>
      <c r="I462" t="s">
        <v>3448</v>
      </c>
      <c r="J462" t="s">
        <v>2407</v>
      </c>
      <c r="K462" t="s">
        <v>259</v>
      </c>
      <c r="L462" t="s">
        <v>2410</v>
      </c>
      <c r="M462">
        <v>138</v>
      </c>
      <c r="N462" t="s">
        <v>3438</v>
      </c>
      <c r="O462" t="s">
        <v>270</v>
      </c>
      <c r="P462" s="1">
        <v>44748</v>
      </c>
      <c r="Q462">
        <v>92.6</v>
      </c>
      <c r="R462">
        <v>28</v>
      </c>
      <c r="S462" t="s">
        <v>3427</v>
      </c>
      <c r="T462" t="s">
        <v>2689</v>
      </c>
      <c r="U462" t="s">
        <v>6934</v>
      </c>
      <c r="V462" t="s">
        <v>6935</v>
      </c>
      <c r="W462" t="s">
        <v>5171</v>
      </c>
      <c r="X462" t="s">
        <v>2688</v>
      </c>
      <c r="Y462" t="s">
        <v>2688</v>
      </c>
      <c r="Z462" t="s">
        <v>2689</v>
      </c>
      <c r="AA462" t="s">
        <v>2688</v>
      </c>
      <c r="AB462" t="s">
        <v>6936</v>
      </c>
      <c r="AD462" t="s">
        <v>6937</v>
      </c>
      <c r="AE462" t="s">
        <v>6938</v>
      </c>
      <c r="AH462" t="s">
        <v>3445</v>
      </c>
      <c r="AJ462" t="s">
        <v>6939</v>
      </c>
    </row>
    <row r="463" spans="1:36" ht="72.900000000000006" x14ac:dyDescent="0.4">
      <c r="A463" t="s">
        <v>304</v>
      </c>
      <c r="B463" t="s">
        <v>6940</v>
      </c>
      <c r="C463" t="s">
        <v>1411</v>
      </c>
      <c r="D463" t="s">
        <v>6941</v>
      </c>
      <c r="E463" t="s">
        <v>2679</v>
      </c>
      <c r="F463" t="s">
        <v>6942</v>
      </c>
      <c r="G463">
        <v>41.820909627799999</v>
      </c>
      <c r="H463">
        <v>-88.052419200599999</v>
      </c>
      <c r="I463" t="s">
        <v>1411</v>
      </c>
      <c r="J463" t="s">
        <v>2407</v>
      </c>
      <c r="K463" t="s">
        <v>259</v>
      </c>
      <c r="L463" t="s">
        <v>2410</v>
      </c>
      <c r="M463">
        <v>146</v>
      </c>
      <c r="N463" t="s">
        <v>3438</v>
      </c>
      <c r="O463" t="s">
        <v>304</v>
      </c>
      <c r="P463" s="1">
        <v>44748</v>
      </c>
      <c r="Q463">
        <v>101</v>
      </c>
      <c r="R463">
        <v>20</v>
      </c>
      <c r="S463" t="s">
        <v>3427</v>
      </c>
      <c r="T463" t="s">
        <v>2689</v>
      </c>
      <c r="U463" s="10" t="s">
        <v>6943</v>
      </c>
      <c r="V463" t="s">
        <v>6944</v>
      </c>
      <c r="W463" t="s">
        <v>6926</v>
      </c>
      <c r="X463" t="s">
        <v>2688</v>
      </c>
      <c r="Y463" t="s">
        <v>2688</v>
      </c>
      <c r="Z463" t="s">
        <v>2688</v>
      </c>
      <c r="AA463" t="s">
        <v>2688</v>
      </c>
      <c r="AB463" t="s">
        <v>6945</v>
      </c>
      <c r="AD463" t="s">
        <v>6946</v>
      </c>
      <c r="AE463" t="s">
        <v>6947</v>
      </c>
      <c r="AH463" t="s">
        <v>3445</v>
      </c>
      <c r="AJ463" t="s">
        <v>6948</v>
      </c>
    </row>
    <row r="464" spans="1:36" ht="87.45" x14ac:dyDescent="0.4">
      <c r="A464" t="s">
        <v>296</v>
      </c>
      <c r="B464" t="s">
        <v>6949</v>
      </c>
      <c r="C464" t="s">
        <v>3448</v>
      </c>
      <c r="D464" t="s">
        <v>6950</v>
      </c>
      <c r="E464" t="s">
        <v>2679</v>
      </c>
      <c r="F464" t="s">
        <v>6951</v>
      </c>
      <c r="G464">
        <v>41.819194019800001</v>
      </c>
      <c r="H464">
        <v>-88.051113886799996</v>
      </c>
      <c r="I464" t="s">
        <v>3448</v>
      </c>
      <c r="J464" t="s">
        <v>2407</v>
      </c>
      <c r="K464" t="s">
        <v>259</v>
      </c>
      <c r="L464" t="s">
        <v>2410</v>
      </c>
      <c r="M464">
        <v>144</v>
      </c>
      <c r="N464" t="s">
        <v>3438</v>
      </c>
      <c r="O464" t="s">
        <v>296</v>
      </c>
      <c r="P464" s="1">
        <v>44748</v>
      </c>
      <c r="Q464">
        <v>44.1</v>
      </c>
      <c r="R464">
        <v>26</v>
      </c>
      <c r="S464" t="s">
        <v>3427</v>
      </c>
      <c r="T464" t="s">
        <v>2689</v>
      </c>
      <c r="U464" s="10" t="s">
        <v>6952</v>
      </c>
      <c r="V464" t="s">
        <v>6953</v>
      </c>
      <c r="W464" t="s">
        <v>6954</v>
      </c>
      <c r="X464" t="s">
        <v>2688</v>
      </c>
      <c r="Y464" t="s">
        <v>2688</v>
      </c>
      <c r="Z464" t="s">
        <v>2688</v>
      </c>
      <c r="AA464" t="s">
        <v>2689</v>
      </c>
      <c r="AB464" t="s">
        <v>6955</v>
      </c>
      <c r="AD464" t="s">
        <v>6956</v>
      </c>
      <c r="AE464" t="s">
        <v>6957</v>
      </c>
      <c r="AH464" t="s">
        <v>3445</v>
      </c>
      <c r="AJ464" t="s">
        <v>6958</v>
      </c>
    </row>
    <row r="465" spans="1:36" ht="102" x14ac:dyDescent="0.4">
      <c r="A465" t="s">
        <v>288</v>
      </c>
      <c r="B465" t="s">
        <v>6959</v>
      </c>
      <c r="C465" t="s">
        <v>1411</v>
      </c>
      <c r="D465" t="s">
        <v>6960</v>
      </c>
      <c r="E465" t="s">
        <v>2679</v>
      </c>
      <c r="F465" t="s">
        <v>6961</v>
      </c>
      <c r="G465">
        <v>41.815849501599999</v>
      </c>
      <c r="H465">
        <v>-88.060122840099993</v>
      </c>
      <c r="I465" t="s">
        <v>1411</v>
      </c>
      <c r="J465" t="s">
        <v>2407</v>
      </c>
      <c r="K465" t="s">
        <v>259</v>
      </c>
      <c r="L465" t="s">
        <v>2410</v>
      </c>
      <c r="M465">
        <v>142</v>
      </c>
      <c r="N465" t="s">
        <v>3438</v>
      </c>
      <c r="O465" t="s">
        <v>288</v>
      </c>
      <c r="P465" s="1">
        <v>44748</v>
      </c>
      <c r="Q465">
        <v>101</v>
      </c>
      <c r="R465">
        <v>24</v>
      </c>
      <c r="S465" t="s">
        <v>3427</v>
      </c>
      <c r="T465" t="s">
        <v>2688</v>
      </c>
      <c r="U465" s="10" t="s">
        <v>6962</v>
      </c>
      <c r="V465" t="s">
        <v>6963</v>
      </c>
      <c r="W465" t="s">
        <v>6964</v>
      </c>
      <c r="X465" t="s">
        <v>2688</v>
      </c>
      <c r="Y465" t="s">
        <v>2688</v>
      </c>
      <c r="Z465" t="s">
        <v>2689</v>
      </c>
      <c r="AA465" t="s">
        <v>2689</v>
      </c>
      <c r="AB465" t="s">
        <v>6965</v>
      </c>
      <c r="AC465" t="s">
        <v>6966</v>
      </c>
      <c r="AD465" t="s">
        <v>6967</v>
      </c>
      <c r="AE465" t="s">
        <v>6968</v>
      </c>
      <c r="AH465" t="s">
        <v>3445</v>
      </c>
      <c r="AJ465" t="s">
        <v>6969</v>
      </c>
    </row>
    <row r="466" spans="1:36" ht="116.6" x14ac:dyDescent="0.4">
      <c r="A466" t="s">
        <v>300</v>
      </c>
      <c r="B466" s="9" t="s">
        <v>6970</v>
      </c>
      <c r="C466" t="s">
        <v>1411</v>
      </c>
      <c r="D466" t="s">
        <v>6971</v>
      </c>
      <c r="E466" t="s">
        <v>2679</v>
      </c>
      <c r="F466" t="s">
        <v>6972</v>
      </c>
      <c r="G466">
        <v>41.819379385600001</v>
      </c>
      <c r="H466">
        <v>-88.050938118299996</v>
      </c>
      <c r="I466" t="s">
        <v>1411</v>
      </c>
      <c r="J466" t="s">
        <v>2407</v>
      </c>
      <c r="K466" t="s">
        <v>259</v>
      </c>
      <c r="L466" t="s">
        <v>2410</v>
      </c>
      <c r="M466">
        <v>145</v>
      </c>
      <c r="N466" t="s">
        <v>3438</v>
      </c>
      <c r="O466" t="s">
        <v>300</v>
      </c>
      <c r="P466" s="1">
        <v>44748</v>
      </c>
      <c r="Q466">
        <v>84.7</v>
      </c>
      <c r="R466">
        <v>24</v>
      </c>
      <c r="S466" t="s">
        <v>3427</v>
      </c>
      <c r="T466" t="s">
        <v>2689</v>
      </c>
      <c r="U466" s="10" t="s">
        <v>6973</v>
      </c>
      <c r="V466" t="s">
        <v>6974</v>
      </c>
      <c r="W466" t="s">
        <v>6975</v>
      </c>
      <c r="X466" t="s">
        <v>2688</v>
      </c>
      <c r="Y466" t="s">
        <v>2688</v>
      </c>
      <c r="Z466" t="s">
        <v>2688</v>
      </c>
      <c r="AA466" t="s">
        <v>2688</v>
      </c>
      <c r="AB466" t="s">
        <v>6976</v>
      </c>
      <c r="AD466" t="s">
        <v>6977</v>
      </c>
      <c r="AE466" t="s">
        <v>6978</v>
      </c>
      <c r="AH466" t="s">
        <v>3445</v>
      </c>
      <c r="AJ466" t="s">
        <v>6979</v>
      </c>
    </row>
    <row r="467" spans="1:36" ht="87.45" x14ac:dyDescent="0.4">
      <c r="A467" t="s">
        <v>255</v>
      </c>
      <c r="B467" t="s">
        <v>6980</v>
      </c>
      <c r="C467" t="s">
        <v>1411</v>
      </c>
      <c r="D467" t="s">
        <v>6981</v>
      </c>
      <c r="E467" t="s">
        <v>2679</v>
      </c>
      <c r="F467" t="s">
        <v>6982</v>
      </c>
      <c r="G467">
        <v>41.813670513300004</v>
      </c>
      <c r="H467">
        <v>-88.062919629800007</v>
      </c>
      <c r="I467" t="s">
        <v>1411</v>
      </c>
      <c r="J467" t="s">
        <v>2407</v>
      </c>
      <c r="K467" t="s">
        <v>259</v>
      </c>
      <c r="L467" t="s">
        <v>2410</v>
      </c>
      <c r="M467">
        <v>135</v>
      </c>
      <c r="N467" t="s">
        <v>3438</v>
      </c>
      <c r="O467" t="s">
        <v>255</v>
      </c>
      <c r="P467" s="1">
        <v>44748</v>
      </c>
      <c r="Q467">
        <v>35.200000000000003</v>
      </c>
      <c r="R467">
        <v>20</v>
      </c>
      <c r="S467" t="s">
        <v>3464</v>
      </c>
      <c r="T467" t="s">
        <v>2689</v>
      </c>
      <c r="U467" s="10" t="s">
        <v>6983</v>
      </c>
      <c r="V467" t="s">
        <v>6984</v>
      </c>
      <c r="W467" t="s">
        <v>6908</v>
      </c>
      <c r="X467" t="s">
        <v>2688</v>
      </c>
      <c r="Y467" t="s">
        <v>2688</v>
      </c>
      <c r="Z467" t="s">
        <v>2688</v>
      </c>
      <c r="AA467" t="s">
        <v>2688</v>
      </c>
      <c r="AB467" t="s">
        <v>6985</v>
      </c>
      <c r="AD467" t="s">
        <v>6986</v>
      </c>
      <c r="AE467" t="s">
        <v>6987</v>
      </c>
      <c r="AH467" t="s">
        <v>3445</v>
      </c>
      <c r="AJ467" t="s">
        <v>6988</v>
      </c>
    </row>
    <row r="468" spans="1:36" ht="131.15" x14ac:dyDescent="0.4">
      <c r="A468" t="s">
        <v>284</v>
      </c>
      <c r="B468" t="s">
        <v>6989</v>
      </c>
      <c r="C468" t="s">
        <v>3448</v>
      </c>
      <c r="D468" t="s">
        <v>6990</v>
      </c>
      <c r="E468" t="s">
        <v>2679</v>
      </c>
      <c r="F468" t="s">
        <v>6991</v>
      </c>
      <c r="G468">
        <v>41.815895729099999</v>
      </c>
      <c r="H468">
        <v>-88.060211017699999</v>
      </c>
      <c r="I468" t="s">
        <v>3448</v>
      </c>
      <c r="J468" t="s">
        <v>2407</v>
      </c>
      <c r="K468" t="s">
        <v>259</v>
      </c>
      <c r="L468" t="s">
        <v>2410</v>
      </c>
      <c r="M468">
        <v>141</v>
      </c>
      <c r="N468" t="s">
        <v>3438</v>
      </c>
      <c r="O468" t="s">
        <v>284</v>
      </c>
      <c r="P468" s="1">
        <v>44748</v>
      </c>
      <c r="Q468">
        <v>80</v>
      </c>
      <c r="R468">
        <v>24</v>
      </c>
      <c r="S468" t="s">
        <v>4506</v>
      </c>
      <c r="T468" t="s">
        <v>2689</v>
      </c>
      <c r="U468" s="10" t="s">
        <v>6992</v>
      </c>
      <c r="V468" t="s">
        <v>6993</v>
      </c>
      <c r="W468" t="s">
        <v>6964</v>
      </c>
      <c r="X468" t="s">
        <v>2688</v>
      </c>
      <c r="Y468" t="s">
        <v>2688</v>
      </c>
      <c r="Z468" t="s">
        <v>2689</v>
      </c>
      <c r="AA468" t="s">
        <v>2689</v>
      </c>
      <c r="AB468" t="s">
        <v>6994</v>
      </c>
      <c r="AD468" t="s">
        <v>6995</v>
      </c>
      <c r="AE468" t="s">
        <v>6996</v>
      </c>
      <c r="AH468" t="s">
        <v>3445</v>
      </c>
      <c r="AJ468" s="10" t="s">
        <v>6997</v>
      </c>
    </row>
    <row r="469" spans="1:36" ht="72.900000000000006" x14ac:dyDescent="0.4">
      <c r="A469" t="s">
        <v>292</v>
      </c>
      <c r="B469" t="s">
        <v>6998</v>
      </c>
      <c r="C469" t="s">
        <v>1411</v>
      </c>
      <c r="D469" t="s">
        <v>6999</v>
      </c>
      <c r="E469" t="s">
        <v>2679</v>
      </c>
      <c r="F469" t="s">
        <v>7000</v>
      </c>
      <c r="G469">
        <v>41.814960320499999</v>
      </c>
      <c r="H469">
        <v>-88.061202597000005</v>
      </c>
      <c r="I469" t="s">
        <v>1411</v>
      </c>
      <c r="J469" t="s">
        <v>2407</v>
      </c>
      <c r="K469" t="s">
        <v>259</v>
      </c>
      <c r="L469" t="s">
        <v>2410</v>
      </c>
      <c r="M469">
        <v>143</v>
      </c>
      <c r="N469" t="s">
        <v>3438</v>
      </c>
      <c r="O469" t="s">
        <v>292</v>
      </c>
      <c r="P469" s="1">
        <v>44748</v>
      </c>
      <c r="Q469">
        <v>114.8</v>
      </c>
      <c r="R469">
        <v>20</v>
      </c>
      <c r="S469" t="s">
        <v>3464</v>
      </c>
      <c r="T469" t="s">
        <v>2689</v>
      </c>
      <c r="U469" t="s">
        <v>3730</v>
      </c>
      <c r="V469" t="s">
        <v>7001</v>
      </c>
      <c r="W469" t="s">
        <v>7002</v>
      </c>
      <c r="X469" t="s">
        <v>2688</v>
      </c>
      <c r="Y469" t="s">
        <v>2688</v>
      </c>
      <c r="Z469" t="s">
        <v>2689</v>
      </c>
      <c r="AA469" t="s">
        <v>2689</v>
      </c>
      <c r="AB469" t="s">
        <v>7003</v>
      </c>
      <c r="AC469" t="s">
        <v>7004</v>
      </c>
      <c r="AD469" t="s">
        <v>7005</v>
      </c>
      <c r="AE469" t="s">
        <v>7006</v>
      </c>
      <c r="AH469" t="s">
        <v>3445</v>
      </c>
      <c r="AJ469" s="10" t="s">
        <v>7007</v>
      </c>
    </row>
    <row r="470" spans="1:36" ht="72.900000000000006" x14ac:dyDescent="0.4">
      <c r="A470" t="s">
        <v>280</v>
      </c>
      <c r="B470" t="s">
        <v>7008</v>
      </c>
      <c r="C470" t="s">
        <v>3448</v>
      </c>
      <c r="D470" t="s">
        <v>7009</v>
      </c>
      <c r="E470" t="s">
        <v>2679</v>
      </c>
      <c r="F470" t="s">
        <v>7010</v>
      </c>
      <c r="G470">
        <v>41.815712638199997</v>
      </c>
      <c r="H470">
        <v>-88.061205195300005</v>
      </c>
      <c r="I470" t="s">
        <v>3448</v>
      </c>
      <c r="J470" t="s">
        <v>2407</v>
      </c>
      <c r="K470" t="s">
        <v>259</v>
      </c>
      <c r="L470" t="s">
        <v>2410</v>
      </c>
      <c r="M470">
        <v>140</v>
      </c>
      <c r="N470" t="s">
        <v>3438</v>
      </c>
      <c r="O470" t="s">
        <v>280</v>
      </c>
      <c r="P470" s="1">
        <v>44748</v>
      </c>
      <c r="Q470">
        <v>77.8</v>
      </c>
      <c r="R470">
        <v>22</v>
      </c>
      <c r="S470" t="s">
        <v>4506</v>
      </c>
      <c r="T470" t="s">
        <v>2689</v>
      </c>
      <c r="U470" s="10" t="s">
        <v>7011</v>
      </c>
      <c r="V470" t="s">
        <v>7012</v>
      </c>
      <c r="W470" t="s">
        <v>7013</v>
      </c>
      <c r="X470" t="s">
        <v>2688</v>
      </c>
      <c r="Y470" t="s">
        <v>2688</v>
      </c>
      <c r="Z470" t="s">
        <v>2689</v>
      </c>
      <c r="AA470" t="s">
        <v>2689</v>
      </c>
      <c r="AB470" t="s">
        <v>7014</v>
      </c>
      <c r="AD470" s="9" t="s">
        <v>7015</v>
      </c>
      <c r="AE470" t="s">
        <v>7016</v>
      </c>
      <c r="AH470" t="s">
        <v>3445</v>
      </c>
      <c r="AJ470" t="s">
        <v>7017</v>
      </c>
    </row>
    <row r="471" spans="1:36" ht="58.3" x14ac:dyDescent="0.4">
      <c r="A471" t="s">
        <v>2031</v>
      </c>
      <c r="B471" t="s">
        <v>7018</v>
      </c>
      <c r="C471" t="s">
        <v>3713</v>
      </c>
      <c r="D471" t="s">
        <v>7019</v>
      </c>
      <c r="E471" t="s">
        <v>2679</v>
      </c>
      <c r="F471" t="s">
        <v>7020</v>
      </c>
      <c r="G471">
        <v>36.844436041999998</v>
      </c>
      <c r="H471">
        <v>-96.426761141100002</v>
      </c>
      <c r="I471" t="s">
        <v>3713</v>
      </c>
      <c r="J471" t="s">
        <v>2457</v>
      </c>
      <c r="K471" t="s">
        <v>2007</v>
      </c>
      <c r="L471" t="s">
        <v>2459</v>
      </c>
      <c r="M471">
        <v>130</v>
      </c>
      <c r="N471" t="s">
        <v>3438</v>
      </c>
      <c r="O471" t="s">
        <v>2031</v>
      </c>
      <c r="P471" s="1">
        <v>44737</v>
      </c>
      <c r="Q471">
        <v>81.7</v>
      </c>
      <c r="R471">
        <v>24</v>
      </c>
      <c r="S471" t="s">
        <v>3464</v>
      </c>
      <c r="T471" t="s">
        <v>2689</v>
      </c>
      <c r="U471" s="10" t="s">
        <v>7021</v>
      </c>
      <c r="V471" t="s">
        <v>7022</v>
      </c>
      <c r="W471" t="s">
        <v>7023</v>
      </c>
      <c r="X471" t="s">
        <v>2688</v>
      </c>
      <c r="Y471" t="s">
        <v>2688</v>
      </c>
      <c r="Z471" t="s">
        <v>2689</v>
      </c>
      <c r="AA471" t="s">
        <v>2689</v>
      </c>
      <c r="AB471" t="s">
        <v>7024</v>
      </c>
      <c r="AD471" t="s">
        <v>7025</v>
      </c>
      <c r="AE471" t="s">
        <v>7026</v>
      </c>
      <c r="AH471" t="s">
        <v>3445</v>
      </c>
    </row>
    <row r="472" spans="1:36" ht="58.3" x14ac:dyDescent="0.4">
      <c r="A472" t="s">
        <v>2005</v>
      </c>
      <c r="B472" t="s">
        <v>7027</v>
      </c>
      <c r="C472" t="s">
        <v>1411</v>
      </c>
      <c r="D472" t="s">
        <v>7028</v>
      </c>
      <c r="E472" t="s">
        <v>2679</v>
      </c>
      <c r="F472" t="s">
        <v>7029</v>
      </c>
      <c r="G472">
        <v>36.845176499399997</v>
      </c>
      <c r="H472">
        <v>-96.426524520000001</v>
      </c>
      <c r="I472" t="s">
        <v>1411</v>
      </c>
      <c r="J472" t="s">
        <v>2457</v>
      </c>
      <c r="K472" t="s">
        <v>2007</v>
      </c>
      <c r="L472" t="s">
        <v>2459</v>
      </c>
      <c r="M472">
        <v>122</v>
      </c>
      <c r="N472" t="s">
        <v>3438</v>
      </c>
      <c r="O472" t="s">
        <v>2005</v>
      </c>
      <c r="P472" s="1">
        <v>44737</v>
      </c>
      <c r="Q472">
        <v>67.099999999999994</v>
      </c>
      <c r="R472">
        <v>28</v>
      </c>
      <c r="S472" t="s">
        <v>3464</v>
      </c>
      <c r="T472" t="s">
        <v>2689</v>
      </c>
      <c r="U472" s="10" t="s">
        <v>7030</v>
      </c>
      <c r="V472" t="s">
        <v>7031</v>
      </c>
      <c r="W472" t="s">
        <v>7032</v>
      </c>
      <c r="X472" t="s">
        <v>2688</v>
      </c>
      <c r="Y472" t="s">
        <v>2688</v>
      </c>
      <c r="Z472" t="s">
        <v>2689</v>
      </c>
      <c r="AA472" t="s">
        <v>2689</v>
      </c>
      <c r="AB472" t="s">
        <v>7033</v>
      </c>
      <c r="AD472" t="s">
        <v>7034</v>
      </c>
      <c r="AE472" t="s">
        <v>7035</v>
      </c>
      <c r="AH472" t="s">
        <v>3445</v>
      </c>
      <c r="AJ472" t="s">
        <v>3771</v>
      </c>
    </row>
    <row r="473" spans="1:36" ht="72.900000000000006" x14ac:dyDescent="0.4">
      <c r="A473" t="s">
        <v>2022</v>
      </c>
      <c r="B473" t="s">
        <v>7036</v>
      </c>
      <c r="C473" t="s">
        <v>1411</v>
      </c>
      <c r="D473" t="s">
        <v>7037</v>
      </c>
      <c r="E473" t="s">
        <v>2679</v>
      </c>
      <c r="F473" t="s">
        <v>7038</v>
      </c>
      <c r="G473">
        <v>36.8466787041</v>
      </c>
      <c r="H473">
        <v>-96.429416276599994</v>
      </c>
      <c r="I473" t="s">
        <v>1411</v>
      </c>
      <c r="J473" t="s">
        <v>2457</v>
      </c>
      <c r="K473" t="s">
        <v>2007</v>
      </c>
      <c r="L473" t="s">
        <v>2459</v>
      </c>
      <c r="M473">
        <v>127</v>
      </c>
      <c r="N473" t="s">
        <v>3438</v>
      </c>
      <c r="O473" t="s">
        <v>2022</v>
      </c>
      <c r="P473" s="1">
        <v>44737</v>
      </c>
      <c r="Q473">
        <v>82.2</v>
      </c>
      <c r="R473">
        <v>30</v>
      </c>
      <c r="S473" t="s">
        <v>3427</v>
      </c>
      <c r="T473" t="s">
        <v>2689</v>
      </c>
      <c r="U473" s="10" t="s">
        <v>7039</v>
      </c>
      <c r="V473" t="s">
        <v>7040</v>
      </c>
      <c r="W473" t="s">
        <v>7041</v>
      </c>
      <c r="X473" t="s">
        <v>2688</v>
      </c>
      <c r="Y473" t="s">
        <v>2688</v>
      </c>
      <c r="Z473" t="s">
        <v>2689</v>
      </c>
      <c r="AA473" t="s">
        <v>2689</v>
      </c>
      <c r="AB473" t="s">
        <v>7042</v>
      </c>
      <c r="AD473" t="s">
        <v>7043</v>
      </c>
      <c r="AE473" t="s">
        <v>7044</v>
      </c>
      <c r="AH473" t="s">
        <v>3445</v>
      </c>
      <c r="AJ473" t="s">
        <v>5600</v>
      </c>
    </row>
    <row r="474" spans="1:36" x14ac:dyDescent="0.4">
      <c r="A474" t="s">
        <v>2037</v>
      </c>
      <c r="B474" t="s">
        <v>7045</v>
      </c>
      <c r="C474" t="s">
        <v>3713</v>
      </c>
      <c r="D474" t="s">
        <v>7046</v>
      </c>
      <c r="E474" t="s">
        <v>2679</v>
      </c>
      <c r="F474" t="s">
        <v>7047</v>
      </c>
      <c r="G474">
        <v>36.8552689813</v>
      </c>
      <c r="H474">
        <v>-96.4231565037</v>
      </c>
      <c r="I474" t="s">
        <v>3713</v>
      </c>
      <c r="J474" t="s">
        <v>2457</v>
      </c>
      <c r="K474" t="s">
        <v>2007</v>
      </c>
      <c r="L474" t="s">
        <v>2459</v>
      </c>
      <c r="M474">
        <v>132</v>
      </c>
      <c r="N474" t="s">
        <v>3438</v>
      </c>
      <c r="O474" t="s">
        <v>2037</v>
      </c>
      <c r="P474" s="1">
        <v>44737</v>
      </c>
      <c r="Q474">
        <v>33</v>
      </c>
      <c r="R474">
        <v>12</v>
      </c>
      <c r="S474" t="s">
        <v>3464</v>
      </c>
      <c r="T474" t="s">
        <v>2689</v>
      </c>
      <c r="U474" t="s">
        <v>7048</v>
      </c>
      <c r="V474" t="s">
        <v>7049</v>
      </c>
      <c r="W474" t="s">
        <v>7050</v>
      </c>
      <c r="X474" t="s">
        <v>2688</v>
      </c>
      <c r="Y474" t="s">
        <v>2688</v>
      </c>
      <c r="Z474" t="s">
        <v>2689</v>
      </c>
      <c r="AA474" t="s">
        <v>2689</v>
      </c>
      <c r="AB474" t="s">
        <v>7051</v>
      </c>
      <c r="AD474" t="s">
        <v>7052</v>
      </c>
      <c r="AE474" t="s">
        <v>7053</v>
      </c>
      <c r="AH474" t="s">
        <v>3445</v>
      </c>
    </row>
    <row r="475" spans="1:36" ht="72.900000000000006" x14ac:dyDescent="0.4">
      <c r="A475" t="s">
        <v>2043</v>
      </c>
      <c r="B475" t="s">
        <v>7054</v>
      </c>
      <c r="C475" t="s">
        <v>3594</v>
      </c>
      <c r="D475" t="s">
        <v>7055</v>
      </c>
      <c r="E475" t="s">
        <v>2679</v>
      </c>
      <c r="F475" t="s">
        <v>7056</v>
      </c>
      <c r="G475">
        <v>36.845894660799999</v>
      </c>
      <c r="H475">
        <v>-96.428982596899999</v>
      </c>
      <c r="I475" t="s">
        <v>3594</v>
      </c>
      <c r="J475" t="s">
        <v>2457</v>
      </c>
      <c r="K475" t="s">
        <v>2007</v>
      </c>
      <c r="L475" t="s">
        <v>2459</v>
      </c>
      <c r="M475">
        <v>134</v>
      </c>
      <c r="N475" t="s">
        <v>3438</v>
      </c>
      <c r="O475" t="s">
        <v>2043</v>
      </c>
      <c r="P475" s="1">
        <v>44737</v>
      </c>
      <c r="Q475">
        <v>60.4</v>
      </c>
      <c r="R475">
        <v>22</v>
      </c>
      <c r="S475" t="s">
        <v>3464</v>
      </c>
      <c r="T475" t="s">
        <v>2689</v>
      </c>
      <c r="U475" s="10" t="s">
        <v>7057</v>
      </c>
      <c r="V475" t="s">
        <v>7058</v>
      </c>
      <c r="W475" t="s">
        <v>7059</v>
      </c>
      <c r="X475" t="s">
        <v>2688</v>
      </c>
      <c r="Y475" t="s">
        <v>2688</v>
      </c>
      <c r="Z475" t="s">
        <v>2689</v>
      </c>
      <c r="AA475" t="s">
        <v>2689</v>
      </c>
      <c r="AB475" s="9" t="s">
        <v>7060</v>
      </c>
      <c r="AD475" t="s">
        <v>7061</v>
      </c>
      <c r="AE475" t="s">
        <v>7062</v>
      </c>
      <c r="AH475" t="s">
        <v>3445</v>
      </c>
      <c r="AJ475" t="s">
        <v>3657</v>
      </c>
    </row>
    <row r="476" spans="1:36" x14ac:dyDescent="0.4">
      <c r="A476" t="s">
        <v>1999</v>
      </c>
      <c r="B476" t="s">
        <v>7063</v>
      </c>
      <c r="C476" t="s">
        <v>1411</v>
      </c>
      <c r="D476" t="s">
        <v>7064</v>
      </c>
      <c r="E476" t="s">
        <v>2679</v>
      </c>
      <c r="F476" t="s">
        <v>7065</v>
      </c>
      <c r="G476">
        <v>35.457293721900001</v>
      </c>
      <c r="H476">
        <v>-98.352469364300006</v>
      </c>
      <c r="I476" t="s">
        <v>1411</v>
      </c>
      <c r="J476" t="s">
        <v>2457</v>
      </c>
      <c r="K476" t="s">
        <v>4981</v>
      </c>
      <c r="L476" t="s">
        <v>2458</v>
      </c>
      <c r="M476">
        <v>120</v>
      </c>
      <c r="N476" t="s">
        <v>3438</v>
      </c>
      <c r="O476" t="s">
        <v>1999</v>
      </c>
      <c r="P476" s="1">
        <v>44736</v>
      </c>
      <c r="Q476">
        <v>34.700000000000003</v>
      </c>
      <c r="R476">
        <v>25</v>
      </c>
      <c r="S476" t="s">
        <v>3427</v>
      </c>
      <c r="T476" t="s">
        <v>2689</v>
      </c>
      <c r="U476" t="s">
        <v>7066</v>
      </c>
      <c r="V476" t="s">
        <v>7067</v>
      </c>
      <c r="W476" t="s">
        <v>7068</v>
      </c>
      <c r="X476" t="s">
        <v>2688</v>
      </c>
      <c r="Y476" t="s">
        <v>2688</v>
      </c>
      <c r="Z476" t="s">
        <v>2689</v>
      </c>
      <c r="AA476" t="s">
        <v>2689</v>
      </c>
      <c r="AB476" t="s">
        <v>7069</v>
      </c>
      <c r="AD476" t="s">
        <v>7070</v>
      </c>
      <c r="AE476" t="s">
        <v>7071</v>
      </c>
      <c r="AG476" t="s">
        <v>7072</v>
      </c>
      <c r="AH476" t="s">
        <v>3445</v>
      </c>
      <c r="AJ476" t="s">
        <v>7073</v>
      </c>
    </row>
    <row r="477" spans="1:36" ht="116.6" x14ac:dyDescent="0.4">
      <c r="A477" t="s">
        <v>2019</v>
      </c>
      <c r="B477" t="s">
        <v>7074</v>
      </c>
      <c r="C477" t="s">
        <v>1411</v>
      </c>
      <c r="D477" t="s">
        <v>7075</v>
      </c>
      <c r="E477" t="s">
        <v>2679</v>
      </c>
      <c r="F477" t="s">
        <v>7076</v>
      </c>
      <c r="G477">
        <v>36.8458741281</v>
      </c>
      <c r="H477">
        <v>-96.428680275299996</v>
      </c>
      <c r="I477" t="s">
        <v>1411</v>
      </c>
      <c r="J477" t="s">
        <v>2457</v>
      </c>
      <c r="K477" t="s">
        <v>2007</v>
      </c>
      <c r="L477" t="s">
        <v>2459</v>
      </c>
      <c r="M477">
        <v>126</v>
      </c>
      <c r="N477" t="s">
        <v>3438</v>
      </c>
      <c r="O477" t="s">
        <v>2019</v>
      </c>
      <c r="P477" s="1">
        <v>44737</v>
      </c>
      <c r="Q477">
        <v>25.4</v>
      </c>
      <c r="R477">
        <v>17</v>
      </c>
      <c r="S477" t="s">
        <v>3427</v>
      </c>
      <c r="T477" t="s">
        <v>2689</v>
      </c>
      <c r="U477" s="10" t="s">
        <v>7077</v>
      </c>
      <c r="V477" t="s">
        <v>7078</v>
      </c>
      <c r="W477" t="s">
        <v>7079</v>
      </c>
      <c r="X477" t="s">
        <v>2688</v>
      </c>
      <c r="Y477" t="s">
        <v>2688</v>
      </c>
      <c r="Z477" t="s">
        <v>2747</v>
      </c>
      <c r="AA477" t="s">
        <v>2689</v>
      </c>
      <c r="AB477" t="s">
        <v>7080</v>
      </c>
      <c r="AD477" t="s">
        <v>7081</v>
      </c>
      <c r="AE477" t="s">
        <v>7082</v>
      </c>
      <c r="AG477" t="s">
        <v>7083</v>
      </c>
      <c r="AH477" t="s">
        <v>3445</v>
      </c>
      <c r="AJ477" t="s">
        <v>7084</v>
      </c>
    </row>
    <row r="478" spans="1:36" x14ac:dyDescent="0.4">
      <c r="A478" t="s">
        <v>2010</v>
      </c>
      <c r="B478" t="s">
        <v>7085</v>
      </c>
      <c r="C478" t="s">
        <v>1411</v>
      </c>
      <c r="D478" t="s">
        <v>7086</v>
      </c>
      <c r="E478" t="s">
        <v>2679</v>
      </c>
      <c r="F478" t="s">
        <v>7087</v>
      </c>
      <c r="G478">
        <v>36.845570619999997</v>
      </c>
      <c r="H478">
        <v>-96.426456959999996</v>
      </c>
      <c r="I478" t="s">
        <v>1411</v>
      </c>
      <c r="J478" t="s">
        <v>2457</v>
      </c>
      <c r="K478" t="s">
        <v>2007</v>
      </c>
      <c r="L478" t="s">
        <v>2459</v>
      </c>
      <c r="M478">
        <v>123</v>
      </c>
      <c r="N478" t="s">
        <v>3438</v>
      </c>
      <c r="O478" t="s">
        <v>2010</v>
      </c>
      <c r="P478" s="1">
        <v>44737</v>
      </c>
      <c r="Q478">
        <v>86.9</v>
      </c>
      <c r="R478">
        <v>23</v>
      </c>
      <c r="S478" t="s">
        <v>3464</v>
      </c>
      <c r="T478" t="s">
        <v>2689</v>
      </c>
      <c r="U478" t="s">
        <v>7088</v>
      </c>
      <c r="V478" t="s">
        <v>7089</v>
      </c>
      <c r="W478" t="s">
        <v>7090</v>
      </c>
      <c r="X478" t="s">
        <v>2688</v>
      </c>
      <c r="Y478" t="s">
        <v>2688</v>
      </c>
      <c r="Z478" t="s">
        <v>2689</v>
      </c>
      <c r="AA478" t="s">
        <v>2689</v>
      </c>
      <c r="AB478" t="s">
        <v>7091</v>
      </c>
      <c r="AD478" t="s">
        <v>7092</v>
      </c>
      <c r="AE478" t="s">
        <v>7093</v>
      </c>
      <c r="AH478" t="s">
        <v>3445</v>
      </c>
      <c r="AJ478" t="s">
        <v>7073</v>
      </c>
    </row>
    <row r="479" spans="1:36" ht="131.15" x14ac:dyDescent="0.4">
      <c r="A479" t="s">
        <v>1963</v>
      </c>
      <c r="B479" t="s">
        <v>7094</v>
      </c>
      <c r="C479" t="s">
        <v>3594</v>
      </c>
      <c r="D479" t="s">
        <v>7095</v>
      </c>
      <c r="E479" t="s">
        <v>2679</v>
      </c>
      <c r="F479" t="s">
        <v>7096</v>
      </c>
      <c r="G479">
        <v>35.4353223572</v>
      </c>
      <c r="H479">
        <v>-98.354035973799995</v>
      </c>
      <c r="I479" t="s">
        <v>3594</v>
      </c>
      <c r="J479" t="s">
        <v>2457</v>
      </c>
      <c r="K479" t="s">
        <v>4981</v>
      </c>
      <c r="L479" t="s">
        <v>2458</v>
      </c>
      <c r="M479">
        <v>108</v>
      </c>
      <c r="N479" t="s">
        <v>3438</v>
      </c>
      <c r="O479" t="s">
        <v>1963</v>
      </c>
      <c r="P479" s="1">
        <v>44736</v>
      </c>
      <c r="Q479">
        <v>68</v>
      </c>
      <c r="R479">
        <v>24</v>
      </c>
      <c r="S479" t="s">
        <v>3464</v>
      </c>
      <c r="T479" t="s">
        <v>2689</v>
      </c>
      <c r="U479" s="10" t="s">
        <v>7097</v>
      </c>
      <c r="V479" t="s">
        <v>7098</v>
      </c>
      <c r="W479" t="s">
        <v>7099</v>
      </c>
      <c r="X479" t="s">
        <v>2688</v>
      </c>
      <c r="Y479" t="s">
        <v>2688</v>
      </c>
      <c r="Z479" t="s">
        <v>2689</v>
      </c>
      <c r="AA479" t="s">
        <v>2689</v>
      </c>
      <c r="AB479" t="s">
        <v>7100</v>
      </c>
      <c r="AD479" t="s">
        <v>7101</v>
      </c>
      <c r="AE479" t="s">
        <v>7102</v>
      </c>
      <c r="AH479" t="s">
        <v>3445</v>
      </c>
      <c r="AJ479" t="s">
        <v>7103</v>
      </c>
    </row>
    <row r="480" spans="1:36" ht="131.15" x14ac:dyDescent="0.4">
      <c r="A480" t="s">
        <v>1960</v>
      </c>
      <c r="B480" t="s">
        <v>7104</v>
      </c>
      <c r="C480" t="s">
        <v>3713</v>
      </c>
      <c r="D480" t="s">
        <v>7105</v>
      </c>
      <c r="E480" t="s">
        <v>2679</v>
      </c>
      <c r="F480" t="s">
        <v>7106</v>
      </c>
      <c r="G480">
        <v>35.435779304299999</v>
      </c>
      <c r="H480">
        <v>-98.355416106199996</v>
      </c>
      <c r="I480" t="s">
        <v>3713</v>
      </c>
      <c r="J480" t="s">
        <v>2457</v>
      </c>
      <c r="K480" t="s">
        <v>4981</v>
      </c>
      <c r="L480" t="s">
        <v>2458</v>
      </c>
      <c r="M480">
        <v>107</v>
      </c>
      <c r="N480" t="s">
        <v>3438</v>
      </c>
      <c r="O480" t="s">
        <v>1960</v>
      </c>
      <c r="P480" s="1">
        <v>44736</v>
      </c>
      <c r="Q480">
        <v>46.9</v>
      </c>
      <c r="R480">
        <v>18</v>
      </c>
      <c r="S480" t="s">
        <v>3518</v>
      </c>
      <c r="T480" t="s">
        <v>2689</v>
      </c>
      <c r="U480" s="10" t="s">
        <v>7107</v>
      </c>
      <c r="V480" t="s">
        <v>7108</v>
      </c>
      <c r="W480" t="s">
        <v>5246</v>
      </c>
      <c r="X480" t="s">
        <v>2688</v>
      </c>
      <c r="Y480" t="s">
        <v>2688</v>
      </c>
      <c r="Z480" t="s">
        <v>2689</v>
      </c>
      <c r="AA480" t="s">
        <v>2689</v>
      </c>
      <c r="AB480" t="s">
        <v>7109</v>
      </c>
      <c r="AD480" t="s">
        <v>7110</v>
      </c>
      <c r="AE480" s="9" t="s">
        <v>7111</v>
      </c>
      <c r="AH480" t="s">
        <v>3445</v>
      </c>
      <c r="AJ480" t="s">
        <v>3657</v>
      </c>
    </row>
    <row r="481" spans="1:36" ht="102" x14ac:dyDescent="0.4">
      <c r="A481" t="s">
        <v>1993</v>
      </c>
      <c r="B481" t="s">
        <v>7112</v>
      </c>
      <c r="C481" t="s">
        <v>1411</v>
      </c>
      <c r="D481" t="s">
        <v>7113</v>
      </c>
      <c r="E481" t="s">
        <v>2679</v>
      </c>
      <c r="F481" t="s">
        <v>7114</v>
      </c>
      <c r="G481">
        <v>35.456729619800001</v>
      </c>
      <c r="H481">
        <v>-98.354410361600003</v>
      </c>
      <c r="I481" t="s">
        <v>1411</v>
      </c>
      <c r="J481" t="s">
        <v>2457</v>
      </c>
      <c r="K481" t="s">
        <v>4981</v>
      </c>
      <c r="L481" t="s">
        <v>2458</v>
      </c>
      <c r="M481">
        <v>118</v>
      </c>
      <c r="N481" t="s">
        <v>3438</v>
      </c>
      <c r="O481" t="s">
        <v>1993</v>
      </c>
      <c r="P481" s="1">
        <v>44736</v>
      </c>
      <c r="Q481">
        <v>11.5</v>
      </c>
      <c r="R481">
        <v>10</v>
      </c>
      <c r="S481" t="s">
        <v>3427</v>
      </c>
      <c r="T481" t="s">
        <v>2689</v>
      </c>
      <c r="U481" s="10" t="s">
        <v>7115</v>
      </c>
      <c r="V481" t="s">
        <v>7116</v>
      </c>
      <c r="W481" t="s">
        <v>7117</v>
      </c>
      <c r="X481" t="s">
        <v>2688</v>
      </c>
      <c r="Y481" t="s">
        <v>2688</v>
      </c>
      <c r="Z481" t="s">
        <v>2689</v>
      </c>
      <c r="AA481" t="s">
        <v>2689</v>
      </c>
      <c r="AB481" t="s">
        <v>7118</v>
      </c>
      <c r="AD481" t="s">
        <v>7119</v>
      </c>
      <c r="AE481" t="s">
        <v>7120</v>
      </c>
      <c r="AH481" t="s">
        <v>3445</v>
      </c>
    </row>
    <row r="482" spans="1:36" ht="409.6" x14ac:dyDescent="0.4">
      <c r="A482" t="s">
        <v>1972</v>
      </c>
      <c r="B482" s="9" t="s">
        <v>7121</v>
      </c>
      <c r="C482" t="s">
        <v>4978</v>
      </c>
      <c r="D482" t="s">
        <v>7122</v>
      </c>
      <c r="E482" t="s">
        <v>2679</v>
      </c>
      <c r="F482" t="s">
        <v>7123</v>
      </c>
      <c r="G482">
        <v>35.435963329000003</v>
      </c>
      <c r="H482">
        <v>-98.353500841300004</v>
      </c>
      <c r="I482" t="s">
        <v>4978</v>
      </c>
      <c r="J482" t="s">
        <v>2457</v>
      </c>
      <c r="K482" t="s">
        <v>4981</v>
      </c>
      <c r="L482" t="s">
        <v>2458</v>
      </c>
      <c r="M482">
        <v>111</v>
      </c>
      <c r="N482" t="s">
        <v>3438</v>
      </c>
      <c r="O482" t="s">
        <v>1972</v>
      </c>
      <c r="P482" s="1">
        <v>44736</v>
      </c>
      <c r="Q482">
        <v>4.9000000000000004</v>
      </c>
      <c r="R482">
        <v>2</v>
      </c>
      <c r="S482" t="s">
        <v>3464</v>
      </c>
      <c r="T482" t="s">
        <v>2689</v>
      </c>
      <c r="U482" s="10" t="s">
        <v>7124</v>
      </c>
      <c r="V482" t="s">
        <v>7125</v>
      </c>
      <c r="W482" t="s">
        <v>7126</v>
      </c>
      <c r="X482" t="s">
        <v>2688</v>
      </c>
      <c r="Y482" t="s">
        <v>2688</v>
      </c>
      <c r="Z482" t="s">
        <v>2689</v>
      </c>
      <c r="AA482" t="s">
        <v>2689</v>
      </c>
      <c r="AB482" t="s">
        <v>7127</v>
      </c>
      <c r="AD482" t="s">
        <v>7128</v>
      </c>
      <c r="AE482" t="s">
        <v>7129</v>
      </c>
      <c r="AH482" t="s">
        <v>3445</v>
      </c>
      <c r="AJ482" s="10" t="s">
        <v>7130</v>
      </c>
    </row>
    <row r="483" spans="1:36" ht="72.900000000000006" x14ac:dyDescent="0.4">
      <c r="A483" t="s">
        <v>1969</v>
      </c>
      <c r="B483" t="s">
        <v>7131</v>
      </c>
      <c r="C483" t="s">
        <v>4978</v>
      </c>
      <c r="D483" t="s">
        <v>7132</v>
      </c>
      <c r="E483" t="s">
        <v>2679</v>
      </c>
      <c r="F483" t="s">
        <v>7133</v>
      </c>
      <c r="G483">
        <v>35.435280161900003</v>
      </c>
      <c r="H483">
        <v>-98.353939214799993</v>
      </c>
      <c r="I483" t="s">
        <v>4978</v>
      </c>
      <c r="J483" t="s">
        <v>2457</v>
      </c>
      <c r="K483" t="s">
        <v>4981</v>
      </c>
      <c r="L483" t="s">
        <v>2458</v>
      </c>
      <c r="M483">
        <v>110</v>
      </c>
      <c r="N483" t="s">
        <v>3438</v>
      </c>
      <c r="O483" t="s">
        <v>1969</v>
      </c>
      <c r="P483" s="1">
        <v>44736</v>
      </c>
      <c r="Q483">
        <v>6.9</v>
      </c>
      <c r="R483">
        <v>3</v>
      </c>
      <c r="S483" t="s">
        <v>3464</v>
      </c>
      <c r="T483" t="s">
        <v>2689</v>
      </c>
      <c r="U483" s="10" t="s">
        <v>7134</v>
      </c>
      <c r="V483" t="s">
        <v>7135</v>
      </c>
      <c r="W483" t="s">
        <v>7136</v>
      </c>
      <c r="X483" t="s">
        <v>2688</v>
      </c>
      <c r="Y483" t="s">
        <v>2688</v>
      </c>
      <c r="Z483" t="s">
        <v>2689</v>
      </c>
      <c r="AA483" t="s">
        <v>2689</v>
      </c>
      <c r="AB483" t="s">
        <v>7137</v>
      </c>
      <c r="AD483" t="s">
        <v>7138</v>
      </c>
      <c r="AE483" t="s">
        <v>7139</v>
      </c>
      <c r="AH483" t="s">
        <v>3445</v>
      </c>
      <c r="AJ483" t="s">
        <v>7140</v>
      </c>
    </row>
    <row r="484" spans="1:36" ht="72.900000000000006" x14ac:dyDescent="0.4">
      <c r="A484" t="s">
        <v>1990</v>
      </c>
      <c r="B484" t="s">
        <v>7141</v>
      </c>
      <c r="C484" t="s">
        <v>1411</v>
      </c>
      <c r="D484" t="s">
        <v>7142</v>
      </c>
      <c r="E484" t="s">
        <v>2679</v>
      </c>
      <c r="F484" t="s">
        <v>7143</v>
      </c>
      <c r="G484">
        <v>35.450217509700003</v>
      </c>
      <c r="H484">
        <v>-98.352778572700004</v>
      </c>
      <c r="I484" t="s">
        <v>1411</v>
      </c>
      <c r="J484" t="s">
        <v>2457</v>
      </c>
      <c r="K484" t="s">
        <v>4981</v>
      </c>
      <c r="L484" t="s">
        <v>2458</v>
      </c>
      <c r="M484">
        <v>117</v>
      </c>
      <c r="N484" t="s">
        <v>3438</v>
      </c>
      <c r="O484" t="s">
        <v>1990</v>
      </c>
      <c r="P484" s="1">
        <v>44736</v>
      </c>
      <c r="Q484">
        <v>30.6</v>
      </c>
      <c r="R484">
        <v>24</v>
      </c>
      <c r="S484" t="s">
        <v>3464</v>
      </c>
      <c r="T484" t="s">
        <v>2689</v>
      </c>
      <c r="U484" s="10" t="s">
        <v>7144</v>
      </c>
      <c r="V484" t="s">
        <v>7145</v>
      </c>
      <c r="W484" t="s">
        <v>7146</v>
      </c>
      <c r="X484" t="s">
        <v>2688</v>
      </c>
      <c r="Y484" t="s">
        <v>2688</v>
      </c>
      <c r="Z484" t="s">
        <v>2689</v>
      </c>
      <c r="AA484" t="s">
        <v>2689</v>
      </c>
      <c r="AB484" t="s">
        <v>7147</v>
      </c>
      <c r="AD484" t="s">
        <v>7148</v>
      </c>
      <c r="AE484" t="s">
        <v>7149</v>
      </c>
      <c r="AH484" t="s">
        <v>3445</v>
      </c>
    </row>
    <row r="485" spans="1:36" ht="131.15" x14ac:dyDescent="0.4">
      <c r="A485" t="s">
        <v>1996</v>
      </c>
      <c r="B485" t="s">
        <v>7150</v>
      </c>
      <c r="C485" t="s">
        <v>1411</v>
      </c>
      <c r="D485" t="s">
        <v>7151</v>
      </c>
      <c r="E485" t="s">
        <v>2679</v>
      </c>
      <c r="F485" t="s">
        <v>7152</v>
      </c>
      <c r="G485">
        <v>35.457398327999996</v>
      </c>
      <c r="H485">
        <v>-98.353754729100004</v>
      </c>
      <c r="I485" t="s">
        <v>1411</v>
      </c>
      <c r="J485" t="s">
        <v>2457</v>
      </c>
      <c r="K485" t="s">
        <v>4981</v>
      </c>
      <c r="L485" t="s">
        <v>2458</v>
      </c>
      <c r="M485">
        <v>119</v>
      </c>
      <c r="N485" t="s">
        <v>3438</v>
      </c>
      <c r="O485" t="s">
        <v>1996</v>
      </c>
      <c r="P485" s="1">
        <v>44736</v>
      </c>
      <c r="Q485">
        <v>54.5</v>
      </c>
      <c r="R485">
        <v>26</v>
      </c>
      <c r="S485" t="s">
        <v>3427</v>
      </c>
      <c r="T485" t="s">
        <v>2689</v>
      </c>
      <c r="U485" s="10" t="s">
        <v>7153</v>
      </c>
      <c r="V485" t="s">
        <v>7154</v>
      </c>
      <c r="W485" t="s">
        <v>7155</v>
      </c>
      <c r="X485" t="s">
        <v>2688</v>
      </c>
      <c r="Y485" t="s">
        <v>2688</v>
      </c>
      <c r="Z485" t="s">
        <v>2689</v>
      </c>
      <c r="AA485" t="s">
        <v>2689</v>
      </c>
      <c r="AB485" t="s">
        <v>7156</v>
      </c>
      <c r="AD485" t="s">
        <v>7157</v>
      </c>
      <c r="AE485" t="s">
        <v>7158</v>
      </c>
      <c r="AG485" t="s">
        <v>7159</v>
      </c>
      <c r="AH485" t="s">
        <v>3445</v>
      </c>
      <c r="AJ485" t="s">
        <v>3771</v>
      </c>
    </row>
    <row r="486" spans="1:36" x14ac:dyDescent="0.4">
      <c r="A486" t="s">
        <v>1981</v>
      </c>
      <c r="B486" t="s">
        <v>7160</v>
      </c>
      <c r="C486" t="s">
        <v>3594</v>
      </c>
      <c r="D486" t="s">
        <v>7161</v>
      </c>
      <c r="E486" t="s">
        <v>2679</v>
      </c>
      <c r="F486" t="s">
        <v>7162</v>
      </c>
      <c r="G486">
        <v>35.436551151800003</v>
      </c>
      <c r="H486">
        <v>-98.353543421300003</v>
      </c>
      <c r="I486" t="s">
        <v>3594</v>
      </c>
      <c r="J486" t="s">
        <v>2457</v>
      </c>
      <c r="K486" t="s">
        <v>4981</v>
      </c>
      <c r="L486" t="s">
        <v>2458</v>
      </c>
      <c r="M486">
        <v>114</v>
      </c>
      <c r="N486" t="s">
        <v>3438</v>
      </c>
      <c r="O486" t="s">
        <v>1981</v>
      </c>
      <c r="P486" s="1">
        <v>44736</v>
      </c>
      <c r="Q486">
        <v>5.5</v>
      </c>
      <c r="R486">
        <v>7</v>
      </c>
      <c r="S486" t="s">
        <v>3464</v>
      </c>
      <c r="T486" t="s">
        <v>2689</v>
      </c>
      <c r="U486" t="s">
        <v>7163</v>
      </c>
      <c r="V486" t="s">
        <v>7164</v>
      </c>
      <c r="W486" t="s">
        <v>4984</v>
      </c>
      <c r="X486" t="s">
        <v>2688</v>
      </c>
      <c r="Y486" t="s">
        <v>2688</v>
      </c>
      <c r="Z486" t="s">
        <v>2689</v>
      </c>
      <c r="AA486" t="s">
        <v>2689</v>
      </c>
      <c r="AB486" t="s">
        <v>7165</v>
      </c>
      <c r="AD486" t="s">
        <v>7166</v>
      </c>
      <c r="AE486" t="s">
        <v>7167</v>
      </c>
      <c r="AH486" t="s">
        <v>3445</v>
      </c>
    </row>
    <row r="487" spans="1:36" ht="87.45" x14ac:dyDescent="0.4">
      <c r="A487" t="s">
        <v>1966</v>
      </c>
      <c r="B487" t="s">
        <v>7168</v>
      </c>
      <c r="C487" t="s">
        <v>1411</v>
      </c>
      <c r="D487" t="s">
        <v>7169</v>
      </c>
      <c r="E487" t="s">
        <v>2679</v>
      </c>
      <c r="F487" t="s">
        <v>7170</v>
      </c>
      <c r="G487">
        <v>35.435357116900001</v>
      </c>
      <c r="H487">
        <v>-98.354053610799994</v>
      </c>
      <c r="I487" t="s">
        <v>1411</v>
      </c>
      <c r="J487" t="s">
        <v>2457</v>
      </c>
      <c r="K487" t="s">
        <v>4981</v>
      </c>
      <c r="L487" t="s">
        <v>2458</v>
      </c>
      <c r="M487">
        <v>109</v>
      </c>
      <c r="N487" t="s">
        <v>3438</v>
      </c>
      <c r="O487" t="s">
        <v>1966</v>
      </c>
      <c r="P487" s="1">
        <v>44736</v>
      </c>
      <c r="Q487">
        <v>61.8</v>
      </c>
      <c r="R487">
        <v>25</v>
      </c>
      <c r="S487" t="s">
        <v>3427</v>
      </c>
      <c r="T487" t="s">
        <v>2689</v>
      </c>
      <c r="U487" s="10" t="s">
        <v>7171</v>
      </c>
      <c r="V487" t="s">
        <v>7172</v>
      </c>
      <c r="W487" t="s">
        <v>7173</v>
      </c>
      <c r="X487" t="s">
        <v>2688</v>
      </c>
      <c r="Y487" t="s">
        <v>2688</v>
      </c>
      <c r="Z487" t="s">
        <v>2689</v>
      </c>
      <c r="AA487" t="s">
        <v>2689</v>
      </c>
      <c r="AB487" s="9" t="s">
        <v>7174</v>
      </c>
      <c r="AD487" t="s">
        <v>7175</v>
      </c>
      <c r="AE487" t="s">
        <v>7176</v>
      </c>
      <c r="AH487" t="s">
        <v>3445</v>
      </c>
      <c r="AJ487" t="s">
        <v>7177</v>
      </c>
    </row>
    <row r="488" spans="1:36" ht="102" x14ac:dyDescent="0.4">
      <c r="A488" t="s">
        <v>1987</v>
      </c>
      <c r="B488" t="s">
        <v>7178</v>
      </c>
      <c r="C488" t="s">
        <v>3594</v>
      </c>
      <c r="D488" t="s">
        <v>7179</v>
      </c>
      <c r="E488" t="s">
        <v>2679</v>
      </c>
      <c r="F488" t="s">
        <v>7180</v>
      </c>
      <c r="G488">
        <v>35.445590615299999</v>
      </c>
      <c r="H488">
        <v>-98.352992646499999</v>
      </c>
      <c r="I488" t="s">
        <v>3594</v>
      </c>
      <c r="J488" t="s">
        <v>2457</v>
      </c>
      <c r="K488" t="s">
        <v>4981</v>
      </c>
      <c r="L488" t="s">
        <v>2458</v>
      </c>
      <c r="M488">
        <v>116</v>
      </c>
      <c r="N488" t="s">
        <v>3438</v>
      </c>
      <c r="O488" t="s">
        <v>1987</v>
      </c>
      <c r="P488" s="1">
        <v>44736</v>
      </c>
      <c r="Q488">
        <v>21.7</v>
      </c>
      <c r="R488">
        <v>7</v>
      </c>
      <c r="S488" t="s">
        <v>3464</v>
      </c>
      <c r="T488" t="s">
        <v>2689</v>
      </c>
      <c r="U488" s="10" t="s">
        <v>7181</v>
      </c>
      <c r="V488" t="s">
        <v>7182</v>
      </c>
      <c r="W488" t="s">
        <v>7183</v>
      </c>
      <c r="X488" t="s">
        <v>2688</v>
      </c>
      <c r="Y488" t="s">
        <v>2688</v>
      </c>
      <c r="Z488" t="s">
        <v>2689</v>
      </c>
      <c r="AA488" t="s">
        <v>2689</v>
      </c>
      <c r="AB488" t="s">
        <v>7184</v>
      </c>
      <c r="AD488" t="s">
        <v>7185</v>
      </c>
      <c r="AE488" t="s">
        <v>7186</v>
      </c>
      <c r="AG488" t="s">
        <v>7187</v>
      </c>
      <c r="AH488" t="s">
        <v>3445</v>
      </c>
    </row>
    <row r="489" spans="1:36" ht="145.75" x14ac:dyDescent="0.4">
      <c r="A489" t="s">
        <v>1984</v>
      </c>
      <c r="B489" t="s">
        <v>7188</v>
      </c>
      <c r="C489" t="s">
        <v>3594</v>
      </c>
      <c r="D489" t="s">
        <v>7189</v>
      </c>
      <c r="E489" t="s">
        <v>2679</v>
      </c>
      <c r="F489" t="s">
        <v>7190</v>
      </c>
      <c r="G489">
        <v>35.436082561500001</v>
      </c>
      <c r="H489">
        <v>-98.353718016399995</v>
      </c>
      <c r="I489" t="s">
        <v>3594</v>
      </c>
      <c r="J489" t="s">
        <v>2457</v>
      </c>
      <c r="K489" t="s">
        <v>4981</v>
      </c>
      <c r="L489" t="s">
        <v>2458</v>
      </c>
      <c r="M489">
        <v>115</v>
      </c>
      <c r="N489" t="s">
        <v>3438</v>
      </c>
      <c r="O489" t="s">
        <v>1984</v>
      </c>
      <c r="P489" s="1">
        <v>44736</v>
      </c>
      <c r="Q489">
        <v>10.3</v>
      </c>
      <c r="R489">
        <v>12</v>
      </c>
      <c r="S489" t="s">
        <v>3427</v>
      </c>
      <c r="T489" t="s">
        <v>2689</v>
      </c>
      <c r="U489" s="10" t="s">
        <v>7191</v>
      </c>
      <c r="V489" t="s">
        <v>7192</v>
      </c>
      <c r="W489" t="s">
        <v>7193</v>
      </c>
      <c r="X489" t="s">
        <v>2688</v>
      </c>
      <c r="Y489" t="s">
        <v>2688</v>
      </c>
      <c r="Z489" t="s">
        <v>2689</v>
      </c>
      <c r="AA489" t="s">
        <v>2689</v>
      </c>
      <c r="AB489" t="s">
        <v>7194</v>
      </c>
      <c r="AD489" t="s">
        <v>7195</v>
      </c>
      <c r="AE489" t="s">
        <v>7196</v>
      </c>
      <c r="AH489" t="s">
        <v>3445</v>
      </c>
    </row>
    <row r="490" spans="1:36" x14ac:dyDescent="0.4">
      <c r="A490" t="s">
        <v>1975</v>
      </c>
      <c r="B490" t="s">
        <v>7197</v>
      </c>
      <c r="C490" t="s">
        <v>3713</v>
      </c>
      <c r="D490" t="s">
        <v>7198</v>
      </c>
      <c r="E490" t="s">
        <v>2679</v>
      </c>
      <c r="F490" t="s">
        <v>7199</v>
      </c>
      <c r="G490">
        <v>35.436487567900002</v>
      </c>
      <c r="H490">
        <v>-98.353576499400006</v>
      </c>
      <c r="I490" t="s">
        <v>3713</v>
      </c>
      <c r="J490" t="s">
        <v>2457</v>
      </c>
      <c r="K490" t="s">
        <v>4981</v>
      </c>
      <c r="L490" t="s">
        <v>2458</v>
      </c>
      <c r="M490">
        <v>112</v>
      </c>
      <c r="N490" t="s">
        <v>3438</v>
      </c>
      <c r="O490" t="s">
        <v>1975</v>
      </c>
      <c r="P490" s="1">
        <v>44736</v>
      </c>
      <c r="Q490">
        <v>3.6</v>
      </c>
      <c r="R490">
        <v>1.5</v>
      </c>
      <c r="S490" t="s">
        <v>3427</v>
      </c>
      <c r="T490" t="s">
        <v>2689</v>
      </c>
      <c r="U490" t="s">
        <v>7200</v>
      </c>
      <c r="V490" t="s">
        <v>7201</v>
      </c>
      <c r="W490" t="s">
        <v>4984</v>
      </c>
      <c r="X490" t="s">
        <v>2688</v>
      </c>
      <c r="Y490" t="s">
        <v>2688</v>
      </c>
      <c r="Z490" t="s">
        <v>2689</v>
      </c>
      <c r="AA490" t="s">
        <v>2689</v>
      </c>
      <c r="AB490" t="s">
        <v>7202</v>
      </c>
      <c r="AD490" t="s">
        <v>7203</v>
      </c>
      <c r="AE490" t="s">
        <v>7204</v>
      </c>
      <c r="AH490" t="s">
        <v>3445</v>
      </c>
      <c r="AJ490" t="s">
        <v>4989</v>
      </c>
    </row>
    <row r="491" spans="1:36" ht="131.15" x14ac:dyDescent="0.4">
      <c r="A491" t="s">
        <v>1467</v>
      </c>
      <c r="B491" t="s">
        <v>7205</v>
      </c>
      <c r="C491" t="s">
        <v>3713</v>
      </c>
      <c r="D491" t="s">
        <v>7206</v>
      </c>
      <c r="E491" t="s">
        <v>2679</v>
      </c>
      <c r="F491" t="s">
        <v>7207</v>
      </c>
      <c r="G491">
        <v>37.9802752007</v>
      </c>
      <c r="H491">
        <v>-92.769285254300001</v>
      </c>
      <c r="I491" t="s">
        <v>3713</v>
      </c>
      <c r="J491" t="s">
        <v>2442</v>
      </c>
      <c r="K491" t="s">
        <v>5742</v>
      </c>
      <c r="L491" t="s">
        <v>2444</v>
      </c>
      <c r="M491">
        <v>94</v>
      </c>
      <c r="N491" t="s">
        <v>3438</v>
      </c>
      <c r="O491" t="s">
        <v>1467</v>
      </c>
      <c r="P491" s="1">
        <v>44734</v>
      </c>
      <c r="Q491">
        <v>21.8</v>
      </c>
      <c r="R491">
        <v>14</v>
      </c>
      <c r="S491" t="s">
        <v>3584</v>
      </c>
      <c r="T491" t="s">
        <v>2689</v>
      </c>
      <c r="U491" s="10" t="s">
        <v>7208</v>
      </c>
      <c r="V491" t="s">
        <v>7209</v>
      </c>
      <c r="W491" t="s">
        <v>7210</v>
      </c>
      <c r="X491" t="s">
        <v>2688</v>
      </c>
      <c r="Y491" t="s">
        <v>2688</v>
      </c>
      <c r="Z491" t="s">
        <v>2689</v>
      </c>
      <c r="AA491" t="s">
        <v>2689</v>
      </c>
      <c r="AB491" t="s">
        <v>7211</v>
      </c>
      <c r="AD491" t="s">
        <v>7212</v>
      </c>
      <c r="AE491" t="s">
        <v>7213</v>
      </c>
      <c r="AH491" t="s">
        <v>3445</v>
      </c>
      <c r="AJ491" t="s">
        <v>3657</v>
      </c>
    </row>
    <row r="492" spans="1:36" ht="131.15" x14ac:dyDescent="0.4">
      <c r="A492" t="s">
        <v>1473</v>
      </c>
      <c r="B492" t="s">
        <v>7214</v>
      </c>
      <c r="C492" t="s">
        <v>3594</v>
      </c>
      <c r="D492" t="s">
        <v>7215</v>
      </c>
      <c r="E492" t="s">
        <v>2679</v>
      </c>
      <c r="F492" t="s">
        <v>7216</v>
      </c>
      <c r="G492">
        <v>37.979666758400001</v>
      </c>
      <c r="H492">
        <v>-92.770711770399998</v>
      </c>
      <c r="I492" t="s">
        <v>3594</v>
      </c>
      <c r="J492" t="s">
        <v>2442</v>
      </c>
      <c r="K492" t="s">
        <v>5742</v>
      </c>
      <c r="L492" t="s">
        <v>2444</v>
      </c>
      <c r="M492">
        <v>96</v>
      </c>
      <c r="N492" t="s">
        <v>3438</v>
      </c>
      <c r="O492" t="s">
        <v>1473</v>
      </c>
      <c r="P492" s="1">
        <v>44734</v>
      </c>
      <c r="Q492">
        <v>20.7</v>
      </c>
      <c r="R492">
        <v>22</v>
      </c>
      <c r="S492" t="s">
        <v>3427</v>
      </c>
      <c r="T492" t="s">
        <v>2689</v>
      </c>
      <c r="U492" s="10" t="s">
        <v>7217</v>
      </c>
      <c r="V492" t="s">
        <v>7218</v>
      </c>
      <c r="W492" t="s">
        <v>7219</v>
      </c>
      <c r="X492" t="s">
        <v>2688</v>
      </c>
      <c r="Y492" t="s">
        <v>2688</v>
      </c>
      <c r="Z492" t="s">
        <v>2689</v>
      </c>
      <c r="AA492" t="s">
        <v>2689</v>
      </c>
      <c r="AB492" t="s">
        <v>7220</v>
      </c>
      <c r="AD492" t="s">
        <v>7221</v>
      </c>
      <c r="AE492" t="s">
        <v>7222</v>
      </c>
      <c r="AH492" t="s">
        <v>3445</v>
      </c>
      <c r="AJ492" t="s">
        <v>7223</v>
      </c>
    </row>
    <row r="493" spans="1:36" ht="72.900000000000006" x14ac:dyDescent="0.4">
      <c r="A493" t="s">
        <v>1448</v>
      </c>
      <c r="B493" t="s">
        <v>7224</v>
      </c>
      <c r="C493" t="s">
        <v>1411</v>
      </c>
      <c r="D493" t="s">
        <v>7225</v>
      </c>
      <c r="E493" t="s">
        <v>2679</v>
      </c>
      <c r="F493" t="s">
        <v>7226</v>
      </c>
      <c r="G493">
        <v>37.990467427299997</v>
      </c>
      <c r="H493">
        <v>-92.773903599099995</v>
      </c>
      <c r="I493" t="s">
        <v>1411</v>
      </c>
      <c r="J493" t="s">
        <v>2442</v>
      </c>
      <c r="K493" t="s">
        <v>5742</v>
      </c>
      <c r="L493" t="s">
        <v>2444</v>
      </c>
      <c r="M493">
        <v>89</v>
      </c>
      <c r="N493" t="s">
        <v>3438</v>
      </c>
      <c r="O493" t="s">
        <v>1448</v>
      </c>
      <c r="P493" s="1">
        <v>44734</v>
      </c>
      <c r="Q493">
        <v>90</v>
      </c>
      <c r="R493">
        <v>31</v>
      </c>
      <c r="S493" t="s">
        <v>3607</v>
      </c>
      <c r="T493" t="s">
        <v>2689</v>
      </c>
      <c r="U493" s="10" t="s">
        <v>7227</v>
      </c>
      <c r="V493" t="s">
        <v>7228</v>
      </c>
      <c r="W493" t="s">
        <v>7229</v>
      </c>
      <c r="X493" t="s">
        <v>2688</v>
      </c>
      <c r="Y493" t="s">
        <v>2688</v>
      </c>
      <c r="Z493" t="s">
        <v>2689</v>
      </c>
      <c r="AA493" t="s">
        <v>2689</v>
      </c>
      <c r="AB493" t="s">
        <v>7230</v>
      </c>
      <c r="AD493" t="s">
        <v>7231</v>
      </c>
      <c r="AE493" t="s">
        <v>7232</v>
      </c>
      <c r="AH493" t="s">
        <v>3445</v>
      </c>
      <c r="AJ493" t="s">
        <v>7233</v>
      </c>
    </row>
    <row r="494" spans="1:36" ht="145.75" x14ac:dyDescent="0.4">
      <c r="A494" t="s">
        <v>1461</v>
      </c>
      <c r="B494" t="s">
        <v>7234</v>
      </c>
      <c r="C494" t="s">
        <v>3448</v>
      </c>
      <c r="D494" t="s">
        <v>7235</v>
      </c>
      <c r="E494" t="s">
        <v>2679</v>
      </c>
      <c r="F494" t="s">
        <v>7236</v>
      </c>
      <c r="G494">
        <v>37.980499542399997</v>
      </c>
      <c r="H494">
        <v>-92.768302392300001</v>
      </c>
      <c r="I494" t="s">
        <v>3448</v>
      </c>
      <c r="J494" t="s">
        <v>2442</v>
      </c>
      <c r="K494" t="s">
        <v>5742</v>
      </c>
      <c r="L494" t="s">
        <v>2444</v>
      </c>
      <c r="M494">
        <v>92</v>
      </c>
      <c r="N494" t="s">
        <v>3438</v>
      </c>
      <c r="O494" t="s">
        <v>1461</v>
      </c>
      <c r="P494" s="1">
        <v>44734</v>
      </c>
      <c r="Q494">
        <v>32.299999999999997</v>
      </c>
      <c r="R494">
        <v>22</v>
      </c>
      <c r="S494" t="s">
        <v>4374</v>
      </c>
      <c r="T494" t="s">
        <v>2689</v>
      </c>
      <c r="U494" s="10" t="s">
        <v>7237</v>
      </c>
      <c r="V494" t="s">
        <v>7238</v>
      </c>
      <c r="W494" t="s">
        <v>7239</v>
      </c>
      <c r="X494" t="s">
        <v>2688</v>
      </c>
      <c r="Y494" t="s">
        <v>2688</v>
      </c>
      <c r="Z494" t="s">
        <v>2689</v>
      </c>
      <c r="AA494" t="s">
        <v>2689</v>
      </c>
      <c r="AB494" t="s">
        <v>7240</v>
      </c>
      <c r="AD494" t="s">
        <v>7241</v>
      </c>
      <c r="AE494" t="s">
        <v>7242</v>
      </c>
      <c r="AH494" t="s">
        <v>3445</v>
      </c>
      <c r="AJ494" t="s">
        <v>3771</v>
      </c>
    </row>
    <row r="495" spans="1:36" ht="43.75" x14ac:dyDescent="0.4">
      <c r="A495" t="s">
        <v>1482</v>
      </c>
      <c r="B495" t="s">
        <v>7243</v>
      </c>
      <c r="C495" t="s">
        <v>3448</v>
      </c>
      <c r="D495" t="s">
        <v>7244</v>
      </c>
      <c r="E495" t="s">
        <v>2679</v>
      </c>
      <c r="F495" t="s">
        <v>7245</v>
      </c>
      <c r="G495">
        <v>37.977563696899999</v>
      </c>
      <c r="H495">
        <v>-92.773582488399995</v>
      </c>
      <c r="I495" t="s">
        <v>3448</v>
      </c>
      <c r="J495" t="s">
        <v>2442</v>
      </c>
      <c r="K495" t="s">
        <v>5742</v>
      </c>
      <c r="L495" t="s">
        <v>2444</v>
      </c>
      <c r="M495">
        <v>99</v>
      </c>
      <c r="N495" t="s">
        <v>3438</v>
      </c>
      <c r="O495" t="s">
        <v>1482</v>
      </c>
      <c r="P495" s="1">
        <v>44734</v>
      </c>
      <c r="Q495">
        <v>22.1</v>
      </c>
      <c r="R495">
        <v>7</v>
      </c>
      <c r="S495" t="s">
        <v>3427</v>
      </c>
      <c r="T495" t="s">
        <v>2689</v>
      </c>
      <c r="U495" s="10" t="s">
        <v>7246</v>
      </c>
      <c r="V495" t="s">
        <v>7247</v>
      </c>
      <c r="W495" t="s">
        <v>7248</v>
      </c>
      <c r="X495" t="s">
        <v>2688</v>
      </c>
      <c r="Y495" t="s">
        <v>2688</v>
      </c>
      <c r="Z495" t="s">
        <v>2689</v>
      </c>
      <c r="AA495" t="s">
        <v>2689</v>
      </c>
      <c r="AB495" t="s">
        <v>7249</v>
      </c>
      <c r="AD495" t="s">
        <v>7250</v>
      </c>
      <c r="AE495" t="s">
        <v>7251</v>
      </c>
      <c r="AH495" t="s">
        <v>3445</v>
      </c>
      <c r="AJ495" t="s">
        <v>3771</v>
      </c>
    </row>
    <row r="496" spans="1:36" ht="102" x14ac:dyDescent="0.4">
      <c r="A496" t="s">
        <v>1456</v>
      </c>
      <c r="B496" t="s">
        <v>7252</v>
      </c>
      <c r="C496" t="s">
        <v>3713</v>
      </c>
      <c r="D496" t="s">
        <v>7253</v>
      </c>
      <c r="E496" t="s">
        <v>2679</v>
      </c>
      <c r="F496" t="s">
        <v>7254</v>
      </c>
      <c r="G496">
        <v>37.978500165100002</v>
      </c>
      <c r="H496">
        <v>-92.768559549100004</v>
      </c>
      <c r="I496" t="s">
        <v>3713</v>
      </c>
      <c r="J496" t="s">
        <v>2442</v>
      </c>
      <c r="K496" t="s">
        <v>5742</v>
      </c>
      <c r="L496" t="s">
        <v>2444</v>
      </c>
      <c r="M496">
        <v>91</v>
      </c>
      <c r="N496" t="s">
        <v>3438</v>
      </c>
      <c r="O496" t="s">
        <v>1456</v>
      </c>
      <c r="P496" s="1">
        <v>44734</v>
      </c>
      <c r="Q496">
        <v>45.5</v>
      </c>
      <c r="R496">
        <v>24</v>
      </c>
      <c r="S496" t="s">
        <v>3607</v>
      </c>
      <c r="T496" t="s">
        <v>2689</v>
      </c>
      <c r="U496" s="10" t="s">
        <v>7255</v>
      </c>
      <c r="V496" t="s">
        <v>7256</v>
      </c>
      <c r="W496" t="s">
        <v>5745</v>
      </c>
      <c r="X496" t="s">
        <v>2688</v>
      </c>
      <c r="Y496" t="s">
        <v>2688</v>
      </c>
      <c r="Z496" t="s">
        <v>2689</v>
      </c>
      <c r="AA496" t="s">
        <v>2689</v>
      </c>
      <c r="AB496" t="s">
        <v>7257</v>
      </c>
      <c r="AD496" t="s">
        <v>7258</v>
      </c>
      <c r="AE496" t="s">
        <v>7259</v>
      </c>
      <c r="AH496" t="s">
        <v>3445</v>
      </c>
      <c r="AJ496" t="s">
        <v>3771</v>
      </c>
    </row>
    <row r="497" spans="1:36" ht="116.6" x14ac:dyDescent="0.4">
      <c r="A497" t="s">
        <v>1464</v>
      </c>
      <c r="B497" t="s">
        <v>7260</v>
      </c>
      <c r="C497" t="s">
        <v>3713</v>
      </c>
      <c r="D497" t="s">
        <v>7261</v>
      </c>
      <c r="E497" t="s">
        <v>2679</v>
      </c>
      <c r="F497" t="s">
        <v>7262</v>
      </c>
      <c r="G497">
        <v>37.9804300443</v>
      </c>
      <c r="H497">
        <v>-92.768279591699994</v>
      </c>
      <c r="I497" t="s">
        <v>3713</v>
      </c>
      <c r="J497" t="s">
        <v>2442</v>
      </c>
      <c r="K497" t="s">
        <v>5742</v>
      </c>
      <c r="L497" t="s">
        <v>2444</v>
      </c>
      <c r="M497">
        <v>93</v>
      </c>
      <c r="N497" t="s">
        <v>3438</v>
      </c>
      <c r="O497" t="s">
        <v>1464</v>
      </c>
      <c r="P497" s="1">
        <v>44734</v>
      </c>
      <c r="Q497">
        <v>52.7</v>
      </c>
      <c r="R497">
        <v>20</v>
      </c>
      <c r="S497" t="s">
        <v>3607</v>
      </c>
      <c r="T497" t="s">
        <v>2689</v>
      </c>
      <c r="U497" s="10" t="s">
        <v>7263</v>
      </c>
      <c r="V497" t="s">
        <v>7238</v>
      </c>
      <c r="W497" t="s">
        <v>7239</v>
      </c>
      <c r="X497" t="s">
        <v>2688</v>
      </c>
      <c r="Y497" t="s">
        <v>2688</v>
      </c>
      <c r="Z497" t="s">
        <v>2689</v>
      </c>
      <c r="AA497" t="s">
        <v>2689</v>
      </c>
      <c r="AB497" t="s">
        <v>7264</v>
      </c>
      <c r="AD497" t="s">
        <v>7265</v>
      </c>
      <c r="AE497" t="s">
        <v>7266</v>
      </c>
      <c r="AH497" t="s">
        <v>3445</v>
      </c>
      <c r="AJ497" t="s">
        <v>7267</v>
      </c>
    </row>
    <row r="498" spans="1:36" ht="72.900000000000006" x14ac:dyDescent="0.4">
      <c r="A498" t="s">
        <v>1485</v>
      </c>
      <c r="B498" t="s">
        <v>7268</v>
      </c>
      <c r="C498" t="s">
        <v>3448</v>
      </c>
      <c r="D498" t="s">
        <v>7269</v>
      </c>
      <c r="E498" t="s">
        <v>2679</v>
      </c>
      <c r="F498" t="s">
        <v>7270</v>
      </c>
      <c r="G498">
        <v>37.976861712599998</v>
      </c>
      <c r="H498">
        <v>-92.768735736699995</v>
      </c>
      <c r="I498" t="s">
        <v>3448</v>
      </c>
      <c r="J498" t="s">
        <v>2442</v>
      </c>
      <c r="K498" t="s">
        <v>5742</v>
      </c>
      <c r="L498" t="s">
        <v>2444</v>
      </c>
      <c r="M498">
        <v>100</v>
      </c>
      <c r="N498" t="s">
        <v>3438</v>
      </c>
      <c r="O498" t="s">
        <v>1485</v>
      </c>
      <c r="P498" s="1">
        <v>44734</v>
      </c>
      <c r="Q498">
        <v>46.1</v>
      </c>
      <c r="R498">
        <v>22</v>
      </c>
      <c r="S498" t="s">
        <v>3427</v>
      </c>
      <c r="T498" t="s">
        <v>2689</v>
      </c>
      <c r="U498" s="10" t="s">
        <v>7271</v>
      </c>
      <c r="V498" t="s">
        <v>7272</v>
      </c>
      <c r="W498" t="s">
        <v>7273</v>
      </c>
      <c r="X498" t="s">
        <v>2688</v>
      </c>
      <c r="Y498" t="s">
        <v>2688</v>
      </c>
      <c r="Z498" t="s">
        <v>2689</v>
      </c>
      <c r="AA498" t="s">
        <v>2689</v>
      </c>
      <c r="AB498" t="s">
        <v>7274</v>
      </c>
      <c r="AD498" t="s">
        <v>7275</v>
      </c>
      <c r="AE498" t="s">
        <v>7276</v>
      </c>
      <c r="AH498" t="s">
        <v>3445</v>
      </c>
      <c r="AJ498" t="s">
        <v>3771</v>
      </c>
    </row>
    <row r="499" spans="1:36" ht="72.900000000000006" x14ac:dyDescent="0.4">
      <c r="A499" t="s">
        <v>1488</v>
      </c>
      <c r="B499" t="s">
        <v>7277</v>
      </c>
      <c r="C499" t="s">
        <v>3713</v>
      </c>
      <c r="D499" t="s">
        <v>7278</v>
      </c>
      <c r="E499" t="s">
        <v>2679</v>
      </c>
      <c r="F499" t="s">
        <v>7279</v>
      </c>
      <c r="G499">
        <v>37.977231186799997</v>
      </c>
      <c r="H499">
        <v>-92.768725343100002</v>
      </c>
      <c r="I499" t="s">
        <v>3713</v>
      </c>
      <c r="J499" t="s">
        <v>2442</v>
      </c>
      <c r="K499" t="s">
        <v>5742</v>
      </c>
      <c r="L499" t="s">
        <v>2444</v>
      </c>
      <c r="M499">
        <v>101</v>
      </c>
      <c r="N499" t="s">
        <v>3438</v>
      </c>
      <c r="O499" t="s">
        <v>1488</v>
      </c>
      <c r="P499" s="1">
        <v>44734</v>
      </c>
      <c r="Q499">
        <v>26.3</v>
      </c>
      <c r="R499">
        <v>16</v>
      </c>
      <c r="S499" t="s">
        <v>4506</v>
      </c>
      <c r="T499" t="s">
        <v>2689</v>
      </c>
      <c r="U499" s="10" t="s">
        <v>7280</v>
      </c>
      <c r="V499" t="s">
        <v>7281</v>
      </c>
      <c r="W499" t="s">
        <v>7282</v>
      </c>
      <c r="X499" t="s">
        <v>2688</v>
      </c>
      <c r="Y499" t="s">
        <v>2688</v>
      </c>
      <c r="Z499" t="s">
        <v>2689</v>
      </c>
      <c r="AA499" t="s">
        <v>2689</v>
      </c>
      <c r="AB499" t="s">
        <v>7283</v>
      </c>
      <c r="AD499" t="s">
        <v>7284</v>
      </c>
      <c r="AE499" t="s">
        <v>7285</v>
      </c>
      <c r="AH499" t="s">
        <v>3445</v>
      </c>
      <c r="AJ499" t="s">
        <v>7223</v>
      </c>
    </row>
    <row r="500" spans="1:36" ht="87.45" x14ac:dyDescent="0.4">
      <c r="A500" t="s">
        <v>1476</v>
      </c>
      <c r="B500" t="s">
        <v>7286</v>
      </c>
      <c r="C500" t="s">
        <v>3594</v>
      </c>
      <c r="D500" t="s">
        <v>7287</v>
      </c>
      <c r="E500" t="s">
        <v>2679</v>
      </c>
      <c r="F500" t="s">
        <v>7288</v>
      </c>
      <c r="G500">
        <v>37.980254162100003</v>
      </c>
      <c r="H500">
        <v>-92.771741068099999</v>
      </c>
      <c r="I500" t="s">
        <v>3594</v>
      </c>
      <c r="J500" t="s">
        <v>2442</v>
      </c>
      <c r="K500" t="s">
        <v>5742</v>
      </c>
      <c r="L500" t="s">
        <v>2444</v>
      </c>
      <c r="M500">
        <v>97</v>
      </c>
      <c r="N500" t="s">
        <v>3438</v>
      </c>
      <c r="O500" t="s">
        <v>1476</v>
      </c>
      <c r="P500" s="1">
        <v>44734</v>
      </c>
      <c r="Q500">
        <v>26.7</v>
      </c>
      <c r="R500">
        <v>14</v>
      </c>
      <c r="S500" t="s">
        <v>3427</v>
      </c>
      <c r="T500" t="s">
        <v>2689</v>
      </c>
      <c r="U500" s="10" t="s">
        <v>7289</v>
      </c>
      <c r="V500" t="s">
        <v>7290</v>
      </c>
      <c r="W500" t="s">
        <v>7239</v>
      </c>
      <c r="X500" t="s">
        <v>2688</v>
      </c>
      <c r="Y500" t="s">
        <v>2688</v>
      </c>
      <c r="Z500" t="s">
        <v>2689</v>
      </c>
      <c r="AA500" t="s">
        <v>2689</v>
      </c>
      <c r="AB500" t="s">
        <v>7291</v>
      </c>
      <c r="AD500" t="s">
        <v>7292</v>
      </c>
      <c r="AE500" t="s">
        <v>7293</v>
      </c>
      <c r="AH500" t="s">
        <v>3445</v>
      </c>
      <c r="AJ500" t="s">
        <v>7294</v>
      </c>
    </row>
    <row r="501" spans="1:36" ht="131.15" x14ac:dyDescent="0.4">
      <c r="A501" t="s">
        <v>1479</v>
      </c>
      <c r="B501" t="s">
        <v>7295</v>
      </c>
      <c r="C501" t="s">
        <v>3594</v>
      </c>
      <c r="D501" t="s">
        <v>7296</v>
      </c>
      <c r="E501" t="s">
        <v>2679</v>
      </c>
      <c r="F501" t="s">
        <v>7297</v>
      </c>
      <c r="G501">
        <v>37.980023701699999</v>
      </c>
      <c r="H501">
        <v>-92.772855358300006</v>
      </c>
      <c r="I501" t="s">
        <v>3594</v>
      </c>
      <c r="J501" t="s">
        <v>2442</v>
      </c>
      <c r="K501" t="s">
        <v>5742</v>
      </c>
      <c r="L501" t="s">
        <v>2444</v>
      </c>
      <c r="M501">
        <v>98</v>
      </c>
      <c r="N501" t="s">
        <v>3438</v>
      </c>
      <c r="O501" t="s">
        <v>1479</v>
      </c>
      <c r="P501" s="1">
        <v>44734</v>
      </c>
      <c r="Q501">
        <v>19.5</v>
      </c>
      <c r="R501">
        <v>10</v>
      </c>
      <c r="S501" t="s">
        <v>3464</v>
      </c>
      <c r="T501" t="s">
        <v>2689</v>
      </c>
      <c r="U501" s="10" t="s">
        <v>7298</v>
      </c>
      <c r="V501" t="s">
        <v>7299</v>
      </c>
      <c r="W501" t="s">
        <v>7300</v>
      </c>
      <c r="X501" t="s">
        <v>2688</v>
      </c>
      <c r="Y501" t="s">
        <v>2688</v>
      </c>
      <c r="Z501" t="s">
        <v>2747</v>
      </c>
      <c r="AA501" t="s">
        <v>2689</v>
      </c>
      <c r="AB501" t="s">
        <v>7301</v>
      </c>
      <c r="AD501" t="s">
        <v>7302</v>
      </c>
      <c r="AE501" t="s">
        <v>7303</v>
      </c>
      <c r="AG501" t="s">
        <v>7304</v>
      </c>
      <c r="AH501" t="s">
        <v>3445</v>
      </c>
      <c r="AJ501" s="10" t="s">
        <v>7305</v>
      </c>
    </row>
    <row r="502" spans="1:36" ht="116.6" x14ac:dyDescent="0.4">
      <c r="A502" t="s">
        <v>1470</v>
      </c>
      <c r="B502" t="s">
        <v>7306</v>
      </c>
      <c r="C502" t="s">
        <v>3594</v>
      </c>
      <c r="D502" t="s">
        <v>7307</v>
      </c>
      <c r="E502" t="s">
        <v>2679</v>
      </c>
      <c r="F502" t="s">
        <v>7308</v>
      </c>
      <c r="G502">
        <v>37.9801343428</v>
      </c>
      <c r="H502">
        <v>-92.770192260000002</v>
      </c>
      <c r="I502" t="s">
        <v>3594</v>
      </c>
      <c r="J502" t="s">
        <v>2442</v>
      </c>
      <c r="K502" t="s">
        <v>5742</v>
      </c>
      <c r="L502" t="s">
        <v>2444</v>
      </c>
      <c r="M502">
        <v>95</v>
      </c>
      <c r="N502" t="s">
        <v>3438</v>
      </c>
      <c r="O502" t="s">
        <v>1470</v>
      </c>
      <c r="P502" s="1">
        <v>44734</v>
      </c>
      <c r="Q502">
        <v>31.6</v>
      </c>
      <c r="R502">
        <v>14</v>
      </c>
      <c r="S502" t="s">
        <v>3584</v>
      </c>
      <c r="T502" t="s">
        <v>2689</v>
      </c>
      <c r="U502" s="10" t="s">
        <v>7309</v>
      </c>
      <c r="V502" t="s">
        <v>7310</v>
      </c>
      <c r="W502" t="s">
        <v>7311</v>
      </c>
      <c r="X502" t="s">
        <v>2688</v>
      </c>
      <c r="Y502" t="s">
        <v>2688</v>
      </c>
      <c r="Z502" t="s">
        <v>2689</v>
      </c>
      <c r="AA502" t="s">
        <v>2689</v>
      </c>
      <c r="AB502" t="s">
        <v>7312</v>
      </c>
      <c r="AD502" t="s">
        <v>7313</v>
      </c>
      <c r="AE502" t="s">
        <v>7314</v>
      </c>
      <c r="AH502" t="s">
        <v>3445</v>
      </c>
      <c r="AJ502" t="s">
        <v>7073</v>
      </c>
    </row>
    <row r="503" spans="1:36" ht="145.75" x14ac:dyDescent="0.4">
      <c r="A503" t="s">
        <v>1606</v>
      </c>
      <c r="B503" t="s">
        <v>7315</v>
      </c>
      <c r="C503" t="s">
        <v>3594</v>
      </c>
      <c r="D503" t="s">
        <v>7316</v>
      </c>
      <c r="E503" t="s">
        <v>2679</v>
      </c>
      <c r="F503" t="s">
        <v>7317</v>
      </c>
      <c r="G503">
        <v>38.511673696400003</v>
      </c>
      <c r="H503">
        <v>-90.575093692300001</v>
      </c>
      <c r="I503" t="s">
        <v>3594</v>
      </c>
      <c r="J503" t="s">
        <v>2442</v>
      </c>
      <c r="K503" t="s">
        <v>1585</v>
      </c>
      <c r="L503" t="s">
        <v>2447</v>
      </c>
      <c r="M503">
        <v>81</v>
      </c>
      <c r="N503" t="s">
        <v>3438</v>
      </c>
      <c r="O503" t="s">
        <v>1606</v>
      </c>
      <c r="P503" s="1">
        <v>44733</v>
      </c>
      <c r="Q503">
        <v>25.7</v>
      </c>
      <c r="R503">
        <v>16</v>
      </c>
      <c r="S503" t="s">
        <v>3607</v>
      </c>
      <c r="T503" t="s">
        <v>2688</v>
      </c>
      <c r="U503" s="10" t="s">
        <v>7318</v>
      </c>
      <c r="V503" t="s">
        <v>7319</v>
      </c>
      <c r="W503" t="s">
        <v>7320</v>
      </c>
      <c r="X503" t="s">
        <v>2688</v>
      </c>
      <c r="Y503" t="s">
        <v>2688</v>
      </c>
      <c r="Z503" t="s">
        <v>2689</v>
      </c>
      <c r="AA503" t="s">
        <v>2689</v>
      </c>
      <c r="AB503" t="s">
        <v>7321</v>
      </c>
      <c r="AC503" t="s">
        <v>7322</v>
      </c>
      <c r="AD503" t="s">
        <v>7323</v>
      </c>
      <c r="AE503" t="s">
        <v>7324</v>
      </c>
      <c r="AH503" t="s">
        <v>3445</v>
      </c>
      <c r="AJ503" t="s">
        <v>3771</v>
      </c>
    </row>
    <row r="504" spans="1:36" ht="72.900000000000006" x14ac:dyDescent="0.4">
      <c r="A504" t="s">
        <v>1627</v>
      </c>
      <c r="B504" t="s">
        <v>7325</v>
      </c>
      <c r="C504" t="s">
        <v>3448</v>
      </c>
      <c r="D504" t="s">
        <v>7326</v>
      </c>
      <c r="E504" t="s">
        <v>2679</v>
      </c>
      <c r="F504" t="s">
        <v>7327</v>
      </c>
      <c r="G504">
        <v>38.512517872899998</v>
      </c>
      <c r="H504">
        <v>-90.557479219300006</v>
      </c>
      <c r="I504" t="s">
        <v>3448</v>
      </c>
      <c r="J504" t="s">
        <v>2442</v>
      </c>
      <c r="K504" t="s">
        <v>1585</v>
      </c>
      <c r="L504" t="s">
        <v>2447</v>
      </c>
      <c r="M504">
        <v>88</v>
      </c>
      <c r="N504" t="s">
        <v>3438</v>
      </c>
      <c r="O504" t="s">
        <v>1627</v>
      </c>
      <c r="P504" s="1">
        <v>44733</v>
      </c>
      <c r="Q504">
        <v>22.9</v>
      </c>
      <c r="R504">
        <v>10</v>
      </c>
      <c r="S504" t="s">
        <v>3607</v>
      </c>
      <c r="T504" t="s">
        <v>2689</v>
      </c>
      <c r="U504" s="10" t="s">
        <v>7328</v>
      </c>
      <c r="V504" t="s">
        <v>7329</v>
      </c>
      <c r="W504" t="s">
        <v>7330</v>
      </c>
      <c r="X504" t="s">
        <v>2688</v>
      </c>
      <c r="Y504" t="s">
        <v>2688</v>
      </c>
      <c r="Z504" t="s">
        <v>2689</v>
      </c>
      <c r="AA504" t="s">
        <v>2689</v>
      </c>
      <c r="AB504" t="s">
        <v>7331</v>
      </c>
      <c r="AD504" t="s">
        <v>7332</v>
      </c>
      <c r="AE504" t="s">
        <v>7333</v>
      </c>
      <c r="AH504" t="s">
        <v>3445</v>
      </c>
      <c r="AJ504" t="s">
        <v>7073</v>
      </c>
    </row>
    <row r="505" spans="1:36" ht="116.6" x14ac:dyDescent="0.4">
      <c r="A505" t="s">
        <v>1594</v>
      </c>
      <c r="B505" t="s">
        <v>7334</v>
      </c>
      <c r="C505" t="s">
        <v>3594</v>
      </c>
      <c r="D505" t="s">
        <v>7335</v>
      </c>
      <c r="E505" t="s">
        <v>2679</v>
      </c>
      <c r="F505" t="s">
        <v>7336</v>
      </c>
      <c r="G505">
        <v>38.5123072652</v>
      </c>
      <c r="H505">
        <v>-90.576067805199997</v>
      </c>
      <c r="I505" t="s">
        <v>3594</v>
      </c>
      <c r="J505" t="s">
        <v>2442</v>
      </c>
      <c r="K505" t="s">
        <v>1585</v>
      </c>
      <c r="L505" t="s">
        <v>2447</v>
      </c>
      <c r="M505">
        <v>77</v>
      </c>
      <c r="N505" t="s">
        <v>3438</v>
      </c>
      <c r="O505" t="s">
        <v>1594</v>
      </c>
      <c r="P505" s="1">
        <v>44733</v>
      </c>
      <c r="Q505">
        <v>13.3</v>
      </c>
      <c r="R505">
        <v>11</v>
      </c>
      <c r="S505" t="s">
        <v>3607</v>
      </c>
      <c r="T505" t="s">
        <v>2689</v>
      </c>
      <c r="U505" s="10" t="s">
        <v>7337</v>
      </c>
      <c r="V505" t="s">
        <v>7338</v>
      </c>
      <c r="W505" t="s">
        <v>7339</v>
      </c>
      <c r="X505" t="s">
        <v>2688</v>
      </c>
      <c r="Y505" t="s">
        <v>2688</v>
      </c>
      <c r="Z505" t="s">
        <v>2689</v>
      </c>
      <c r="AA505" t="s">
        <v>2689</v>
      </c>
      <c r="AB505" s="9" t="s">
        <v>7340</v>
      </c>
      <c r="AD505" t="s">
        <v>7341</v>
      </c>
      <c r="AE505" t="s">
        <v>7342</v>
      </c>
      <c r="AH505" t="s">
        <v>3445</v>
      </c>
      <c r="AJ505" s="10" t="s">
        <v>7343</v>
      </c>
    </row>
    <row r="506" spans="1:36" ht="58.3" x14ac:dyDescent="0.4">
      <c r="A506" t="s">
        <v>1609</v>
      </c>
      <c r="B506" t="s">
        <v>7344</v>
      </c>
      <c r="C506" t="s">
        <v>3713</v>
      </c>
      <c r="D506" t="s">
        <v>7345</v>
      </c>
      <c r="E506" t="s">
        <v>2679</v>
      </c>
      <c r="F506" t="s">
        <v>7346</v>
      </c>
      <c r="G506">
        <v>38.526125548499998</v>
      </c>
      <c r="H506">
        <v>-90.560117792699998</v>
      </c>
      <c r="I506" t="s">
        <v>3713</v>
      </c>
      <c r="J506" t="s">
        <v>2442</v>
      </c>
      <c r="K506" t="s">
        <v>1585</v>
      </c>
      <c r="L506" t="s">
        <v>2447</v>
      </c>
      <c r="M506">
        <v>82</v>
      </c>
      <c r="N506" t="s">
        <v>3438</v>
      </c>
      <c r="O506" t="s">
        <v>1609</v>
      </c>
      <c r="P506" s="1">
        <v>44733</v>
      </c>
      <c r="Q506">
        <v>29.3</v>
      </c>
      <c r="R506">
        <v>15</v>
      </c>
      <c r="S506" t="s">
        <v>3607</v>
      </c>
      <c r="T506" t="s">
        <v>2689</v>
      </c>
      <c r="U506" s="10" t="s">
        <v>7347</v>
      </c>
      <c r="V506" t="s">
        <v>7348</v>
      </c>
      <c r="W506" t="s">
        <v>7349</v>
      </c>
      <c r="X506" t="s">
        <v>2688</v>
      </c>
      <c r="Y506" t="s">
        <v>2688</v>
      </c>
      <c r="Z506" t="s">
        <v>2689</v>
      </c>
      <c r="AA506" t="s">
        <v>2689</v>
      </c>
      <c r="AB506" s="9" t="s">
        <v>7350</v>
      </c>
      <c r="AD506" t="s">
        <v>7351</v>
      </c>
      <c r="AE506" t="s">
        <v>7352</v>
      </c>
      <c r="AH506" t="s">
        <v>3445</v>
      </c>
      <c r="AJ506" s="10" t="s">
        <v>7353</v>
      </c>
    </row>
    <row r="507" spans="1:36" ht="29.15" x14ac:dyDescent="0.4">
      <c r="A507" t="s">
        <v>1624</v>
      </c>
      <c r="B507" t="s">
        <v>7354</v>
      </c>
      <c r="C507" t="s">
        <v>3448</v>
      </c>
      <c r="D507" t="s">
        <v>7355</v>
      </c>
      <c r="E507" t="s">
        <v>2679</v>
      </c>
      <c r="F507" t="s">
        <v>7356</v>
      </c>
      <c r="G507">
        <v>38.513017658700001</v>
      </c>
      <c r="H507">
        <v>-90.557462488200002</v>
      </c>
      <c r="I507" t="s">
        <v>3448</v>
      </c>
      <c r="J507" t="s">
        <v>2442</v>
      </c>
      <c r="K507" t="s">
        <v>1585</v>
      </c>
      <c r="L507" t="s">
        <v>2447</v>
      </c>
      <c r="M507">
        <v>87</v>
      </c>
      <c r="N507" t="s">
        <v>3438</v>
      </c>
      <c r="O507" t="s">
        <v>1624</v>
      </c>
      <c r="P507" s="1">
        <v>44733</v>
      </c>
      <c r="Q507">
        <v>72.3</v>
      </c>
      <c r="R507">
        <v>31</v>
      </c>
      <c r="S507" t="s">
        <v>3607</v>
      </c>
      <c r="T507" t="s">
        <v>2689</v>
      </c>
      <c r="U507" s="10" t="s">
        <v>7357</v>
      </c>
      <c r="V507" t="s">
        <v>7358</v>
      </c>
      <c r="W507" t="s">
        <v>7359</v>
      </c>
      <c r="X507" t="s">
        <v>2688</v>
      </c>
      <c r="Y507" t="s">
        <v>2688</v>
      </c>
      <c r="Z507" t="s">
        <v>2689</v>
      </c>
      <c r="AA507" t="s">
        <v>2689</v>
      </c>
      <c r="AB507" t="s">
        <v>7360</v>
      </c>
      <c r="AD507" t="s">
        <v>7361</v>
      </c>
      <c r="AE507" t="s">
        <v>7362</v>
      </c>
      <c r="AH507" t="s">
        <v>3445</v>
      </c>
      <c r="AJ507" t="s">
        <v>3771</v>
      </c>
    </row>
    <row r="508" spans="1:36" ht="145.75" x14ac:dyDescent="0.4">
      <c r="A508" t="s">
        <v>1603</v>
      </c>
      <c r="B508" t="s">
        <v>7363</v>
      </c>
      <c r="C508" t="s">
        <v>3594</v>
      </c>
      <c r="D508" t="s">
        <v>7364</v>
      </c>
      <c r="E508" t="s">
        <v>2679</v>
      </c>
      <c r="F508" t="s">
        <v>7365</v>
      </c>
      <c r="G508">
        <v>38.511744691099999</v>
      </c>
      <c r="H508">
        <v>-90.575396781899997</v>
      </c>
      <c r="I508" t="s">
        <v>3594</v>
      </c>
      <c r="J508" t="s">
        <v>2442</v>
      </c>
      <c r="K508" t="s">
        <v>1585</v>
      </c>
      <c r="L508" t="s">
        <v>2447</v>
      </c>
      <c r="M508">
        <v>80</v>
      </c>
      <c r="N508" t="s">
        <v>3438</v>
      </c>
      <c r="O508" t="s">
        <v>1603</v>
      </c>
      <c r="P508" s="1">
        <v>44733</v>
      </c>
      <c r="Q508">
        <v>25.6</v>
      </c>
      <c r="R508">
        <v>18</v>
      </c>
      <c r="S508" t="s">
        <v>3427</v>
      </c>
      <c r="T508" t="s">
        <v>2689</v>
      </c>
      <c r="U508" s="10" t="s">
        <v>7366</v>
      </c>
      <c r="V508" t="s">
        <v>7367</v>
      </c>
      <c r="W508" t="s">
        <v>7368</v>
      </c>
      <c r="X508" t="s">
        <v>2688</v>
      </c>
      <c r="Y508" t="s">
        <v>2688</v>
      </c>
      <c r="Z508" t="s">
        <v>2689</v>
      </c>
      <c r="AA508" t="s">
        <v>2689</v>
      </c>
      <c r="AB508" t="s">
        <v>7369</v>
      </c>
      <c r="AD508" t="s">
        <v>7370</v>
      </c>
      <c r="AE508" t="s">
        <v>7371</v>
      </c>
      <c r="AH508" t="s">
        <v>3445</v>
      </c>
      <c r="AJ508" t="s">
        <v>3771</v>
      </c>
    </row>
    <row r="509" spans="1:36" ht="247.75" x14ac:dyDescent="0.4">
      <c r="A509" t="s">
        <v>1597</v>
      </c>
      <c r="B509" t="s">
        <v>7372</v>
      </c>
      <c r="C509" t="s">
        <v>3448</v>
      </c>
      <c r="D509" t="s">
        <v>7373</v>
      </c>
      <c r="E509" t="s">
        <v>2679</v>
      </c>
      <c r="F509" t="s">
        <v>7374</v>
      </c>
      <c r="G509">
        <v>38.512379730600003</v>
      </c>
      <c r="H509">
        <v>-90.576234140300002</v>
      </c>
      <c r="I509" t="s">
        <v>3448</v>
      </c>
      <c r="J509" t="s">
        <v>2442</v>
      </c>
      <c r="K509" t="s">
        <v>1585</v>
      </c>
      <c r="L509" t="s">
        <v>2447</v>
      </c>
      <c r="M509">
        <v>78</v>
      </c>
      <c r="N509" t="s">
        <v>3438</v>
      </c>
      <c r="O509" t="s">
        <v>1597</v>
      </c>
      <c r="P509" s="1">
        <v>44733</v>
      </c>
      <c r="Q509">
        <v>25.3</v>
      </c>
      <c r="R509">
        <v>22</v>
      </c>
      <c r="S509" t="s">
        <v>3607</v>
      </c>
      <c r="T509" t="s">
        <v>2689</v>
      </c>
      <c r="U509" s="10" t="s">
        <v>7375</v>
      </c>
      <c r="V509" t="s">
        <v>7376</v>
      </c>
      <c r="W509" t="s">
        <v>7377</v>
      </c>
      <c r="X509" t="s">
        <v>2688</v>
      </c>
      <c r="Y509" t="s">
        <v>2688</v>
      </c>
      <c r="Z509" t="s">
        <v>2689</v>
      </c>
      <c r="AA509" t="s">
        <v>2689</v>
      </c>
      <c r="AB509" t="s">
        <v>7378</v>
      </c>
      <c r="AD509" t="s">
        <v>7379</v>
      </c>
      <c r="AE509" t="s">
        <v>7380</v>
      </c>
      <c r="AG509" t="s">
        <v>7381</v>
      </c>
      <c r="AH509" t="s">
        <v>3445</v>
      </c>
      <c r="AJ509" s="10" t="s">
        <v>7382</v>
      </c>
    </row>
    <row r="510" spans="1:36" ht="72.900000000000006" x14ac:dyDescent="0.4">
      <c r="A510" t="s">
        <v>1445</v>
      </c>
      <c r="B510" t="s">
        <v>7383</v>
      </c>
      <c r="C510" t="s">
        <v>1411</v>
      </c>
      <c r="D510" t="s">
        <v>7384</v>
      </c>
      <c r="E510" t="s">
        <v>2679</v>
      </c>
      <c r="F510" t="s">
        <v>7385</v>
      </c>
      <c r="G510">
        <v>38.5470757541</v>
      </c>
      <c r="H510">
        <v>-90.536913368900002</v>
      </c>
      <c r="I510" t="s">
        <v>1411</v>
      </c>
      <c r="J510" t="s">
        <v>2442</v>
      </c>
      <c r="K510" t="s">
        <v>7386</v>
      </c>
      <c r="L510" t="s">
        <v>2427</v>
      </c>
      <c r="M510">
        <v>73</v>
      </c>
      <c r="N510" t="s">
        <v>7387</v>
      </c>
      <c r="O510" t="s">
        <v>1445</v>
      </c>
      <c r="P510" s="1">
        <v>44732</v>
      </c>
      <c r="Q510">
        <v>116.4</v>
      </c>
      <c r="R510">
        <v>30</v>
      </c>
      <c r="S510" t="s">
        <v>3464</v>
      </c>
      <c r="T510" t="s">
        <v>2688</v>
      </c>
      <c r="U510" s="10" t="s">
        <v>7388</v>
      </c>
      <c r="V510" t="s">
        <v>7389</v>
      </c>
      <c r="W510" t="s">
        <v>7390</v>
      </c>
      <c r="X510" t="s">
        <v>2688</v>
      </c>
      <c r="Y510" t="s">
        <v>2688</v>
      </c>
      <c r="Z510" t="s">
        <v>2689</v>
      </c>
      <c r="AA510" t="s">
        <v>2689</v>
      </c>
      <c r="AB510" t="s">
        <v>7391</v>
      </c>
      <c r="AC510" t="s">
        <v>7392</v>
      </c>
      <c r="AD510" t="s">
        <v>7393</v>
      </c>
      <c r="AE510" t="s">
        <v>7394</v>
      </c>
      <c r="AH510" t="s">
        <v>3445</v>
      </c>
      <c r="AJ510" t="s">
        <v>3771</v>
      </c>
    </row>
    <row r="511" spans="1:36" ht="306" x14ac:dyDescent="0.4">
      <c r="A511" t="s">
        <v>1879</v>
      </c>
      <c r="B511" t="s">
        <v>7395</v>
      </c>
      <c r="C511" t="s">
        <v>3448</v>
      </c>
      <c r="D511" t="s">
        <v>7396</v>
      </c>
      <c r="E511" t="s">
        <v>2679</v>
      </c>
      <c r="F511" t="s">
        <v>7397</v>
      </c>
      <c r="G511">
        <v>39.348630825999997</v>
      </c>
      <c r="H511">
        <v>-82.039783587800002</v>
      </c>
      <c r="I511" t="s">
        <v>3448</v>
      </c>
      <c r="J511" t="s">
        <v>2454</v>
      </c>
      <c r="K511" t="s">
        <v>5829</v>
      </c>
      <c r="L511" t="s">
        <v>2456</v>
      </c>
      <c r="M511">
        <v>517</v>
      </c>
      <c r="N511" t="s">
        <v>3438</v>
      </c>
      <c r="O511" t="s">
        <v>1879</v>
      </c>
      <c r="P511" s="1">
        <v>44822</v>
      </c>
      <c r="Q511">
        <v>77.5</v>
      </c>
      <c r="R511">
        <v>26</v>
      </c>
      <c r="S511" t="s">
        <v>3427</v>
      </c>
      <c r="T511" t="s">
        <v>2747</v>
      </c>
      <c r="U511" s="10" t="s">
        <v>7398</v>
      </c>
      <c r="V511" s="10" t="s">
        <v>7399</v>
      </c>
      <c r="W511" t="s">
        <v>7400</v>
      </c>
      <c r="X511" t="s">
        <v>2688</v>
      </c>
      <c r="Y511" t="s">
        <v>2688</v>
      </c>
      <c r="Z511" t="s">
        <v>2747</v>
      </c>
      <c r="AA511" t="s">
        <v>2689</v>
      </c>
      <c r="AB511" t="s">
        <v>7401</v>
      </c>
      <c r="AD511" t="s">
        <v>7402</v>
      </c>
      <c r="AE511" t="s">
        <v>7403</v>
      </c>
      <c r="AH511" t="s">
        <v>3445</v>
      </c>
      <c r="AJ511" s="10" t="s">
        <v>7404</v>
      </c>
    </row>
    <row r="512" spans="1:36" ht="102" x14ac:dyDescent="0.4">
      <c r="A512" t="s">
        <v>1873</v>
      </c>
      <c r="B512" t="s">
        <v>7405</v>
      </c>
      <c r="C512" t="s">
        <v>3594</v>
      </c>
      <c r="D512" t="s">
        <v>7406</v>
      </c>
      <c r="E512" t="s">
        <v>2679</v>
      </c>
      <c r="F512" t="s">
        <v>7407</v>
      </c>
      <c r="G512">
        <v>39.346969407099998</v>
      </c>
      <c r="H512">
        <v>-82.0367920865</v>
      </c>
      <c r="I512" t="s">
        <v>3594</v>
      </c>
      <c r="J512" t="s">
        <v>2454</v>
      </c>
      <c r="K512" t="s">
        <v>5829</v>
      </c>
      <c r="L512" t="s">
        <v>2456</v>
      </c>
      <c r="M512">
        <v>515</v>
      </c>
      <c r="N512" t="s">
        <v>3438</v>
      </c>
      <c r="O512" t="s">
        <v>1873</v>
      </c>
      <c r="P512" s="1">
        <v>44822</v>
      </c>
      <c r="Q512">
        <v>77.599999999999994</v>
      </c>
      <c r="R512">
        <v>26</v>
      </c>
      <c r="S512" t="s">
        <v>3427</v>
      </c>
      <c r="T512" t="s">
        <v>2747</v>
      </c>
      <c r="U512" s="10" t="s">
        <v>7408</v>
      </c>
      <c r="V512" s="10" t="s">
        <v>7409</v>
      </c>
      <c r="W512" t="s">
        <v>5832</v>
      </c>
      <c r="X512" t="s">
        <v>2688</v>
      </c>
      <c r="Y512" t="s">
        <v>2688</v>
      </c>
      <c r="Z512" t="s">
        <v>2747</v>
      </c>
      <c r="AA512" t="s">
        <v>2689</v>
      </c>
      <c r="AB512" s="9" t="s">
        <v>7410</v>
      </c>
      <c r="AD512" t="s">
        <v>7411</v>
      </c>
      <c r="AE512" t="s">
        <v>7412</v>
      </c>
      <c r="AH512" t="s">
        <v>3445</v>
      </c>
      <c r="AJ512" s="10" t="s">
        <v>7413</v>
      </c>
    </row>
    <row r="513" spans="1:36" ht="174.9" x14ac:dyDescent="0.4">
      <c r="A513" t="s">
        <v>1868</v>
      </c>
      <c r="B513" t="s">
        <v>7414</v>
      </c>
      <c r="C513" t="s">
        <v>3594</v>
      </c>
      <c r="D513" t="s">
        <v>7415</v>
      </c>
      <c r="E513" t="s">
        <v>2679</v>
      </c>
      <c r="F513" t="s">
        <v>7416</v>
      </c>
      <c r="G513">
        <v>39.345543383900001</v>
      </c>
      <c r="H513">
        <v>-82.034655067499997</v>
      </c>
      <c r="I513" t="s">
        <v>3594</v>
      </c>
      <c r="J513" t="s">
        <v>2454</v>
      </c>
      <c r="K513" t="s">
        <v>5829</v>
      </c>
      <c r="L513" t="s">
        <v>2456</v>
      </c>
      <c r="M513">
        <v>514</v>
      </c>
      <c r="N513" t="s">
        <v>3438</v>
      </c>
      <c r="O513" t="s">
        <v>1868</v>
      </c>
      <c r="P513" s="1">
        <v>44822</v>
      </c>
      <c r="Q513">
        <v>13.3</v>
      </c>
      <c r="R513">
        <v>10</v>
      </c>
      <c r="S513" t="s">
        <v>3464</v>
      </c>
      <c r="T513" t="s">
        <v>2689</v>
      </c>
      <c r="U513" s="10" t="s">
        <v>7417</v>
      </c>
      <c r="V513" s="10" t="s">
        <v>7418</v>
      </c>
      <c r="W513" t="s">
        <v>7419</v>
      </c>
      <c r="X513" t="s">
        <v>2688</v>
      </c>
      <c r="Y513" t="s">
        <v>2688</v>
      </c>
      <c r="Z513" t="s">
        <v>2747</v>
      </c>
      <c r="AA513" t="s">
        <v>2689</v>
      </c>
      <c r="AB513" t="s">
        <v>7420</v>
      </c>
      <c r="AD513" t="s">
        <v>7421</v>
      </c>
      <c r="AE513" s="9" t="s">
        <v>7422</v>
      </c>
      <c r="AG513" t="s">
        <v>7423</v>
      </c>
      <c r="AH513" t="s">
        <v>3445</v>
      </c>
      <c r="AJ513" t="s">
        <v>5040</v>
      </c>
    </row>
    <row r="514" spans="1:36" ht="87.45" x14ac:dyDescent="0.4">
      <c r="A514" t="s">
        <v>423</v>
      </c>
      <c r="B514" t="s">
        <v>7424</v>
      </c>
      <c r="C514" t="s">
        <v>1411</v>
      </c>
      <c r="D514" t="s">
        <v>7425</v>
      </c>
      <c r="E514" t="s">
        <v>2679</v>
      </c>
      <c r="F514" t="s">
        <v>7426</v>
      </c>
      <c r="G514">
        <v>39.168249880899999</v>
      </c>
      <c r="H514">
        <v>-86.524123242200005</v>
      </c>
      <c r="I514" t="s">
        <v>1411</v>
      </c>
      <c r="J514" t="s">
        <v>2413</v>
      </c>
      <c r="K514" t="s">
        <v>7427</v>
      </c>
      <c r="L514" t="s">
        <v>2416</v>
      </c>
      <c r="M514">
        <v>513</v>
      </c>
      <c r="N514" t="s">
        <v>3438</v>
      </c>
      <c r="O514" t="s">
        <v>423</v>
      </c>
      <c r="P514" s="1">
        <v>44820</v>
      </c>
      <c r="Q514">
        <v>151.19999999999999</v>
      </c>
      <c r="R514">
        <v>25</v>
      </c>
      <c r="S514" t="s">
        <v>7428</v>
      </c>
      <c r="T514" t="s">
        <v>2688</v>
      </c>
      <c r="U514" t="s">
        <v>7429</v>
      </c>
      <c r="V514" t="s">
        <v>7430</v>
      </c>
      <c r="W514" t="s">
        <v>7431</v>
      </c>
      <c r="X514" t="s">
        <v>2688</v>
      </c>
      <c r="Y514" t="s">
        <v>2688</v>
      </c>
      <c r="Z514" t="s">
        <v>2689</v>
      </c>
      <c r="AA514" t="s">
        <v>2689</v>
      </c>
      <c r="AB514" t="s">
        <v>7432</v>
      </c>
      <c r="AC514" t="s">
        <v>7433</v>
      </c>
      <c r="AD514" t="s">
        <v>7434</v>
      </c>
      <c r="AE514" t="s">
        <v>7435</v>
      </c>
      <c r="AH514" t="s">
        <v>5876</v>
      </c>
      <c r="AJ514" s="10" t="s">
        <v>7436</v>
      </c>
    </row>
    <row r="515" spans="1:36" ht="131.15" x14ac:dyDescent="0.4">
      <c r="A515" t="s">
        <v>420</v>
      </c>
      <c r="B515" t="s">
        <v>7437</v>
      </c>
      <c r="C515" t="s">
        <v>3448</v>
      </c>
      <c r="D515" t="s">
        <v>7438</v>
      </c>
      <c r="E515" t="s">
        <v>2679</v>
      </c>
      <c r="F515" t="s">
        <v>7439</v>
      </c>
      <c r="G515">
        <v>39.188135820500001</v>
      </c>
      <c r="H515">
        <v>-86.501004612200006</v>
      </c>
      <c r="I515" t="s">
        <v>3448</v>
      </c>
      <c r="J515" t="s">
        <v>2413</v>
      </c>
      <c r="K515" t="s">
        <v>5934</v>
      </c>
      <c r="L515" t="s">
        <v>2415</v>
      </c>
      <c r="M515">
        <v>512</v>
      </c>
      <c r="N515" t="s">
        <v>3438</v>
      </c>
      <c r="O515" t="s">
        <v>420</v>
      </c>
      <c r="P515" s="1">
        <v>44820</v>
      </c>
      <c r="Q515">
        <v>23.7</v>
      </c>
      <c r="R515">
        <v>27</v>
      </c>
      <c r="S515" t="s">
        <v>3607</v>
      </c>
      <c r="T515" t="s">
        <v>2688</v>
      </c>
      <c r="U515" s="10" t="s">
        <v>7440</v>
      </c>
      <c r="V515" s="10" t="s">
        <v>7441</v>
      </c>
      <c r="W515" t="s">
        <v>7442</v>
      </c>
      <c r="X515" t="s">
        <v>2688</v>
      </c>
      <c r="Y515" t="s">
        <v>2688</v>
      </c>
      <c r="Z515" t="s">
        <v>2747</v>
      </c>
      <c r="AA515" t="s">
        <v>2689</v>
      </c>
      <c r="AB515" t="s">
        <v>7443</v>
      </c>
      <c r="AC515" t="s">
        <v>7444</v>
      </c>
      <c r="AD515" t="s">
        <v>7445</v>
      </c>
      <c r="AE515" t="s">
        <v>7446</v>
      </c>
      <c r="AH515" t="s">
        <v>5904</v>
      </c>
      <c r="AJ515" s="10" t="s">
        <v>7447</v>
      </c>
    </row>
    <row r="516" spans="1:36" ht="87.45" x14ac:dyDescent="0.4">
      <c r="A516" t="s">
        <v>417</v>
      </c>
      <c r="B516" t="s">
        <v>7448</v>
      </c>
      <c r="C516" t="s">
        <v>3448</v>
      </c>
      <c r="D516" t="s">
        <v>7449</v>
      </c>
      <c r="E516" t="s">
        <v>2679</v>
      </c>
      <c r="F516" t="s">
        <v>7450</v>
      </c>
      <c r="G516">
        <v>39.188756500399997</v>
      </c>
      <c r="H516">
        <v>-86.499316245399996</v>
      </c>
      <c r="I516" t="s">
        <v>3448</v>
      </c>
      <c r="J516" t="s">
        <v>2413</v>
      </c>
      <c r="K516" t="s">
        <v>5934</v>
      </c>
      <c r="L516" t="s">
        <v>2415</v>
      </c>
      <c r="M516">
        <v>511</v>
      </c>
      <c r="N516" t="s">
        <v>3438</v>
      </c>
      <c r="O516" t="s">
        <v>417</v>
      </c>
      <c r="P516" s="1">
        <v>44820</v>
      </c>
      <c r="Q516">
        <v>36.799999999999997</v>
      </c>
      <c r="R516">
        <v>28</v>
      </c>
      <c r="S516" t="s">
        <v>3427</v>
      </c>
      <c r="T516" t="s">
        <v>2747</v>
      </c>
      <c r="U516" s="10" t="s">
        <v>7451</v>
      </c>
      <c r="V516" s="10" t="s">
        <v>7452</v>
      </c>
      <c r="W516" t="s">
        <v>7453</v>
      </c>
      <c r="X516" t="s">
        <v>2688</v>
      </c>
      <c r="Y516" t="s">
        <v>2688</v>
      </c>
      <c r="Z516" t="s">
        <v>2747</v>
      </c>
      <c r="AA516" t="s">
        <v>2689</v>
      </c>
      <c r="AB516" t="s">
        <v>7454</v>
      </c>
      <c r="AD516" t="s">
        <v>7455</v>
      </c>
      <c r="AE516" t="s">
        <v>7456</v>
      </c>
      <c r="AH516" t="s">
        <v>5876</v>
      </c>
      <c r="AJ516" s="10" t="s">
        <v>7457</v>
      </c>
    </row>
    <row r="517" spans="1:36" ht="145.75" x14ac:dyDescent="0.4">
      <c r="A517" t="s">
        <v>414</v>
      </c>
      <c r="B517" t="s">
        <v>7458</v>
      </c>
      <c r="C517" t="s">
        <v>3448</v>
      </c>
      <c r="D517" t="s">
        <v>7449</v>
      </c>
      <c r="E517" t="s">
        <v>2679</v>
      </c>
      <c r="F517" t="s">
        <v>7459</v>
      </c>
      <c r="G517">
        <v>39.189637815600001</v>
      </c>
      <c r="H517">
        <v>-86.499759564300007</v>
      </c>
      <c r="I517" t="s">
        <v>3448</v>
      </c>
      <c r="J517" t="s">
        <v>2413</v>
      </c>
      <c r="K517" t="s">
        <v>5934</v>
      </c>
      <c r="L517" t="s">
        <v>2415</v>
      </c>
      <c r="M517">
        <v>510</v>
      </c>
      <c r="N517" t="s">
        <v>3438</v>
      </c>
      <c r="O517" t="s">
        <v>414</v>
      </c>
      <c r="P517" s="1">
        <v>44820</v>
      </c>
      <c r="Q517">
        <v>34.5</v>
      </c>
      <c r="R517">
        <v>28</v>
      </c>
      <c r="S517" t="s">
        <v>3607</v>
      </c>
      <c r="T517" t="s">
        <v>2747</v>
      </c>
      <c r="U517" s="10" t="s">
        <v>7460</v>
      </c>
      <c r="V517" s="10" t="s">
        <v>7461</v>
      </c>
      <c r="W517" t="s">
        <v>7462</v>
      </c>
      <c r="X517" t="s">
        <v>2688</v>
      </c>
      <c r="Y517" t="s">
        <v>2688</v>
      </c>
      <c r="Z517" t="s">
        <v>2747</v>
      </c>
      <c r="AA517" t="s">
        <v>2689</v>
      </c>
      <c r="AB517" t="s">
        <v>7463</v>
      </c>
      <c r="AD517" t="s">
        <v>7464</v>
      </c>
      <c r="AE517" t="s">
        <v>7465</v>
      </c>
      <c r="AH517" t="s">
        <v>5876</v>
      </c>
      <c r="AJ517" s="10" t="s">
        <v>5326</v>
      </c>
    </row>
    <row r="518" spans="1:36" ht="160.30000000000001" x14ac:dyDescent="0.4">
      <c r="A518" t="s">
        <v>411</v>
      </c>
      <c r="B518" t="s">
        <v>7466</v>
      </c>
      <c r="C518" t="s">
        <v>3448</v>
      </c>
      <c r="D518" t="s">
        <v>7467</v>
      </c>
      <c r="E518" t="s">
        <v>2679</v>
      </c>
      <c r="F518" t="s">
        <v>7468</v>
      </c>
      <c r="G518">
        <v>39.189364355999999</v>
      </c>
      <c r="H518">
        <v>-86.501253135599995</v>
      </c>
      <c r="I518" t="s">
        <v>3448</v>
      </c>
      <c r="J518" t="s">
        <v>2413</v>
      </c>
      <c r="K518" t="s">
        <v>5934</v>
      </c>
      <c r="L518" t="s">
        <v>2415</v>
      </c>
      <c r="M518">
        <v>509</v>
      </c>
      <c r="N518" t="s">
        <v>3438</v>
      </c>
      <c r="O518" t="s">
        <v>411</v>
      </c>
      <c r="P518" s="1">
        <v>44820</v>
      </c>
      <c r="Q518">
        <v>31.8</v>
      </c>
      <c r="R518">
        <v>28</v>
      </c>
      <c r="S518" t="s">
        <v>3607</v>
      </c>
      <c r="T518" t="s">
        <v>2747</v>
      </c>
      <c r="U518" s="10" t="s">
        <v>7469</v>
      </c>
      <c r="V518" s="10" t="s">
        <v>7470</v>
      </c>
      <c r="W518" t="s">
        <v>7471</v>
      </c>
      <c r="X518" t="s">
        <v>2688</v>
      </c>
      <c r="Y518" t="s">
        <v>2688</v>
      </c>
      <c r="Z518" t="s">
        <v>2747</v>
      </c>
      <c r="AA518" t="s">
        <v>2689</v>
      </c>
      <c r="AB518" t="s">
        <v>7472</v>
      </c>
      <c r="AD518" t="s">
        <v>7473</v>
      </c>
      <c r="AE518" t="s">
        <v>7474</v>
      </c>
      <c r="AH518" t="s">
        <v>5876</v>
      </c>
      <c r="AJ518" s="10" t="s">
        <v>7475</v>
      </c>
    </row>
    <row r="519" spans="1:36" ht="102" x14ac:dyDescent="0.4">
      <c r="A519" t="s">
        <v>427</v>
      </c>
      <c r="B519" t="s">
        <v>7476</v>
      </c>
      <c r="C519" t="s">
        <v>1411</v>
      </c>
      <c r="D519" t="s">
        <v>7477</v>
      </c>
      <c r="E519" t="s">
        <v>2679</v>
      </c>
      <c r="F519" t="s">
        <v>7478</v>
      </c>
      <c r="G519">
        <v>39.215941243800003</v>
      </c>
      <c r="H519">
        <v>-86.541416219499993</v>
      </c>
      <c r="I519" t="s">
        <v>1411</v>
      </c>
      <c r="J519" t="s">
        <v>2413</v>
      </c>
      <c r="K519" t="s">
        <v>428</v>
      </c>
      <c r="L519" t="s">
        <v>2417</v>
      </c>
      <c r="M519">
        <v>501</v>
      </c>
      <c r="N519" t="s">
        <v>3438</v>
      </c>
      <c r="O519" t="s">
        <v>427</v>
      </c>
      <c r="P519" s="1">
        <v>44820</v>
      </c>
      <c r="Q519">
        <v>105</v>
      </c>
      <c r="R519">
        <v>28</v>
      </c>
      <c r="S519" t="s">
        <v>3607</v>
      </c>
      <c r="T519" t="s">
        <v>2689</v>
      </c>
      <c r="U519" s="10" t="s">
        <v>7479</v>
      </c>
      <c r="V519" s="10" t="s">
        <v>7480</v>
      </c>
      <c r="W519" t="s">
        <v>7481</v>
      </c>
      <c r="X519" t="s">
        <v>2688</v>
      </c>
      <c r="Y519" t="s">
        <v>2688</v>
      </c>
      <c r="Z519" t="s">
        <v>2689</v>
      </c>
      <c r="AA519" t="s">
        <v>2689</v>
      </c>
      <c r="AB519" t="s">
        <v>7482</v>
      </c>
      <c r="AD519" t="s">
        <v>7483</v>
      </c>
      <c r="AE519" t="s">
        <v>7484</v>
      </c>
      <c r="AH519" t="s">
        <v>5876</v>
      </c>
      <c r="AJ519" s="10" t="s">
        <v>7485</v>
      </c>
    </row>
    <row r="520" spans="1:36" ht="145.75" x14ac:dyDescent="0.4">
      <c r="A520" t="s">
        <v>404</v>
      </c>
      <c r="B520" s="9" t="s">
        <v>7486</v>
      </c>
      <c r="C520" t="s">
        <v>1411</v>
      </c>
      <c r="D520" t="s">
        <v>7487</v>
      </c>
      <c r="E520" t="s">
        <v>2679</v>
      </c>
      <c r="F520" t="s">
        <v>7488</v>
      </c>
      <c r="G520">
        <v>39.221697044599999</v>
      </c>
      <c r="H520">
        <v>-86.5426338372</v>
      </c>
      <c r="I520" t="s">
        <v>1411</v>
      </c>
      <c r="J520" t="s">
        <v>2413</v>
      </c>
      <c r="K520" t="s">
        <v>5879</v>
      </c>
      <c r="L520" t="s">
        <v>2414</v>
      </c>
      <c r="M520">
        <v>500</v>
      </c>
      <c r="N520" t="s">
        <v>3438</v>
      </c>
      <c r="O520" t="s">
        <v>404</v>
      </c>
      <c r="P520" s="1">
        <v>44820</v>
      </c>
      <c r="Q520">
        <v>12.1</v>
      </c>
      <c r="R520">
        <v>12</v>
      </c>
      <c r="S520" t="s">
        <v>3427</v>
      </c>
      <c r="T520" t="s">
        <v>2688</v>
      </c>
      <c r="U520" s="10" t="s">
        <v>7489</v>
      </c>
      <c r="V520" s="10" t="s">
        <v>7490</v>
      </c>
      <c r="W520" t="s">
        <v>7491</v>
      </c>
      <c r="X520" t="s">
        <v>2688</v>
      </c>
      <c r="Y520" t="s">
        <v>2688</v>
      </c>
      <c r="Z520" t="s">
        <v>2689</v>
      </c>
      <c r="AA520" t="s">
        <v>2689</v>
      </c>
      <c r="AB520" t="s">
        <v>7492</v>
      </c>
      <c r="AC520" t="s">
        <v>7493</v>
      </c>
      <c r="AD520" t="s">
        <v>7494</v>
      </c>
      <c r="AE520" t="s">
        <v>7495</v>
      </c>
      <c r="AH520" t="s">
        <v>5876</v>
      </c>
      <c r="AJ520" s="10" t="s">
        <v>7496</v>
      </c>
    </row>
    <row r="521" spans="1:36" ht="116.6" x14ac:dyDescent="0.4">
      <c r="A521" t="s">
        <v>510</v>
      </c>
      <c r="B521" t="s">
        <v>7497</v>
      </c>
      <c r="C521" t="s">
        <v>1428</v>
      </c>
      <c r="D521" t="s">
        <v>7498</v>
      </c>
      <c r="E521" t="s">
        <v>2679</v>
      </c>
      <c r="F521" t="s">
        <v>7499</v>
      </c>
      <c r="G521">
        <v>40.455270702999997</v>
      </c>
      <c r="H521">
        <v>-85.510399611699995</v>
      </c>
      <c r="I521" t="s">
        <v>1428</v>
      </c>
      <c r="J521" t="s">
        <v>2413</v>
      </c>
      <c r="K521" t="s">
        <v>483</v>
      </c>
      <c r="L521" t="s">
        <v>2419</v>
      </c>
      <c r="M521">
        <v>494</v>
      </c>
      <c r="N521" t="s">
        <v>3438</v>
      </c>
      <c r="O521" t="s">
        <v>510</v>
      </c>
      <c r="P521" s="1">
        <v>44819</v>
      </c>
      <c r="Q521">
        <v>32</v>
      </c>
      <c r="R521">
        <v>22</v>
      </c>
      <c r="S521" t="s">
        <v>3427</v>
      </c>
      <c r="T521" t="s">
        <v>2689</v>
      </c>
      <c r="U521" s="10" t="s">
        <v>7500</v>
      </c>
      <c r="V521" s="10" t="s">
        <v>7501</v>
      </c>
      <c r="W521" t="s">
        <v>5624</v>
      </c>
      <c r="X521" t="s">
        <v>2688</v>
      </c>
      <c r="Y521" t="s">
        <v>2688</v>
      </c>
      <c r="Z521" t="s">
        <v>2747</v>
      </c>
      <c r="AA521" t="s">
        <v>2689</v>
      </c>
      <c r="AB521" t="s">
        <v>7502</v>
      </c>
      <c r="AD521" t="s">
        <v>7503</v>
      </c>
      <c r="AE521" t="s">
        <v>7504</v>
      </c>
      <c r="AH521" t="s">
        <v>3445</v>
      </c>
      <c r="AJ521" s="10" t="s">
        <v>7505</v>
      </c>
    </row>
    <row r="522" spans="1:36" ht="58.3" x14ac:dyDescent="0.4">
      <c r="A522" t="s">
        <v>507</v>
      </c>
      <c r="B522" t="s">
        <v>7506</v>
      </c>
      <c r="C522" t="s">
        <v>1428</v>
      </c>
      <c r="D522" t="s">
        <v>7507</v>
      </c>
      <c r="E522" t="s">
        <v>2679</v>
      </c>
      <c r="F522" t="s">
        <v>7508</v>
      </c>
      <c r="G522">
        <v>40.455482178399997</v>
      </c>
      <c r="H522">
        <v>-85.510500949000004</v>
      </c>
      <c r="I522" t="s">
        <v>1428</v>
      </c>
      <c r="J522" t="s">
        <v>2413</v>
      </c>
      <c r="K522" t="s">
        <v>483</v>
      </c>
      <c r="L522" t="s">
        <v>2419</v>
      </c>
      <c r="M522">
        <v>493</v>
      </c>
      <c r="N522" t="s">
        <v>3438</v>
      </c>
      <c r="O522" t="s">
        <v>507</v>
      </c>
      <c r="P522" s="1">
        <v>44819</v>
      </c>
      <c r="Q522">
        <v>58.4</v>
      </c>
      <c r="R522">
        <v>27</v>
      </c>
      <c r="S522" t="s">
        <v>3427</v>
      </c>
      <c r="T522" t="s">
        <v>2688</v>
      </c>
      <c r="U522" t="s">
        <v>7509</v>
      </c>
      <c r="V522" s="10" t="s">
        <v>7510</v>
      </c>
      <c r="W522" t="s">
        <v>7511</v>
      </c>
      <c r="X522" t="s">
        <v>2688</v>
      </c>
      <c r="Y522" t="s">
        <v>2688</v>
      </c>
      <c r="Z522" t="s">
        <v>2747</v>
      </c>
      <c r="AA522" t="s">
        <v>2689</v>
      </c>
      <c r="AB522" t="s">
        <v>7512</v>
      </c>
      <c r="AC522" t="s">
        <v>7513</v>
      </c>
      <c r="AD522" t="s">
        <v>7514</v>
      </c>
      <c r="AE522" t="s">
        <v>7515</v>
      </c>
      <c r="AH522" t="s">
        <v>3445</v>
      </c>
      <c r="AJ522" t="s">
        <v>7516</v>
      </c>
    </row>
    <row r="523" spans="1:36" ht="116.6" x14ac:dyDescent="0.4">
      <c r="A523" t="s">
        <v>498</v>
      </c>
      <c r="B523" t="s">
        <v>7517</v>
      </c>
      <c r="C523" t="s">
        <v>3594</v>
      </c>
      <c r="D523" t="s">
        <v>7518</v>
      </c>
      <c r="E523" t="s">
        <v>2679</v>
      </c>
      <c r="F523" t="s">
        <v>7519</v>
      </c>
      <c r="G523">
        <v>40.456661009299999</v>
      </c>
      <c r="H523">
        <v>-85.511559248099999</v>
      </c>
      <c r="I523" t="s">
        <v>3594</v>
      </c>
      <c r="J523" t="s">
        <v>2413</v>
      </c>
      <c r="K523" t="s">
        <v>483</v>
      </c>
      <c r="L523" t="s">
        <v>2419</v>
      </c>
      <c r="M523">
        <v>490</v>
      </c>
      <c r="N523" t="s">
        <v>3438</v>
      </c>
      <c r="O523" t="s">
        <v>498</v>
      </c>
      <c r="P523" s="1">
        <v>44819</v>
      </c>
      <c r="Q523">
        <v>47.1</v>
      </c>
      <c r="R523">
        <v>27</v>
      </c>
      <c r="S523" t="s">
        <v>3427</v>
      </c>
      <c r="T523" t="s">
        <v>2689</v>
      </c>
      <c r="U523" s="10" t="s">
        <v>7520</v>
      </c>
      <c r="V523" s="10" t="s">
        <v>7521</v>
      </c>
      <c r="W523" t="s">
        <v>5624</v>
      </c>
      <c r="X523" t="s">
        <v>2688</v>
      </c>
      <c r="Y523" t="s">
        <v>2688</v>
      </c>
      <c r="Z523" t="s">
        <v>2747</v>
      </c>
      <c r="AA523" t="s">
        <v>2689</v>
      </c>
      <c r="AB523" t="s">
        <v>7522</v>
      </c>
      <c r="AD523" t="s">
        <v>7523</v>
      </c>
      <c r="AE523" t="s">
        <v>7524</v>
      </c>
      <c r="AH523" t="s">
        <v>3445</v>
      </c>
      <c r="AJ523" s="10" t="s">
        <v>5645</v>
      </c>
    </row>
    <row r="524" spans="1:36" ht="145.75" x14ac:dyDescent="0.4">
      <c r="A524" t="s">
        <v>478</v>
      </c>
      <c r="B524" t="s">
        <v>7525</v>
      </c>
      <c r="C524" t="s">
        <v>3594</v>
      </c>
      <c r="D524" t="s">
        <v>7526</v>
      </c>
      <c r="E524" t="s">
        <v>2679</v>
      </c>
      <c r="F524" t="s">
        <v>7527</v>
      </c>
      <c r="G524">
        <v>40.437133396100002</v>
      </c>
      <c r="H524">
        <v>-86.929867370099998</v>
      </c>
      <c r="I524" t="s">
        <v>3594</v>
      </c>
      <c r="J524" t="s">
        <v>2413</v>
      </c>
      <c r="K524" t="s">
        <v>451</v>
      </c>
      <c r="L524" t="s">
        <v>2418</v>
      </c>
      <c r="M524">
        <v>484</v>
      </c>
      <c r="N524" t="s">
        <v>3438</v>
      </c>
      <c r="O524" t="s">
        <v>478</v>
      </c>
      <c r="P524" s="1">
        <v>44818</v>
      </c>
      <c r="Q524">
        <v>66.7</v>
      </c>
      <c r="R524">
        <v>26</v>
      </c>
      <c r="S524" t="s">
        <v>3427</v>
      </c>
      <c r="T524" t="s">
        <v>2689</v>
      </c>
      <c r="U524" s="10" t="s">
        <v>7528</v>
      </c>
      <c r="V524" s="10" t="s">
        <v>7529</v>
      </c>
      <c r="W524" t="s">
        <v>7530</v>
      </c>
      <c r="X524" t="s">
        <v>2688</v>
      </c>
      <c r="Y524" t="s">
        <v>2688</v>
      </c>
      <c r="Z524" t="s">
        <v>2747</v>
      </c>
      <c r="AA524" t="s">
        <v>2689</v>
      </c>
      <c r="AB524" t="s">
        <v>7531</v>
      </c>
      <c r="AD524" t="s">
        <v>7532</v>
      </c>
      <c r="AE524" t="s">
        <v>7533</v>
      </c>
      <c r="AH524" t="s">
        <v>3445</v>
      </c>
      <c r="AJ524" s="10" t="s">
        <v>5326</v>
      </c>
    </row>
    <row r="525" spans="1:36" ht="102" x14ac:dyDescent="0.4">
      <c r="A525" t="s">
        <v>475</v>
      </c>
      <c r="B525" t="s">
        <v>7534</v>
      </c>
      <c r="C525" t="s">
        <v>3594</v>
      </c>
      <c r="D525" t="s">
        <v>7535</v>
      </c>
      <c r="E525" t="s">
        <v>2679</v>
      </c>
      <c r="F525" t="s">
        <v>7536</v>
      </c>
      <c r="G525">
        <v>40.436986545099998</v>
      </c>
      <c r="H525">
        <v>-86.928988108499993</v>
      </c>
      <c r="I525" t="s">
        <v>3594</v>
      </c>
      <c r="J525" t="s">
        <v>2413</v>
      </c>
      <c r="K525" t="s">
        <v>451</v>
      </c>
      <c r="L525" t="s">
        <v>2418</v>
      </c>
      <c r="M525">
        <v>483</v>
      </c>
      <c r="N525" t="s">
        <v>3438</v>
      </c>
      <c r="O525" t="s">
        <v>475</v>
      </c>
      <c r="P525" s="1">
        <v>44818</v>
      </c>
      <c r="Q525">
        <v>38.200000000000003</v>
      </c>
      <c r="R525">
        <v>26</v>
      </c>
      <c r="S525" t="s">
        <v>3607</v>
      </c>
      <c r="T525" t="s">
        <v>2689</v>
      </c>
      <c r="U525" s="10" t="s">
        <v>7537</v>
      </c>
      <c r="V525" s="10" t="s">
        <v>7538</v>
      </c>
      <c r="W525" t="s">
        <v>7539</v>
      </c>
      <c r="X525" t="s">
        <v>2688</v>
      </c>
      <c r="Y525" t="s">
        <v>2688</v>
      </c>
      <c r="Z525" t="s">
        <v>2747</v>
      </c>
      <c r="AA525" t="s">
        <v>2689</v>
      </c>
      <c r="AB525" s="9" t="s">
        <v>7540</v>
      </c>
      <c r="AD525" t="s">
        <v>7541</v>
      </c>
      <c r="AE525" t="s">
        <v>7542</v>
      </c>
      <c r="AH525" t="s">
        <v>3445</v>
      </c>
      <c r="AJ525" s="10" t="s">
        <v>7543</v>
      </c>
    </row>
    <row r="526" spans="1:36" ht="116.6" x14ac:dyDescent="0.4">
      <c r="A526" t="s">
        <v>472</v>
      </c>
      <c r="B526" t="s">
        <v>7544</v>
      </c>
      <c r="C526" t="s">
        <v>3594</v>
      </c>
      <c r="D526" t="s">
        <v>7535</v>
      </c>
      <c r="E526" t="s">
        <v>2679</v>
      </c>
      <c r="F526" t="s">
        <v>7545</v>
      </c>
      <c r="G526">
        <v>40.438523702399998</v>
      </c>
      <c r="H526">
        <v>-86.930983336699995</v>
      </c>
      <c r="I526" t="s">
        <v>3594</v>
      </c>
      <c r="J526" t="s">
        <v>2413</v>
      </c>
      <c r="K526" t="s">
        <v>451</v>
      </c>
      <c r="L526" t="s">
        <v>2418</v>
      </c>
      <c r="M526">
        <v>482</v>
      </c>
      <c r="N526" t="s">
        <v>3438</v>
      </c>
      <c r="O526" t="s">
        <v>472</v>
      </c>
      <c r="P526" s="1">
        <v>44818</v>
      </c>
      <c r="Q526">
        <v>66</v>
      </c>
      <c r="R526">
        <v>29</v>
      </c>
      <c r="S526" t="s">
        <v>3607</v>
      </c>
      <c r="T526" t="s">
        <v>2689</v>
      </c>
      <c r="U526" s="10" t="s">
        <v>7546</v>
      </c>
      <c r="V526" s="10" t="s">
        <v>7547</v>
      </c>
      <c r="W526" t="s">
        <v>7548</v>
      </c>
      <c r="X526" t="s">
        <v>2688</v>
      </c>
      <c r="Y526" t="s">
        <v>2688</v>
      </c>
      <c r="Z526" t="s">
        <v>2747</v>
      </c>
      <c r="AA526" t="s">
        <v>2689</v>
      </c>
      <c r="AB526" t="s">
        <v>7549</v>
      </c>
      <c r="AD526" t="s">
        <v>7550</v>
      </c>
      <c r="AE526" t="s">
        <v>7551</v>
      </c>
      <c r="AH526" t="s">
        <v>3445</v>
      </c>
      <c r="AJ526" s="10" t="s">
        <v>7413</v>
      </c>
    </row>
    <row r="527" spans="1:36" ht="131.15" x14ac:dyDescent="0.4">
      <c r="A527" t="s">
        <v>469</v>
      </c>
      <c r="B527" t="s">
        <v>7552</v>
      </c>
      <c r="C527" t="s">
        <v>3448</v>
      </c>
      <c r="D527" t="s">
        <v>7553</v>
      </c>
      <c r="E527" t="s">
        <v>2679</v>
      </c>
      <c r="F527" t="s">
        <v>7554</v>
      </c>
      <c r="G527">
        <v>40.438481457599998</v>
      </c>
      <c r="H527">
        <v>-86.931088361999997</v>
      </c>
      <c r="I527" t="s">
        <v>3448</v>
      </c>
      <c r="J527" t="s">
        <v>2413</v>
      </c>
      <c r="K527" t="s">
        <v>451</v>
      </c>
      <c r="L527" t="s">
        <v>2418</v>
      </c>
      <c r="M527">
        <v>481</v>
      </c>
      <c r="N527" t="s">
        <v>3438</v>
      </c>
      <c r="O527" t="s">
        <v>469</v>
      </c>
      <c r="P527" s="1">
        <v>44818</v>
      </c>
      <c r="Q527">
        <v>64.099999999999994</v>
      </c>
      <c r="R527">
        <v>27</v>
      </c>
      <c r="S527" t="s">
        <v>3607</v>
      </c>
      <c r="T527" t="s">
        <v>2689</v>
      </c>
      <c r="U527" s="10" t="s">
        <v>7555</v>
      </c>
      <c r="V527" s="10" t="s">
        <v>7556</v>
      </c>
      <c r="W527" t="s">
        <v>7557</v>
      </c>
      <c r="X527" t="s">
        <v>2688</v>
      </c>
      <c r="Y527" t="s">
        <v>2688</v>
      </c>
      <c r="Z527" t="s">
        <v>2747</v>
      </c>
      <c r="AA527" t="s">
        <v>2689</v>
      </c>
      <c r="AB527" t="s">
        <v>7558</v>
      </c>
      <c r="AD527" t="s">
        <v>7559</v>
      </c>
      <c r="AE527" t="s">
        <v>7560</v>
      </c>
      <c r="AH527" t="s">
        <v>3445</v>
      </c>
      <c r="AJ527" s="10" t="s">
        <v>7561</v>
      </c>
    </row>
    <row r="528" spans="1:36" ht="87.45" x14ac:dyDescent="0.4">
      <c r="A528" t="s">
        <v>466</v>
      </c>
      <c r="B528" t="s">
        <v>7562</v>
      </c>
      <c r="C528" t="s">
        <v>1411</v>
      </c>
      <c r="D528" t="s">
        <v>7553</v>
      </c>
      <c r="E528" t="s">
        <v>2679</v>
      </c>
      <c r="F528" t="s">
        <v>7563</v>
      </c>
      <c r="G528">
        <v>40.437031933100002</v>
      </c>
      <c r="H528">
        <v>-86.933588599900006</v>
      </c>
      <c r="I528" t="s">
        <v>1411</v>
      </c>
      <c r="J528" t="s">
        <v>2413</v>
      </c>
      <c r="K528" t="s">
        <v>451</v>
      </c>
      <c r="L528" t="s">
        <v>2418</v>
      </c>
      <c r="M528">
        <v>480</v>
      </c>
      <c r="N528" t="s">
        <v>3438</v>
      </c>
      <c r="O528" t="s">
        <v>466</v>
      </c>
      <c r="P528" s="1">
        <v>44818</v>
      </c>
      <c r="Q528">
        <v>68.2</v>
      </c>
      <c r="R528">
        <v>28</v>
      </c>
      <c r="S528" t="s">
        <v>3607</v>
      </c>
      <c r="T528" t="s">
        <v>2688</v>
      </c>
      <c r="U528" s="10" t="s">
        <v>7564</v>
      </c>
      <c r="V528" s="10" t="s">
        <v>7565</v>
      </c>
      <c r="W528" t="s">
        <v>7566</v>
      </c>
      <c r="X528" t="s">
        <v>2688</v>
      </c>
      <c r="Y528" t="s">
        <v>2688</v>
      </c>
      <c r="Z528" t="s">
        <v>2689</v>
      </c>
      <c r="AA528" t="s">
        <v>2689</v>
      </c>
      <c r="AC528" t="s">
        <v>7567</v>
      </c>
      <c r="AD528" t="s">
        <v>7568</v>
      </c>
      <c r="AE528" t="s">
        <v>7569</v>
      </c>
      <c r="AH528" t="s">
        <v>3445</v>
      </c>
      <c r="AJ528" s="10" t="s">
        <v>7570</v>
      </c>
    </row>
    <row r="529" spans="1:36" ht="174.9" x14ac:dyDescent="0.4">
      <c r="A529" t="s">
        <v>463</v>
      </c>
      <c r="B529" t="s">
        <v>7571</v>
      </c>
      <c r="C529" t="s">
        <v>1428</v>
      </c>
      <c r="D529" t="s">
        <v>7572</v>
      </c>
      <c r="E529" t="s">
        <v>2679</v>
      </c>
      <c r="F529" t="s">
        <v>7573</v>
      </c>
      <c r="G529">
        <v>40.436678049199998</v>
      </c>
      <c r="H529">
        <v>-86.934216069100003</v>
      </c>
      <c r="I529" t="s">
        <v>1428</v>
      </c>
      <c r="J529" t="s">
        <v>2413</v>
      </c>
      <c r="K529" t="s">
        <v>451</v>
      </c>
      <c r="L529" t="s">
        <v>2418</v>
      </c>
      <c r="M529">
        <v>479</v>
      </c>
      <c r="N529" t="s">
        <v>3438</v>
      </c>
      <c r="O529" t="s">
        <v>463</v>
      </c>
      <c r="P529" s="1">
        <v>44818</v>
      </c>
      <c r="Q529">
        <v>83.5</v>
      </c>
      <c r="R529">
        <v>26</v>
      </c>
      <c r="S529" t="s">
        <v>3607</v>
      </c>
      <c r="T529" t="s">
        <v>2689</v>
      </c>
      <c r="U529" s="10" t="s">
        <v>7574</v>
      </c>
      <c r="V529" s="10" t="s">
        <v>7575</v>
      </c>
      <c r="W529" t="s">
        <v>7576</v>
      </c>
      <c r="X529" t="s">
        <v>2688</v>
      </c>
      <c r="Y529" t="s">
        <v>2688</v>
      </c>
      <c r="Z529" t="s">
        <v>2747</v>
      </c>
      <c r="AA529" t="s">
        <v>2689</v>
      </c>
      <c r="AB529" t="s">
        <v>7577</v>
      </c>
      <c r="AD529" t="s">
        <v>7578</v>
      </c>
      <c r="AE529" t="s">
        <v>7579</v>
      </c>
      <c r="AH529" t="s">
        <v>3445</v>
      </c>
      <c r="AJ529" s="10" t="s">
        <v>7580</v>
      </c>
    </row>
    <row r="530" spans="1:36" ht="174.9" x14ac:dyDescent="0.4">
      <c r="A530" t="s">
        <v>460</v>
      </c>
      <c r="B530" t="s">
        <v>7581</v>
      </c>
      <c r="C530" t="s">
        <v>3448</v>
      </c>
      <c r="D530" t="s">
        <v>7582</v>
      </c>
      <c r="E530" t="s">
        <v>2679</v>
      </c>
      <c r="F530" t="s">
        <v>7583</v>
      </c>
      <c r="G530">
        <v>40.435177101800001</v>
      </c>
      <c r="H530">
        <v>-86.933136060899997</v>
      </c>
      <c r="I530" t="s">
        <v>3448</v>
      </c>
      <c r="J530" t="s">
        <v>2413</v>
      </c>
      <c r="K530" t="s">
        <v>451</v>
      </c>
      <c r="L530" t="s">
        <v>2418</v>
      </c>
      <c r="M530">
        <v>478</v>
      </c>
      <c r="N530" t="s">
        <v>3438</v>
      </c>
      <c r="O530" t="s">
        <v>460</v>
      </c>
      <c r="P530" s="1">
        <v>44818</v>
      </c>
      <c r="Q530">
        <v>55.3</v>
      </c>
      <c r="R530">
        <v>26</v>
      </c>
      <c r="S530" t="s">
        <v>3607</v>
      </c>
      <c r="T530" t="s">
        <v>2688</v>
      </c>
      <c r="U530" s="10" t="s">
        <v>7584</v>
      </c>
      <c r="V530" s="10" t="s">
        <v>7585</v>
      </c>
      <c r="W530" t="s">
        <v>7586</v>
      </c>
      <c r="X530" t="s">
        <v>2688</v>
      </c>
      <c r="Y530" t="s">
        <v>2688</v>
      </c>
      <c r="Z530" t="s">
        <v>2747</v>
      </c>
      <c r="AA530" t="s">
        <v>2689</v>
      </c>
      <c r="AB530" t="s">
        <v>7587</v>
      </c>
      <c r="AC530" t="s">
        <v>7588</v>
      </c>
      <c r="AD530" t="s">
        <v>7589</v>
      </c>
      <c r="AE530" t="s">
        <v>7590</v>
      </c>
      <c r="AH530" t="s">
        <v>3445</v>
      </c>
      <c r="AJ530" t="s">
        <v>7591</v>
      </c>
    </row>
    <row r="531" spans="1:36" ht="131.15" x14ac:dyDescent="0.4">
      <c r="A531" t="s">
        <v>457</v>
      </c>
      <c r="B531" t="s">
        <v>7592</v>
      </c>
      <c r="C531" t="s">
        <v>3448</v>
      </c>
      <c r="D531" t="s">
        <v>7582</v>
      </c>
      <c r="E531" t="s">
        <v>2679</v>
      </c>
      <c r="F531" t="s">
        <v>7593</v>
      </c>
      <c r="G531">
        <v>40.437374082399998</v>
      </c>
      <c r="H531">
        <v>-86.932793241100001</v>
      </c>
      <c r="I531" t="s">
        <v>3448</v>
      </c>
      <c r="J531" t="s">
        <v>2413</v>
      </c>
      <c r="K531" t="s">
        <v>451</v>
      </c>
      <c r="L531" t="s">
        <v>2418</v>
      </c>
      <c r="M531">
        <v>477</v>
      </c>
      <c r="N531" t="s">
        <v>3438</v>
      </c>
      <c r="O531" t="s">
        <v>457</v>
      </c>
      <c r="P531" s="1">
        <v>44818</v>
      </c>
      <c r="Q531">
        <v>53.3</v>
      </c>
      <c r="R531">
        <v>27</v>
      </c>
      <c r="S531" t="s">
        <v>3607</v>
      </c>
      <c r="T531" t="s">
        <v>2688</v>
      </c>
      <c r="U531" s="10" t="s">
        <v>7594</v>
      </c>
      <c r="V531" s="10" t="s">
        <v>7595</v>
      </c>
      <c r="W531" t="s">
        <v>7596</v>
      </c>
      <c r="X531" t="s">
        <v>2688</v>
      </c>
      <c r="Y531" t="s">
        <v>2688</v>
      </c>
      <c r="Z531" t="s">
        <v>2747</v>
      </c>
      <c r="AA531" t="s">
        <v>2689</v>
      </c>
      <c r="AB531" t="s">
        <v>7597</v>
      </c>
      <c r="AC531" t="s">
        <v>7598</v>
      </c>
      <c r="AD531" t="s">
        <v>7599</v>
      </c>
      <c r="AE531" t="s">
        <v>7600</v>
      </c>
      <c r="AH531" t="s">
        <v>3445</v>
      </c>
      <c r="AJ531" t="s">
        <v>5040</v>
      </c>
    </row>
    <row r="532" spans="1:36" ht="160.30000000000001" x14ac:dyDescent="0.4">
      <c r="A532" t="s">
        <v>454</v>
      </c>
      <c r="B532" t="s">
        <v>7601</v>
      </c>
      <c r="C532" t="s">
        <v>1428</v>
      </c>
      <c r="D532" t="s">
        <v>7602</v>
      </c>
      <c r="E532" t="s">
        <v>2679</v>
      </c>
      <c r="F532" t="s">
        <v>7603</v>
      </c>
      <c r="G532">
        <v>40.437711621699997</v>
      </c>
      <c r="H532">
        <v>-86.932539018</v>
      </c>
      <c r="I532" t="s">
        <v>1428</v>
      </c>
      <c r="J532" t="s">
        <v>2413</v>
      </c>
      <c r="K532" t="s">
        <v>451</v>
      </c>
      <c r="L532" t="s">
        <v>2418</v>
      </c>
      <c r="M532">
        <v>476</v>
      </c>
      <c r="N532" t="s">
        <v>3438</v>
      </c>
      <c r="O532" t="s">
        <v>454</v>
      </c>
      <c r="P532" s="1">
        <v>44818</v>
      </c>
      <c r="Q532">
        <v>79.2</v>
      </c>
      <c r="R532">
        <v>27</v>
      </c>
      <c r="S532" t="s">
        <v>3607</v>
      </c>
      <c r="T532" t="s">
        <v>2689</v>
      </c>
      <c r="U532" s="10" t="s">
        <v>7604</v>
      </c>
      <c r="V532" s="10" t="s">
        <v>7605</v>
      </c>
      <c r="W532" t="s">
        <v>7606</v>
      </c>
      <c r="X532" t="s">
        <v>2688</v>
      </c>
      <c r="Y532" t="s">
        <v>2688</v>
      </c>
      <c r="Z532" t="s">
        <v>2747</v>
      </c>
      <c r="AA532" t="s">
        <v>2689</v>
      </c>
      <c r="AB532" t="s">
        <v>7607</v>
      </c>
      <c r="AD532" t="s">
        <v>7608</v>
      </c>
      <c r="AE532" t="s">
        <v>7609</v>
      </c>
      <c r="AH532" t="s">
        <v>3445</v>
      </c>
      <c r="AJ532" s="10" t="s">
        <v>7610</v>
      </c>
    </row>
    <row r="533" spans="1:36" ht="102" x14ac:dyDescent="0.4">
      <c r="A533" t="s">
        <v>449</v>
      </c>
      <c r="B533" t="s">
        <v>7611</v>
      </c>
      <c r="C533" t="s">
        <v>3448</v>
      </c>
      <c r="D533" t="s">
        <v>7612</v>
      </c>
      <c r="E533" t="s">
        <v>2679</v>
      </c>
      <c r="F533" t="s">
        <v>7613</v>
      </c>
      <c r="G533">
        <v>40.438740248800002</v>
      </c>
      <c r="H533">
        <v>-86.932774046500001</v>
      </c>
      <c r="I533" t="s">
        <v>3448</v>
      </c>
      <c r="J533" t="s">
        <v>2413</v>
      </c>
      <c r="K533" t="s">
        <v>451</v>
      </c>
      <c r="L533" t="s">
        <v>2418</v>
      </c>
      <c r="M533">
        <v>475</v>
      </c>
      <c r="N533" t="s">
        <v>3438</v>
      </c>
      <c r="O533" t="s">
        <v>449</v>
      </c>
      <c r="P533" s="1">
        <v>44818</v>
      </c>
      <c r="Q533">
        <v>58.3</v>
      </c>
      <c r="R533">
        <v>22</v>
      </c>
      <c r="S533" t="s">
        <v>3607</v>
      </c>
      <c r="T533" t="s">
        <v>2689</v>
      </c>
      <c r="U533" s="10" t="s">
        <v>7614</v>
      </c>
      <c r="V533" s="10" t="s">
        <v>7615</v>
      </c>
      <c r="W533" t="s">
        <v>7616</v>
      </c>
      <c r="X533" t="s">
        <v>2688</v>
      </c>
      <c r="Y533" t="s">
        <v>2688</v>
      </c>
      <c r="Z533" t="s">
        <v>2747</v>
      </c>
      <c r="AA533" t="s">
        <v>2689</v>
      </c>
      <c r="AB533" t="s">
        <v>7617</v>
      </c>
      <c r="AD533" t="s">
        <v>7618</v>
      </c>
      <c r="AE533" t="s">
        <v>7619</v>
      </c>
      <c r="AH533" t="s">
        <v>3445</v>
      </c>
      <c r="AJ533" s="10" t="s">
        <v>7620</v>
      </c>
    </row>
    <row r="534" spans="1:36" ht="306" x14ac:dyDescent="0.4">
      <c r="A534" t="s">
        <v>354</v>
      </c>
      <c r="B534" t="s">
        <v>7621</v>
      </c>
      <c r="C534" t="s">
        <v>1411</v>
      </c>
      <c r="D534" t="s">
        <v>7622</v>
      </c>
      <c r="E534" t="s">
        <v>2679</v>
      </c>
      <c r="F534" t="s">
        <v>7623</v>
      </c>
      <c r="G534">
        <v>42.182159177099997</v>
      </c>
      <c r="H534">
        <v>-87.911855355</v>
      </c>
      <c r="I534" t="s">
        <v>1411</v>
      </c>
      <c r="J534" t="s">
        <v>2407</v>
      </c>
      <c r="K534" t="s">
        <v>351</v>
      </c>
      <c r="L534" t="s">
        <v>2412</v>
      </c>
      <c r="M534">
        <v>461</v>
      </c>
      <c r="N534" t="s">
        <v>3438</v>
      </c>
      <c r="O534" t="s">
        <v>354</v>
      </c>
      <c r="P534" s="1">
        <v>44812</v>
      </c>
      <c r="Q534">
        <v>72.400000000000006</v>
      </c>
      <c r="R534">
        <v>22</v>
      </c>
      <c r="S534" t="s">
        <v>3427</v>
      </c>
      <c r="T534" t="s">
        <v>2688</v>
      </c>
      <c r="U534" s="10" t="s">
        <v>7624</v>
      </c>
      <c r="V534" s="10" t="s">
        <v>7625</v>
      </c>
      <c r="W534" t="s">
        <v>7626</v>
      </c>
      <c r="X534" t="s">
        <v>2688</v>
      </c>
      <c r="Y534" t="s">
        <v>2688</v>
      </c>
      <c r="Z534" t="s">
        <v>2689</v>
      </c>
      <c r="AA534" t="s">
        <v>2689</v>
      </c>
      <c r="AB534" t="s">
        <v>7627</v>
      </c>
      <c r="AC534" t="s">
        <v>7628</v>
      </c>
      <c r="AD534" t="s">
        <v>7629</v>
      </c>
      <c r="AE534" t="s">
        <v>7630</v>
      </c>
      <c r="AH534" t="s">
        <v>3445</v>
      </c>
      <c r="AJ534" t="s">
        <v>7631</v>
      </c>
    </row>
    <row r="535" spans="1:36" ht="72.900000000000006" x14ac:dyDescent="0.4">
      <c r="A535" t="s">
        <v>2213</v>
      </c>
      <c r="B535" s="9" t="s">
        <v>7632</v>
      </c>
      <c r="C535" t="s">
        <v>1411</v>
      </c>
      <c r="D535" t="s">
        <v>7633</v>
      </c>
      <c r="E535" t="s">
        <v>2679</v>
      </c>
      <c r="F535" t="s">
        <v>7634</v>
      </c>
      <c r="G535">
        <v>32.635237178799997</v>
      </c>
      <c r="H535">
        <v>-96.973622404099999</v>
      </c>
      <c r="I535" t="s">
        <v>1411</v>
      </c>
      <c r="J535" t="s">
        <v>2463</v>
      </c>
      <c r="K535" t="s">
        <v>2198</v>
      </c>
      <c r="L535" t="s">
        <v>2403</v>
      </c>
      <c r="M535">
        <v>454</v>
      </c>
      <c r="N535" t="s">
        <v>3438</v>
      </c>
      <c r="O535" t="s">
        <v>2213</v>
      </c>
      <c r="P535" s="1">
        <v>44808</v>
      </c>
      <c r="Q535">
        <v>32.4</v>
      </c>
      <c r="R535">
        <v>22</v>
      </c>
      <c r="S535" t="s">
        <v>3584</v>
      </c>
      <c r="T535" t="s">
        <v>2689</v>
      </c>
      <c r="U535" s="10" t="s">
        <v>7635</v>
      </c>
      <c r="V535" s="10" t="s">
        <v>7636</v>
      </c>
      <c r="W535" t="s">
        <v>7637</v>
      </c>
      <c r="X535" t="s">
        <v>2688</v>
      </c>
      <c r="Y535" t="s">
        <v>2688</v>
      </c>
      <c r="Z535" t="s">
        <v>2747</v>
      </c>
      <c r="AA535" t="s">
        <v>2689</v>
      </c>
      <c r="AB535" t="s">
        <v>7638</v>
      </c>
      <c r="AD535" t="s">
        <v>7639</v>
      </c>
      <c r="AE535" t="s">
        <v>7640</v>
      </c>
      <c r="AH535" t="s">
        <v>5079</v>
      </c>
      <c r="AJ535" t="s">
        <v>5113</v>
      </c>
    </row>
    <row r="536" spans="1:36" ht="102" x14ac:dyDescent="0.4">
      <c r="A536" t="s">
        <v>2264</v>
      </c>
      <c r="B536" t="s">
        <v>7641</v>
      </c>
      <c r="C536" t="s">
        <v>1411</v>
      </c>
      <c r="D536" t="s">
        <v>7642</v>
      </c>
      <c r="E536" t="s">
        <v>2679</v>
      </c>
      <c r="F536" t="s">
        <v>7643</v>
      </c>
      <c r="G536">
        <v>29.5891234791</v>
      </c>
      <c r="H536">
        <v>-97.583497390199994</v>
      </c>
      <c r="I536" t="s">
        <v>1411</v>
      </c>
      <c r="J536" t="s">
        <v>2463</v>
      </c>
      <c r="K536" t="s">
        <v>5105</v>
      </c>
      <c r="L536" t="s">
        <v>2465</v>
      </c>
      <c r="M536">
        <v>448</v>
      </c>
      <c r="N536" t="s">
        <v>3438</v>
      </c>
      <c r="O536" t="s">
        <v>2264</v>
      </c>
      <c r="P536" s="1">
        <v>44806</v>
      </c>
      <c r="Q536">
        <v>43</v>
      </c>
      <c r="R536">
        <v>25</v>
      </c>
      <c r="S536" t="s">
        <v>3427</v>
      </c>
      <c r="T536" t="s">
        <v>2689</v>
      </c>
      <c r="U536" s="10" t="s">
        <v>7644</v>
      </c>
      <c r="V536" s="10" t="s">
        <v>7645</v>
      </c>
      <c r="W536" t="s">
        <v>7646</v>
      </c>
      <c r="X536" t="s">
        <v>2688</v>
      </c>
      <c r="Y536" t="s">
        <v>2688</v>
      </c>
      <c r="Z536" t="s">
        <v>2689</v>
      </c>
      <c r="AA536" t="s">
        <v>2689</v>
      </c>
      <c r="AB536" t="s">
        <v>7647</v>
      </c>
      <c r="AD536" t="s">
        <v>7648</v>
      </c>
      <c r="AE536" t="s">
        <v>7649</v>
      </c>
      <c r="AH536" t="s">
        <v>3445</v>
      </c>
      <c r="AJ536" t="s">
        <v>5113</v>
      </c>
    </row>
    <row r="537" spans="1:36" ht="102" x14ac:dyDescent="0.4">
      <c r="A537" t="s">
        <v>2261</v>
      </c>
      <c r="B537" t="s">
        <v>7650</v>
      </c>
      <c r="C537" t="s">
        <v>5071</v>
      </c>
      <c r="D537" t="s">
        <v>7642</v>
      </c>
      <c r="E537" t="s">
        <v>2679</v>
      </c>
      <c r="F537" t="s">
        <v>7651</v>
      </c>
      <c r="G537">
        <v>29.5895885909</v>
      </c>
      <c r="H537">
        <v>-97.582771433600001</v>
      </c>
      <c r="I537" t="s">
        <v>5071</v>
      </c>
      <c r="J537" t="s">
        <v>2463</v>
      </c>
      <c r="K537" t="s">
        <v>5105</v>
      </c>
      <c r="L537" t="s">
        <v>2465</v>
      </c>
      <c r="M537">
        <v>447</v>
      </c>
      <c r="N537" t="s">
        <v>3438</v>
      </c>
      <c r="O537" t="s">
        <v>2261</v>
      </c>
      <c r="P537" s="1">
        <v>44806</v>
      </c>
      <c r="Q537">
        <v>30.1</v>
      </c>
      <c r="R537">
        <v>27</v>
      </c>
      <c r="S537" t="s">
        <v>3427</v>
      </c>
      <c r="T537" t="s">
        <v>2689</v>
      </c>
      <c r="U537" s="10" t="s">
        <v>7652</v>
      </c>
      <c r="V537" s="10" t="s">
        <v>7653</v>
      </c>
      <c r="W537" t="s">
        <v>7654</v>
      </c>
      <c r="X537" t="s">
        <v>2688</v>
      </c>
      <c r="Y537" t="s">
        <v>2688</v>
      </c>
      <c r="Z537" t="s">
        <v>2747</v>
      </c>
      <c r="AA537" t="s">
        <v>2689</v>
      </c>
      <c r="AB537" t="s">
        <v>7655</v>
      </c>
      <c r="AD537" t="s">
        <v>7656</v>
      </c>
      <c r="AE537" t="s">
        <v>7657</v>
      </c>
      <c r="AH537" t="s">
        <v>3445</v>
      </c>
      <c r="AJ537" t="s">
        <v>5113</v>
      </c>
    </row>
    <row r="538" spans="1:36" ht="145.75" x14ac:dyDescent="0.4">
      <c r="A538" t="s">
        <v>2255</v>
      </c>
      <c r="B538" t="s">
        <v>7658</v>
      </c>
      <c r="C538" t="s">
        <v>5071</v>
      </c>
      <c r="D538" t="s">
        <v>7659</v>
      </c>
      <c r="E538" t="s">
        <v>2679</v>
      </c>
      <c r="F538" t="s">
        <v>7660</v>
      </c>
      <c r="G538">
        <v>29.587322501500001</v>
      </c>
      <c r="H538">
        <v>-97.583984546500005</v>
      </c>
      <c r="I538" t="s">
        <v>5071</v>
      </c>
      <c r="J538" t="s">
        <v>2463</v>
      </c>
      <c r="K538" t="s">
        <v>5105</v>
      </c>
      <c r="L538" t="s">
        <v>2465</v>
      </c>
      <c r="M538">
        <v>445</v>
      </c>
      <c r="N538" t="s">
        <v>3438</v>
      </c>
      <c r="O538" t="s">
        <v>2255</v>
      </c>
      <c r="P538" s="1">
        <v>44806</v>
      </c>
      <c r="Q538">
        <v>38.200000000000003</v>
      </c>
      <c r="R538">
        <v>26</v>
      </c>
      <c r="S538" t="s">
        <v>3427</v>
      </c>
      <c r="T538" t="s">
        <v>2689</v>
      </c>
      <c r="U538" s="10" t="s">
        <v>7661</v>
      </c>
      <c r="V538" s="10" t="s">
        <v>7662</v>
      </c>
      <c r="W538" t="s">
        <v>7663</v>
      </c>
      <c r="X538" t="s">
        <v>2688</v>
      </c>
      <c r="Y538" t="s">
        <v>2688</v>
      </c>
      <c r="Z538" t="s">
        <v>2747</v>
      </c>
      <c r="AA538" t="s">
        <v>2689</v>
      </c>
      <c r="AB538" t="s">
        <v>7664</v>
      </c>
      <c r="AD538" t="s">
        <v>7665</v>
      </c>
      <c r="AE538" t="s">
        <v>7666</v>
      </c>
      <c r="AH538" t="s">
        <v>3445</v>
      </c>
      <c r="AJ538" t="s">
        <v>7667</v>
      </c>
    </row>
    <row r="539" spans="1:36" ht="116.6" x14ac:dyDescent="0.4">
      <c r="A539" t="s">
        <v>2252</v>
      </c>
      <c r="B539" t="s">
        <v>7668</v>
      </c>
      <c r="C539" t="s">
        <v>1411</v>
      </c>
      <c r="D539" t="s">
        <v>7659</v>
      </c>
      <c r="E539" t="s">
        <v>2679</v>
      </c>
      <c r="F539" t="s">
        <v>7669</v>
      </c>
      <c r="G539">
        <v>29.587386706899999</v>
      </c>
      <c r="H539">
        <v>-97.584236757900001</v>
      </c>
      <c r="I539" t="s">
        <v>1411</v>
      </c>
      <c r="J539" t="s">
        <v>2463</v>
      </c>
      <c r="K539" t="s">
        <v>5105</v>
      </c>
      <c r="L539" t="s">
        <v>2465</v>
      </c>
      <c r="M539">
        <v>444</v>
      </c>
      <c r="N539" t="s">
        <v>3438</v>
      </c>
      <c r="O539" t="s">
        <v>2252</v>
      </c>
      <c r="P539" s="1">
        <v>44806</v>
      </c>
      <c r="Q539">
        <v>39.4</v>
      </c>
      <c r="R539">
        <v>23</v>
      </c>
      <c r="S539" t="s">
        <v>3427</v>
      </c>
      <c r="T539" t="s">
        <v>2747</v>
      </c>
      <c r="U539" s="10" t="s">
        <v>7670</v>
      </c>
      <c r="V539" s="10" t="s">
        <v>7671</v>
      </c>
      <c r="W539" t="s">
        <v>7672</v>
      </c>
      <c r="X539" t="s">
        <v>2688</v>
      </c>
      <c r="Y539" t="s">
        <v>2688</v>
      </c>
      <c r="Z539" t="s">
        <v>2689</v>
      </c>
      <c r="AA539" t="s">
        <v>2689</v>
      </c>
      <c r="AB539" t="s">
        <v>7673</v>
      </c>
      <c r="AC539" t="s">
        <v>7674</v>
      </c>
      <c r="AD539" t="s">
        <v>7675</v>
      </c>
      <c r="AE539" t="s">
        <v>7676</v>
      </c>
      <c r="AH539" t="s">
        <v>3445</v>
      </c>
      <c r="AJ539" t="s">
        <v>5113</v>
      </c>
    </row>
    <row r="540" spans="1:36" ht="131.15" x14ac:dyDescent="0.4">
      <c r="A540" t="s">
        <v>2249</v>
      </c>
      <c r="B540" t="s">
        <v>7677</v>
      </c>
      <c r="C540" t="s">
        <v>1411</v>
      </c>
      <c r="D540" t="s">
        <v>7678</v>
      </c>
      <c r="E540" t="s">
        <v>2679</v>
      </c>
      <c r="F540" t="s">
        <v>7679</v>
      </c>
      <c r="G540">
        <v>29.586589001099998</v>
      </c>
      <c r="H540">
        <v>-97.584073059399998</v>
      </c>
      <c r="I540" t="s">
        <v>1411</v>
      </c>
      <c r="J540" t="s">
        <v>2463</v>
      </c>
      <c r="K540" t="s">
        <v>5105</v>
      </c>
      <c r="L540" t="s">
        <v>2465</v>
      </c>
      <c r="M540">
        <v>443</v>
      </c>
      <c r="N540" t="s">
        <v>3438</v>
      </c>
      <c r="O540" t="s">
        <v>2249</v>
      </c>
      <c r="P540" s="1">
        <v>44806</v>
      </c>
      <c r="Q540">
        <v>36.5</v>
      </c>
      <c r="R540">
        <v>26</v>
      </c>
      <c r="S540" t="s">
        <v>3427</v>
      </c>
      <c r="T540" t="s">
        <v>2688</v>
      </c>
      <c r="U540" s="10" t="s">
        <v>7680</v>
      </c>
      <c r="V540" s="10" t="s">
        <v>7681</v>
      </c>
      <c r="W540" t="s">
        <v>7682</v>
      </c>
      <c r="X540" t="s">
        <v>2688</v>
      </c>
      <c r="Y540" t="s">
        <v>2688</v>
      </c>
      <c r="Z540" t="s">
        <v>2747</v>
      </c>
      <c r="AA540" t="s">
        <v>2689</v>
      </c>
      <c r="AB540" t="s">
        <v>7683</v>
      </c>
      <c r="AC540" t="s">
        <v>7684</v>
      </c>
      <c r="AD540" t="s">
        <v>7685</v>
      </c>
      <c r="AE540" t="s">
        <v>7686</v>
      </c>
      <c r="AH540" t="s">
        <v>3445</v>
      </c>
      <c r="AJ540" t="s">
        <v>5113</v>
      </c>
    </row>
    <row r="541" spans="1:36" ht="160.30000000000001" x14ac:dyDescent="0.4">
      <c r="A541" t="s">
        <v>2246</v>
      </c>
      <c r="B541" t="s">
        <v>7687</v>
      </c>
      <c r="C541" t="s">
        <v>5071</v>
      </c>
      <c r="D541" t="s">
        <v>7678</v>
      </c>
      <c r="E541" t="s">
        <v>2679</v>
      </c>
      <c r="F541" t="s">
        <v>7688</v>
      </c>
      <c r="G541">
        <v>29.587706225000002</v>
      </c>
      <c r="H541">
        <v>-97.5829695818</v>
      </c>
      <c r="I541" t="s">
        <v>5071</v>
      </c>
      <c r="J541" t="s">
        <v>2463</v>
      </c>
      <c r="K541" t="s">
        <v>5105</v>
      </c>
      <c r="L541" t="s">
        <v>2465</v>
      </c>
      <c r="M541">
        <v>442</v>
      </c>
      <c r="N541" t="s">
        <v>3438</v>
      </c>
      <c r="O541" t="s">
        <v>2246</v>
      </c>
      <c r="P541" s="1">
        <v>44806</v>
      </c>
      <c r="Q541">
        <v>65</v>
      </c>
      <c r="R541">
        <v>25</v>
      </c>
      <c r="S541" t="s">
        <v>3427</v>
      </c>
      <c r="T541" t="s">
        <v>2689</v>
      </c>
      <c r="U541" s="10" t="s">
        <v>7689</v>
      </c>
      <c r="V541" s="10" t="s">
        <v>7690</v>
      </c>
      <c r="W541" t="s">
        <v>7691</v>
      </c>
      <c r="X541" t="s">
        <v>2688</v>
      </c>
      <c r="Y541" t="s">
        <v>2688</v>
      </c>
      <c r="Z541" t="s">
        <v>2747</v>
      </c>
      <c r="AA541" t="s">
        <v>2689</v>
      </c>
      <c r="AB541" t="s">
        <v>7692</v>
      </c>
      <c r="AD541" t="s">
        <v>7693</v>
      </c>
      <c r="AE541" t="s">
        <v>7694</v>
      </c>
      <c r="AH541" t="s">
        <v>3445</v>
      </c>
      <c r="AJ541" t="s">
        <v>7695</v>
      </c>
    </row>
    <row r="542" spans="1:36" ht="160.30000000000001" x14ac:dyDescent="0.4">
      <c r="A542" t="s">
        <v>2243</v>
      </c>
      <c r="B542" t="s">
        <v>7696</v>
      </c>
      <c r="C542" t="s">
        <v>1411</v>
      </c>
      <c r="D542" t="s">
        <v>7697</v>
      </c>
      <c r="E542" t="s">
        <v>2679</v>
      </c>
      <c r="F542" t="s">
        <v>7698</v>
      </c>
      <c r="G542">
        <v>29.587284238100001</v>
      </c>
      <c r="H542">
        <v>-97.582226945200006</v>
      </c>
      <c r="I542" t="s">
        <v>1411</v>
      </c>
      <c r="J542" t="s">
        <v>2463</v>
      </c>
      <c r="K542" t="s">
        <v>5105</v>
      </c>
      <c r="L542" t="s">
        <v>2465</v>
      </c>
      <c r="M542">
        <v>441</v>
      </c>
      <c r="N542" t="s">
        <v>3438</v>
      </c>
      <c r="O542" t="s">
        <v>2243</v>
      </c>
      <c r="P542" s="1">
        <v>44806</v>
      </c>
      <c r="Q542">
        <v>50.5</v>
      </c>
      <c r="R542">
        <v>24</v>
      </c>
      <c r="S542" t="s">
        <v>3427</v>
      </c>
      <c r="T542" t="s">
        <v>2688</v>
      </c>
      <c r="U542" s="10" t="s">
        <v>7699</v>
      </c>
      <c r="V542" s="10" t="s">
        <v>7700</v>
      </c>
      <c r="W542" t="s">
        <v>7701</v>
      </c>
      <c r="X542" t="s">
        <v>2688</v>
      </c>
      <c r="Y542" t="s">
        <v>2688</v>
      </c>
      <c r="Z542" t="s">
        <v>2689</v>
      </c>
      <c r="AA542" t="s">
        <v>2689</v>
      </c>
      <c r="AB542" t="s">
        <v>7702</v>
      </c>
      <c r="AC542" t="s">
        <v>7703</v>
      </c>
      <c r="AD542" t="s">
        <v>7704</v>
      </c>
      <c r="AE542" t="s">
        <v>7705</v>
      </c>
      <c r="AH542" t="s">
        <v>3445</v>
      </c>
      <c r="AJ542" t="s">
        <v>5113</v>
      </c>
    </row>
    <row r="543" spans="1:36" ht="145.75" x14ac:dyDescent="0.4">
      <c r="A543" t="s">
        <v>2240</v>
      </c>
      <c r="B543" t="s">
        <v>7706</v>
      </c>
      <c r="C543" t="s">
        <v>5102</v>
      </c>
      <c r="D543" t="s">
        <v>7707</v>
      </c>
      <c r="E543" t="s">
        <v>2679</v>
      </c>
      <c r="F543" t="s">
        <v>7708</v>
      </c>
      <c r="G543">
        <v>29.588007889699998</v>
      </c>
      <c r="H543">
        <v>-97.583203101600006</v>
      </c>
      <c r="I543" t="s">
        <v>5071</v>
      </c>
      <c r="J543" t="s">
        <v>2463</v>
      </c>
      <c r="K543" t="s">
        <v>5105</v>
      </c>
      <c r="L543" t="s">
        <v>2465</v>
      </c>
      <c r="M543">
        <v>440</v>
      </c>
      <c r="N543" t="s">
        <v>3438</v>
      </c>
      <c r="O543" t="s">
        <v>2240</v>
      </c>
      <c r="P543" s="1">
        <v>44806</v>
      </c>
      <c r="Q543">
        <v>23.5</v>
      </c>
      <c r="R543">
        <v>18</v>
      </c>
      <c r="S543" t="s">
        <v>3427</v>
      </c>
      <c r="T543" t="s">
        <v>2689</v>
      </c>
      <c r="U543" s="10" t="s">
        <v>7709</v>
      </c>
      <c r="V543" s="10" t="s">
        <v>7710</v>
      </c>
      <c r="W543" t="s">
        <v>7711</v>
      </c>
      <c r="X543" t="s">
        <v>2688</v>
      </c>
      <c r="Y543" t="s">
        <v>2688</v>
      </c>
      <c r="Z543" t="s">
        <v>2747</v>
      </c>
      <c r="AA543" t="s">
        <v>2689</v>
      </c>
      <c r="AB543" t="s">
        <v>7712</v>
      </c>
      <c r="AD543" t="s">
        <v>7713</v>
      </c>
      <c r="AE543" t="s">
        <v>7714</v>
      </c>
      <c r="AH543" t="s">
        <v>3445</v>
      </c>
      <c r="AJ543" t="s">
        <v>5040</v>
      </c>
    </row>
    <row r="544" spans="1:36" ht="131.15" x14ac:dyDescent="0.4">
      <c r="A544" t="s">
        <v>2237</v>
      </c>
      <c r="B544" t="s">
        <v>7715</v>
      </c>
      <c r="C544" t="s">
        <v>1411</v>
      </c>
      <c r="D544" t="s">
        <v>7716</v>
      </c>
      <c r="E544" t="s">
        <v>2679</v>
      </c>
      <c r="F544" t="s">
        <v>7717</v>
      </c>
      <c r="G544">
        <v>29.588060109000001</v>
      </c>
      <c r="H544">
        <v>-97.583260098599993</v>
      </c>
      <c r="I544" t="s">
        <v>1411</v>
      </c>
      <c r="J544" t="s">
        <v>2463</v>
      </c>
      <c r="K544" t="s">
        <v>5105</v>
      </c>
      <c r="L544" t="s">
        <v>2465</v>
      </c>
      <c r="M544">
        <v>439</v>
      </c>
      <c r="N544" t="s">
        <v>3438</v>
      </c>
      <c r="O544" t="s">
        <v>2237</v>
      </c>
      <c r="P544" s="1">
        <v>44806</v>
      </c>
      <c r="Q544">
        <v>35.200000000000003</v>
      </c>
      <c r="R544">
        <v>19</v>
      </c>
      <c r="S544" t="s">
        <v>3427</v>
      </c>
      <c r="T544" t="s">
        <v>2688</v>
      </c>
      <c r="U544" s="10" t="s">
        <v>7718</v>
      </c>
      <c r="V544" s="10" t="s">
        <v>7719</v>
      </c>
      <c r="W544" t="s">
        <v>7720</v>
      </c>
      <c r="X544" t="s">
        <v>2688</v>
      </c>
      <c r="Y544" t="s">
        <v>2688</v>
      </c>
      <c r="Z544" t="s">
        <v>2689</v>
      </c>
      <c r="AA544" t="s">
        <v>2689</v>
      </c>
      <c r="AB544" t="s">
        <v>7721</v>
      </c>
      <c r="AC544" t="s">
        <v>7722</v>
      </c>
      <c r="AD544" t="s">
        <v>7723</v>
      </c>
      <c r="AE544" t="s">
        <v>7724</v>
      </c>
      <c r="AH544" t="s">
        <v>3445</v>
      </c>
      <c r="AJ544" t="s">
        <v>5040</v>
      </c>
    </row>
    <row r="545" spans="1:36" ht="87.45" x14ac:dyDescent="0.4">
      <c r="A545" t="s">
        <v>2192</v>
      </c>
      <c r="B545" t="s">
        <v>7725</v>
      </c>
      <c r="C545" t="s">
        <v>1432</v>
      </c>
      <c r="D545" t="s">
        <v>7726</v>
      </c>
      <c r="E545" t="s">
        <v>2679</v>
      </c>
      <c r="F545" t="s">
        <v>7727</v>
      </c>
      <c r="G545">
        <v>29.3730837805</v>
      </c>
      <c r="H545">
        <v>-95.608054306400007</v>
      </c>
      <c r="I545" t="s">
        <v>1432</v>
      </c>
      <c r="J545" t="s">
        <v>2463</v>
      </c>
      <c r="K545" t="s">
        <v>5127</v>
      </c>
      <c r="L545" t="s">
        <v>2464</v>
      </c>
      <c r="M545">
        <v>437</v>
      </c>
      <c r="N545" t="s">
        <v>3438</v>
      </c>
      <c r="O545" t="s">
        <v>2192</v>
      </c>
      <c r="P545" s="1">
        <v>44805</v>
      </c>
      <c r="Q545">
        <v>65.5</v>
      </c>
      <c r="R545">
        <v>25</v>
      </c>
      <c r="S545" t="s">
        <v>3427</v>
      </c>
      <c r="T545" t="s">
        <v>2747</v>
      </c>
      <c r="U545" s="10" t="s">
        <v>7728</v>
      </c>
      <c r="V545" s="10" t="s">
        <v>7729</v>
      </c>
      <c r="W545" t="s">
        <v>7730</v>
      </c>
      <c r="X545" t="s">
        <v>2688</v>
      </c>
      <c r="Y545" t="s">
        <v>2688</v>
      </c>
      <c r="Z545" t="s">
        <v>2747</v>
      </c>
      <c r="AA545" t="s">
        <v>2689</v>
      </c>
      <c r="AB545" t="s">
        <v>7731</v>
      </c>
      <c r="AD545" t="s">
        <v>7732</v>
      </c>
      <c r="AE545" t="s">
        <v>7733</v>
      </c>
      <c r="AH545" t="s">
        <v>3445</v>
      </c>
      <c r="AJ545" s="10" t="s">
        <v>7734</v>
      </c>
    </row>
    <row r="546" spans="1:36" ht="131.15" x14ac:dyDescent="0.4">
      <c r="A546" t="s">
        <v>2189</v>
      </c>
      <c r="B546" t="s">
        <v>7735</v>
      </c>
      <c r="C546" t="s">
        <v>1411</v>
      </c>
      <c r="D546" t="s">
        <v>7726</v>
      </c>
      <c r="E546" t="s">
        <v>2679</v>
      </c>
      <c r="F546" t="s">
        <v>7736</v>
      </c>
      <c r="G546">
        <v>29.3762226789</v>
      </c>
      <c r="H546">
        <v>-95.588326757499999</v>
      </c>
      <c r="I546" t="s">
        <v>1411</v>
      </c>
      <c r="J546" t="s">
        <v>2463</v>
      </c>
      <c r="K546" t="s">
        <v>5127</v>
      </c>
      <c r="L546" t="s">
        <v>2464</v>
      </c>
      <c r="M546">
        <v>436</v>
      </c>
      <c r="N546" t="s">
        <v>3438</v>
      </c>
      <c r="O546" t="s">
        <v>2189</v>
      </c>
      <c r="P546" s="1">
        <v>44805</v>
      </c>
      <c r="Q546">
        <v>56.3</v>
      </c>
      <c r="R546">
        <v>25</v>
      </c>
      <c r="S546" t="s">
        <v>3464</v>
      </c>
      <c r="T546" t="s">
        <v>2689</v>
      </c>
      <c r="U546" s="10" t="s">
        <v>7737</v>
      </c>
      <c r="V546" s="10" t="s">
        <v>7738</v>
      </c>
      <c r="W546" t="s">
        <v>7739</v>
      </c>
      <c r="X546" t="s">
        <v>2688</v>
      </c>
      <c r="Y546" t="s">
        <v>2688</v>
      </c>
      <c r="Z546" t="s">
        <v>2689</v>
      </c>
      <c r="AA546" t="s">
        <v>2689</v>
      </c>
      <c r="AB546" t="s">
        <v>7740</v>
      </c>
      <c r="AD546" t="s">
        <v>7741</v>
      </c>
      <c r="AE546" t="s">
        <v>7742</v>
      </c>
      <c r="AH546" t="s">
        <v>3445</v>
      </c>
      <c r="AJ546" t="s">
        <v>5113</v>
      </c>
    </row>
    <row r="547" spans="1:36" ht="102" x14ac:dyDescent="0.4">
      <c r="A547" t="s">
        <v>2186</v>
      </c>
      <c r="B547" t="s">
        <v>7743</v>
      </c>
      <c r="C547" t="s">
        <v>1415</v>
      </c>
      <c r="D547" t="s">
        <v>7744</v>
      </c>
      <c r="E547" t="s">
        <v>2679</v>
      </c>
      <c r="F547" t="s">
        <v>7745</v>
      </c>
      <c r="G547">
        <v>29.374884171400002</v>
      </c>
      <c r="H547">
        <v>-95.586718842500005</v>
      </c>
      <c r="I547" t="s">
        <v>1415</v>
      </c>
      <c r="J547" t="s">
        <v>2463</v>
      </c>
      <c r="K547" t="s">
        <v>5127</v>
      </c>
      <c r="L547" t="s">
        <v>2464</v>
      </c>
      <c r="M547">
        <v>435</v>
      </c>
      <c r="N547" t="s">
        <v>3438</v>
      </c>
      <c r="O547" t="s">
        <v>2186</v>
      </c>
      <c r="P547" s="1">
        <v>44805</v>
      </c>
      <c r="Q547">
        <v>26.4</v>
      </c>
      <c r="R547">
        <v>24</v>
      </c>
      <c r="S547" t="s">
        <v>3427</v>
      </c>
      <c r="T547" t="s">
        <v>2689</v>
      </c>
      <c r="U547" s="10" t="s">
        <v>7746</v>
      </c>
      <c r="V547" s="10" t="s">
        <v>7747</v>
      </c>
      <c r="W547" t="s">
        <v>7748</v>
      </c>
      <c r="X547" t="s">
        <v>2688</v>
      </c>
      <c r="Y547" t="s">
        <v>2688</v>
      </c>
      <c r="Z547" t="s">
        <v>2747</v>
      </c>
      <c r="AA547" t="s">
        <v>2689</v>
      </c>
      <c r="AB547" t="s">
        <v>7749</v>
      </c>
      <c r="AD547" t="s">
        <v>7750</v>
      </c>
      <c r="AE547" t="s">
        <v>7751</v>
      </c>
      <c r="AH547" t="s">
        <v>3445</v>
      </c>
      <c r="AJ547" t="s">
        <v>5113</v>
      </c>
    </row>
    <row r="548" spans="1:36" ht="102" x14ac:dyDescent="0.4">
      <c r="A548" t="s">
        <v>2183</v>
      </c>
      <c r="B548" t="s">
        <v>7752</v>
      </c>
      <c r="C548" t="s">
        <v>1415</v>
      </c>
      <c r="D548" t="s">
        <v>7744</v>
      </c>
      <c r="E548" t="s">
        <v>2679</v>
      </c>
      <c r="F548" t="s">
        <v>7753</v>
      </c>
      <c r="G548">
        <v>29.3755426118</v>
      </c>
      <c r="H548">
        <v>-95.585442697700003</v>
      </c>
      <c r="I548" t="s">
        <v>1415</v>
      </c>
      <c r="J548" t="s">
        <v>2463</v>
      </c>
      <c r="K548" t="s">
        <v>5127</v>
      </c>
      <c r="L548" t="s">
        <v>2464</v>
      </c>
      <c r="M548">
        <v>434</v>
      </c>
      <c r="N548" t="s">
        <v>3438</v>
      </c>
      <c r="O548" t="s">
        <v>2183</v>
      </c>
      <c r="P548" s="1">
        <v>44805</v>
      </c>
      <c r="Q548">
        <v>87</v>
      </c>
      <c r="R548">
        <v>20</v>
      </c>
      <c r="S548" t="s">
        <v>3427</v>
      </c>
      <c r="T548" t="s">
        <v>2689</v>
      </c>
      <c r="U548" s="10" t="s">
        <v>7754</v>
      </c>
      <c r="V548" s="10" t="s">
        <v>7755</v>
      </c>
      <c r="W548" t="s">
        <v>7756</v>
      </c>
      <c r="X548" t="s">
        <v>2688</v>
      </c>
      <c r="Y548" t="s">
        <v>2688</v>
      </c>
      <c r="Z548" t="s">
        <v>2747</v>
      </c>
      <c r="AA548" t="s">
        <v>2689</v>
      </c>
      <c r="AB548" t="s">
        <v>7757</v>
      </c>
      <c r="AD548" t="s">
        <v>7758</v>
      </c>
      <c r="AE548" t="s">
        <v>7759</v>
      </c>
      <c r="AH548" t="s">
        <v>3445</v>
      </c>
      <c r="AJ548" s="10" t="s">
        <v>7760</v>
      </c>
    </row>
    <row r="549" spans="1:36" ht="160.30000000000001" x14ac:dyDescent="0.4">
      <c r="A549" t="s">
        <v>2180</v>
      </c>
      <c r="B549" t="s">
        <v>7761</v>
      </c>
      <c r="C549" t="s">
        <v>1411</v>
      </c>
      <c r="D549" t="s">
        <v>7762</v>
      </c>
      <c r="E549" t="s">
        <v>2679</v>
      </c>
      <c r="F549" t="s">
        <v>7763</v>
      </c>
      <c r="G549">
        <v>29.375462606599999</v>
      </c>
      <c r="H549">
        <v>-95.576959541199997</v>
      </c>
      <c r="I549" t="s">
        <v>1411</v>
      </c>
      <c r="J549" t="s">
        <v>2463</v>
      </c>
      <c r="K549" t="s">
        <v>5127</v>
      </c>
      <c r="L549" t="s">
        <v>2464</v>
      </c>
      <c r="M549">
        <v>433</v>
      </c>
      <c r="N549" t="s">
        <v>3438</v>
      </c>
      <c r="O549" t="s">
        <v>2180</v>
      </c>
      <c r="P549" s="1">
        <v>44805</v>
      </c>
      <c r="Q549">
        <v>84.5</v>
      </c>
      <c r="R549">
        <v>25</v>
      </c>
      <c r="S549" t="s">
        <v>3427</v>
      </c>
      <c r="T549" t="s">
        <v>2689</v>
      </c>
      <c r="U549" t="s">
        <v>7764</v>
      </c>
      <c r="V549" s="10" t="s">
        <v>7765</v>
      </c>
      <c r="W549" t="s">
        <v>7766</v>
      </c>
      <c r="X549" t="s">
        <v>2688</v>
      </c>
      <c r="Y549" t="s">
        <v>2688</v>
      </c>
      <c r="Z549" t="s">
        <v>2689</v>
      </c>
      <c r="AA549" t="s">
        <v>2689</v>
      </c>
      <c r="AB549" t="s">
        <v>7767</v>
      </c>
      <c r="AD549" t="s">
        <v>7768</v>
      </c>
      <c r="AE549" t="s">
        <v>7769</v>
      </c>
      <c r="AH549" t="s">
        <v>3445</v>
      </c>
      <c r="AJ549" s="10" t="s">
        <v>7770</v>
      </c>
    </row>
    <row r="550" spans="1:36" ht="102" x14ac:dyDescent="0.4">
      <c r="A550" t="s">
        <v>2177</v>
      </c>
      <c r="B550" t="s">
        <v>7771</v>
      </c>
      <c r="C550" t="s">
        <v>1411</v>
      </c>
      <c r="D550" t="s">
        <v>7762</v>
      </c>
      <c r="E550" t="s">
        <v>2679</v>
      </c>
      <c r="F550" t="s">
        <v>7772</v>
      </c>
      <c r="G550">
        <v>29.374166303300001</v>
      </c>
      <c r="H550">
        <v>-95.576657122100002</v>
      </c>
      <c r="I550" t="s">
        <v>1411</v>
      </c>
      <c r="J550" t="s">
        <v>2463</v>
      </c>
      <c r="K550" t="s">
        <v>5127</v>
      </c>
      <c r="L550" t="s">
        <v>2464</v>
      </c>
      <c r="M550">
        <v>432</v>
      </c>
      <c r="N550" t="s">
        <v>3438</v>
      </c>
      <c r="O550" t="s">
        <v>2177</v>
      </c>
      <c r="P550" s="1">
        <v>44805</v>
      </c>
      <c r="Q550">
        <v>64</v>
      </c>
      <c r="R550">
        <v>23</v>
      </c>
      <c r="S550" t="s">
        <v>3427</v>
      </c>
      <c r="T550" t="s">
        <v>2689</v>
      </c>
      <c r="U550" s="10" t="s">
        <v>7773</v>
      </c>
      <c r="V550" s="10" t="s">
        <v>7774</v>
      </c>
      <c r="W550" t="s">
        <v>7775</v>
      </c>
      <c r="X550" t="s">
        <v>2688</v>
      </c>
      <c r="Y550" t="s">
        <v>2688</v>
      </c>
      <c r="Z550" t="s">
        <v>2689</v>
      </c>
      <c r="AA550" t="s">
        <v>2689</v>
      </c>
      <c r="AB550" t="s">
        <v>7776</v>
      </c>
      <c r="AD550" t="s">
        <v>7777</v>
      </c>
      <c r="AE550" t="s">
        <v>7778</v>
      </c>
      <c r="AH550" t="s">
        <v>3445</v>
      </c>
      <c r="AJ550" t="s">
        <v>5113</v>
      </c>
    </row>
    <row r="551" spans="1:36" ht="87.45" x14ac:dyDescent="0.4">
      <c r="A551" t="s">
        <v>49</v>
      </c>
      <c r="B551" t="s">
        <v>7779</v>
      </c>
      <c r="C551" t="s">
        <v>3713</v>
      </c>
      <c r="D551" t="s">
        <v>7780</v>
      </c>
      <c r="E551" t="s">
        <v>2679</v>
      </c>
      <c r="F551" t="s">
        <v>7781</v>
      </c>
      <c r="G551">
        <v>34.8043520007</v>
      </c>
      <c r="H551">
        <v>-92.326575055000006</v>
      </c>
      <c r="I551" t="s">
        <v>3713</v>
      </c>
      <c r="J551" t="s">
        <v>2405</v>
      </c>
      <c r="K551" t="s">
        <v>5003</v>
      </c>
      <c r="L551" t="s">
        <v>2401</v>
      </c>
      <c r="M551">
        <v>411</v>
      </c>
      <c r="N551" t="s">
        <v>3438</v>
      </c>
      <c r="O551" t="s">
        <v>49</v>
      </c>
      <c r="P551" s="1">
        <v>44803</v>
      </c>
      <c r="Q551">
        <v>80.599999999999994</v>
      </c>
      <c r="R551">
        <v>27</v>
      </c>
      <c r="S551" t="s">
        <v>3464</v>
      </c>
      <c r="T551" t="s">
        <v>2689</v>
      </c>
      <c r="U551" s="10" t="s">
        <v>7782</v>
      </c>
      <c r="V551" t="s">
        <v>7783</v>
      </c>
      <c r="W551" t="s">
        <v>7784</v>
      </c>
      <c r="X551" t="s">
        <v>2688</v>
      </c>
      <c r="Y551" t="s">
        <v>2688</v>
      </c>
      <c r="Z551" t="s">
        <v>2747</v>
      </c>
      <c r="AA551" t="s">
        <v>2689</v>
      </c>
      <c r="AB551" t="s">
        <v>7785</v>
      </c>
      <c r="AD551" t="s">
        <v>7786</v>
      </c>
      <c r="AE551" t="s">
        <v>7787</v>
      </c>
      <c r="AH551" t="s">
        <v>3445</v>
      </c>
      <c r="AJ551" s="10" t="s">
        <v>7788</v>
      </c>
    </row>
    <row r="552" spans="1:36" ht="58.3" x14ac:dyDescent="0.4">
      <c r="A552" t="s">
        <v>932</v>
      </c>
      <c r="B552" t="s">
        <v>7789</v>
      </c>
      <c r="C552" t="s">
        <v>3448</v>
      </c>
      <c r="D552" t="s">
        <v>7790</v>
      </c>
      <c r="E552" t="s">
        <v>2679</v>
      </c>
      <c r="F552" t="s">
        <v>7791</v>
      </c>
      <c r="G552">
        <v>42.0792753809</v>
      </c>
      <c r="H552">
        <v>-73.371214047099997</v>
      </c>
      <c r="I552" t="s">
        <v>3448</v>
      </c>
      <c r="J552" t="s">
        <v>2431</v>
      </c>
      <c r="K552" t="s">
        <v>5319</v>
      </c>
      <c r="L552" t="s">
        <v>2433</v>
      </c>
      <c r="M552">
        <v>402</v>
      </c>
      <c r="N552" t="s">
        <v>3438</v>
      </c>
      <c r="O552" t="s">
        <v>932</v>
      </c>
      <c r="P552" s="1">
        <v>44794</v>
      </c>
      <c r="Q552">
        <v>25.9</v>
      </c>
      <c r="R552">
        <v>26</v>
      </c>
      <c r="S552" t="s">
        <v>3427</v>
      </c>
      <c r="T552" t="s">
        <v>2689</v>
      </c>
      <c r="U552" s="10" t="s">
        <v>7792</v>
      </c>
      <c r="V552" t="s">
        <v>7793</v>
      </c>
      <c r="W552" t="s">
        <v>7794</v>
      </c>
      <c r="X552" t="s">
        <v>2688</v>
      </c>
      <c r="Y552" t="s">
        <v>2688</v>
      </c>
      <c r="Z552" t="s">
        <v>2747</v>
      </c>
      <c r="AA552" t="s">
        <v>2689</v>
      </c>
      <c r="AB552" t="s">
        <v>7795</v>
      </c>
      <c r="AD552" t="s">
        <v>7796</v>
      </c>
      <c r="AE552" t="s">
        <v>7797</v>
      </c>
      <c r="AH552" t="s">
        <v>3445</v>
      </c>
      <c r="AJ552" t="s">
        <v>5040</v>
      </c>
    </row>
    <row r="553" spans="1:36" ht="102" x14ac:dyDescent="0.4">
      <c r="A553" t="s">
        <v>922</v>
      </c>
      <c r="B553" t="s">
        <v>7798</v>
      </c>
      <c r="C553" t="s">
        <v>1411</v>
      </c>
      <c r="D553" t="s">
        <v>7799</v>
      </c>
      <c r="E553" t="s">
        <v>2679</v>
      </c>
      <c r="F553" t="s">
        <v>7800</v>
      </c>
      <c r="G553">
        <v>42.084577647099998</v>
      </c>
      <c r="H553">
        <v>-73.367314450500004</v>
      </c>
      <c r="I553" t="s">
        <v>1411</v>
      </c>
      <c r="J553" t="s">
        <v>2431</v>
      </c>
      <c r="K553" t="s">
        <v>5319</v>
      </c>
      <c r="L553" t="s">
        <v>2433</v>
      </c>
      <c r="M553">
        <v>399</v>
      </c>
      <c r="N553" t="s">
        <v>3438</v>
      </c>
      <c r="O553" t="s">
        <v>922</v>
      </c>
      <c r="P553" s="1">
        <v>44794</v>
      </c>
      <c r="Q553">
        <v>25.8</v>
      </c>
      <c r="R553">
        <v>27</v>
      </c>
      <c r="S553" t="s">
        <v>3427</v>
      </c>
      <c r="T553" t="s">
        <v>2689</v>
      </c>
      <c r="U553" s="10" t="s">
        <v>7801</v>
      </c>
      <c r="V553" t="s">
        <v>7802</v>
      </c>
      <c r="W553" t="s">
        <v>7803</v>
      </c>
      <c r="X553" t="s">
        <v>2688</v>
      </c>
      <c r="Y553" t="s">
        <v>2688</v>
      </c>
      <c r="Z553" t="s">
        <v>2747</v>
      </c>
      <c r="AA553" t="s">
        <v>2689</v>
      </c>
      <c r="AB553" t="s">
        <v>7804</v>
      </c>
      <c r="AD553" t="s">
        <v>7805</v>
      </c>
      <c r="AE553" t="s">
        <v>7806</v>
      </c>
      <c r="AH553" t="s">
        <v>3445</v>
      </c>
      <c r="AJ553" t="s">
        <v>5040</v>
      </c>
    </row>
    <row r="554" spans="1:36" x14ac:dyDescent="0.4">
      <c r="A554" t="s">
        <v>935</v>
      </c>
      <c r="B554" s="9" t="s">
        <v>7807</v>
      </c>
      <c r="C554" t="s">
        <v>1411</v>
      </c>
      <c r="D554" t="s">
        <v>7808</v>
      </c>
      <c r="E554" t="s">
        <v>2679</v>
      </c>
      <c r="F554" t="s">
        <v>7809</v>
      </c>
      <c r="G554">
        <v>42.287534284400003</v>
      </c>
      <c r="H554">
        <v>-73.315904466500001</v>
      </c>
      <c r="I554" t="s">
        <v>1411</v>
      </c>
      <c r="J554" t="s">
        <v>2431</v>
      </c>
      <c r="K554" t="s">
        <v>936</v>
      </c>
      <c r="L554" t="s">
        <v>2434</v>
      </c>
      <c r="M554">
        <v>394</v>
      </c>
      <c r="N554" t="s">
        <v>3438</v>
      </c>
      <c r="O554" t="s">
        <v>935</v>
      </c>
      <c r="P554" s="1">
        <v>44794</v>
      </c>
      <c r="Q554">
        <v>118</v>
      </c>
      <c r="R554">
        <v>25</v>
      </c>
      <c r="S554" t="s">
        <v>3427</v>
      </c>
      <c r="T554" t="s">
        <v>2689</v>
      </c>
      <c r="U554" t="s">
        <v>7810</v>
      </c>
      <c r="V554" t="s">
        <v>7811</v>
      </c>
      <c r="W554" t="s">
        <v>5310</v>
      </c>
      <c r="X554" t="s">
        <v>2688</v>
      </c>
      <c r="Y554" t="s">
        <v>2688</v>
      </c>
      <c r="Z554" t="s">
        <v>2747</v>
      </c>
      <c r="AA554" t="s">
        <v>2689</v>
      </c>
      <c r="AB554" t="s">
        <v>7812</v>
      </c>
      <c r="AD554" t="s">
        <v>7813</v>
      </c>
      <c r="AE554" t="s">
        <v>7814</v>
      </c>
      <c r="AH554" t="s">
        <v>3445</v>
      </c>
      <c r="AJ554" t="s">
        <v>7815</v>
      </c>
    </row>
    <row r="555" spans="1:36" ht="43.75" x14ac:dyDescent="0.4">
      <c r="A555" t="s">
        <v>907</v>
      </c>
      <c r="B555" t="s">
        <v>7816</v>
      </c>
      <c r="C555" t="s">
        <v>3448</v>
      </c>
      <c r="D555" t="s">
        <v>7817</v>
      </c>
      <c r="E555" t="s">
        <v>2679</v>
      </c>
      <c r="F555" t="s">
        <v>7818</v>
      </c>
      <c r="G555">
        <v>42.0557648968</v>
      </c>
      <c r="H555">
        <v>-73.350368673099993</v>
      </c>
      <c r="I555" t="s">
        <v>3448</v>
      </c>
      <c r="J555" t="s">
        <v>2431</v>
      </c>
      <c r="K555" t="s">
        <v>3683</v>
      </c>
      <c r="L555" t="s">
        <v>2432</v>
      </c>
      <c r="M555">
        <v>389</v>
      </c>
      <c r="N555" t="s">
        <v>3438</v>
      </c>
      <c r="O555" t="s">
        <v>907</v>
      </c>
      <c r="P555" s="1">
        <v>44794</v>
      </c>
      <c r="Q555">
        <v>8</v>
      </c>
      <c r="R555">
        <v>14</v>
      </c>
      <c r="S555" t="s">
        <v>3427</v>
      </c>
      <c r="T555" t="s">
        <v>2689</v>
      </c>
      <c r="U555" s="10" t="s">
        <v>7819</v>
      </c>
      <c r="V555" t="s">
        <v>7820</v>
      </c>
      <c r="W555" t="s">
        <v>7821</v>
      </c>
      <c r="X555" t="s">
        <v>2688</v>
      </c>
      <c r="Y555" t="s">
        <v>2688</v>
      </c>
      <c r="Z555" t="s">
        <v>2747</v>
      </c>
      <c r="AA555" t="s">
        <v>2689</v>
      </c>
      <c r="AB555" t="s">
        <v>7822</v>
      </c>
      <c r="AD555" t="s">
        <v>7823</v>
      </c>
      <c r="AE555" t="s">
        <v>7824</v>
      </c>
      <c r="AH555" t="s">
        <v>3445</v>
      </c>
      <c r="AJ555" t="s">
        <v>7825</v>
      </c>
    </row>
    <row r="556" spans="1:36" ht="87.45" x14ac:dyDescent="0.4">
      <c r="A556" t="s">
        <v>1751</v>
      </c>
      <c r="B556" t="s">
        <v>7826</v>
      </c>
      <c r="C556" t="s">
        <v>3448</v>
      </c>
      <c r="D556" t="s">
        <v>7827</v>
      </c>
      <c r="E556" t="s">
        <v>2679</v>
      </c>
      <c r="F556" t="s">
        <v>7828</v>
      </c>
      <c r="G556">
        <v>43.075871597999999</v>
      </c>
      <c r="H556">
        <v>-73.295088429100005</v>
      </c>
      <c r="I556" t="s">
        <v>3448</v>
      </c>
      <c r="J556" t="s">
        <v>2448</v>
      </c>
      <c r="K556" t="s">
        <v>1736</v>
      </c>
      <c r="L556" t="s">
        <v>2451</v>
      </c>
      <c r="M556">
        <v>385</v>
      </c>
      <c r="N556" t="s">
        <v>3438</v>
      </c>
      <c r="O556" t="s">
        <v>1751</v>
      </c>
      <c r="P556" s="1">
        <v>44792</v>
      </c>
      <c r="Q556">
        <v>37.6</v>
      </c>
      <c r="R556">
        <v>30</v>
      </c>
      <c r="S556" t="s">
        <v>3427</v>
      </c>
      <c r="T556" t="s">
        <v>2688</v>
      </c>
      <c r="U556" s="10" t="s">
        <v>7829</v>
      </c>
      <c r="V556" t="s">
        <v>7830</v>
      </c>
      <c r="W556" t="s">
        <v>7831</v>
      </c>
      <c r="X556" t="s">
        <v>2688</v>
      </c>
      <c r="Y556" t="s">
        <v>2688</v>
      </c>
      <c r="Z556" t="s">
        <v>2747</v>
      </c>
      <c r="AA556" t="s">
        <v>2689</v>
      </c>
      <c r="AB556" t="s">
        <v>7832</v>
      </c>
      <c r="AC556" t="s">
        <v>7833</v>
      </c>
      <c r="AD556" t="s">
        <v>7834</v>
      </c>
      <c r="AE556" t="s">
        <v>7835</v>
      </c>
      <c r="AH556" t="s">
        <v>3445</v>
      </c>
      <c r="AJ556" t="s">
        <v>7836</v>
      </c>
    </row>
    <row r="557" spans="1:36" ht="58.3" x14ac:dyDescent="0.4">
      <c r="A557" t="s">
        <v>1681</v>
      </c>
      <c r="B557" t="s">
        <v>7837</v>
      </c>
      <c r="C557" t="s">
        <v>4832</v>
      </c>
      <c r="D557" t="s">
        <v>7827</v>
      </c>
      <c r="E557" t="s">
        <v>2679</v>
      </c>
      <c r="F557" t="s">
        <v>7838</v>
      </c>
      <c r="G557">
        <v>42.715953765499997</v>
      </c>
      <c r="H557">
        <v>-73.853600369800006</v>
      </c>
      <c r="I557" t="s">
        <v>4832</v>
      </c>
      <c r="J557" t="s">
        <v>2448</v>
      </c>
      <c r="K557" t="s">
        <v>5338</v>
      </c>
      <c r="L557" t="s">
        <v>2449</v>
      </c>
      <c r="M557">
        <v>384</v>
      </c>
      <c r="N557" t="s">
        <v>3438</v>
      </c>
      <c r="O557" t="s">
        <v>1681</v>
      </c>
      <c r="P557" s="1">
        <v>44792</v>
      </c>
      <c r="Q557">
        <v>0.75</v>
      </c>
      <c r="R557">
        <v>0.25</v>
      </c>
      <c r="S557" t="s">
        <v>3464</v>
      </c>
      <c r="T557" t="s">
        <v>2689</v>
      </c>
      <c r="U557" s="10" t="s">
        <v>7839</v>
      </c>
      <c r="V557" t="s">
        <v>7840</v>
      </c>
      <c r="W557" t="s">
        <v>7841</v>
      </c>
      <c r="X557" t="s">
        <v>2688</v>
      </c>
      <c r="Y557" t="s">
        <v>2688</v>
      </c>
      <c r="Z557" t="s">
        <v>2747</v>
      </c>
      <c r="AA557" t="s">
        <v>2689</v>
      </c>
      <c r="AB557" t="s">
        <v>7842</v>
      </c>
      <c r="AD557" t="s">
        <v>7843</v>
      </c>
      <c r="AE557" t="s">
        <v>7844</v>
      </c>
      <c r="AH557" t="s">
        <v>3445</v>
      </c>
      <c r="AJ557" t="s">
        <v>5060</v>
      </c>
    </row>
    <row r="558" spans="1:36" ht="72.900000000000006" x14ac:dyDescent="0.4">
      <c r="A558" t="s">
        <v>1678</v>
      </c>
      <c r="B558" s="9" t="s">
        <v>7845</v>
      </c>
      <c r="C558" t="s">
        <v>3448</v>
      </c>
      <c r="D558" t="s">
        <v>7846</v>
      </c>
      <c r="E558" t="s">
        <v>2679</v>
      </c>
      <c r="F558" t="s">
        <v>7847</v>
      </c>
      <c r="G558">
        <v>42.715888219</v>
      </c>
      <c r="H558">
        <v>-73.853831961799997</v>
      </c>
      <c r="I558" t="s">
        <v>3448</v>
      </c>
      <c r="J558" t="s">
        <v>2448</v>
      </c>
      <c r="K558" t="s">
        <v>5338</v>
      </c>
      <c r="L558" t="s">
        <v>2449</v>
      </c>
      <c r="M558">
        <v>383</v>
      </c>
      <c r="N558" t="s">
        <v>3438</v>
      </c>
      <c r="O558" t="s">
        <v>1678</v>
      </c>
      <c r="P558" s="1">
        <v>44792</v>
      </c>
      <c r="Q558">
        <v>44.7</v>
      </c>
      <c r="R558">
        <v>26</v>
      </c>
      <c r="S558" t="s">
        <v>3464</v>
      </c>
      <c r="T558" t="s">
        <v>2689</v>
      </c>
      <c r="U558" s="10" t="s">
        <v>7848</v>
      </c>
      <c r="V558" t="s">
        <v>7849</v>
      </c>
      <c r="W558" t="s">
        <v>7850</v>
      </c>
      <c r="X558" t="s">
        <v>2688</v>
      </c>
      <c r="Y558" t="s">
        <v>2688</v>
      </c>
      <c r="Z558" t="s">
        <v>2747</v>
      </c>
      <c r="AA558" t="s">
        <v>2689</v>
      </c>
      <c r="AB558" t="s">
        <v>7851</v>
      </c>
      <c r="AD558" t="s">
        <v>7852</v>
      </c>
      <c r="AE558" t="s">
        <v>7853</v>
      </c>
      <c r="AH558" t="s">
        <v>3445</v>
      </c>
      <c r="AJ558" s="10" t="s">
        <v>7854</v>
      </c>
    </row>
    <row r="559" spans="1:36" ht="72.900000000000006" x14ac:dyDescent="0.4">
      <c r="A559" t="s">
        <v>1672</v>
      </c>
      <c r="B559" t="s">
        <v>7855</v>
      </c>
      <c r="C559" t="s">
        <v>3448</v>
      </c>
      <c r="D559" t="s">
        <v>7856</v>
      </c>
      <c r="E559" t="s">
        <v>2679</v>
      </c>
      <c r="F559" t="s">
        <v>7857</v>
      </c>
      <c r="G559">
        <v>42.717474326500003</v>
      </c>
      <c r="H559">
        <v>-73.855383954999994</v>
      </c>
      <c r="I559" t="s">
        <v>3448</v>
      </c>
      <c r="J559" t="s">
        <v>2448</v>
      </c>
      <c r="K559" t="s">
        <v>5338</v>
      </c>
      <c r="L559" t="s">
        <v>2449</v>
      </c>
      <c r="M559">
        <v>381</v>
      </c>
      <c r="N559" t="s">
        <v>3438</v>
      </c>
      <c r="O559" t="s">
        <v>1672</v>
      </c>
      <c r="P559" s="1">
        <v>44792</v>
      </c>
      <c r="Q559">
        <v>37.700000000000003</v>
      </c>
      <c r="R559">
        <v>25</v>
      </c>
      <c r="S559" t="s">
        <v>3464</v>
      </c>
      <c r="T559" t="s">
        <v>2689</v>
      </c>
      <c r="U559" s="10" t="s">
        <v>7858</v>
      </c>
      <c r="V559" t="s">
        <v>7859</v>
      </c>
      <c r="W559" t="s">
        <v>7860</v>
      </c>
      <c r="X559" t="s">
        <v>2688</v>
      </c>
      <c r="Y559" t="s">
        <v>2688</v>
      </c>
      <c r="Z559" t="s">
        <v>2747</v>
      </c>
      <c r="AA559" t="s">
        <v>2689</v>
      </c>
      <c r="AB559" t="s">
        <v>7861</v>
      </c>
      <c r="AD559" t="s">
        <v>7862</v>
      </c>
      <c r="AE559" t="s">
        <v>7863</v>
      </c>
      <c r="AH559" t="s">
        <v>3445</v>
      </c>
      <c r="AJ559" s="10" t="s">
        <v>7864</v>
      </c>
    </row>
    <row r="560" spans="1:36" ht="58.3" x14ac:dyDescent="0.4">
      <c r="A560" t="s">
        <v>1669</v>
      </c>
      <c r="B560" t="s">
        <v>7865</v>
      </c>
      <c r="C560" t="s">
        <v>4832</v>
      </c>
      <c r="D560" t="s">
        <v>7856</v>
      </c>
      <c r="E560" t="s">
        <v>2679</v>
      </c>
      <c r="F560" t="s">
        <v>7866</v>
      </c>
      <c r="G560">
        <v>42.717255475000002</v>
      </c>
      <c r="H560">
        <v>-73.855988793099996</v>
      </c>
      <c r="I560" t="s">
        <v>4832</v>
      </c>
      <c r="J560" t="s">
        <v>2448</v>
      </c>
      <c r="K560" t="s">
        <v>5338</v>
      </c>
      <c r="L560" t="s">
        <v>2449</v>
      </c>
      <c r="M560">
        <v>380</v>
      </c>
      <c r="N560" t="s">
        <v>3438</v>
      </c>
      <c r="O560" t="s">
        <v>1669</v>
      </c>
      <c r="P560" s="1">
        <v>44792</v>
      </c>
      <c r="Q560">
        <v>0.9</v>
      </c>
      <c r="R560">
        <v>0.5</v>
      </c>
      <c r="S560" t="s">
        <v>3464</v>
      </c>
      <c r="T560" t="s">
        <v>2688</v>
      </c>
      <c r="U560" t="s">
        <v>2747</v>
      </c>
      <c r="V560" t="s">
        <v>7867</v>
      </c>
      <c r="W560" t="s">
        <v>7868</v>
      </c>
      <c r="X560" t="s">
        <v>2688</v>
      </c>
      <c r="Y560" t="s">
        <v>2688</v>
      </c>
      <c r="Z560" t="s">
        <v>2747</v>
      </c>
      <c r="AA560" t="s">
        <v>2689</v>
      </c>
      <c r="AB560" t="s">
        <v>7869</v>
      </c>
      <c r="AC560" t="s">
        <v>7870</v>
      </c>
      <c r="AD560" t="s">
        <v>7871</v>
      </c>
      <c r="AE560" t="s">
        <v>7872</v>
      </c>
      <c r="AH560" t="s">
        <v>3445</v>
      </c>
      <c r="AJ560" s="10" t="s">
        <v>7873</v>
      </c>
    </row>
    <row r="561" spans="1:36" ht="72.900000000000006" x14ac:dyDescent="0.4">
      <c r="A561" t="s">
        <v>1666</v>
      </c>
      <c r="B561" t="s">
        <v>7874</v>
      </c>
      <c r="C561" t="s">
        <v>4832</v>
      </c>
      <c r="D561" t="s">
        <v>7875</v>
      </c>
      <c r="E561" t="s">
        <v>2679</v>
      </c>
      <c r="F561" t="s">
        <v>7876</v>
      </c>
      <c r="G561">
        <v>42.718425546799999</v>
      </c>
      <c r="H561">
        <v>-73.855817131799995</v>
      </c>
      <c r="I561" t="s">
        <v>4832</v>
      </c>
      <c r="J561" t="s">
        <v>2448</v>
      </c>
      <c r="K561" t="s">
        <v>5338</v>
      </c>
      <c r="L561" t="s">
        <v>2449</v>
      </c>
      <c r="M561">
        <v>379</v>
      </c>
      <c r="N561" t="s">
        <v>3438</v>
      </c>
      <c r="O561" t="s">
        <v>1666</v>
      </c>
      <c r="P561" s="1">
        <v>44792</v>
      </c>
      <c r="Q561">
        <v>7.4</v>
      </c>
      <c r="R561">
        <v>6</v>
      </c>
      <c r="S561" t="s">
        <v>3464</v>
      </c>
      <c r="T561" t="s">
        <v>2689</v>
      </c>
      <c r="U561" s="10" t="s">
        <v>7877</v>
      </c>
      <c r="V561" t="s">
        <v>7878</v>
      </c>
      <c r="W561" t="s">
        <v>7879</v>
      </c>
      <c r="X561" t="s">
        <v>2688</v>
      </c>
      <c r="Y561" t="s">
        <v>2688</v>
      </c>
      <c r="Z561" t="s">
        <v>2747</v>
      </c>
      <c r="AA561" t="s">
        <v>2689</v>
      </c>
      <c r="AB561" t="s">
        <v>7880</v>
      </c>
      <c r="AD561" t="s">
        <v>7881</v>
      </c>
      <c r="AE561" t="s">
        <v>7882</v>
      </c>
      <c r="AH561" t="s">
        <v>3445</v>
      </c>
      <c r="AJ561" t="s">
        <v>5346</v>
      </c>
    </row>
    <row r="562" spans="1:36" ht="87.45" x14ac:dyDescent="0.4">
      <c r="A562" t="s">
        <v>1663</v>
      </c>
      <c r="B562" t="s">
        <v>7883</v>
      </c>
      <c r="C562" t="s">
        <v>4832</v>
      </c>
      <c r="D562" t="s">
        <v>7884</v>
      </c>
      <c r="E562" t="s">
        <v>2679</v>
      </c>
      <c r="F562" t="s">
        <v>7885</v>
      </c>
      <c r="G562">
        <v>42.720396802800003</v>
      </c>
      <c r="H562">
        <v>-73.859043912999994</v>
      </c>
      <c r="I562" t="s">
        <v>4832</v>
      </c>
      <c r="J562" t="s">
        <v>2448</v>
      </c>
      <c r="K562" t="s">
        <v>5338</v>
      </c>
      <c r="L562" t="s">
        <v>2449</v>
      </c>
      <c r="M562">
        <v>378</v>
      </c>
      <c r="N562" t="s">
        <v>3438</v>
      </c>
      <c r="O562" t="s">
        <v>1663</v>
      </c>
      <c r="P562" s="1">
        <v>44792</v>
      </c>
      <c r="Q562">
        <v>6.5</v>
      </c>
      <c r="R562">
        <v>8</v>
      </c>
      <c r="S562" t="s">
        <v>3464</v>
      </c>
      <c r="T562" t="s">
        <v>2689</v>
      </c>
      <c r="U562" s="10" t="s">
        <v>7886</v>
      </c>
      <c r="V562" t="s">
        <v>7887</v>
      </c>
      <c r="W562" t="s">
        <v>7888</v>
      </c>
      <c r="X562" t="s">
        <v>2688</v>
      </c>
      <c r="Y562" t="s">
        <v>2688</v>
      </c>
      <c r="Z562" t="s">
        <v>2747</v>
      </c>
      <c r="AA562" t="s">
        <v>2689</v>
      </c>
      <c r="AB562" t="s">
        <v>7889</v>
      </c>
      <c r="AD562" t="s">
        <v>7890</v>
      </c>
      <c r="AE562" t="s">
        <v>7891</v>
      </c>
      <c r="AH562" t="s">
        <v>3445</v>
      </c>
      <c r="AJ562" t="s">
        <v>7892</v>
      </c>
    </row>
    <row r="563" spans="1:36" ht="58.3" x14ac:dyDescent="0.4">
      <c r="A563" t="s">
        <v>1653</v>
      </c>
      <c r="B563" t="s">
        <v>7893</v>
      </c>
      <c r="C563" t="s">
        <v>3448</v>
      </c>
      <c r="D563" t="s">
        <v>7884</v>
      </c>
      <c r="E563" t="s">
        <v>2679</v>
      </c>
      <c r="F563" t="s">
        <v>7894</v>
      </c>
      <c r="G563">
        <v>42.7202075394</v>
      </c>
      <c r="H563">
        <v>-73.859128402600007</v>
      </c>
      <c r="I563" t="s">
        <v>3448</v>
      </c>
      <c r="J563" t="s">
        <v>2448</v>
      </c>
      <c r="K563" t="s">
        <v>5338</v>
      </c>
      <c r="L563" t="s">
        <v>2449</v>
      </c>
      <c r="M563">
        <v>376</v>
      </c>
      <c r="N563" t="s">
        <v>3438</v>
      </c>
      <c r="O563" t="s">
        <v>1653</v>
      </c>
      <c r="P563" s="1">
        <v>44792</v>
      </c>
      <c r="Q563">
        <v>28.1</v>
      </c>
      <c r="R563">
        <v>24</v>
      </c>
      <c r="S563" t="s">
        <v>3427</v>
      </c>
      <c r="T563" t="s">
        <v>2689</v>
      </c>
      <c r="U563" s="10" t="s">
        <v>7895</v>
      </c>
      <c r="V563" t="s">
        <v>7896</v>
      </c>
      <c r="W563" t="s">
        <v>7897</v>
      </c>
      <c r="X563" t="s">
        <v>2688</v>
      </c>
      <c r="Y563" t="s">
        <v>2688</v>
      </c>
      <c r="Z563" t="s">
        <v>2747</v>
      </c>
      <c r="AA563" t="s">
        <v>2689</v>
      </c>
      <c r="AB563" t="s">
        <v>7898</v>
      </c>
      <c r="AD563" t="s">
        <v>7899</v>
      </c>
      <c r="AE563" t="s">
        <v>7900</v>
      </c>
      <c r="AH563" t="s">
        <v>3445</v>
      </c>
      <c r="AJ563" t="s">
        <v>7901</v>
      </c>
    </row>
    <row r="564" spans="1:36" ht="72.900000000000006" x14ac:dyDescent="0.4">
      <c r="A564" t="s">
        <v>1748</v>
      </c>
      <c r="B564" t="s">
        <v>7902</v>
      </c>
      <c r="C564" t="s">
        <v>5838</v>
      </c>
      <c r="D564" t="s">
        <v>7903</v>
      </c>
      <c r="E564" t="s">
        <v>2679</v>
      </c>
      <c r="F564" t="s">
        <v>7904</v>
      </c>
      <c r="G564">
        <v>43.082004762300002</v>
      </c>
      <c r="H564">
        <v>-73.292692545899996</v>
      </c>
      <c r="I564" t="s">
        <v>5838</v>
      </c>
      <c r="J564" t="s">
        <v>2448</v>
      </c>
      <c r="K564" t="s">
        <v>1736</v>
      </c>
      <c r="L564" t="s">
        <v>2451</v>
      </c>
      <c r="M564">
        <v>375</v>
      </c>
      <c r="N564" t="s">
        <v>3438</v>
      </c>
      <c r="O564" t="s">
        <v>1748</v>
      </c>
      <c r="P564" s="1">
        <v>44791</v>
      </c>
      <c r="Q564">
        <v>51</v>
      </c>
      <c r="R564">
        <v>27</v>
      </c>
      <c r="S564" t="s">
        <v>3427</v>
      </c>
      <c r="T564" t="s">
        <v>2689</v>
      </c>
      <c r="U564" s="10" t="s">
        <v>7905</v>
      </c>
      <c r="V564" t="s">
        <v>7906</v>
      </c>
      <c r="W564" t="s">
        <v>7907</v>
      </c>
      <c r="X564" t="s">
        <v>2688</v>
      </c>
      <c r="Y564" t="s">
        <v>2688</v>
      </c>
      <c r="Z564" t="s">
        <v>2747</v>
      </c>
      <c r="AA564" t="s">
        <v>2689</v>
      </c>
      <c r="AB564" t="s">
        <v>7908</v>
      </c>
      <c r="AD564" t="s">
        <v>7909</v>
      </c>
      <c r="AE564" t="s">
        <v>7910</v>
      </c>
      <c r="AH564" t="s">
        <v>3445</v>
      </c>
      <c r="AJ564" t="s">
        <v>7911</v>
      </c>
    </row>
    <row r="565" spans="1:36" ht="131.15" x14ac:dyDescent="0.4">
      <c r="A565" t="s">
        <v>1745</v>
      </c>
      <c r="B565" t="s">
        <v>7912</v>
      </c>
      <c r="C565" t="s">
        <v>5838</v>
      </c>
      <c r="D565" t="s">
        <v>7913</v>
      </c>
      <c r="E565" t="s">
        <v>2679</v>
      </c>
      <c r="F565" t="s">
        <v>7914</v>
      </c>
      <c r="G565">
        <v>43.081321008499998</v>
      </c>
      <c r="H565">
        <v>-73.293487988500004</v>
      </c>
      <c r="I565" t="s">
        <v>5838</v>
      </c>
      <c r="J565" t="s">
        <v>2448</v>
      </c>
      <c r="K565" t="s">
        <v>1736</v>
      </c>
      <c r="L565" t="s">
        <v>2451</v>
      </c>
      <c r="M565">
        <v>374</v>
      </c>
      <c r="N565" t="s">
        <v>3438</v>
      </c>
      <c r="O565" t="s">
        <v>1745</v>
      </c>
      <c r="P565" s="1">
        <v>44791</v>
      </c>
      <c r="Q565">
        <v>29</v>
      </c>
      <c r="R565">
        <v>28</v>
      </c>
      <c r="S565" t="s">
        <v>3427</v>
      </c>
      <c r="T565" t="s">
        <v>2689</v>
      </c>
      <c r="U565" s="10" t="s">
        <v>7915</v>
      </c>
      <c r="V565" t="s">
        <v>7916</v>
      </c>
      <c r="W565" t="s">
        <v>7917</v>
      </c>
      <c r="X565" t="s">
        <v>2688</v>
      </c>
      <c r="Y565" t="s">
        <v>2688</v>
      </c>
      <c r="Z565" t="s">
        <v>2747</v>
      </c>
      <c r="AA565" t="s">
        <v>2689</v>
      </c>
      <c r="AB565" t="s">
        <v>7918</v>
      </c>
      <c r="AD565" t="s">
        <v>7919</v>
      </c>
      <c r="AE565" t="s">
        <v>7920</v>
      </c>
      <c r="AH565" t="s">
        <v>3445</v>
      </c>
      <c r="AJ565" s="10" t="s">
        <v>7921</v>
      </c>
    </row>
    <row r="566" spans="1:36" ht="58.3" x14ac:dyDescent="0.4">
      <c r="A566" t="s">
        <v>1742</v>
      </c>
      <c r="B566" t="s">
        <v>7922</v>
      </c>
      <c r="C566" t="s">
        <v>5838</v>
      </c>
      <c r="D566" t="s">
        <v>7913</v>
      </c>
      <c r="E566" t="s">
        <v>2679</v>
      </c>
      <c r="F566" t="s">
        <v>7923</v>
      </c>
      <c r="G566">
        <v>43.081266484300002</v>
      </c>
      <c r="H566">
        <v>-73.294965801800004</v>
      </c>
      <c r="I566" t="s">
        <v>5838</v>
      </c>
      <c r="J566" t="s">
        <v>2448</v>
      </c>
      <c r="K566" t="s">
        <v>1736</v>
      </c>
      <c r="L566" t="s">
        <v>2451</v>
      </c>
      <c r="M566">
        <v>373</v>
      </c>
      <c r="N566" t="s">
        <v>3438</v>
      </c>
      <c r="O566" t="s">
        <v>1742</v>
      </c>
      <c r="P566" s="1">
        <v>44791</v>
      </c>
      <c r="Q566">
        <v>26.4</v>
      </c>
      <c r="R566">
        <v>25</v>
      </c>
      <c r="S566" t="s">
        <v>3427</v>
      </c>
      <c r="T566" t="s">
        <v>2689</v>
      </c>
      <c r="U566" s="10" t="s">
        <v>7924</v>
      </c>
      <c r="V566" t="s">
        <v>7925</v>
      </c>
      <c r="W566" t="s">
        <v>7926</v>
      </c>
      <c r="X566" t="s">
        <v>2688</v>
      </c>
      <c r="Y566" t="s">
        <v>2688</v>
      </c>
      <c r="Z566" t="s">
        <v>2747</v>
      </c>
      <c r="AA566" t="s">
        <v>2689</v>
      </c>
      <c r="AB566" t="s">
        <v>7927</v>
      </c>
      <c r="AD566" t="s">
        <v>7928</v>
      </c>
      <c r="AE566" t="s">
        <v>7929</v>
      </c>
      <c r="AH566" t="s">
        <v>3445</v>
      </c>
      <c r="AJ566" t="s">
        <v>7930</v>
      </c>
    </row>
    <row r="567" spans="1:36" ht="87.45" x14ac:dyDescent="0.4">
      <c r="A567" t="s">
        <v>1739</v>
      </c>
      <c r="B567" t="s">
        <v>7931</v>
      </c>
      <c r="C567" t="s">
        <v>5838</v>
      </c>
      <c r="D567" t="s">
        <v>7932</v>
      </c>
      <c r="E567" t="s">
        <v>2679</v>
      </c>
      <c r="F567" t="s">
        <v>7933</v>
      </c>
      <c r="G567">
        <v>43.081108820700003</v>
      </c>
      <c r="H567">
        <v>-73.295898707700005</v>
      </c>
      <c r="I567" t="s">
        <v>5838</v>
      </c>
      <c r="J567" t="s">
        <v>2448</v>
      </c>
      <c r="K567" t="s">
        <v>1736</v>
      </c>
      <c r="L567" t="s">
        <v>2451</v>
      </c>
      <c r="M567">
        <v>372</v>
      </c>
      <c r="N567" t="s">
        <v>3438</v>
      </c>
      <c r="O567" t="s">
        <v>1739</v>
      </c>
      <c r="P567" s="1">
        <v>44791</v>
      </c>
      <c r="Q567">
        <v>20.100000000000001</v>
      </c>
      <c r="R567">
        <v>26</v>
      </c>
      <c r="S567" t="s">
        <v>3427</v>
      </c>
      <c r="T567" t="s">
        <v>2689</v>
      </c>
      <c r="U567" s="10" t="s">
        <v>7934</v>
      </c>
      <c r="V567" t="s">
        <v>7935</v>
      </c>
      <c r="W567" t="s">
        <v>7936</v>
      </c>
      <c r="X567" t="s">
        <v>2688</v>
      </c>
      <c r="Y567" t="s">
        <v>2688</v>
      </c>
      <c r="Z567" t="s">
        <v>2747</v>
      </c>
      <c r="AA567" t="s">
        <v>2689</v>
      </c>
      <c r="AB567" t="s">
        <v>7937</v>
      </c>
      <c r="AD567" t="s">
        <v>7938</v>
      </c>
      <c r="AE567" t="s">
        <v>7939</v>
      </c>
      <c r="AH567" t="s">
        <v>3445</v>
      </c>
      <c r="AJ567" t="s">
        <v>7940</v>
      </c>
    </row>
    <row r="568" spans="1:36" ht="87.45" x14ac:dyDescent="0.4">
      <c r="A568" t="s">
        <v>1735</v>
      </c>
      <c r="B568" t="s">
        <v>7941</v>
      </c>
      <c r="C568" t="s">
        <v>3448</v>
      </c>
      <c r="D568" t="s">
        <v>7932</v>
      </c>
      <c r="E568" t="s">
        <v>2679</v>
      </c>
      <c r="F568" t="s">
        <v>7942</v>
      </c>
      <c r="G568">
        <v>43.0812603655</v>
      </c>
      <c r="H568">
        <v>-73.296682834699993</v>
      </c>
      <c r="I568" t="s">
        <v>3448</v>
      </c>
      <c r="J568" t="s">
        <v>2448</v>
      </c>
      <c r="K568" t="s">
        <v>1736</v>
      </c>
      <c r="L568" t="s">
        <v>2451</v>
      </c>
      <c r="M568">
        <v>371</v>
      </c>
      <c r="N568" t="s">
        <v>3438</v>
      </c>
      <c r="O568" t="s">
        <v>1735</v>
      </c>
      <c r="P568" s="1">
        <v>44791</v>
      </c>
      <c r="Q568">
        <v>60.5</v>
      </c>
      <c r="R568">
        <v>24</v>
      </c>
      <c r="S568" t="s">
        <v>3427</v>
      </c>
      <c r="T568" t="s">
        <v>2688</v>
      </c>
      <c r="U568" s="10" t="s">
        <v>7943</v>
      </c>
      <c r="V568" t="s">
        <v>7944</v>
      </c>
      <c r="W568" t="s">
        <v>7945</v>
      </c>
      <c r="X568" t="s">
        <v>2688</v>
      </c>
      <c r="Y568" t="s">
        <v>2688</v>
      </c>
      <c r="Z568" t="s">
        <v>2747</v>
      </c>
      <c r="AA568" t="s">
        <v>2689</v>
      </c>
      <c r="AB568" t="s">
        <v>7946</v>
      </c>
      <c r="AC568" t="s">
        <v>7947</v>
      </c>
      <c r="AD568" t="s">
        <v>7948</v>
      </c>
      <c r="AE568" t="s">
        <v>7949</v>
      </c>
      <c r="AH568" t="s">
        <v>3445</v>
      </c>
      <c r="AJ568" t="s">
        <v>7950</v>
      </c>
    </row>
    <row r="569" spans="1:36" ht="72.900000000000006" x14ac:dyDescent="0.4">
      <c r="A569" t="s">
        <v>1813</v>
      </c>
      <c r="B569" t="s">
        <v>7951</v>
      </c>
      <c r="C569" t="s">
        <v>1411</v>
      </c>
      <c r="D569" t="s">
        <v>7952</v>
      </c>
      <c r="E569" t="s">
        <v>2679</v>
      </c>
      <c r="F569" t="s">
        <v>7953</v>
      </c>
      <c r="G569">
        <v>42.735050926</v>
      </c>
      <c r="H569">
        <v>-76.902997260999996</v>
      </c>
      <c r="I569" t="s">
        <v>1411</v>
      </c>
      <c r="J569" t="s">
        <v>2448</v>
      </c>
      <c r="K569" t="s">
        <v>1789</v>
      </c>
      <c r="L569" t="s">
        <v>2453</v>
      </c>
      <c r="M569">
        <v>349</v>
      </c>
      <c r="N569" t="s">
        <v>3438</v>
      </c>
      <c r="O569" t="s">
        <v>1813</v>
      </c>
      <c r="P569" s="1">
        <v>44789</v>
      </c>
      <c r="Q569">
        <v>30.8</v>
      </c>
      <c r="R569">
        <v>23</v>
      </c>
      <c r="S569" t="s">
        <v>3427</v>
      </c>
      <c r="T569" t="s">
        <v>2689</v>
      </c>
      <c r="U569" s="10" t="s">
        <v>7954</v>
      </c>
      <c r="V569" t="s">
        <v>7955</v>
      </c>
      <c r="W569" t="s">
        <v>7956</v>
      </c>
      <c r="X569" t="s">
        <v>2688</v>
      </c>
      <c r="Y569" t="s">
        <v>2688</v>
      </c>
      <c r="Z569" t="s">
        <v>2689</v>
      </c>
      <c r="AA569" t="s">
        <v>2689</v>
      </c>
      <c r="AB569" t="s">
        <v>7957</v>
      </c>
      <c r="AD569" t="s">
        <v>7958</v>
      </c>
      <c r="AE569" t="s">
        <v>7959</v>
      </c>
      <c r="AH569" t="s">
        <v>3445</v>
      </c>
      <c r="AJ569" t="s">
        <v>7960</v>
      </c>
    </row>
    <row r="570" spans="1:36" ht="145.75" x14ac:dyDescent="0.4">
      <c r="A570" t="s">
        <v>1810</v>
      </c>
      <c r="B570" t="s">
        <v>7961</v>
      </c>
      <c r="C570" t="s">
        <v>1411</v>
      </c>
      <c r="D570" t="s">
        <v>7952</v>
      </c>
      <c r="E570" t="s">
        <v>2679</v>
      </c>
      <c r="F570" t="s">
        <v>7962</v>
      </c>
      <c r="G570">
        <v>42.741538141900001</v>
      </c>
      <c r="H570">
        <v>-76.901106806499996</v>
      </c>
      <c r="I570" t="s">
        <v>1411</v>
      </c>
      <c r="J570" t="s">
        <v>2448</v>
      </c>
      <c r="K570" t="s">
        <v>1789</v>
      </c>
      <c r="L570" t="s">
        <v>2453</v>
      </c>
      <c r="M570">
        <v>348</v>
      </c>
      <c r="N570" t="s">
        <v>3438</v>
      </c>
      <c r="O570" t="s">
        <v>1810</v>
      </c>
      <c r="P570" s="1">
        <v>44789</v>
      </c>
      <c r="Q570">
        <v>15.8</v>
      </c>
      <c r="R570">
        <v>14</v>
      </c>
      <c r="S570" t="s">
        <v>7428</v>
      </c>
      <c r="T570" t="s">
        <v>2689</v>
      </c>
      <c r="U570" s="10" t="s">
        <v>7963</v>
      </c>
      <c r="V570" t="s">
        <v>7964</v>
      </c>
      <c r="W570" t="s">
        <v>7965</v>
      </c>
      <c r="X570" t="s">
        <v>2688</v>
      </c>
      <c r="Y570" t="s">
        <v>2688</v>
      </c>
      <c r="Z570" t="s">
        <v>2747</v>
      </c>
      <c r="AA570" t="s">
        <v>2689</v>
      </c>
      <c r="AB570" t="s">
        <v>7966</v>
      </c>
      <c r="AD570" t="s">
        <v>7967</v>
      </c>
      <c r="AE570" t="s">
        <v>7968</v>
      </c>
      <c r="AH570" t="s">
        <v>3445</v>
      </c>
      <c r="AJ570" t="s">
        <v>4947</v>
      </c>
    </row>
    <row r="571" spans="1:36" ht="160.30000000000001" x14ac:dyDescent="0.4">
      <c r="A571" t="s">
        <v>1807</v>
      </c>
      <c r="B571" t="s">
        <v>7969</v>
      </c>
      <c r="C571" t="s">
        <v>1411</v>
      </c>
      <c r="D571" t="s">
        <v>7970</v>
      </c>
      <c r="E571" t="s">
        <v>2679</v>
      </c>
      <c r="F571" t="s">
        <v>7971</v>
      </c>
      <c r="G571">
        <v>42.740661001699998</v>
      </c>
      <c r="H571">
        <v>-76.904846778500001</v>
      </c>
      <c r="I571" t="s">
        <v>1411</v>
      </c>
      <c r="J571" t="s">
        <v>2448</v>
      </c>
      <c r="K571" t="s">
        <v>1789</v>
      </c>
      <c r="L571" t="s">
        <v>2453</v>
      </c>
      <c r="M571">
        <v>347</v>
      </c>
      <c r="N571" t="s">
        <v>3438</v>
      </c>
      <c r="O571" t="s">
        <v>1807</v>
      </c>
      <c r="P571" s="1">
        <v>44789</v>
      </c>
      <c r="Q571">
        <v>23.6</v>
      </c>
      <c r="R571">
        <v>20</v>
      </c>
      <c r="S571" t="s">
        <v>3607</v>
      </c>
      <c r="T571" t="s">
        <v>2689</v>
      </c>
      <c r="U571" s="10" t="s">
        <v>7972</v>
      </c>
      <c r="V571" t="s">
        <v>7973</v>
      </c>
      <c r="W571" t="s">
        <v>7974</v>
      </c>
      <c r="X571" t="s">
        <v>2688</v>
      </c>
      <c r="Y571" t="s">
        <v>2688</v>
      </c>
      <c r="Z571" t="s">
        <v>2747</v>
      </c>
      <c r="AA571" t="s">
        <v>2689</v>
      </c>
      <c r="AB571" t="s">
        <v>7975</v>
      </c>
      <c r="AD571" t="s">
        <v>7976</v>
      </c>
      <c r="AE571" t="s">
        <v>7977</v>
      </c>
      <c r="AH571" t="s">
        <v>3445</v>
      </c>
      <c r="AJ571" s="10" t="s">
        <v>7978</v>
      </c>
    </row>
    <row r="572" spans="1:36" ht="102" x14ac:dyDescent="0.4">
      <c r="A572" t="s">
        <v>1804</v>
      </c>
      <c r="B572" t="s">
        <v>7979</v>
      </c>
      <c r="C572" t="s">
        <v>1411</v>
      </c>
      <c r="D572" t="s">
        <v>7980</v>
      </c>
      <c r="E572" t="s">
        <v>2679</v>
      </c>
      <c r="F572" t="s">
        <v>7981</v>
      </c>
      <c r="G572">
        <v>42.740603895</v>
      </c>
      <c r="H572">
        <v>-76.905875522700001</v>
      </c>
      <c r="I572" t="s">
        <v>1411</v>
      </c>
      <c r="J572" t="s">
        <v>2448</v>
      </c>
      <c r="K572" t="s">
        <v>1789</v>
      </c>
      <c r="L572" t="s">
        <v>2453</v>
      </c>
      <c r="M572">
        <v>346</v>
      </c>
      <c r="N572" t="s">
        <v>3438</v>
      </c>
      <c r="O572" t="s">
        <v>1804</v>
      </c>
      <c r="P572" s="1">
        <v>44789</v>
      </c>
      <c r="Q572">
        <v>42.3</v>
      </c>
      <c r="R572">
        <v>30</v>
      </c>
      <c r="S572" t="s">
        <v>3464</v>
      </c>
      <c r="T572" t="s">
        <v>2689</v>
      </c>
      <c r="U572" s="10" t="s">
        <v>7982</v>
      </c>
      <c r="V572" t="s">
        <v>7983</v>
      </c>
      <c r="W572" t="s">
        <v>7984</v>
      </c>
      <c r="X572" t="s">
        <v>2688</v>
      </c>
      <c r="Y572" t="s">
        <v>2688</v>
      </c>
      <c r="Z572" t="s">
        <v>2747</v>
      </c>
      <c r="AA572" t="s">
        <v>2689</v>
      </c>
      <c r="AB572" t="s">
        <v>7985</v>
      </c>
      <c r="AD572" t="s">
        <v>7986</v>
      </c>
      <c r="AE572" t="s">
        <v>7987</v>
      </c>
      <c r="AH572" t="s">
        <v>3445</v>
      </c>
      <c r="AJ572" t="s">
        <v>5356</v>
      </c>
    </row>
    <row r="573" spans="1:36" ht="131.15" x14ac:dyDescent="0.4">
      <c r="A573" t="s">
        <v>1801</v>
      </c>
      <c r="B573" t="s">
        <v>7988</v>
      </c>
      <c r="C573" t="s">
        <v>3448</v>
      </c>
      <c r="D573" t="s">
        <v>7980</v>
      </c>
      <c r="E573" t="s">
        <v>2679</v>
      </c>
      <c r="F573" t="s">
        <v>7989</v>
      </c>
      <c r="G573">
        <v>42.698556832100003</v>
      </c>
      <c r="H573">
        <v>-76.895155822899994</v>
      </c>
      <c r="I573" t="s">
        <v>3448</v>
      </c>
      <c r="J573" t="s">
        <v>2448</v>
      </c>
      <c r="K573" t="s">
        <v>1789</v>
      </c>
      <c r="L573" t="s">
        <v>2453</v>
      </c>
      <c r="M573">
        <v>345</v>
      </c>
      <c r="N573" t="s">
        <v>3438</v>
      </c>
      <c r="O573" t="s">
        <v>1801</v>
      </c>
      <c r="P573" s="1">
        <v>44789</v>
      </c>
      <c r="Q573">
        <v>45.4</v>
      </c>
      <c r="R573">
        <v>24</v>
      </c>
      <c r="S573" t="s">
        <v>3464</v>
      </c>
      <c r="T573" t="s">
        <v>2689</v>
      </c>
      <c r="U573" s="10" t="s">
        <v>7990</v>
      </c>
      <c r="V573" t="s">
        <v>7991</v>
      </c>
      <c r="W573" t="s">
        <v>7992</v>
      </c>
      <c r="X573" t="s">
        <v>2688</v>
      </c>
      <c r="Y573" t="s">
        <v>2688</v>
      </c>
      <c r="Z573" t="s">
        <v>2747</v>
      </c>
      <c r="AA573" t="s">
        <v>2689</v>
      </c>
      <c r="AB573" t="s">
        <v>7993</v>
      </c>
      <c r="AD573" t="s">
        <v>7994</v>
      </c>
      <c r="AE573" t="s">
        <v>7995</v>
      </c>
      <c r="AH573" t="s">
        <v>3445</v>
      </c>
      <c r="AJ573" s="10" t="s">
        <v>7996</v>
      </c>
    </row>
    <row r="574" spans="1:36" ht="218.6" x14ac:dyDescent="0.4">
      <c r="A574" t="s">
        <v>1787</v>
      </c>
      <c r="B574" t="s">
        <v>7997</v>
      </c>
      <c r="C574" t="s">
        <v>3448</v>
      </c>
      <c r="D574" t="s">
        <v>7998</v>
      </c>
      <c r="E574" t="s">
        <v>2679</v>
      </c>
      <c r="F574" t="s">
        <v>7999</v>
      </c>
      <c r="G574">
        <v>42.706530913800002</v>
      </c>
      <c r="H574">
        <v>-76.900968756599994</v>
      </c>
      <c r="I574" t="s">
        <v>3448</v>
      </c>
      <c r="J574" t="s">
        <v>2448</v>
      </c>
      <c r="K574" t="s">
        <v>1789</v>
      </c>
      <c r="L574" t="s">
        <v>2453</v>
      </c>
      <c r="M574">
        <v>341</v>
      </c>
      <c r="N574" t="s">
        <v>3438</v>
      </c>
      <c r="O574" t="s">
        <v>1787</v>
      </c>
      <c r="P574" s="1">
        <v>44789</v>
      </c>
      <c r="Q574">
        <v>59.4</v>
      </c>
      <c r="R574">
        <v>26</v>
      </c>
      <c r="S574" t="s">
        <v>3427</v>
      </c>
      <c r="T574" t="s">
        <v>2689</v>
      </c>
      <c r="U574" s="10" t="s">
        <v>8000</v>
      </c>
      <c r="V574" t="s">
        <v>8001</v>
      </c>
      <c r="W574" t="s">
        <v>8002</v>
      </c>
      <c r="X574" t="s">
        <v>2688</v>
      </c>
      <c r="Y574" t="s">
        <v>2688</v>
      </c>
      <c r="Z574" t="s">
        <v>2747</v>
      </c>
      <c r="AA574" t="s">
        <v>2689</v>
      </c>
      <c r="AB574" t="s">
        <v>8003</v>
      </c>
      <c r="AD574" t="s">
        <v>8004</v>
      </c>
      <c r="AE574" t="s">
        <v>8005</v>
      </c>
      <c r="AH574" t="s">
        <v>3445</v>
      </c>
      <c r="AJ574" s="10" t="s">
        <v>8006</v>
      </c>
    </row>
    <row r="575" spans="1:36" x14ac:dyDescent="0.4">
      <c r="A575" t="s">
        <v>1795</v>
      </c>
      <c r="B575" t="s">
        <v>8007</v>
      </c>
      <c r="C575" t="s">
        <v>3448</v>
      </c>
      <c r="D575" t="s">
        <v>8008</v>
      </c>
      <c r="E575" t="s">
        <v>2679</v>
      </c>
      <c r="F575" t="s">
        <v>8009</v>
      </c>
      <c r="G575">
        <v>42.7003873978</v>
      </c>
      <c r="H575">
        <v>-76.896642018199998</v>
      </c>
      <c r="I575" t="s">
        <v>3448</v>
      </c>
      <c r="J575" t="s">
        <v>2448</v>
      </c>
      <c r="K575" t="s">
        <v>1789</v>
      </c>
      <c r="L575" t="s">
        <v>2453</v>
      </c>
      <c r="M575">
        <v>343</v>
      </c>
      <c r="N575" t="s">
        <v>3438</v>
      </c>
      <c r="O575" t="s">
        <v>1795</v>
      </c>
      <c r="P575" s="1">
        <v>44789</v>
      </c>
      <c r="Q575">
        <v>116.1</v>
      </c>
      <c r="R575">
        <v>26</v>
      </c>
      <c r="S575" t="s">
        <v>3427</v>
      </c>
      <c r="T575" t="s">
        <v>2688</v>
      </c>
      <c r="U575" t="s">
        <v>8010</v>
      </c>
      <c r="V575" t="s">
        <v>8011</v>
      </c>
      <c r="W575" t="s">
        <v>8012</v>
      </c>
      <c r="X575" t="s">
        <v>2688</v>
      </c>
      <c r="Y575" t="s">
        <v>2688</v>
      </c>
      <c r="Z575" t="s">
        <v>2747</v>
      </c>
      <c r="AA575" t="s">
        <v>2689</v>
      </c>
      <c r="AB575" t="s">
        <v>8013</v>
      </c>
      <c r="AC575" t="s">
        <v>8014</v>
      </c>
      <c r="AD575" t="s">
        <v>8015</v>
      </c>
      <c r="AE575" t="s">
        <v>8016</v>
      </c>
      <c r="AH575" t="s">
        <v>3445</v>
      </c>
      <c r="AJ575" t="s">
        <v>8017</v>
      </c>
    </row>
    <row r="576" spans="1:36" ht="87.45" x14ac:dyDescent="0.4">
      <c r="A576" t="s">
        <v>1792</v>
      </c>
      <c r="B576" t="s">
        <v>8018</v>
      </c>
      <c r="C576" t="s">
        <v>3448</v>
      </c>
      <c r="D576" t="s">
        <v>8008</v>
      </c>
      <c r="E576" t="s">
        <v>2679</v>
      </c>
      <c r="F576" t="s">
        <v>8019</v>
      </c>
      <c r="G576">
        <v>42.700942740800002</v>
      </c>
      <c r="H576">
        <v>-76.897104866899994</v>
      </c>
      <c r="I576" t="s">
        <v>3448</v>
      </c>
      <c r="J576" t="s">
        <v>2448</v>
      </c>
      <c r="K576" t="s">
        <v>1789</v>
      </c>
      <c r="L576" t="s">
        <v>2453</v>
      </c>
      <c r="M576">
        <v>342</v>
      </c>
      <c r="N576" t="s">
        <v>3438</v>
      </c>
      <c r="O576" t="s">
        <v>1792</v>
      </c>
      <c r="P576" s="1">
        <v>44789</v>
      </c>
      <c r="Q576">
        <v>35.4</v>
      </c>
      <c r="R576">
        <v>22</v>
      </c>
      <c r="S576" t="s">
        <v>3427</v>
      </c>
      <c r="T576" t="s">
        <v>2689</v>
      </c>
      <c r="U576" s="10" t="s">
        <v>8020</v>
      </c>
      <c r="V576" s="10" t="s">
        <v>8021</v>
      </c>
      <c r="W576" t="s">
        <v>8022</v>
      </c>
      <c r="X576" t="s">
        <v>2688</v>
      </c>
      <c r="Y576" t="s">
        <v>2688</v>
      </c>
      <c r="Z576" t="s">
        <v>2747</v>
      </c>
      <c r="AA576" t="s">
        <v>2689</v>
      </c>
      <c r="AB576" t="s">
        <v>8023</v>
      </c>
      <c r="AD576" t="s">
        <v>8024</v>
      </c>
      <c r="AE576" t="s">
        <v>8025</v>
      </c>
      <c r="AH576" t="s">
        <v>3445</v>
      </c>
      <c r="AJ576" t="s">
        <v>8026</v>
      </c>
    </row>
    <row r="577" spans="1:36" ht="116.6" x14ac:dyDescent="0.4">
      <c r="A577" t="s">
        <v>1689</v>
      </c>
      <c r="B577" t="s">
        <v>8027</v>
      </c>
      <c r="C577" t="s">
        <v>1411</v>
      </c>
      <c r="D577" t="s">
        <v>8028</v>
      </c>
      <c r="E577" t="s">
        <v>2679</v>
      </c>
      <c r="F577" t="s">
        <v>8029</v>
      </c>
      <c r="G577">
        <v>43.059450402000003</v>
      </c>
      <c r="H577">
        <v>-78.972306847599995</v>
      </c>
      <c r="I577" t="s">
        <v>1411</v>
      </c>
      <c r="J577" t="s">
        <v>2448</v>
      </c>
      <c r="K577" t="s">
        <v>5399</v>
      </c>
      <c r="L577" t="s">
        <v>2450</v>
      </c>
      <c r="M577">
        <v>328</v>
      </c>
      <c r="N577" t="s">
        <v>3438</v>
      </c>
      <c r="O577" t="s">
        <v>1689</v>
      </c>
      <c r="P577" s="1">
        <v>44788</v>
      </c>
      <c r="Q577">
        <v>27.2</v>
      </c>
      <c r="R577">
        <v>18</v>
      </c>
      <c r="S577" t="s">
        <v>3427</v>
      </c>
      <c r="U577" s="10" t="s">
        <v>8030</v>
      </c>
      <c r="V577" t="s">
        <v>8031</v>
      </c>
      <c r="W577" t="s">
        <v>8032</v>
      </c>
      <c r="X577" t="s">
        <v>2688</v>
      </c>
      <c r="Y577" t="s">
        <v>2688</v>
      </c>
      <c r="Z577" t="s">
        <v>2689</v>
      </c>
      <c r="AA577" t="s">
        <v>2689</v>
      </c>
      <c r="AB577" t="s">
        <v>8033</v>
      </c>
      <c r="AD577" t="s">
        <v>8034</v>
      </c>
      <c r="AE577" t="s">
        <v>8035</v>
      </c>
      <c r="AH577" t="s">
        <v>3445</v>
      </c>
      <c r="AJ577" t="s">
        <v>8036</v>
      </c>
    </row>
    <row r="578" spans="1:36" ht="218.6" x14ac:dyDescent="0.4">
      <c r="A578" t="s">
        <v>670</v>
      </c>
      <c r="B578" t="s">
        <v>8037</v>
      </c>
      <c r="C578" t="s">
        <v>3594</v>
      </c>
      <c r="D578" t="s">
        <v>8038</v>
      </c>
      <c r="E578" t="s">
        <v>2679</v>
      </c>
      <c r="F578" t="s">
        <v>8039</v>
      </c>
      <c r="G578">
        <v>39.106822684400001</v>
      </c>
      <c r="H578">
        <v>-96.604165882000004</v>
      </c>
      <c r="I578" t="s">
        <v>3594</v>
      </c>
      <c r="J578" t="s">
        <v>2420</v>
      </c>
      <c r="K578" t="s">
        <v>3704</v>
      </c>
      <c r="L578" t="s">
        <v>2422</v>
      </c>
      <c r="M578">
        <v>326</v>
      </c>
      <c r="N578" t="s">
        <v>3438</v>
      </c>
      <c r="O578" t="s">
        <v>670</v>
      </c>
      <c r="P578" s="1">
        <v>44777</v>
      </c>
      <c r="Q578">
        <v>52</v>
      </c>
      <c r="R578">
        <v>26</v>
      </c>
      <c r="S578" t="s">
        <v>3464</v>
      </c>
      <c r="T578" t="s">
        <v>2689</v>
      </c>
      <c r="U578" s="10" t="s">
        <v>8040</v>
      </c>
      <c r="V578" t="s">
        <v>8041</v>
      </c>
      <c r="W578" t="s">
        <v>8042</v>
      </c>
      <c r="X578" t="s">
        <v>2688</v>
      </c>
      <c r="Y578" t="s">
        <v>2688</v>
      </c>
      <c r="Z578" t="s">
        <v>2747</v>
      </c>
      <c r="AA578" t="s">
        <v>2689</v>
      </c>
      <c r="AB578" t="s">
        <v>8043</v>
      </c>
      <c r="AD578" t="s">
        <v>8044</v>
      </c>
      <c r="AE578" t="s">
        <v>8045</v>
      </c>
      <c r="AH578" t="s">
        <v>3445</v>
      </c>
      <c r="AJ578" s="10" t="s">
        <v>8046</v>
      </c>
    </row>
    <row r="579" spans="1:36" ht="116.6" x14ac:dyDescent="0.4">
      <c r="A579" t="s">
        <v>667</v>
      </c>
      <c r="B579" t="s">
        <v>8047</v>
      </c>
      <c r="C579" t="s">
        <v>1411</v>
      </c>
      <c r="D579" t="s">
        <v>8038</v>
      </c>
      <c r="E579" t="s">
        <v>2679</v>
      </c>
      <c r="F579" t="s">
        <v>8048</v>
      </c>
      <c r="G579">
        <v>39.108099834999997</v>
      </c>
      <c r="H579">
        <v>-96.6022109707</v>
      </c>
      <c r="I579" t="s">
        <v>1411</v>
      </c>
      <c r="J579" t="s">
        <v>2420</v>
      </c>
      <c r="K579" t="s">
        <v>3704</v>
      </c>
      <c r="L579" t="s">
        <v>2422</v>
      </c>
      <c r="M579">
        <v>325</v>
      </c>
      <c r="N579" t="s">
        <v>3438</v>
      </c>
      <c r="O579" t="s">
        <v>667</v>
      </c>
      <c r="P579" s="1">
        <v>44777</v>
      </c>
      <c r="Q579">
        <v>55.1</v>
      </c>
      <c r="R579">
        <v>20</v>
      </c>
      <c r="S579" t="s">
        <v>3464</v>
      </c>
      <c r="T579" t="s">
        <v>2689</v>
      </c>
      <c r="U579" s="10" t="s">
        <v>8049</v>
      </c>
      <c r="V579" t="s">
        <v>8050</v>
      </c>
      <c r="W579" t="s">
        <v>8051</v>
      </c>
      <c r="X579" t="s">
        <v>2688</v>
      </c>
      <c r="Y579" t="s">
        <v>2688</v>
      </c>
      <c r="Z579" t="s">
        <v>2689</v>
      </c>
      <c r="AA579" t="s">
        <v>2689</v>
      </c>
      <c r="AB579" t="s">
        <v>8052</v>
      </c>
      <c r="AD579" t="s">
        <v>8053</v>
      </c>
      <c r="AE579" t="s">
        <v>8054</v>
      </c>
      <c r="AH579" t="s">
        <v>3445</v>
      </c>
      <c r="AJ579" t="s">
        <v>7901</v>
      </c>
    </row>
    <row r="580" spans="1:36" ht="116.6" x14ac:dyDescent="0.4">
      <c r="A580" t="s">
        <v>664</v>
      </c>
      <c r="B580" t="s">
        <v>8055</v>
      </c>
      <c r="C580" t="s">
        <v>3594</v>
      </c>
      <c r="D580" t="s">
        <v>8056</v>
      </c>
      <c r="E580" t="s">
        <v>2679</v>
      </c>
      <c r="F580" t="s">
        <v>8057</v>
      </c>
      <c r="G580">
        <v>39.107914092100003</v>
      </c>
      <c r="H580">
        <v>-96.602334519899998</v>
      </c>
      <c r="I580" t="s">
        <v>3594</v>
      </c>
      <c r="J580" t="s">
        <v>2420</v>
      </c>
      <c r="K580" t="s">
        <v>3704</v>
      </c>
      <c r="L580" t="s">
        <v>2422</v>
      </c>
      <c r="M580">
        <v>324</v>
      </c>
      <c r="N580" t="s">
        <v>3438</v>
      </c>
      <c r="O580" t="s">
        <v>664</v>
      </c>
      <c r="P580" s="1">
        <v>44777</v>
      </c>
      <c r="Q580">
        <v>18.3</v>
      </c>
      <c r="R580">
        <v>18</v>
      </c>
      <c r="S580" t="s">
        <v>3464</v>
      </c>
      <c r="T580" t="s">
        <v>2689</v>
      </c>
      <c r="U580" s="10" t="s">
        <v>8058</v>
      </c>
      <c r="V580" t="s">
        <v>8059</v>
      </c>
      <c r="W580" t="s">
        <v>8060</v>
      </c>
      <c r="X580" t="s">
        <v>2688</v>
      </c>
      <c r="Y580" t="s">
        <v>2688</v>
      </c>
      <c r="Z580" t="s">
        <v>2747</v>
      </c>
      <c r="AA580" t="s">
        <v>2689</v>
      </c>
      <c r="AB580" t="s">
        <v>8061</v>
      </c>
      <c r="AD580" t="s">
        <v>8062</v>
      </c>
      <c r="AE580" t="s">
        <v>8063</v>
      </c>
      <c r="AH580" t="s">
        <v>3445</v>
      </c>
      <c r="AJ580" s="10" t="s">
        <v>8064</v>
      </c>
    </row>
    <row r="581" spans="1:36" ht="160.30000000000001" x14ac:dyDescent="0.4">
      <c r="A581" t="s">
        <v>658</v>
      </c>
      <c r="B581" t="s">
        <v>8065</v>
      </c>
      <c r="C581" t="s">
        <v>1411</v>
      </c>
      <c r="D581" t="s">
        <v>8066</v>
      </c>
      <c r="E581" t="s">
        <v>2679</v>
      </c>
      <c r="F581" t="s">
        <v>8067</v>
      </c>
      <c r="G581">
        <v>39.107834464</v>
      </c>
      <c r="H581">
        <v>-96.604197900800003</v>
      </c>
      <c r="I581" t="s">
        <v>1411</v>
      </c>
      <c r="J581" t="s">
        <v>2420</v>
      </c>
      <c r="K581" t="s">
        <v>3704</v>
      </c>
      <c r="L581" t="s">
        <v>2422</v>
      </c>
      <c r="M581">
        <v>322</v>
      </c>
      <c r="N581" t="s">
        <v>3438</v>
      </c>
      <c r="O581" t="s">
        <v>658</v>
      </c>
      <c r="P581" s="1">
        <v>44777</v>
      </c>
      <c r="Q581">
        <v>33.4</v>
      </c>
      <c r="R581">
        <v>22</v>
      </c>
      <c r="S581" t="s">
        <v>3427</v>
      </c>
      <c r="T581" t="s">
        <v>2689</v>
      </c>
      <c r="U581" s="10" t="s">
        <v>8068</v>
      </c>
      <c r="V581" t="s">
        <v>8069</v>
      </c>
      <c r="W581" t="s">
        <v>8070</v>
      </c>
      <c r="X581" t="s">
        <v>2688</v>
      </c>
      <c r="Y581" t="s">
        <v>2688</v>
      </c>
      <c r="Z581" t="s">
        <v>2689</v>
      </c>
      <c r="AA581" t="s">
        <v>2689</v>
      </c>
      <c r="AB581" t="s">
        <v>8071</v>
      </c>
      <c r="AD581" t="s">
        <v>8072</v>
      </c>
      <c r="AE581" t="s">
        <v>8073</v>
      </c>
      <c r="AH581" t="s">
        <v>3445</v>
      </c>
      <c r="AJ581" t="s">
        <v>8074</v>
      </c>
    </row>
    <row r="582" spans="1:36" ht="102" x14ac:dyDescent="0.4">
      <c r="A582" t="s">
        <v>649</v>
      </c>
      <c r="B582" t="s">
        <v>8075</v>
      </c>
      <c r="C582" t="s">
        <v>3594</v>
      </c>
      <c r="D582" t="s">
        <v>8076</v>
      </c>
      <c r="E582" t="s">
        <v>2679</v>
      </c>
      <c r="F582" t="s">
        <v>8077</v>
      </c>
      <c r="G582">
        <v>39.107817951599998</v>
      </c>
      <c r="H582">
        <v>-96.605737656399995</v>
      </c>
      <c r="I582" t="s">
        <v>3594</v>
      </c>
      <c r="J582" t="s">
        <v>2420</v>
      </c>
      <c r="K582" t="s">
        <v>3704</v>
      </c>
      <c r="L582" t="s">
        <v>2422</v>
      </c>
      <c r="M582">
        <v>319</v>
      </c>
      <c r="N582" t="s">
        <v>3438</v>
      </c>
      <c r="O582" t="s">
        <v>649</v>
      </c>
      <c r="P582" s="1">
        <v>44777</v>
      </c>
      <c r="Q582">
        <v>74.3</v>
      </c>
      <c r="R582">
        <v>24</v>
      </c>
      <c r="S582" t="s">
        <v>4506</v>
      </c>
      <c r="T582" t="s">
        <v>2689</v>
      </c>
      <c r="U582" s="10" t="s">
        <v>8078</v>
      </c>
      <c r="V582" t="s">
        <v>8079</v>
      </c>
      <c r="W582" t="s">
        <v>8080</v>
      </c>
      <c r="X582" t="s">
        <v>2688</v>
      </c>
      <c r="Y582" t="s">
        <v>2688</v>
      </c>
      <c r="Z582" t="s">
        <v>2747</v>
      </c>
      <c r="AA582" t="s">
        <v>2689</v>
      </c>
      <c r="AB582" t="s">
        <v>8081</v>
      </c>
      <c r="AD582" t="s">
        <v>8082</v>
      </c>
      <c r="AE582" t="s">
        <v>8083</v>
      </c>
      <c r="AH582" t="s">
        <v>3445</v>
      </c>
      <c r="AJ582" t="s">
        <v>8084</v>
      </c>
    </row>
    <row r="583" spans="1:36" x14ac:dyDescent="0.4">
      <c r="A583" t="s">
        <v>631</v>
      </c>
      <c r="B583" t="s">
        <v>8085</v>
      </c>
      <c r="C583" t="s">
        <v>6508</v>
      </c>
      <c r="D583" t="s">
        <v>8086</v>
      </c>
      <c r="E583" t="s">
        <v>2679</v>
      </c>
      <c r="F583" t="s">
        <v>8087</v>
      </c>
      <c r="G583">
        <v>38.917406969699996</v>
      </c>
      <c r="H583">
        <v>-94.973637275499996</v>
      </c>
      <c r="I583" t="s">
        <v>6510</v>
      </c>
      <c r="J583" t="s">
        <v>2420</v>
      </c>
      <c r="K583" t="s">
        <v>635</v>
      </c>
      <c r="L583" t="s">
        <v>2421</v>
      </c>
      <c r="M583">
        <v>315</v>
      </c>
      <c r="N583" t="s">
        <v>3438</v>
      </c>
      <c r="O583" t="s">
        <v>631</v>
      </c>
      <c r="P583" s="1">
        <v>44776</v>
      </c>
      <c r="Q583">
        <v>4.2</v>
      </c>
      <c r="R583">
        <v>5</v>
      </c>
      <c r="S583" t="s">
        <v>3464</v>
      </c>
      <c r="T583" t="s">
        <v>2689</v>
      </c>
      <c r="U583" t="s">
        <v>8088</v>
      </c>
      <c r="V583" t="s">
        <v>8089</v>
      </c>
      <c r="W583" t="s">
        <v>4820</v>
      </c>
      <c r="X583" t="s">
        <v>2688</v>
      </c>
      <c r="Y583" t="s">
        <v>2688</v>
      </c>
      <c r="Z583" t="s">
        <v>2747</v>
      </c>
      <c r="AA583" t="s">
        <v>2689</v>
      </c>
      <c r="AB583" t="s">
        <v>8090</v>
      </c>
      <c r="AD583" t="s">
        <v>8091</v>
      </c>
      <c r="AE583" t="s">
        <v>8092</v>
      </c>
      <c r="AH583" t="s">
        <v>3445</v>
      </c>
      <c r="AJ583" t="s">
        <v>8093</v>
      </c>
    </row>
    <row r="584" spans="1:36" ht="218.6" x14ac:dyDescent="0.4">
      <c r="A584" t="s">
        <v>729</v>
      </c>
      <c r="B584" t="s">
        <v>8094</v>
      </c>
      <c r="C584" t="s">
        <v>3448</v>
      </c>
      <c r="D584" t="s">
        <v>8095</v>
      </c>
      <c r="E584" t="s">
        <v>2679</v>
      </c>
      <c r="F584" t="s">
        <v>8096</v>
      </c>
      <c r="G584">
        <v>38.979705129800003</v>
      </c>
      <c r="H584">
        <v>-94.808309264599998</v>
      </c>
      <c r="I584" t="s">
        <v>3448</v>
      </c>
      <c r="J584" t="s">
        <v>2420</v>
      </c>
      <c r="K584" t="s">
        <v>674</v>
      </c>
      <c r="L584" t="s">
        <v>2423</v>
      </c>
      <c r="M584">
        <v>313</v>
      </c>
      <c r="N584" t="s">
        <v>3438</v>
      </c>
      <c r="O584" t="s">
        <v>729</v>
      </c>
      <c r="P584" s="1">
        <v>44776</v>
      </c>
      <c r="Q584">
        <v>39.1</v>
      </c>
      <c r="R584">
        <v>23</v>
      </c>
      <c r="S584" t="s">
        <v>3427</v>
      </c>
      <c r="U584" s="10" t="s">
        <v>8097</v>
      </c>
      <c r="V584" t="s">
        <v>8098</v>
      </c>
      <c r="W584" t="s">
        <v>8099</v>
      </c>
      <c r="X584" t="s">
        <v>2688</v>
      </c>
      <c r="Y584" t="s">
        <v>2689</v>
      </c>
      <c r="Z584" t="s">
        <v>2747</v>
      </c>
      <c r="AB584" t="s">
        <v>8100</v>
      </c>
      <c r="AD584" t="s">
        <v>8101</v>
      </c>
      <c r="AE584" t="s">
        <v>8102</v>
      </c>
      <c r="AG584" t="s">
        <v>8103</v>
      </c>
      <c r="AH584" t="s">
        <v>3445</v>
      </c>
      <c r="AJ584" t="s">
        <v>8104</v>
      </c>
    </row>
    <row r="585" spans="1:36" ht="174.9" x14ac:dyDescent="0.4">
      <c r="A585" t="s">
        <v>1121</v>
      </c>
      <c r="B585" t="s">
        <v>8105</v>
      </c>
      <c r="C585" t="s">
        <v>1411</v>
      </c>
      <c r="D585" t="s">
        <v>8106</v>
      </c>
      <c r="E585" t="s">
        <v>2679</v>
      </c>
      <c r="F585" t="s">
        <v>8107</v>
      </c>
      <c r="G585">
        <v>42.765142587100001</v>
      </c>
      <c r="H585">
        <v>-84.3890029752</v>
      </c>
      <c r="I585" t="s">
        <v>1411</v>
      </c>
      <c r="J585" t="s">
        <v>2436</v>
      </c>
      <c r="K585" t="s">
        <v>5369</v>
      </c>
      <c r="L585" t="s">
        <v>2437</v>
      </c>
      <c r="M585">
        <v>294</v>
      </c>
      <c r="N585" t="s">
        <v>3438</v>
      </c>
      <c r="O585" t="s">
        <v>1121</v>
      </c>
      <c r="P585" s="1">
        <v>44770</v>
      </c>
      <c r="Q585">
        <v>64.5</v>
      </c>
      <c r="R585">
        <v>24</v>
      </c>
      <c r="S585" t="s">
        <v>3518</v>
      </c>
      <c r="T585" t="s">
        <v>2689</v>
      </c>
      <c r="U585" s="10" t="s">
        <v>8108</v>
      </c>
      <c r="V585" t="s">
        <v>8109</v>
      </c>
      <c r="W585" t="s">
        <v>8110</v>
      </c>
      <c r="X585" t="s">
        <v>2688</v>
      </c>
      <c r="Y585" t="s">
        <v>2688</v>
      </c>
      <c r="Z585" t="s">
        <v>2689</v>
      </c>
      <c r="AA585" t="s">
        <v>2689</v>
      </c>
      <c r="AB585" t="s">
        <v>8111</v>
      </c>
      <c r="AD585" t="s">
        <v>8112</v>
      </c>
      <c r="AE585" t="s">
        <v>8113</v>
      </c>
      <c r="AH585" t="s">
        <v>3445</v>
      </c>
    </row>
    <row r="586" spans="1:36" ht="87.45" x14ac:dyDescent="0.4">
      <c r="A586" t="s">
        <v>1118</v>
      </c>
      <c r="B586" t="s">
        <v>8114</v>
      </c>
      <c r="C586" t="s">
        <v>3448</v>
      </c>
      <c r="D586" t="s">
        <v>8115</v>
      </c>
      <c r="E586" t="s">
        <v>2679</v>
      </c>
      <c r="F586" t="s">
        <v>8116</v>
      </c>
      <c r="G586">
        <v>42.765253619799999</v>
      </c>
      <c r="H586">
        <v>-84.382453011999999</v>
      </c>
      <c r="I586" t="s">
        <v>3448</v>
      </c>
      <c r="J586" t="s">
        <v>2436</v>
      </c>
      <c r="K586" t="s">
        <v>5369</v>
      </c>
      <c r="L586" t="s">
        <v>2437</v>
      </c>
      <c r="M586">
        <v>293</v>
      </c>
      <c r="N586" t="s">
        <v>3438</v>
      </c>
      <c r="O586" t="s">
        <v>1118</v>
      </c>
      <c r="P586" s="1">
        <v>44770</v>
      </c>
      <c r="Q586">
        <v>15.3</v>
      </c>
      <c r="R586">
        <v>16</v>
      </c>
      <c r="S586" t="s">
        <v>3427</v>
      </c>
      <c r="T586" t="s">
        <v>2689</v>
      </c>
      <c r="U586" s="10" t="s">
        <v>8117</v>
      </c>
      <c r="V586" t="s">
        <v>8118</v>
      </c>
      <c r="W586" t="s">
        <v>8119</v>
      </c>
      <c r="X586" t="s">
        <v>2688</v>
      </c>
      <c r="Y586" t="s">
        <v>2688</v>
      </c>
      <c r="Z586" t="s">
        <v>2689</v>
      </c>
      <c r="AA586" t="s">
        <v>2689</v>
      </c>
      <c r="AB586" t="s">
        <v>8120</v>
      </c>
      <c r="AD586" t="s">
        <v>8121</v>
      </c>
      <c r="AE586" t="s">
        <v>8122</v>
      </c>
      <c r="AH586" t="s">
        <v>3445</v>
      </c>
      <c r="AJ586" s="10" t="s">
        <v>8123</v>
      </c>
    </row>
    <row r="587" spans="1:36" ht="72.900000000000006" x14ac:dyDescent="0.4">
      <c r="A587" t="s">
        <v>1112</v>
      </c>
      <c r="B587" t="s">
        <v>8124</v>
      </c>
      <c r="C587" t="s">
        <v>3448</v>
      </c>
      <c r="D587" t="s">
        <v>8125</v>
      </c>
      <c r="E587" t="s">
        <v>2679</v>
      </c>
      <c r="F587" t="s">
        <v>8126</v>
      </c>
      <c r="G587">
        <v>42.7655997361</v>
      </c>
      <c r="H587">
        <v>-84.378094598700002</v>
      </c>
      <c r="I587" t="s">
        <v>3448</v>
      </c>
      <c r="J587" t="s">
        <v>2436</v>
      </c>
      <c r="K587" t="s">
        <v>5369</v>
      </c>
      <c r="L587" t="s">
        <v>2437</v>
      </c>
      <c r="M587">
        <v>291</v>
      </c>
      <c r="N587" t="s">
        <v>3438</v>
      </c>
      <c r="O587" t="s">
        <v>1112</v>
      </c>
      <c r="P587" s="1">
        <v>44770</v>
      </c>
      <c r="Q587">
        <v>31.5</v>
      </c>
      <c r="R587">
        <v>15</v>
      </c>
      <c r="S587" t="s">
        <v>3464</v>
      </c>
      <c r="T587" t="s">
        <v>2689</v>
      </c>
      <c r="U587" s="10" t="s">
        <v>8127</v>
      </c>
      <c r="V587" t="s">
        <v>8128</v>
      </c>
      <c r="W587" t="s">
        <v>8129</v>
      </c>
      <c r="X587" t="s">
        <v>2688</v>
      </c>
      <c r="Y587" t="s">
        <v>2688</v>
      </c>
      <c r="Z587" t="s">
        <v>2689</v>
      </c>
      <c r="AA587" t="s">
        <v>2689</v>
      </c>
      <c r="AB587" t="s">
        <v>8130</v>
      </c>
      <c r="AD587" t="s">
        <v>8131</v>
      </c>
      <c r="AE587" t="s">
        <v>8132</v>
      </c>
      <c r="AH587" t="s">
        <v>3445</v>
      </c>
      <c r="AJ587" t="s">
        <v>8133</v>
      </c>
    </row>
    <row r="588" spans="1:36" ht="58.3" x14ac:dyDescent="0.4">
      <c r="A588" t="s">
        <v>1109</v>
      </c>
      <c r="B588" t="s">
        <v>8134</v>
      </c>
      <c r="C588" t="s">
        <v>1428</v>
      </c>
      <c r="D588" t="s">
        <v>8135</v>
      </c>
      <c r="E588" t="s">
        <v>2679</v>
      </c>
      <c r="F588" t="s">
        <v>8136</v>
      </c>
      <c r="G588">
        <v>42.765930150700001</v>
      </c>
      <c r="H588">
        <v>-84.3813254871</v>
      </c>
      <c r="I588" t="s">
        <v>1428</v>
      </c>
      <c r="J588" t="s">
        <v>2436</v>
      </c>
      <c r="K588" t="s">
        <v>5369</v>
      </c>
      <c r="L588" t="s">
        <v>2437</v>
      </c>
      <c r="M588">
        <v>290</v>
      </c>
      <c r="N588" t="s">
        <v>3438</v>
      </c>
      <c r="O588" t="s">
        <v>1109</v>
      </c>
      <c r="P588" s="1">
        <v>44770</v>
      </c>
      <c r="Q588">
        <v>33.799999999999997</v>
      </c>
      <c r="R588">
        <v>16</v>
      </c>
      <c r="S588" t="s">
        <v>3427</v>
      </c>
      <c r="T588" t="s">
        <v>2689</v>
      </c>
      <c r="U588" s="10" t="s">
        <v>8137</v>
      </c>
      <c r="V588" t="s">
        <v>8138</v>
      </c>
      <c r="W588" t="s">
        <v>8139</v>
      </c>
      <c r="X588" t="s">
        <v>2688</v>
      </c>
      <c r="Y588" t="s">
        <v>2688</v>
      </c>
      <c r="Z588" t="s">
        <v>2689</v>
      </c>
      <c r="AA588" t="s">
        <v>2689</v>
      </c>
      <c r="AB588" t="s">
        <v>8140</v>
      </c>
      <c r="AD588" t="s">
        <v>8141</v>
      </c>
      <c r="AE588" t="s">
        <v>8142</v>
      </c>
      <c r="AH588" t="s">
        <v>3445</v>
      </c>
    </row>
    <row r="589" spans="1:36" ht="116.6" x14ac:dyDescent="0.4">
      <c r="A589" t="s">
        <v>1106</v>
      </c>
      <c r="B589" t="s">
        <v>8143</v>
      </c>
      <c r="C589" t="s">
        <v>3448</v>
      </c>
      <c r="D589" t="s">
        <v>8144</v>
      </c>
      <c r="E589" t="s">
        <v>2679</v>
      </c>
      <c r="F589" t="s">
        <v>8145</v>
      </c>
      <c r="G589">
        <v>42.766072559199998</v>
      </c>
      <c r="H589">
        <v>-84.382357047900001</v>
      </c>
      <c r="I589" t="s">
        <v>3448</v>
      </c>
      <c r="J589" t="s">
        <v>2436</v>
      </c>
      <c r="K589" t="s">
        <v>5369</v>
      </c>
      <c r="L589" t="s">
        <v>2437</v>
      </c>
      <c r="M589">
        <v>289</v>
      </c>
      <c r="N589" t="s">
        <v>3438</v>
      </c>
      <c r="O589" t="s">
        <v>1106</v>
      </c>
      <c r="P589" s="1">
        <v>44770</v>
      </c>
      <c r="Q589">
        <v>56.3</v>
      </c>
      <c r="R589">
        <v>27</v>
      </c>
      <c r="S589" t="s">
        <v>3427</v>
      </c>
      <c r="T589" t="s">
        <v>2689</v>
      </c>
      <c r="U589" s="10" t="s">
        <v>8146</v>
      </c>
      <c r="V589" t="s">
        <v>8147</v>
      </c>
      <c r="W589" t="s">
        <v>8148</v>
      </c>
      <c r="X589" t="s">
        <v>2688</v>
      </c>
      <c r="Y589" t="s">
        <v>2688</v>
      </c>
      <c r="Z589" t="s">
        <v>2747</v>
      </c>
      <c r="AA589" t="s">
        <v>2689</v>
      </c>
      <c r="AB589" t="s">
        <v>8149</v>
      </c>
      <c r="AD589" t="s">
        <v>8150</v>
      </c>
      <c r="AE589" t="s">
        <v>8151</v>
      </c>
      <c r="AH589" t="s">
        <v>3445</v>
      </c>
      <c r="AJ589" s="10" t="s">
        <v>8152</v>
      </c>
    </row>
    <row r="590" spans="1:36" ht="102" x14ac:dyDescent="0.4">
      <c r="A590" t="s">
        <v>1100</v>
      </c>
      <c r="B590" t="s">
        <v>8153</v>
      </c>
      <c r="C590" t="s">
        <v>3448</v>
      </c>
      <c r="D590" t="s">
        <v>8154</v>
      </c>
      <c r="E590" t="s">
        <v>2679</v>
      </c>
      <c r="F590" t="s">
        <v>8155</v>
      </c>
      <c r="G590">
        <v>42.767496416900002</v>
      </c>
      <c r="H590">
        <v>-84.384486999100005</v>
      </c>
      <c r="I590" t="s">
        <v>3448</v>
      </c>
      <c r="J590" t="s">
        <v>2436</v>
      </c>
      <c r="K590" t="s">
        <v>5369</v>
      </c>
      <c r="L590" t="s">
        <v>2437</v>
      </c>
      <c r="M590">
        <v>287</v>
      </c>
      <c r="N590" t="s">
        <v>3438</v>
      </c>
      <c r="O590" t="s">
        <v>1100</v>
      </c>
      <c r="P590" s="1">
        <v>44770</v>
      </c>
      <c r="Q590">
        <v>59.6</v>
      </c>
      <c r="R590">
        <v>28</v>
      </c>
      <c r="S590" t="s">
        <v>3427</v>
      </c>
      <c r="T590" t="s">
        <v>2689</v>
      </c>
      <c r="U590" s="10" t="s">
        <v>8156</v>
      </c>
      <c r="V590" t="s">
        <v>8157</v>
      </c>
      <c r="W590" t="s">
        <v>8158</v>
      </c>
      <c r="X590" t="s">
        <v>2688</v>
      </c>
      <c r="Y590" t="s">
        <v>2688</v>
      </c>
      <c r="Z590" t="s">
        <v>2747</v>
      </c>
      <c r="AA590" t="s">
        <v>2689</v>
      </c>
      <c r="AB590" t="s">
        <v>8159</v>
      </c>
      <c r="AD590" t="s">
        <v>8160</v>
      </c>
      <c r="AE590" t="s">
        <v>8161</v>
      </c>
      <c r="AH590" t="s">
        <v>3445</v>
      </c>
      <c r="AJ590" t="s">
        <v>8162</v>
      </c>
    </row>
    <row r="591" spans="1:36" x14ac:dyDescent="0.4">
      <c r="A591" t="s">
        <v>1097</v>
      </c>
      <c r="B591" t="s">
        <v>8163</v>
      </c>
      <c r="C591" t="s">
        <v>1428</v>
      </c>
      <c r="D591" t="s">
        <v>8164</v>
      </c>
      <c r="E591" t="s">
        <v>2679</v>
      </c>
      <c r="F591" t="s">
        <v>8165</v>
      </c>
      <c r="G591">
        <v>42.767240326</v>
      </c>
      <c r="H591">
        <v>-84.384769695000003</v>
      </c>
      <c r="I591" t="s">
        <v>1428</v>
      </c>
      <c r="J591" t="s">
        <v>2436</v>
      </c>
      <c r="K591" t="s">
        <v>5369</v>
      </c>
      <c r="L591" t="s">
        <v>2437</v>
      </c>
      <c r="M591">
        <v>286</v>
      </c>
      <c r="N591" t="s">
        <v>3438</v>
      </c>
      <c r="O591" t="s">
        <v>1097</v>
      </c>
      <c r="P591" s="1">
        <v>44770</v>
      </c>
      <c r="Q591">
        <v>39.700000000000003</v>
      </c>
      <c r="R591">
        <v>23</v>
      </c>
      <c r="S591" t="s">
        <v>3427</v>
      </c>
      <c r="T591" t="s">
        <v>2689</v>
      </c>
      <c r="U591" t="s">
        <v>8166</v>
      </c>
      <c r="V591" t="s">
        <v>8167</v>
      </c>
      <c r="W591" t="s">
        <v>8168</v>
      </c>
      <c r="X591" t="s">
        <v>2688</v>
      </c>
      <c r="Y591" t="s">
        <v>2688</v>
      </c>
      <c r="Z591" t="s">
        <v>2689</v>
      </c>
      <c r="AA591" t="s">
        <v>2689</v>
      </c>
      <c r="AB591" t="s">
        <v>8169</v>
      </c>
      <c r="AD591" t="s">
        <v>8170</v>
      </c>
      <c r="AE591" t="s">
        <v>8171</v>
      </c>
      <c r="AH591" t="s">
        <v>3445</v>
      </c>
    </row>
    <row r="592" spans="1:36" ht="87.45" x14ac:dyDescent="0.4">
      <c r="A592" t="s">
        <v>1094</v>
      </c>
      <c r="B592" t="s">
        <v>8172</v>
      </c>
      <c r="C592" t="s">
        <v>3448</v>
      </c>
      <c r="D592" t="s">
        <v>8173</v>
      </c>
      <c r="E592" t="s">
        <v>2679</v>
      </c>
      <c r="F592" t="s">
        <v>8174</v>
      </c>
      <c r="G592">
        <v>42.766659310000001</v>
      </c>
      <c r="H592">
        <v>-84.385405859499997</v>
      </c>
      <c r="I592" t="s">
        <v>3448</v>
      </c>
      <c r="J592" t="s">
        <v>2436</v>
      </c>
      <c r="K592" t="s">
        <v>5369</v>
      </c>
      <c r="L592" t="s">
        <v>2437</v>
      </c>
      <c r="M592">
        <v>285</v>
      </c>
      <c r="N592" t="s">
        <v>3438</v>
      </c>
      <c r="O592" t="s">
        <v>1094</v>
      </c>
      <c r="P592" s="1">
        <v>44770</v>
      </c>
      <c r="Q592">
        <v>25.4</v>
      </c>
      <c r="R592">
        <v>20</v>
      </c>
      <c r="S592" t="s">
        <v>3427</v>
      </c>
      <c r="U592" s="10" t="s">
        <v>8175</v>
      </c>
      <c r="V592" t="s">
        <v>8176</v>
      </c>
      <c r="W592" t="s">
        <v>8177</v>
      </c>
      <c r="X592" t="s">
        <v>2688</v>
      </c>
      <c r="Y592" t="s">
        <v>2688</v>
      </c>
      <c r="Z592" t="s">
        <v>2747</v>
      </c>
      <c r="AA592" t="s">
        <v>2689</v>
      </c>
      <c r="AB592" t="s">
        <v>8178</v>
      </c>
      <c r="AC592" t="s">
        <v>8179</v>
      </c>
      <c r="AD592" t="s">
        <v>8180</v>
      </c>
      <c r="AE592" t="s">
        <v>8181</v>
      </c>
      <c r="AH592" t="s">
        <v>3445</v>
      </c>
      <c r="AJ592" t="s">
        <v>8182</v>
      </c>
    </row>
    <row r="593" spans="1:36" x14ac:dyDescent="0.4">
      <c r="A593" t="s">
        <v>1088</v>
      </c>
      <c r="B593" t="s">
        <v>8183</v>
      </c>
      <c r="C593" t="s">
        <v>1428</v>
      </c>
      <c r="D593" t="s">
        <v>8184</v>
      </c>
      <c r="E593" t="s">
        <v>2679</v>
      </c>
      <c r="F593" t="s">
        <v>8185</v>
      </c>
      <c r="G593">
        <v>42.766753798400003</v>
      </c>
      <c r="H593">
        <v>-84.385421890800004</v>
      </c>
      <c r="I593" t="s">
        <v>1428</v>
      </c>
      <c r="J593" t="s">
        <v>2436</v>
      </c>
      <c r="K593" t="s">
        <v>5369</v>
      </c>
      <c r="L593" t="s">
        <v>2437</v>
      </c>
      <c r="M593">
        <v>284</v>
      </c>
      <c r="N593" t="s">
        <v>3438</v>
      </c>
      <c r="O593" t="s">
        <v>1088</v>
      </c>
      <c r="P593" s="1">
        <v>44770</v>
      </c>
      <c r="Q593">
        <v>30.8</v>
      </c>
      <c r="R593">
        <v>14</v>
      </c>
      <c r="S593" t="s">
        <v>3427</v>
      </c>
      <c r="T593" t="s">
        <v>2689</v>
      </c>
      <c r="U593" t="s">
        <v>8186</v>
      </c>
      <c r="V593" t="s">
        <v>8187</v>
      </c>
      <c r="W593" t="s">
        <v>8188</v>
      </c>
      <c r="X593" t="s">
        <v>2688</v>
      </c>
      <c r="Y593" t="s">
        <v>2688</v>
      </c>
      <c r="Z593" t="s">
        <v>2689</v>
      </c>
      <c r="AA593" t="s">
        <v>2689</v>
      </c>
      <c r="AB593" t="s">
        <v>8189</v>
      </c>
      <c r="AD593" t="s">
        <v>8190</v>
      </c>
      <c r="AE593" t="s">
        <v>8191</v>
      </c>
      <c r="AH593" t="s">
        <v>3445</v>
      </c>
    </row>
    <row r="594" spans="1:36" x14ac:dyDescent="0.4">
      <c r="A594" t="s">
        <v>1181</v>
      </c>
      <c r="B594" t="s">
        <v>8192</v>
      </c>
      <c r="C594" t="s">
        <v>1411</v>
      </c>
      <c r="D594" t="s">
        <v>8193</v>
      </c>
      <c r="E594" t="s">
        <v>2679</v>
      </c>
      <c r="F594" t="s">
        <v>8194</v>
      </c>
      <c r="G594">
        <v>42.446269551299999</v>
      </c>
      <c r="H594">
        <v>-83.997749565199996</v>
      </c>
      <c r="I594" t="s">
        <v>1411</v>
      </c>
      <c r="J594" t="s">
        <v>2436</v>
      </c>
      <c r="K594" t="s">
        <v>1126</v>
      </c>
      <c r="L594" t="s">
        <v>2438</v>
      </c>
      <c r="M594">
        <v>283</v>
      </c>
      <c r="N594" t="s">
        <v>3438</v>
      </c>
      <c r="O594" t="s">
        <v>1181</v>
      </c>
      <c r="P594" s="1">
        <v>44769</v>
      </c>
      <c r="Q594">
        <v>18.7</v>
      </c>
      <c r="R594">
        <v>18</v>
      </c>
      <c r="S594" t="s">
        <v>3427</v>
      </c>
      <c r="T594" t="s">
        <v>2689</v>
      </c>
      <c r="U594" t="s">
        <v>8195</v>
      </c>
      <c r="V594" t="s">
        <v>8196</v>
      </c>
      <c r="W594" t="s">
        <v>8197</v>
      </c>
      <c r="X594" t="s">
        <v>2688</v>
      </c>
      <c r="Y594" t="s">
        <v>2688</v>
      </c>
      <c r="Z594" t="s">
        <v>2689</v>
      </c>
      <c r="AA594" t="s">
        <v>2689</v>
      </c>
      <c r="AB594" t="s">
        <v>8198</v>
      </c>
      <c r="AD594" t="s">
        <v>8199</v>
      </c>
      <c r="AE594" t="s">
        <v>8200</v>
      </c>
      <c r="AH594" t="s">
        <v>3445</v>
      </c>
    </row>
    <row r="595" spans="1:36" x14ac:dyDescent="0.4">
      <c r="A595" t="s">
        <v>1178</v>
      </c>
      <c r="B595" t="s">
        <v>8201</v>
      </c>
      <c r="C595" t="s">
        <v>1411</v>
      </c>
      <c r="D595" t="s">
        <v>8193</v>
      </c>
      <c r="E595" t="s">
        <v>2679</v>
      </c>
      <c r="F595" t="s">
        <v>8202</v>
      </c>
      <c r="G595">
        <v>42.446246668699999</v>
      </c>
      <c r="H595">
        <v>-83.9984020964</v>
      </c>
      <c r="I595" t="s">
        <v>1411</v>
      </c>
      <c r="J595" t="s">
        <v>2436</v>
      </c>
      <c r="K595" t="s">
        <v>1126</v>
      </c>
      <c r="L595" t="s">
        <v>2438</v>
      </c>
      <c r="M595">
        <v>282</v>
      </c>
      <c r="N595" t="s">
        <v>3438</v>
      </c>
      <c r="O595" t="s">
        <v>1178</v>
      </c>
      <c r="P595" s="1">
        <v>44769</v>
      </c>
      <c r="Q595">
        <v>61.8</v>
      </c>
      <c r="R595">
        <v>28</v>
      </c>
      <c r="S595" t="s">
        <v>3427</v>
      </c>
      <c r="T595" t="s">
        <v>2689</v>
      </c>
      <c r="U595" t="s">
        <v>8203</v>
      </c>
      <c r="V595" t="s">
        <v>8204</v>
      </c>
      <c r="W595" t="s">
        <v>8205</v>
      </c>
      <c r="X595" t="s">
        <v>2688</v>
      </c>
      <c r="Y595" t="s">
        <v>2688</v>
      </c>
      <c r="Z595" t="s">
        <v>2689</v>
      </c>
      <c r="AA595" t="s">
        <v>2689</v>
      </c>
      <c r="AB595" t="s">
        <v>8206</v>
      </c>
      <c r="AD595" t="s">
        <v>8207</v>
      </c>
      <c r="AE595" t="s">
        <v>8208</v>
      </c>
      <c r="AH595" t="s">
        <v>3445</v>
      </c>
    </row>
    <row r="596" spans="1:36" ht="87.45" x14ac:dyDescent="0.4">
      <c r="A596" t="s">
        <v>1175</v>
      </c>
      <c r="B596" t="s">
        <v>8209</v>
      </c>
      <c r="C596" t="s">
        <v>1411</v>
      </c>
      <c r="D596" t="s">
        <v>8210</v>
      </c>
      <c r="E596" t="s">
        <v>2679</v>
      </c>
      <c r="F596" t="s">
        <v>8211</v>
      </c>
      <c r="G596">
        <v>42.446338650000001</v>
      </c>
      <c r="H596">
        <v>-83.999496449999995</v>
      </c>
      <c r="I596" t="s">
        <v>1411</v>
      </c>
      <c r="J596" t="s">
        <v>2436</v>
      </c>
      <c r="K596" t="s">
        <v>1126</v>
      </c>
      <c r="L596" t="s">
        <v>2438</v>
      </c>
      <c r="M596">
        <v>281</v>
      </c>
      <c r="N596" t="s">
        <v>3438</v>
      </c>
      <c r="O596" t="s">
        <v>1175</v>
      </c>
      <c r="P596" s="1">
        <v>44769</v>
      </c>
      <c r="Q596">
        <v>60.9</v>
      </c>
      <c r="R596">
        <v>26</v>
      </c>
      <c r="S596" t="s">
        <v>3427</v>
      </c>
      <c r="T596" t="s">
        <v>2689</v>
      </c>
      <c r="U596" s="10" t="s">
        <v>8212</v>
      </c>
      <c r="V596" t="s">
        <v>8213</v>
      </c>
      <c r="W596" t="s">
        <v>8214</v>
      </c>
      <c r="X596" t="s">
        <v>2688</v>
      </c>
      <c r="Y596" t="s">
        <v>2688</v>
      </c>
      <c r="Z596" t="s">
        <v>2689</v>
      </c>
      <c r="AA596" t="s">
        <v>2689</v>
      </c>
      <c r="AB596" t="s">
        <v>8215</v>
      </c>
      <c r="AD596" t="s">
        <v>8216</v>
      </c>
      <c r="AE596" t="s">
        <v>8217</v>
      </c>
      <c r="AH596" t="s">
        <v>3445</v>
      </c>
    </row>
    <row r="597" spans="1:36" ht="72.900000000000006" x14ac:dyDescent="0.4">
      <c r="A597" t="s">
        <v>1172</v>
      </c>
      <c r="B597" t="s">
        <v>8218</v>
      </c>
      <c r="C597" t="s">
        <v>3448</v>
      </c>
      <c r="D597" t="s">
        <v>8219</v>
      </c>
      <c r="E597" t="s">
        <v>2679</v>
      </c>
      <c r="F597" t="s">
        <v>8220</v>
      </c>
      <c r="G597">
        <v>42.446526288999998</v>
      </c>
      <c r="H597">
        <v>-84.001480769400004</v>
      </c>
      <c r="I597" t="s">
        <v>3448</v>
      </c>
      <c r="J597" t="s">
        <v>2436</v>
      </c>
      <c r="K597" t="s">
        <v>1126</v>
      </c>
      <c r="L597" t="s">
        <v>2438</v>
      </c>
      <c r="M597">
        <v>280</v>
      </c>
      <c r="N597" t="s">
        <v>3438</v>
      </c>
      <c r="O597" t="s">
        <v>1172</v>
      </c>
      <c r="P597" s="1">
        <v>44769</v>
      </c>
      <c r="Q597">
        <v>71</v>
      </c>
      <c r="R597">
        <v>24</v>
      </c>
      <c r="S597" t="s">
        <v>3427</v>
      </c>
      <c r="T597" t="s">
        <v>2689</v>
      </c>
      <c r="U597" s="10" t="s">
        <v>8221</v>
      </c>
      <c r="V597" t="s">
        <v>8222</v>
      </c>
      <c r="W597" t="s">
        <v>8223</v>
      </c>
      <c r="X597" t="s">
        <v>2688</v>
      </c>
      <c r="Y597" t="s">
        <v>2688</v>
      </c>
      <c r="Z597" t="s">
        <v>2689</v>
      </c>
      <c r="AA597" t="s">
        <v>2689</v>
      </c>
      <c r="AB597" t="s">
        <v>8224</v>
      </c>
      <c r="AD597" t="s">
        <v>8225</v>
      </c>
      <c r="AH597" t="s">
        <v>3445</v>
      </c>
    </row>
    <row r="598" spans="1:36" ht="87.45" x14ac:dyDescent="0.4">
      <c r="A598" t="s">
        <v>1168</v>
      </c>
      <c r="B598" t="s">
        <v>8226</v>
      </c>
      <c r="C598" t="s">
        <v>1411</v>
      </c>
      <c r="D598" t="s">
        <v>8227</v>
      </c>
      <c r="E598" t="s">
        <v>2679</v>
      </c>
      <c r="F598" t="s">
        <v>8228</v>
      </c>
      <c r="G598">
        <v>42.446496826599997</v>
      </c>
      <c r="H598">
        <v>-84.002295155200002</v>
      </c>
      <c r="I598" t="s">
        <v>1411</v>
      </c>
      <c r="J598" t="s">
        <v>2436</v>
      </c>
      <c r="K598" t="s">
        <v>1126</v>
      </c>
      <c r="L598" t="s">
        <v>2438</v>
      </c>
      <c r="M598">
        <v>279</v>
      </c>
      <c r="N598" t="s">
        <v>3438</v>
      </c>
      <c r="O598" t="s">
        <v>1168</v>
      </c>
      <c r="P598" s="1">
        <v>44769</v>
      </c>
      <c r="Q598">
        <v>29.5</v>
      </c>
      <c r="R598">
        <v>24</v>
      </c>
      <c r="S598" t="s">
        <v>3427</v>
      </c>
      <c r="T598" t="s">
        <v>2689</v>
      </c>
      <c r="U598" s="10" t="s">
        <v>8229</v>
      </c>
      <c r="V598" t="s">
        <v>8230</v>
      </c>
      <c r="W598" t="s">
        <v>8231</v>
      </c>
      <c r="X598" t="s">
        <v>2688</v>
      </c>
      <c r="Y598" t="s">
        <v>2688</v>
      </c>
      <c r="Z598" t="s">
        <v>2689</v>
      </c>
      <c r="AA598" t="s">
        <v>2689</v>
      </c>
      <c r="AB598" t="s">
        <v>8232</v>
      </c>
      <c r="AD598" t="s">
        <v>8233</v>
      </c>
      <c r="AE598" t="s">
        <v>8234</v>
      </c>
      <c r="AH598" t="s">
        <v>3445</v>
      </c>
    </row>
    <row r="599" spans="1:36" ht="87.45" x14ac:dyDescent="0.4">
      <c r="A599" t="s">
        <v>1165</v>
      </c>
      <c r="B599" t="s">
        <v>8235</v>
      </c>
      <c r="C599" t="s">
        <v>8236</v>
      </c>
      <c r="D599" t="s">
        <v>8227</v>
      </c>
      <c r="E599" t="s">
        <v>2679</v>
      </c>
      <c r="F599" t="s">
        <v>8237</v>
      </c>
      <c r="G599">
        <v>42.4075023057</v>
      </c>
      <c r="H599">
        <v>-83.986283370199999</v>
      </c>
      <c r="I599" t="s">
        <v>8238</v>
      </c>
      <c r="J599" t="s">
        <v>2436</v>
      </c>
      <c r="K599" t="s">
        <v>1126</v>
      </c>
      <c r="L599" t="s">
        <v>2438</v>
      </c>
      <c r="M599">
        <v>278</v>
      </c>
      <c r="N599" t="s">
        <v>3438</v>
      </c>
      <c r="O599" t="s">
        <v>1165</v>
      </c>
      <c r="P599" s="1">
        <v>44769</v>
      </c>
      <c r="Q599">
        <v>14</v>
      </c>
      <c r="R599">
        <v>20</v>
      </c>
      <c r="S599" t="s">
        <v>3427</v>
      </c>
      <c r="T599" t="s">
        <v>2689</v>
      </c>
      <c r="U599" s="10" t="s">
        <v>8239</v>
      </c>
      <c r="V599" t="s">
        <v>8240</v>
      </c>
      <c r="W599" t="s">
        <v>8241</v>
      </c>
      <c r="X599" t="s">
        <v>2688</v>
      </c>
      <c r="Y599" t="s">
        <v>2688</v>
      </c>
      <c r="Z599" t="s">
        <v>2689</v>
      </c>
      <c r="AA599" t="s">
        <v>2689</v>
      </c>
      <c r="AB599" t="s">
        <v>8242</v>
      </c>
      <c r="AD599" s="9" t="s">
        <v>8243</v>
      </c>
      <c r="AE599" t="s">
        <v>8244</v>
      </c>
      <c r="AH599" t="s">
        <v>3445</v>
      </c>
      <c r="AJ599" t="s">
        <v>8245</v>
      </c>
    </row>
    <row r="600" spans="1:36" ht="87.45" x14ac:dyDescent="0.4">
      <c r="A600" t="s">
        <v>1159</v>
      </c>
      <c r="B600" t="s">
        <v>8246</v>
      </c>
      <c r="C600" t="s">
        <v>1428</v>
      </c>
      <c r="D600" t="s">
        <v>8247</v>
      </c>
      <c r="E600" t="s">
        <v>2679</v>
      </c>
      <c r="F600" t="s">
        <v>8248</v>
      </c>
      <c r="G600">
        <v>42.416120348500002</v>
      </c>
      <c r="H600">
        <v>-84.003903809999997</v>
      </c>
      <c r="I600" t="s">
        <v>1428</v>
      </c>
      <c r="J600" t="s">
        <v>2436</v>
      </c>
      <c r="K600" t="s">
        <v>1126</v>
      </c>
      <c r="L600" t="s">
        <v>2438</v>
      </c>
      <c r="M600">
        <v>276</v>
      </c>
      <c r="N600" t="s">
        <v>3438</v>
      </c>
      <c r="O600" t="s">
        <v>1159</v>
      </c>
      <c r="P600" s="1">
        <v>44769</v>
      </c>
      <c r="Q600">
        <v>16</v>
      </c>
      <c r="R600">
        <v>22</v>
      </c>
      <c r="S600" t="s">
        <v>3518</v>
      </c>
      <c r="T600" t="s">
        <v>2689</v>
      </c>
      <c r="U600" s="10" t="s">
        <v>8249</v>
      </c>
      <c r="V600" t="s">
        <v>8250</v>
      </c>
      <c r="W600" t="s">
        <v>8251</v>
      </c>
      <c r="X600" t="s">
        <v>2688</v>
      </c>
      <c r="Y600" t="s">
        <v>2688</v>
      </c>
      <c r="Z600" t="s">
        <v>2689</v>
      </c>
      <c r="AA600" t="s">
        <v>2689</v>
      </c>
      <c r="AB600" t="s">
        <v>8252</v>
      </c>
      <c r="AD600" t="s">
        <v>8253</v>
      </c>
      <c r="AE600" t="s">
        <v>8254</v>
      </c>
      <c r="AH600" t="s">
        <v>3445</v>
      </c>
      <c r="AJ600" t="s">
        <v>8255</v>
      </c>
    </row>
    <row r="601" spans="1:36" ht="72.900000000000006" x14ac:dyDescent="0.4">
      <c r="A601" t="s">
        <v>1162</v>
      </c>
      <c r="B601" t="s">
        <v>8256</v>
      </c>
      <c r="C601" t="s">
        <v>1428</v>
      </c>
      <c r="D601" t="s">
        <v>8257</v>
      </c>
      <c r="E601" t="s">
        <v>2679</v>
      </c>
      <c r="F601" t="s">
        <v>8258</v>
      </c>
      <c r="G601">
        <v>42.4182268884</v>
      </c>
      <c r="H601">
        <v>-84.002135898999995</v>
      </c>
      <c r="I601" t="s">
        <v>1428</v>
      </c>
      <c r="J601" t="s">
        <v>2436</v>
      </c>
      <c r="K601" t="s">
        <v>1126</v>
      </c>
      <c r="L601" t="s">
        <v>2438</v>
      </c>
      <c r="M601">
        <v>277</v>
      </c>
      <c r="N601" t="s">
        <v>3438</v>
      </c>
      <c r="O601" t="s">
        <v>1162</v>
      </c>
      <c r="P601" s="1">
        <v>44769</v>
      </c>
      <c r="Q601">
        <v>65</v>
      </c>
      <c r="R601">
        <v>25</v>
      </c>
      <c r="S601" t="s">
        <v>3427</v>
      </c>
      <c r="T601" t="s">
        <v>2689</v>
      </c>
      <c r="U601" s="10" t="s">
        <v>8259</v>
      </c>
      <c r="V601" t="s">
        <v>8260</v>
      </c>
      <c r="W601" t="s">
        <v>8261</v>
      </c>
      <c r="X601" t="s">
        <v>2688</v>
      </c>
      <c r="Y601" t="s">
        <v>2688</v>
      </c>
      <c r="Z601" t="s">
        <v>2689</v>
      </c>
      <c r="AA601" t="s">
        <v>2689</v>
      </c>
      <c r="AB601" t="s">
        <v>8262</v>
      </c>
      <c r="AD601" t="s">
        <v>8263</v>
      </c>
      <c r="AE601" t="s">
        <v>8264</v>
      </c>
      <c r="AH601" t="s">
        <v>3445</v>
      </c>
      <c r="AJ601" t="s">
        <v>8265</v>
      </c>
    </row>
    <row r="602" spans="1:36" ht="102" x14ac:dyDescent="0.4">
      <c r="A602" t="s">
        <v>1153</v>
      </c>
      <c r="B602" t="s">
        <v>8266</v>
      </c>
      <c r="C602" t="s">
        <v>1428</v>
      </c>
      <c r="D602" t="s">
        <v>8267</v>
      </c>
      <c r="E602" t="s">
        <v>2679</v>
      </c>
      <c r="F602" t="s">
        <v>8268</v>
      </c>
      <c r="G602">
        <v>42.414209454599998</v>
      </c>
      <c r="H602">
        <v>-83.994956067800004</v>
      </c>
      <c r="I602" t="s">
        <v>1428</v>
      </c>
      <c r="J602" t="s">
        <v>2436</v>
      </c>
      <c r="K602" t="s">
        <v>1126</v>
      </c>
      <c r="L602" t="s">
        <v>2438</v>
      </c>
      <c r="M602">
        <v>274</v>
      </c>
      <c r="N602" t="s">
        <v>3438</v>
      </c>
      <c r="O602" t="s">
        <v>1153</v>
      </c>
      <c r="P602" s="1">
        <v>44769</v>
      </c>
      <c r="Q602">
        <v>35</v>
      </c>
      <c r="R602">
        <v>20</v>
      </c>
      <c r="S602" t="s">
        <v>3464</v>
      </c>
      <c r="T602" t="s">
        <v>2689</v>
      </c>
      <c r="U602" s="10" t="s">
        <v>8269</v>
      </c>
      <c r="V602" t="s">
        <v>8270</v>
      </c>
      <c r="W602" t="s">
        <v>8271</v>
      </c>
      <c r="X602" t="s">
        <v>2688</v>
      </c>
      <c r="Y602" t="s">
        <v>2688</v>
      </c>
      <c r="Z602" t="s">
        <v>2689</v>
      </c>
      <c r="AA602" t="s">
        <v>2689</v>
      </c>
      <c r="AB602" t="s">
        <v>8272</v>
      </c>
      <c r="AD602" t="s">
        <v>8273</v>
      </c>
      <c r="AE602" t="s">
        <v>8274</v>
      </c>
      <c r="AH602" t="s">
        <v>3445</v>
      </c>
      <c r="AJ602" s="10" t="s">
        <v>8275</v>
      </c>
    </row>
    <row r="603" spans="1:36" ht="116.6" x14ac:dyDescent="0.4">
      <c r="A603" t="s">
        <v>1150</v>
      </c>
      <c r="B603" t="s">
        <v>8276</v>
      </c>
      <c r="C603" t="s">
        <v>3448</v>
      </c>
      <c r="D603" t="s">
        <v>8277</v>
      </c>
      <c r="E603" t="s">
        <v>2679</v>
      </c>
      <c r="F603" t="s">
        <v>8278</v>
      </c>
      <c r="G603">
        <v>42.4112943421</v>
      </c>
      <c r="H603">
        <v>-83.982589384600004</v>
      </c>
      <c r="I603" t="s">
        <v>3448</v>
      </c>
      <c r="J603" t="s">
        <v>2436</v>
      </c>
      <c r="K603" t="s">
        <v>1126</v>
      </c>
      <c r="L603" t="s">
        <v>2438</v>
      </c>
      <c r="M603">
        <v>273</v>
      </c>
      <c r="N603" t="s">
        <v>3438</v>
      </c>
      <c r="O603" t="s">
        <v>1150</v>
      </c>
      <c r="P603" s="1">
        <v>44769</v>
      </c>
      <c r="Q603">
        <v>38.299999999999997</v>
      </c>
      <c r="R603">
        <v>25</v>
      </c>
      <c r="S603" t="s">
        <v>3427</v>
      </c>
      <c r="T603" t="s">
        <v>2689</v>
      </c>
      <c r="U603" s="10" t="s">
        <v>8279</v>
      </c>
      <c r="V603" t="s">
        <v>8280</v>
      </c>
      <c r="W603" t="s">
        <v>8281</v>
      </c>
      <c r="X603" t="s">
        <v>2688</v>
      </c>
      <c r="Y603" t="s">
        <v>2688</v>
      </c>
      <c r="Z603" t="s">
        <v>2689</v>
      </c>
      <c r="AA603" t="s">
        <v>2689</v>
      </c>
      <c r="AB603" t="s">
        <v>8282</v>
      </c>
      <c r="AD603" t="s">
        <v>8283</v>
      </c>
      <c r="AE603" t="s">
        <v>8284</v>
      </c>
      <c r="AG603" t="s">
        <v>8285</v>
      </c>
      <c r="AH603" t="s">
        <v>3445</v>
      </c>
    </row>
    <row r="604" spans="1:36" ht="58.3" x14ac:dyDescent="0.4">
      <c r="A604" t="s">
        <v>1147</v>
      </c>
      <c r="B604" t="s">
        <v>8286</v>
      </c>
      <c r="C604" t="s">
        <v>3448</v>
      </c>
      <c r="D604" t="s">
        <v>8287</v>
      </c>
      <c r="E604" t="s">
        <v>2679</v>
      </c>
      <c r="F604" t="s">
        <v>8288</v>
      </c>
      <c r="G604">
        <v>42.411386082</v>
      </c>
      <c r="H604">
        <v>-83.983741728699997</v>
      </c>
      <c r="I604" t="s">
        <v>3448</v>
      </c>
      <c r="J604" t="s">
        <v>2436</v>
      </c>
      <c r="K604" t="s">
        <v>1126</v>
      </c>
      <c r="L604" t="s">
        <v>2438</v>
      </c>
      <c r="M604">
        <v>272</v>
      </c>
      <c r="N604" t="s">
        <v>3438</v>
      </c>
      <c r="O604" t="s">
        <v>1147</v>
      </c>
      <c r="P604" s="1">
        <v>44769</v>
      </c>
      <c r="Q604">
        <v>29.1</v>
      </c>
      <c r="R604">
        <v>26</v>
      </c>
      <c r="S604" t="s">
        <v>3427</v>
      </c>
      <c r="T604" t="s">
        <v>2688</v>
      </c>
      <c r="U604" s="10" t="s">
        <v>8289</v>
      </c>
      <c r="V604" t="s">
        <v>8290</v>
      </c>
      <c r="W604" t="s">
        <v>8291</v>
      </c>
      <c r="X604" t="s">
        <v>2688</v>
      </c>
      <c r="Y604" t="s">
        <v>2688</v>
      </c>
      <c r="Z604" t="s">
        <v>2689</v>
      </c>
      <c r="AA604" t="s">
        <v>2689</v>
      </c>
      <c r="AB604" t="s">
        <v>8292</v>
      </c>
      <c r="AC604" t="s">
        <v>8293</v>
      </c>
      <c r="AD604" t="s">
        <v>8294</v>
      </c>
      <c r="AE604" t="s">
        <v>8295</v>
      </c>
      <c r="AH604" t="s">
        <v>3445</v>
      </c>
      <c r="AJ604" t="s">
        <v>8296</v>
      </c>
    </row>
    <row r="605" spans="1:36" ht="43.75" x14ac:dyDescent="0.4">
      <c r="A605" t="s">
        <v>1144</v>
      </c>
      <c r="B605" t="s">
        <v>8297</v>
      </c>
      <c r="C605" t="s">
        <v>3448</v>
      </c>
      <c r="D605" t="s">
        <v>8298</v>
      </c>
      <c r="E605" t="s">
        <v>2679</v>
      </c>
      <c r="F605" t="s">
        <v>8299</v>
      </c>
      <c r="G605">
        <v>42.411681540499998</v>
      </c>
      <c r="H605">
        <v>-83.985341936300003</v>
      </c>
      <c r="I605" t="s">
        <v>3448</v>
      </c>
      <c r="J605" t="s">
        <v>2436</v>
      </c>
      <c r="K605" t="s">
        <v>1126</v>
      </c>
      <c r="L605" t="s">
        <v>2438</v>
      </c>
      <c r="M605">
        <v>271</v>
      </c>
      <c r="N605" t="s">
        <v>3438</v>
      </c>
      <c r="O605" t="s">
        <v>1144</v>
      </c>
      <c r="P605" s="1">
        <v>44769</v>
      </c>
      <c r="Q605">
        <v>30</v>
      </c>
      <c r="R605">
        <v>24</v>
      </c>
      <c r="S605" t="s">
        <v>3427</v>
      </c>
      <c r="T605" t="s">
        <v>2689</v>
      </c>
      <c r="U605" s="10" t="s">
        <v>8300</v>
      </c>
      <c r="V605" t="s">
        <v>8301</v>
      </c>
      <c r="W605" t="s">
        <v>8302</v>
      </c>
      <c r="X605" t="s">
        <v>2688</v>
      </c>
      <c r="Y605" t="s">
        <v>2688</v>
      </c>
      <c r="Z605" t="s">
        <v>2689</v>
      </c>
      <c r="AA605" t="s">
        <v>2689</v>
      </c>
      <c r="AB605" t="s">
        <v>8303</v>
      </c>
      <c r="AD605" t="s">
        <v>8304</v>
      </c>
      <c r="AE605" t="s">
        <v>8305</v>
      </c>
      <c r="AH605" t="s">
        <v>3445</v>
      </c>
    </row>
    <row r="606" spans="1:36" ht="29.15" x14ac:dyDescent="0.4">
      <c r="A606" t="s">
        <v>1138</v>
      </c>
      <c r="B606" t="s">
        <v>8306</v>
      </c>
      <c r="C606" t="s">
        <v>3448</v>
      </c>
      <c r="D606" t="s">
        <v>8307</v>
      </c>
      <c r="E606" t="s">
        <v>2679</v>
      </c>
      <c r="F606" t="s">
        <v>8308</v>
      </c>
      <c r="G606">
        <v>42.411725448600002</v>
      </c>
      <c r="H606">
        <v>-83.987274616999997</v>
      </c>
      <c r="I606" t="s">
        <v>3448</v>
      </c>
      <c r="J606" t="s">
        <v>2436</v>
      </c>
      <c r="K606" t="s">
        <v>1126</v>
      </c>
      <c r="L606" t="s">
        <v>2438</v>
      </c>
      <c r="M606">
        <v>269</v>
      </c>
      <c r="N606" t="s">
        <v>3438</v>
      </c>
      <c r="O606" t="s">
        <v>1138</v>
      </c>
      <c r="P606" s="1">
        <v>44769</v>
      </c>
      <c r="Q606">
        <v>53.5</v>
      </c>
      <c r="R606">
        <v>25</v>
      </c>
      <c r="S606" t="s">
        <v>3427</v>
      </c>
      <c r="U606" s="10" t="s">
        <v>8309</v>
      </c>
      <c r="V606" t="s">
        <v>8310</v>
      </c>
      <c r="W606" t="s">
        <v>8311</v>
      </c>
      <c r="X606" t="s">
        <v>2688</v>
      </c>
      <c r="Y606" t="s">
        <v>2688</v>
      </c>
      <c r="Z606" t="s">
        <v>2689</v>
      </c>
      <c r="AA606" t="s">
        <v>2689</v>
      </c>
      <c r="AB606" t="s">
        <v>8312</v>
      </c>
      <c r="AD606" t="s">
        <v>8313</v>
      </c>
      <c r="AE606" t="s">
        <v>8314</v>
      </c>
      <c r="AH606" t="s">
        <v>3445</v>
      </c>
    </row>
    <row r="607" spans="1:36" ht="29.15" x14ac:dyDescent="0.4">
      <c r="A607" t="s">
        <v>1135</v>
      </c>
      <c r="B607" t="s">
        <v>8315</v>
      </c>
      <c r="C607" t="s">
        <v>4832</v>
      </c>
      <c r="D607" t="s">
        <v>8316</v>
      </c>
      <c r="E607" t="s">
        <v>2679</v>
      </c>
      <c r="F607" t="s">
        <v>8317</v>
      </c>
      <c r="G607">
        <v>42.411852995899999</v>
      </c>
      <c r="H607">
        <v>-83.987237569000001</v>
      </c>
      <c r="I607" t="s">
        <v>4832</v>
      </c>
      <c r="J607" t="s">
        <v>2436</v>
      </c>
      <c r="K607" t="s">
        <v>1126</v>
      </c>
      <c r="L607" t="s">
        <v>2438</v>
      </c>
      <c r="M607">
        <v>268</v>
      </c>
      <c r="N607" t="s">
        <v>3438</v>
      </c>
      <c r="O607" t="s">
        <v>1135</v>
      </c>
      <c r="P607" s="1">
        <v>44769</v>
      </c>
      <c r="Q607">
        <v>0.6</v>
      </c>
      <c r="R607">
        <v>1</v>
      </c>
      <c r="S607" t="s">
        <v>3464</v>
      </c>
      <c r="T607" t="s">
        <v>2688</v>
      </c>
      <c r="U607" s="10" t="s">
        <v>8318</v>
      </c>
      <c r="V607" t="s">
        <v>8319</v>
      </c>
      <c r="W607" t="s">
        <v>8320</v>
      </c>
      <c r="X607" t="s">
        <v>2688</v>
      </c>
      <c r="Y607" t="s">
        <v>2688</v>
      </c>
      <c r="Z607" t="s">
        <v>2689</v>
      </c>
      <c r="AA607" t="s">
        <v>2689</v>
      </c>
      <c r="AB607" t="s">
        <v>8321</v>
      </c>
      <c r="AC607" t="s">
        <v>8322</v>
      </c>
      <c r="AD607" s="9" t="s">
        <v>8323</v>
      </c>
      <c r="AE607" t="s">
        <v>8324</v>
      </c>
      <c r="AH607" t="s">
        <v>3445</v>
      </c>
    </row>
    <row r="608" spans="1:36" x14ac:dyDescent="0.4">
      <c r="A608" t="s">
        <v>1129</v>
      </c>
      <c r="B608" t="s">
        <v>8325</v>
      </c>
      <c r="C608" t="s">
        <v>4832</v>
      </c>
      <c r="D608" t="s">
        <v>8326</v>
      </c>
      <c r="E608" t="s">
        <v>2679</v>
      </c>
      <c r="F608" t="s">
        <v>8327</v>
      </c>
      <c r="G608">
        <v>42.413371587199997</v>
      </c>
      <c r="H608">
        <v>-83.988808086199995</v>
      </c>
      <c r="I608" t="s">
        <v>4832</v>
      </c>
      <c r="J608" t="s">
        <v>2436</v>
      </c>
      <c r="K608" t="s">
        <v>1126</v>
      </c>
      <c r="L608" t="s">
        <v>2438</v>
      </c>
      <c r="M608">
        <v>266</v>
      </c>
      <c r="N608" t="s">
        <v>3438</v>
      </c>
      <c r="O608" t="s">
        <v>1129</v>
      </c>
      <c r="P608" s="1">
        <v>44769</v>
      </c>
      <c r="Q608">
        <v>0.4</v>
      </c>
      <c r="R608">
        <v>0.2</v>
      </c>
      <c r="S608" t="s">
        <v>3464</v>
      </c>
      <c r="T608" t="s">
        <v>2688</v>
      </c>
      <c r="U608" t="s">
        <v>8328</v>
      </c>
      <c r="V608" t="s">
        <v>8329</v>
      </c>
      <c r="W608" t="s">
        <v>8330</v>
      </c>
      <c r="X608" t="s">
        <v>2688</v>
      </c>
      <c r="Y608" t="s">
        <v>2688</v>
      </c>
      <c r="Z608" t="s">
        <v>2689</v>
      </c>
      <c r="AA608" t="s">
        <v>2689</v>
      </c>
      <c r="AB608" t="s">
        <v>8331</v>
      </c>
      <c r="AC608" t="s">
        <v>8332</v>
      </c>
      <c r="AD608" t="s">
        <v>8333</v>
      </c>
      <c r="AE608" t="s">
        <v>8334</v>
      </c>
      <c r="AH608" t="s">
        <v>3445</v>
      </c>
    </row>
    <row r="609" spans="1:36" x14ac:dyDescent="0.4">
      <c r="A609" t="s">
        <v>1132</v>
      </c>
      <c r="B609" t="s">
        <v>8335</v>
      </c>
      <c r="C609" t="s">
        <v>4832</v>
      </c>
      <c r="D609" t="s">
        <v>8336</v>
      </c>
      <c r="E609" t="s">
        <v>2679</v>
      </c>
      <c r="F609" t="s">
        <v>8337</v>
      </c>
      <c r="G609">
        <v>42.412634330300001</v>
      </c>
      <c r="H609">
        <v>-83.988503413399997</v>
      </c>
      <c r="I609" t="s">
        <v>4832</v>
      </c>
      <c r="J609" t="s">
        <v>2436</v>
      </c>
      <c r="K609" t="s">
        <v>1126</v>
      </c>
      <c r="L609" t="s">
        <v>2438</v>
      </c>
      <c r="M609">
        <v>267</v>
      </c>
      <c r="N609" t="s">
        <v>3438</v>
      </c>
      <c r="O609" t="s">
        <v>1132</v>
      </c>
      <c r="P609" s="1">
        <v>44769</v>
      </c>
      <c r="Q609">
        <v>0.4</v>
      </c>
      <c r="R609">
        <v>0.4</v>
      </c>
      <c r="S609" t="s">
        <v>3464</v>
      </c>
      <c r="T609" t="s">
        <v>2688</v>
      </c>
      <c r="U609" t="s">
        <v>8338</v>
      </c>
      <c r="V609" t="s">
        <v>8339</v>
      </c>
      <c r="W609" t="s">
        <v>8340</v>
      </c>
      <c r="X609" t="s">
        <v>2688</v>
      </c>
      <c r="Y609" t="s">
        <v>2688</v>
      </c>
      <c r="Z609" t="s">
        <v>2689</v>
      </c>
      <c r="AA609" t="s">
        <v>2689</v>
      </c>
      <c r="AB609" t="s">
        <v>8341</v>
      </c>
      <c r="AC609" t="s">
        <v>8342</v>
      </c>
      <c r="AD609" t="s">
        <v>8343</v>
      </c>
      <c r="AE609" t="s">
        <v>8344</v>
      </c>
      <c r="AH609" t="s">
        <v>3445</v>
      </c>
    </row>
    <row r="610" spans="1:36" ht="43.75" x14ac:dyDescent="0.4">
      <c r="A610" t="s">
        <v>1862</v>
      </c>
      <c r="B610" t="s">
        <v>8345</v>
      </c>
      <c r="C610" t="s">
        <v>3594</v>
      </c>
      <c r="D610" t="s">
        <v>8346</v>
      </c>
      <c r="E610" t="s">
        <v>2679</v>
      </c>
      <c r="F610" t="s">
        <v>8347</v>
      </c>
      <c r="G610">
        <v>41.551489443599998</v>
      </c>
      <c r="H610">
        <v>-84.357990687799997</v>
      </c>
      <c r="I610" t="s">
        <v>3594</v>
      </c>
      <c r="J610" t="s">
        <v>2454</v>
      </c>
      <c r="K610" t="s">
        <v>1822</v>
      </c>
      <c r="L610" t="s">
        <v>2455</v>
      </c>
      <c r="M610">
        <v>263</v>
      </c>
      <c r="N610" t="s">
        <v>3438</v>
      </c>
      <c r="O610" t="s">
        <v>1862</v>
      </c>
      <c r="P610" s="1">
        <v>44768</v>
      </c>
      <c r="Q610">
        <v>10.5</v>
      </c>
      <c r="R610">
        <v>16</v>
      </c>
      <c r="S610" t="s">
        <v>3427</v>
      </c>
      <c r="T610" t="s">
        <v>2689</v>
      </c>
      <c r="U610" s="10" t="s">
        <v>8348</v>
      </c>
      <c r="V610" t="s">
        <v>8349</v>
      </c>
      <c r="W610" t="s">
        <v>8350</v>
      </c>
      <c r="X610" t="s">
        <v>2688</v>
      </c>
      <c r="Y610" t="s">
        <v>2688</v>
      </c>
      <c r="Z610" t="s">
        <v>2747</v>
      </c>
      <c r="AA610" t="s">
        <v>2689</v>
      </c>
      <c r="AB610" t="s">
        <v>8351</v>
      </c>
      <c r="AD610" t="s">
        <v>8352</v>
      </c>
      <c r="AE610" t="s">
        <v>8353</v>
      </c>
      <c r="AH610" t="s">
        <v>3445</v>
      </c>
      <c r="AJ610" t="s">
        <v>3771</v>
      </c>
    </row>
    <row r="611" spans="1:36" ht="72.900000000000006" x14ac:dyDescent="0.4">
      <c r="A611" t="s">
        <v>1859</v>
      </c>
      <c r="B611" t="s">
        <v>8354</v>
      </c>
      <c r="C611" t="s">
        <v>3448</v>
      </c>
      <c r="D611" t="s">
        <v>8346</v>
      </c>
      <c r="E611" t="s">
        <v>2679</v>
      </c>
      <c r="F611" t="s">
        <v>8355</v>
      </c>
      <c r="G611">
        <v>41.5542394203</v>
      </c>
      <c r="H611">
        <v>-84.356473479499996</v>
      </c>
      <c r="I611" t="s">
        <v>3448</v>
      </c>
      <c r="J611" t="s">
        <v>2454</v>
      </c>
      <c r="K611" t="s">
        <v>1822</v>
      </c>
      <c r="L611" t="s">
        <v>2455</v>
      </c>
      <c r="M611">
        <v>262</v>
      </c>
      <c r="N611" t="s">
        <v>3438</v>
      </c>
      <c r="O611" t="s">
        <v>1859</v>
      </c>
      <c r="P611" s="1">
        <v>44768</v>
      </c>
      <c r="Q611">
        <v>60.7</v>
      </c>
      <c r="R611">
        <v>26</v>
      </c>
      <c r="S611" t="s">
        <v>3427</v>
      </c>
      <c r="T611" t="s">
        <v>2689</v>
      </c>
      <c r="U611" s="10" t="s">
        <v>8356</v>
      </c>
      <c r="V611" t="s">
        <v>8357</v>
      </c>
      <c r="W611" t="s">
        <v>8358</v>
      </c>
      <c r="X611" t="s">
        <v>2688</v>
      </c>
      <c r="Y611" t="s">
        <v>2688</v>
      </c>
      <c r="Z611" t="s">
        <v>2689</v>
      </c>
      <c r="AB611" t="s">
        <v>8359</v>
      </c>
      <c r="AD611" t="s">
        <v>8360</v>
      </c>
      <c r="AE611" t="s">
        <v>8361</v>
      </c>
      <c r="AH611" t="s">
        <v>3445</v>
      </c>
      <c r="AJ611" t="s">
        <v>8182</v>
      </c>
    </row>
    <row r="612" spans="1:36" ht="145.75" x14ac:dyDescent="0.4">
      <c r="A612" t="s">
        <v>1856</v>
      </c>
      <c r="B612" t="s">
        <v>8362</v>
      </c>
      <c r="C612" t="s">
        <v>3594</v>
      </c>
      <c r="D612" t="s">
        <v>8363</v>
      </c>
      <c r="E612" t="s">
        <v>2679</v>
      </c>
      <c r="F612" t="s">
        <v>8364</v>
      </c>
      <c r="G612">
        <v>41.552634533899997</v>
      </c>
      <c r="H612">
        <v>-84.352457541299998</v>
      </c>
      <c r="I612" t="s">
        <v>3594</v>
      </c>
      <c r="J612" t="s">
        <v>2454</v>
      </c>
      <c r="K612" t="s">
        <v>1822</v>
      </c>
      <c r="L612" t="s">
        <v>2455</v>
      </c>
      <c r="M612">
        <v>261</v>
      </c>
      <c r="N612" t="s">
        <v>3438</v>
      </c>
      <c r="O612" t="s">
        <v>1856</v>
      </c>
      <c r="P612" s="1">
        <v>44768</v>
      </c>
      <c r="Q612">
        <v>22</v>
      </c>
      <c r="R612">
        <v>24</v>
      </c>
      <c r="S612" t="s">
        <v>3427</v>
      </c>
      <c r="T612" t="s">
        <v>2689</v>
      </c>
      <c r="U612" s="10" t="s">
        <v>8365</v>
      </c>
      <c r="V612" t="s">
        <v>8366</v>
      </c>
      <c r="W612" t="s">
        <v>8367</v>
      </c>
      <c r="X612" t="s">
        <v>2688</v>
      </c>
      <c r="Y612" t="s">
        <v>2688</v>
      </c>
      <c r="Z612" t="s">
        <v>2689</v>
      </c>
      <c r="AA612" t="s">
        <v>2689</v>
      </c>
      <c r="AB612" t="s">
        <v>8368</v>
      </c>
      <c r="AD612" t="s">
        <v>8369</v>
      </c>
      <c r="AE612" t="s">
        <v>8370</v>
      </c>
      <c r="AH612" t="s">
        <v>3445</v>
      </c>
      <c r="AJ612" t="s">
        <v>3771</v>
      </c>
    </row>
    <row r="613" spans="1:36" ht="43.75" x14ac:dyDescent="0.4">
      <c r="A613" t="s">
        <v>1853</v>
      </c>
      <c r="B613" t="s">
        <v>8371</v>
      </c>
      <c r="C613" t="s">
        <v>1411</v>
      </c>
      <c r="D613" t="s">
        <v>8363</v>
      </c>
      <c r="E613" t="s">
        <v>2679</v>
      </c>
      <c r="F613" t="s">
        <v>8372</v>
      </c>
      <c r="G613">
        <v>41.552562872000003</v>
      </c>
      <c r="H613">
        <v>-84.3534990773</v>
      </c>
      <c r="I613" t="s">
        <v>1411</v>
      </c>
      <c r="J613" t="s">
        <v>2454</v>
      </c>
      <c r="K613" t="s">
        <v>1822</v>
      </c>
      <c r="L613" t="s">
        <v>2455</v>
      </c>
      <c r="M613">
        <v>260</v>
      </c>
      <c r="N613" t="s">
        <v>3438</v>
      </c>
      <c r="O613" t="s">
        <v>1853</v>
      </c>
      <c r="P613" s="1">
        <v>44768</v>
      </c>
      <c r="Q613">
        <v>76.599999999999994</v>
      </c>
      <c r="R613">
        <v>26</v>
      </c>
      <c r="S613" t="s">
        <v>3427</v>
      </c>
      <c r="T613" t="s">
        <v>2689</v>
      </c>
      <c r="U613" s="10" t="s">
        <v>8373</v>
      </c>
      <c r="V613" t="s">
        <v>8374</v>
      </c>
      <c r="W613" t="s">
        <v>8350</v>
      </c>
      <c r="X613" t="s">
        <v>2688</v>
      </c>
      <c r="Y613" t="s">
        <v>2688</v>
      </c>
      <c r="Z613" t="s">
        <v>2689</v>
      </c>
      <c r="AA613" t="s">
        <v>2689</v>
      </c>
      <c r="AB613" t="s">
        <v>8375</v>
      </c>
      <c r="AD613" t="s">
        <v>8376</v>
      </c>
      <c r="AE613" t="s">
        <v>8377</v>
      </c>
      <c r="AH613" t="s">
        <v>3445</v>
      </c>
      <c r="AJ613" t="s">
        <v>3771</v>
      </c>
    </row>
    <row r="614" spans="1:36" ht="72.900000000000006" x14ac:dyDescent="0.4">
      <c r="A614" t="s">
        <v>1850</v>
      </c>
      <c r="B614" t="s">
        <v>8378</v>
      </c>
      <c r="C614" t="s">
        <v>1411</v>
      </c>
      <c r="D614" t="s">
        <v>8379</v>
      </c>
      <c r="E614" t="s">
        <v>2679</v>
      </c>
      <c r="F614" t="s">
        <v>8380</v>
      </c>
      <c r="G614">
        <v>41.551824635899997</v>
      </c>
      <c r="H614">
        <v>-84.354239618500003</v>
      </c>
      <c r="I614" t="s">
        <v>1411</v>
      </c>
      <c r="J614" t="s">
        <v>2454</v>
      </c>
      <c r="K614" t="s">
        <v>1822</v>
      </c>
      <c r="L614" t="s">
        <v>2455</v>
      </c>
      <c r="M614">
        <v>259</v>
      </c>
      <c r="N614" t="s">
        <v>3438</v>
      </c>
      <c r="O614" t="s">
        <v>1850</v>
      </c>
      <c r="P614" s="1">
        <v>44768</v>
      </c>
      <c r="Q614">
        <v>13.9</v>
      </c>
      <c r="R614">
        <v>14</v>
      </c>
      <c r="S614" t="s">
        <v>3427</v>
      </c>
      <c r="T614" t="s">
        <v>2689</v>
      </c>
      <c r="U614" s="10" t="s">
        <v>8381</v>
      </c>
      <c r="V614" t="s">
        <v>8382</v>
      </c>
      <c r="W614" t="s">
        <v>8383</v>
      </c>
      <c r="X614" t="s">
        <v>2688</v>
      </c>
      <c r="Y614" t="s">
        <v>2688</v>
      </c>
      <c r="Z614" t="s">
        <v>2689</v>
      </c>
      <c r="AA614" t="s">
        <v>2689</v>
      </c>
      <c r="AB614" t="s">
        <v>8384</v>
      </c>
      <c r="AD614" t="s">
        <v>8385</v>
      </c>
      <c r="AE614" t="s">
        <v>8386</v>
      </c>
      <c r="AH614" t="s">
        <v>3445</v>
      </c>
      <c r="AJ614" t="s">
        <v>8387</v>
      </c>
    </row>
    <row r="615" spans="1:36" ht="58.3" x14ac:dyDescent="0.4">
      <c r="A615" t="s">
        <v>1847</v>
      </c>
      <c r="B615" t="s">
        <v>8388</v>
      </c>
      <c r="C615" t="s">
        <v>3448</v>
      </c>
      <c r="D615" t="s">
        <v>8389</v>
      </c>
      <c r="E615" t="s">
        <v>2679</v>
      </c>
      <c r="F615" t="s">
        <v>8390</v>
      </c>
      <c r="G615">
        <v>41.552330399900001</v>
      </c>
      <c r="H615">
        <v>-84.354723924799998</v>
      </c>
      <c r="I615" t="s">
        <v>3448</v>
      </c>
      <c r="J615" t="s">
        <v>2454</v>
      </c>
      <c r="K615" t="s">
        <v>1822</v>
      </c>
      <c r="L615" t="s">
        <v>2455</v>
      </c>
      <c r="M615">
        <v>258</v>
      </c>
      <c r="N615" t="s">
        <v>3438</v>
      </c>
      <c r="O615" t="s">
        <v>1847</v>
      </c>
      <c r="P615" s="1">
        <v>44768</v>
      </c>
      <c r="Q615">
        <v>75.900000000000006</v>
      </c>
      <c r="R615">
        <v>28</v>
      </c>
      <c r="S615" t="s">
        <v>3427</v>
      </c>
      <c r="T615" t="s">
        <v>2688</v>
      </c>
      <c r="U615" s="10" t="s">
        <v>8391</v>
      </c>
      <c r="V615" t="s">
        <v>8392</v>
      </c>
      <c r="W615" t="s">
        <v>8358</v>
      </c>
      <c r="X615" t="s">
        <v>2688</v>
      </c>
      <c r="Y615" t="s">
        <v>2688</v>
      </c>
      <c r="Z615" t="s">
        <v>2689</v>
      </c>
      <c r="AA615" t="s">
        <v>2689</v>
      </c>
      <c r="AB615" t="s">
        <v>8393</v>
      </c>
      <c r="AC615" t="s">
        <v>8394</v>
      </c>
      <c r="AD615" t="s">
        <v>8395</v>
      </c>
      <c r="AE615" t="s">
        <v>8396</v>
      </c>
      <c r="AH615" t="s">
        <v>3445</v>
      </c>
      <c r="AJ615" t="s">
        <v>5600</v>
      </c>
    </row>
    <row r="616" spans="1:36" ht="58.3" x14ac:dyDescent="0.4">
      <c r="A616" t="s">
        <v>1844</v>
      </c>
      <c r="B616" t="s">
        <v>8397</v>
      </c>
      <c r="C616" t="s">
        <v>1411</v>
      </c>
      <c r="D616" t="s">
        <v>8398</v>
      </c>
      <c r="E616" t="s">
        <v>2679</v>
      </c>
      <c r="F616" t="s">
        <v>8399</v>
      </c>
      <c r="G616">
        <v>41.551565425500002</v>
      </c>
      <c r="H616">
        <v>-84.354850994499998</v>
      </c>
      <c r="I616" t="s">
        <v>1411</v>
      </c>
      <c r="J616" t="s">
        <v>2454</v>
      </c>
      <c r="K616" t="s">
        <v>1822</v>
      </c>
      <c r="L616" t="s">
        <v>2455</v>
      </c>
      <c r="M616">
        <v>257</v>
      </c>
      <c r="N616" t="s">
        <v>3438</v>
      </c>
      <c r="O616" t="s">
        <v>1844</v>
      </c>
      <c r="P616" s="1">
        <v>44768</v>
      </c>
      <c r="Q616">
        <v>17.5</v>
      </c>
      <c r="R616">
        <v>24</v>
      </c>
      <c r="S616" t="s">
        <v>3427</v>
      </c>
      <c r="T616" t="s">
        <v>2689</v>
      </c>
      <c r="U616" s="10" t="s">
        <v>8400</v>
      </c>
      <c r="V616" t="s">
        <v>8401</v>
      </c>
      <c r="W616" t="s">
        <v>8402</v>
      </c>
      <c r="X616" t="s">
        <v>2688</v>
      </c>
      <c r="Y616" t="s">
        <v>2688</v>
      </c>
      <c r="Z616" t="s">
        <v>2689</v>
      </c>
      <c r="AA616" t="s">
        <v>2689</v>
      </c>
      <c r="AB616" t="s">
        <v>8403</v>
      </c>
      <c r="AD616" t="s">
        <v>8404</v>
      </c>
      <c r="AE616" t="s">
        <v>8405</v>
      </c>
      <c r="AH616" t="s">
        <v>3445</v>
      </c>
      <c r="AJ616" t="s">
        <v>8406</v>
      </c>
    </row>
    <row r="617" spans="1:36" x14ac:dyDescent="0.4">
      <c r="A617" t="s">
        <v>1841</v>
      </c>
      <c r="B617" t="s">
        <v>8407</v>
      </c>
      <c r="C617" t="s">
        <v>3448</v>
      </c>
      <c r="D617" t="s">
        <v>8408</v>
      </c>
      <c r="E617" t="s">
        <v>2679</v>
      </c>
      <c r="F617" t="s">
        <v>8409</v>
      </c>
      <c r="G617">
        <v>41.551417668600003</v>
      </c>
      <c r="H617">
        <v>-84.355569705400001</v>
      </c>
      <c r="I617" t="s">
        <v>3448</v>
      </c>
      <c r="J617" t="s">
        <v>2454</v>
      </c>
      <c r="K617" t="s">
        <v>1822</v>
      </c>
      <c r="L617" t="s">
        <v>2455</v>
      </c>
      <c r="M617">
        <v>256</v>
      </c>
      <c r="N617" t="s">
        <v>3438</v>
      </c>
      <c r="O617" t="s">
        <v>1841</v>
      </c>
      <c r="P617" s="1">
        <v>44768</v>
      </c>
      <c r="Q617">
        <v>63.1</v>
      </c>
      <c r="R617">
        <v>28</v>
      </c>
      <c r="S617" t="s">
        <v>3427</v>
      </c>
      <c r="T617" t="s">
        <v>2689</v>
      </c>
      <c r="U617" t="s">
        <v>6643</v>
      </c>
      <c r="V617" t="s">
        <v>8410</v>
      </c>
      <c r="W617" t="s">
        <v>8350</v>
      </c>
      <c r="X617" t="s">
        <v>2688</v>
      </c>
      <c r="Y617" t="s">
        <v>2688</v>
      </c>
      <c r="Z617" t="s">
        <v>2747</v>
      </c>
      <c r="AA617" t="s">
        <v>2689</v>
      </c>
      <c r="AB617" t="s">
        <v>8411</v>
      </c>
      <c r="AD617" t="s">
        <v>8412</v>
      </c>
      <c r="AE617" t="s">
        <v>8413</v>
      </c>
      <c r="AH617" t="s">
        <v>3445</v>
      </c>
      <c r="AJ617" t="s">
        <v>5600</v>
      </c>
    </row>
    <row r="618" spans="1:36" ht="72.900000000000006" x14ac:dyDescent="0.4">
      <c r="A618" t="s">
        <v>1838</v>
      </c>
      <c r="B618" t="s">
        <v>8414</v>
      </c>
      <c r="C618" t="s">
        <v>1411</v>
      </c>
      <c r="D618" t="s">
        <v>8415</v>
      </c>
      <c r="E618" t="s">
        <v>2679</v>
      </c>
      <c r="F618" t="s">
        <v>8416</v>
      </c>
      <c r="G618">
        <v>41.551174954499999</v>
      </c>
      <c r="H618">
        <v>-84.355546189600005</v>
      </c>
      <c r="I618" t="s">
        <v>1411</v>
      </c>
      <c r="J618" t="s">
        <v>2454</v>
      </c>
      <c r="K618" t="s">
        <v>1822</v>
      </c>
      <c r="L618" t="s">
        <v>2455</v>
      </c>
      <c r="M618">
        <v>255</v>
      </c>
      <c r="N618" t="s">
        <v>3438</v>
      </c>
      <c r="O618" t="s">
        <v>1838</v>
      </c>
      <c r="P618" s="1">
        <v>44768</v>
      </c>
      <c r="Q618">
        <v>7.4</v>
      </c>
      <c r="R618">
        <v>13</v>
      </c>
      <c r="S618" t="s">
        <v>3427</v>
      </c>
      <c r="T618" t="s">
        <v>2689</v>
      </c>
      <c r="U618" s="10" t="s">
        <v>8417</v>
      </c>
      <c r="V618" t="s">
        <v>8418</v>
      </c>
      <c r="W618" t="s">
        <v>8419</v>
      </c>
      <c r="X618" t="s">
        <v>2688</v>
      </c>
      <c r="Y618" t="s">
        <v>2688</v>
      </c>
      <c r="Z618" t="s">
        <v>2689</v>
      </c>
      <c r="AA618" t="s">
        <v>2689</v>
      </c>
      <c r="AB618" t="s">
        <v>8420</v>
      </c>
      <c r="AD618" t="s">
        <v>8421</v>
      </c>
      <c r="AE618" t="s">
        <v>8422</v>
      </c>
      <c r="AH618" t="s">
        <v>3445</v>
      </c>
    </row>
    <row r="619" spans="1:36" x14ac:dyDescent="0.4">
      <c r="A619" t="s">
        <v>1835</v>
      </c>
      <c r="B619" t="s">
        <v>8423</v>
      </c>
      <c r="C619" t="s">
        <v>3594</v>
      </c>
      <c r="D619" t="s">
        <v>8424</v>
      </c>
      <c r="E619" t="s">
        <v>2679</v>
      </c>
      <c r="F619" t="s">
        <v>8425</v>
      </c>
      <c r="G619">
        <v>41.550855184900001</v>
      </c>
      <c r="H619">
        <v>-84.357028110000002</v>
      </c>
      <c r="I619" t="s">
        <v>3594</v>
      </c>
      <c r="J619" t="s">
        <v>2454</v>
      </c>
      <c r="K619" t="s">
        <v>1822</v>
      </c>
      <c r="L619" t="s">
        <v>2455</v>
      </c>
      <c r="M619">
        <v>254</v>
      </c>
      <c r="N619" t="s">
        <v>3438</v>
      </c>
      <c r="O619" t="s">
        <v>1835</v>
      </c>
      <c r="P619" s="1">
        <v>44768</v>
      </c>
      <c r="Q619">
        <v>63.4</v>
      </c>
      <c r="R619">
        <v>28</v>
      </c>
      <c r="S619" t="s">
        <v>3427</v>
      </c>
      <c r="T619" t="s">
        <v>2689</v>
      </c>
      <c r="U619" t="s">
        <v>8426</v>
      </c>
      <c r="V619" t="s">
        <v>8427</v>
      </c>
      <c r="W619" t="s">
        <v>8350</v>
      </c>
      <c r="X619" t="s">
        <v>2688</v>
      </c>
      <c r="Y619" t="s">
        <v>2688</v>
      </c>
      <c r="Z619" t="s">
        <v>2689</v>
      </c>
      <c r="AA619" t="s">
        <v>2689</v>
      </c>
      <c r="AB619" t="s">
        <v>8428</v>
      </c>
      <c r="AE619" t="s">
        <v>8429</v>
      </c>
      <c r="AH619" t="s">
        <v>3445</v>
      </c>
      <c r="AJ619" t="s">
        <v>8430</v>
      </c>
    </row>
    <row r="620" spans="1:36" ht="72.900000000000006" x14ac:dyDescent="0.4">
      <c r="A620" t="s">
        <v>1829</v>
      </c>
      <c r="B620" t="s">
        <v>8431</v>
      </c>
      <c r="C620" t="s">
        <v>3594</v>
      </c>
      <c r="D620" t="s">
        <v>8432</v>
      </c>
      <c r="E620" t="s">
        <v>2679</v>
      </c>
      <c r="F620" t="s">
        <v>8433</v>
      </c>
      <c r="G620">
        <v>41.551157897400003</v>
      </c>
      <c r="H620">
        <v>-84.358630562299993</v>
      </c>
      <c r="I620" t="s">
        <v>3594</v>
      </c>
      <c r="J620" t="s">
        <v>2454</v>
      </c>
      <c r="K620" t="s">
        <v>1822</v>
      </c>
      <c r="L620" t="s">
        <v>2455</v>
      </c>
      <c r="M620">
        <v>252</v>
      </c>
      <c r="N620" t="s">
        <v>3438</v>
      </c>
      <c r="O620" t="s">
        <v>1829</v>
      </c>
      <c r="P620" s="1">
        <v>44768</v>
      </c>
      <c r="Q620">
        <v>30.5</v>
      </c>
      <c r="R620">
        <v>23</v>
      </c>
      <c r="S620" t="s">
        <v>3427</v>
      </c>
      <c r="T620" t="s">
        <v>2689</v>
      </c>
      <c r="U620" s="10" t="s">
        <v>8434</v>
      </c>
      <c r="V620" t="s">
        <v>8435</v>
      </c>
      <c r="W620" t="s">
        <v>8436</v>
      </c>
      <c r="X620" t="s">
        <v>2688</v>
      </c>
      <c r="Y620" t="s">
        <v>2688</v>
      </c>
      <c r="Z620" t="s">
        <v>2689</v>
      </c>
      <c r="AA620" t="s">
        <v>2689</v>
      </c>
      <c r="AB620" t="s">
        <v>8437</v>
      </c>
      <c r="AD620" t="s">
        <v>8438</v>
      </c>
      <c r="AE620" t="s">
        <v>8439</v>
      </c>
      <c r="AH620" t="s">
        <v>3445</v>
      </c>
    </row>
    <row r="621" spans="1:36" ht="116.6" x14ac:dyDescent="0.4">
      <c r="A621" t="s">
        <v>1825</v>
      </c>
      <c r="B621" t="s">
        <v>8440</v>
      </c>
      <c r="C621" t="s">
        <v>1428</v>
      </c>
      <c r="D621" t="s">
        <v>8432</v>
      </c>
      <c r="E621" t="s">
        <v>2679</v>
      </c>
      <c r="F621" t="s">
        <v>8441</v>
      </c>
      <c r="G621">
        <v>41.553161130299998</v>
      </c>
      <c r="H621">
        <v>-84.361231634500001</v>
      </c>
      <c r="I621" t="s">
        <v>1428</v>
      </c>
      <c r="J621" t="s">
        <v>2454</v>
      </c>
      <c r="K621" t="s">
        <v>1822</v>
      </c>
      <c r="L621" t="s">
        <v>2455</v>
      </c>
      <c r="M621">
        <v>251</v>
      </c>
      <c r="N621" t="s">
        <v>3438</v>
      </c>
      <c r="O621" t="s">
        <v>1825</v>
      </c>
      <c r="P621" s="1">
        <v>44768</v>
      </c>
      <c r="Q621">
        <v>10.6</v>
      </c>
      <c r="R621">
        <v>10</v>
      </c>
      <c r="S621" t="s">
        <v>3427</v>
      </c>
      <c r="T621" t="s">
        <v>2689</v>
      </c>
      <c r="U621" s="10" t="s">
        <v>8442</v>
      </c>
      <c r="V621" t="s">
        <v>8443</v>
      </c>
      <c r="W621" t="s">
        <v>8444</v>
      </c>
      <c r="X621" t="s">
        <v>2688</v>
      </c>
      <c r="Y621" t="s">
        <v>2688</v>
      </c>
      <c r="Z621" t="s">
        <v>2747</v>
      </c>
      <c r="AA621" t="s">
        <v>2689</v>
      </c>
      <c r="AB621" t="s">
        <v>8445</v>
      </c>
      <c r="AD621" t="s">
        <v>8446</v>
      </c>
      <c r="AH621" t="s">
        <v>3445</v>
      </c>
    </row>
    <row r="622" spans="1:36" ht="102" x14ac:dyDescent="0.4">
      <c r="A622" t="s">
        <v>2309</v>
      </c>
      <c r="B622" t="s">
        <v>8447</v>
      </c>
      <c r="C622" t="s">
        <v>3448</v>
      </c>
      <c r="D622" t="s">
        <v>8448</v>
      </c>
      <c r="E622" t="s">
        <v>2679</v>
      </c>
      <c r="F622" t="s">
        <v>8449</v>
      </c>
      <c r="G622">
        <v>46.331607392099997</v>
      </c>
      <c r="H622">
        <v>-91.507261488699996</v>
      </c>
      <c r="I622" t="s">
        <v>3448</v>
      </c>
      <c r="J622" t="s">
        <v>2468</v>
      </c>
      <c r="K622" t="s">
        <v>2300</v>
      </c>
      <c r="L622" t="s">
        <v>2469</v>
      </c>
      <c r="M622">
        <v>232</v>
      </c>
      <c r="N622" t="s">
        <v>3438</v>
      </c>
      <c r="O622" t="s">
        <v>2309</v>
      </c>
      <c r="P622" s="1">
        <v>44763</v>
      </c>
      <c r="Q622">
        <v>22.6</v>
      </c>
      <c r="R622">
        <v>20</v>
      </c>
      <c r="S622" t="s">
        <v>3518</v>
      </c>
      <c r="T622" t="s">
        <v>2689</v>
      </c>
      <c r="U622" s="10" t="s">
        <v>8450</v>
      </c>
      <c r="V622" t="s">
        <v>8451</v>
      </c>
      <c r="W622" t="s">
        <v>3509</v>
      </c>
      <c r="X622" t="s">
        <v>2688</v>
      </c>
      <c r="Y622" t="s">
        <v>2688</v>
      </c>
      <c r="Z622" t="s">
        <v>2747</v>
      </c>
      <c r="AA622" t="s">
        <v>2689</v>
      </c>
      <c r="AB622" t="s">
        <v>8452</v>
      </c>
      <c r="AD622" t="s">
        <v>8453</v>
      </c>
      <c r="AE622" t="s">
        <v>8454</v>
      </c>
      <c r="AH622" t="s">
        <v>3445</v>
      </c>
    </row>
    <row r="623" spans="1:36" ht="189.45" x14ac:dyDescent="0.4">
      <c r="A623" t="s">
        <v>2303</v>
      </c>
      <c r="B623" t="s">
        <v>8455</v>
      </c>
      <c r="C623" t="s">
        <v>3448</v>
      </c>
      <c r="D623" t="s">
        <v>8456</v>
      </c>
      <c r="E623" t="s">
        <v>2679</v>
      </c>
      <c r="F623" t="s">
        <v>8457</v>
      </c>
      <c r="G623">
        <v>46.332276309900003</v>
      </c>
      <c r="H623">
        <v>-91.507497606900003</v>
      </c>
      <c r="I623" t="s">
        <v>3448</v>
      </c>
      <c r="J623" t="s">
        <v>2468</v>
      </c>
      <c r="K623" t="s">
        <v>2300</v>
      </c>
      <c r="L623" t="s">
        <v>2469</v>
      </c>
      <c r="M623">
        <v>230</v>
      </c>
      <c r="N623" t="s">
        <v>3438</v>
      </c>
      <c r="O623" t="s">
        <v>2303</v>
      </c>
      <c r="P623" s="1">
        <v>44763</v>
      </c>
      <c r="Q623">
        <v>7.3</v>
      </c>
      <c r="R623">
        <v>15</v>
      </c>
      <c r="S623" t="s">
        <v>3464</v>
      </c>
      <c r="T623" t="s">
        <v>2689</v>
      </c>
      <c r="U623" t="s">
        <v>8458</v>
      </c>
      <c r="V623" s="10" t="s">
        <v>8459</v>
      </c>
      <c r="W623" t="s">
        <v>3509</v>
      </c>
      <c r="X623" t="s">
        <v>2688</v>
      </c>
      <c r="Y623" t="s">
        <v>2688</v>
      </c>
      <c r="Z623" t="s">
        <v>2747</v>
      </c>
      <c r="AA623" t="s">
        <v>2689</v>
      </c>
      <c r="AB623" t="s">
        <v>8460</v>
      </c>
      <c r="AD623" t="s">
        <v>8461</v>
      </c>
      <c r="AE623" t="s">
        <v>8462</v>
      </c>
      <c r="AH623" t="s">
        <v>3445</v>
      </c>
    </row>
    <row r="624" spans="1:36" ht="160.30000000000001" x14ac:dyDescent="0.4">
      <c r="A624" t="s">
        <v>1297</v>
      </c>
      <c r="B624" t="s">
        <v>8463</v>
      </c>
      <c r="C624" t="s">
        <v>1411</v>
      </c>
      <c r="D624" t="s">
        <v>8464</v>
      </c>
      <c r="E624" t="s">
        <v>2679</v>
      </c>
      <c r="F624" t="s">
        <v>8465</v>
      </c>
      <c r="G624">
        <v>43.902412027099999</v>
      </c>
      <c r="H624">
        <v>-91.638981432600005</v>
      </c>
      <c r="I624" t="s">
        <v>1411</v>
      </c>
      <c r="J624" t="s">
        <v>2439</v>
      </c>
      <c r="K624" t="s">
        <v>5380</v>
      </c>
      <c r="L624" t="s">
        <v>2441</v>
      </c>
      <c r="M624">
        <v>222</v>
      </c>
      <c r="N624" t="s">
        <v>3438</v>
      </c>
      <c r="O624" t="s">
        <v>1297</v>
      </c>
      <c r="P624" s="1">
        <v>44762</v>
      </c>
      <c r="Q624">
        <v>57.4</v>
      </c>
      <c r="R624">
        <v>23</v>
      </c>
      <c r="S624" t="s">
        <v>3464</v>
      </c>
      <c r="T624" t="s">
        <v>2689</v>
      </c>
      <c r="U624" s="10" t="s">
        <v>8466</v>
      </c>
      <c r="V624" t="s">
        <v>8467</v>
      </c>
      <c r="W624" t="s">
        <v>8468</v>
      </c>
      <c r="X624" t="s">
        <v>2688</v>
      </c>
      <c r="Y624" t="s">
        <v>2688</v>
      </c>
      <c r="Z624" t="s">
        <v>2689</v>
      </c>
      <c r="AA624" t="s">
        <v>2689</v>
      </c>
      <c r="AB624" t="s">
        <v>8469</v>
      </c>
      <c r="AD624" t="s">
        <v>8470</v>
      </c>
      <c r="AE624" t="s">
        <v>8471</v>
      </c>
      <c r="AH624" t="s">
        <v>3445</v>
      </c>
    </row>
    <row r="625" spans="1:36" ht="43.75" x14ac:dyDescent="0.4">
      <c r="A625" t="s">
        <v>1621</v>
      </c>
      <c r="B625" t="s">
        <v>8472</v>
      </c>
      <c r="C625" t="s">
        <v>3713</v>
      </c>
      <c r="D625" t="s">
        <v>8473</v>
      </c>
      <c r="E625" t="s">
        <v>2679</v>
      </c>
      <c r="F625" t="s">
        <v>8474</v>
      </c>
      <c r="G625">
        <v>38.512982530599999</v>
      </c>
      <c r="H625">
        <v>-90.5573077966</v>
      </c>
      <c r="I625" t="s">
        <v>3713</v>
      </c>
      <c r="J625" t="s">
        <v>2442</v>
      </c>
      <c r="K625" t="s">
        <v>1585</v>
      </c>
      <c r="L625" t="s">
        <v>2447</v>
      </c>
      <c r="M625">
        <v>86</v>
      </c>
      <c r="N625" t="s">
        <v>3438</v>
      </c>
      <c r="O625" t="s">
        <v>1621</v>
      </c>
      <c r="P625" s="1">
        <v>44733</v>
      </c>
      <c r="Q625">
        <v>21.2</v>
      </c>
      <c r="R625">
        <v>14</v>
      </c>
      <c r="S625" t="s">
        <v>3607</v>
      </c>
      <c r="T625" t="s">
        <v>2689</v>
      </c>
      <c r="U625" s="10" t="s">
        <v>8475</v>
      </c>
      <c r="V625" t="s">
        <v>8476</v>
      </c>
      <c r="W625" t="s">
        <v>8477</v>
      </c>
      <c r="X625" t="s">
        <v>2688</v>
      </c>
      <c r="Y625" t="s">
        <v>2688</v>
      </c>
      <c r="Z625" t="s">
        <v>2689</v>
      </c>
      <c r="AA625" t="s">
        <v>2689</v>
      </c>
      <c r="AB625" t="s">
        <v>8478</v>
      </c>
      <c r="AD625" t="s">
        <v>8479</v>
      </c>
      <c r="AE625" t="s">
        <v>8480</v>
      </c>
      <c r="AH625" t="s">
        <v>3445</v>
      </c>
      <c r="AJ625" t="s">
        <v>5600</v>
      </c>
    </row>
    <row r="626" spans="1:36" ht="58.3" x14ac:dyDescent="0.4">
      <c r="A626" t="s">
        <v>1618</v>
      </c>
      <c r="B626" t="s">
        <v>8481</v>
      </c>
      <c r="C626" t="s">
        <v>3448</v>
      </c>
      <c r="D626" t="s">
        <v>8482</v>
      </c>
      <c r="E626" t="s">
        <v>2679</v>
      </c>
      <c r="F626" t="s">
        <v>8483</v>
      </c>
      <c r="G626">
        <v>38.513352596399997</v>
      </c>
      <c r="H626">
        <v>-90.557487856899996</v>
      </c>
      <c r="I626" t="s">
        <v>3448</v>
      </c>
      <c r="J626" t="s">
        <v>2442</v>
      </c>
      <c r="K626" t="s">
        <v>1585</v>
      </c>
      <c r="L626" t="s">
        <v>2447</v>
      </c>
      <c r="M626">
        <v>85</v>
      </c>
      <c r="N626" t="s">
        <v>3438</v>
      </c>
      <c r="O626" t="s">
        <v>1618</v>
      </c>
      <c r="P626" s="1">
        <v>44733</v>
      </c>
      <c r="Q626">
        <v>28.8</v>
      </c>
      <c r="R626">
        <v>26</v>
      </c>
      <c r="S626" t="s">
        <v>3607</v>
      </c>
      <c r="T626" t="s">
        <v>2689</v>
      </c>
      <c r="U626" s="10" t="s">
        <v>8484</v>
      </c>
      <c r="V626" t="s">
        <v>8485</v>
      </c>
      <c r="W626" t="s">
        <v>8486</v>
      </c>
      <c r="X626" t="s">
        <v>2688</v>
      </c>
      <c r="Y626" t="s">
        <v>2688</v>
      </c>
      <c r="Z626" t="s">
        <v>2689</v>
      </c>
      <c r="AA626" t="s">
        <v>2689</v>
      </c>
      <c r="AB626" t="s">
        <v>8487</v>
      </c>
      <c r="AD626" t="s">
        <v>8488</v>
      </c>
      <c r="AE626" t="s">
        <v>8489</v>
      </c>
      <c r="AH626" t="s">
        <v>3445</v>
      </c>
      <c r="AJ626" t="s">
        <v>8490</v>
      </c>
    </row>
    <row r="627" spans="1:36" ht="145.75" x14ac:dyDescent="0.4">
      <c r="A627" t="s">
        <v>1600</v>
      </c>
      <c r="B627" t="s">
        <v>8491</v>
      </c>
      <c r="C627" t="s">
        <v>3713</v>
      </c>
      <c r="D627" t="s">
        <v>8492</v>
      </c>
      <c r="E627" t="s">
        <v>2679</v>
      </c>
      <c r="F627" t="s">
        <v>8493</v>
      </c>
      <c r="G627">
        <v>38.512257753</v>
      </c>
      <c r="H627">
        <v>-90.576388314100001</v>
      </c>
      <c r="I627" t="s">
        <v>3713</v>
      </c>
      <c r="J627" t="s">
        <v>2442</v>
      </c>
      <c r="K627" t="s">
        <v>1585</v>
      </c>
      <c r="L627" t="s">
        <v>2447</v>
      </c>
      <c r="M627">
        <v>79</v>
      </c>
      <c r="N627" t="s">
        <v>3438</v>
      </c>
      <c r="O627" t="s">
        <v>1600</v>
      </c>
      <c r="P627" s="1">
        <v>44733</v>
      </c>
      <c r="Q627">
        <v>53.8</v>
      </c>
      <c r="R627">
        <v>28</v>
      </c>
      <c r="S627" t="s">
        <v>4374</v>
      </c>
      <c r="T627" t="s">
        <v>2689</v>
      </c>
      <c r="U627" s="10" t="s">
        <v>8494</v>
      </c>
      <c r="V627" t="s">
        <v>8495</v>
      </c>
      <c r="W627" t="s">
        <v>8496</v>
      </c>
      <c r="X627" t="s">
        <v>2688</v>
      </c>
      <c r="Y627" t="s">
        <v>2688</v>
      </c>
      <c r="Z627" t="s">
        <v>2689</v>
      </c>
      <c r="AA627" t="s">
        <v>2689</v>
      </c>
      <c r="AB627" t="s">
        <v>8497</v>
      </c>
      <c r="AD627" t="s">
        <v>8498</v>
      </c>
      <c r="AE627" t="s">
        <v>8499</v>
      </c>
      <c r="AH627" t="s">
        <v>3445</v>
      </c>
      <c r="AJ627" t="s">
        <v>3771</v>
      </c>
    </row>
    <row r="628" spans="1:36" ht="102" x14ac:dyDescent="0.4">
      <c r="A628" t="s">
        <v>1591</v>
      </c>
      <c r="B628" t="s">
        <v>8500</v>
      </c>
      <c r="C628" t="s">
        <v>3448</v>
      </c>
      <c r="D628" t="s">
        <v>8501</v>
      </c>
      <c r="E628" t="s">
        <v>2679</v>
      </c>
      <c r="F628" t="s">
        <v>8502</v>
      </c>
      <c r="G628">
        <v>38.512286874499999</v>
      </c>
      <c r="H628">
        <v>-90.575957614999993</v>
      </c>
      <c r="I628" t="s">
        <v>3448</v>
      </c>
      <c r="J628" t="s">
        <v>2442</v>
      </c>
      <c r="K628" t="s">
        <v>1585</v>
      </c>
      <c r="L628" t="s">
        <v>2447</v>
      </c>
      <c r="M628">
        <v>76</v>
      </c>
      <c r="N628" t="s">
        <v>3438</v>
      </c>
      <c r="O628" t="s">
        <v>1591</v>
      </c>
      <c r="P628" s="1">
        <v>44733</v>
      </c>
      <c r="Q628">
        <v>47</v>
      </c>
      <c r="R628">
        <v>22</v>
      </c>
      <c r="S628" t="s">
        <v>3607</v>
      </c>
      <c r="T628" t="s">
        <v>2689</v>
      </c>
      <c r="U628" s="10" t="s">
        <v>8503</v>
      </c>
      <c r="V628" t="s">
        <v>8504</v>
      </c>
      <c r="W628" t="s">
        <v>8505</v>
      </c>
      <c r="X628" t="s">
        <v>2688</v>
      </c>
      <c r="Y628" t="s">
        <v>2688</v>
      </c>
      <c r="Z628" t="s">
        <v>2747</v>
      </c>
      <c r="AA628" t="s">
        <v>2689</v>
      </c>
      <c r="AB628" t="s">
        <v>8506</v>
      </c>
      <c r="AD628" t="s">
        <v>8507</v>
      </c>
      <c r="AE628" t="s">
        <v>8508</v>
      </c>
      <c r="AH628" t="s">
        <v>3445</v>
      </c>
      <c r="AJ628" s="10" t="s">
        <v>8509</v>
      </c>
    </row>
    <row r="629" spans="1:36" ht="131.15" x14ac:dyDescent="0.4">
      <c r="A629" t="s">
        <v>1588</v>
      </c>
      <c r="B629" t="s">
        <v>8510</v>
      </c>
      <c r="C629" t="s">
        <v>3594</v>
      </c>
      <c r="D629" t="s">
        <v>8511</v>
      </c>
      <c r="E629" t="s">
        <v>2679</v>
      </c>
      <c r="F629" t="s">
        <v>8512</v>
      </c>
      <c r="G629">
        <v>38.512225177600001</v>
      </c>
      <c r="H629">
        <v>-90.575640806600006</v>
      </c>
      <c r="I629" t="s">
        <v>3594</v>
      </c>
      <c r="J629" t="s">
        <v>2442</v>
      </c>
      <c r="K629" t="s">
        <v>1585</v>
      </c>
      <c r="L629" t="s">
        <v>2447</v>
      </c>
      <c r="M629">
        <v>75</v>
      </c>
      <c r="N629" t="s">
        <v>3438</v>
      </c>
      <c r="O629" t="s">
        <v>1588</v>
      </c>
      <c r="P629" s="1">
        <v>44733</v>
      </c>
      <c r="Q629">
        <v>19.8</v>
      </c>
      <c r="R629">
        <v>15</v>
      </c>
      <c r="S629" t="s">
        <v>3607</v>
      </c>
      <c r="T629" t="s">
        <v>2689</v>
      </c>
      <c r="U629" s="10" t="s">
        <v>8513</v>
      </c>
      <c r="V629" t="s">
        <v>8514</v>
      </c>
      <c r="W629" t="s">
        <v>8515</v>
      </c>
      <c r="X629" t="s">
        <v>2688</v>
      </c>
      <c r="Y629" t="s">
        <v>2688</v>
      </c>
      <c r="Z629" t="s">
        <v>2689</v>
      </c>
      <c r="AA629" t="s">
        <v>2689</v>
      </c>
      <c r="AB629" t="s">
        <v>8516</v>
      </c>
      <c r="AD629" t="s">
        <v>8517</v>
      </c>
      <c r="AE629" s="9" t="s">
        <v>8518</v>
      </c>
      <c r="AH629" t="s">
        <v>3445</v>
      </c>
      <c r="AJ629" s="10" t="s">
        <v>8519</v>
      </c>
    </row>
    <row r="630" spans="1:36" ht="102" x14ac:dyDescent="0.4">
      <c r="A630" t="s">
        <v>1583</v>
      </c>
      <c r="B630" t="s">
        <v>8520</v>
      </c>
      <c r="C630" t="s">
        <v>3713</v>
      </c>
      <c r="D630" t="s">
        <v>8511</v>
      </c>
      <c r="E630" t="s">
        <v>2679</v>
      </c>
      <c r="F630" t="s">
        <v>8521</v>
      </c>
      <c r="G630">
        <v>38.512354558399998</v>
      </c>
      <c r="H630">
        <v>-90.575712192899999</v>
      </c>
      <c r="I630" t="s">
        <v>3713</v>
      </c>
      <c r="J630" t="s">
        <v>2442</v>
      </c>
      <c r="K630" t="s">
        <v>1585</v>
      </c>
      <c r="L630" t="s">
        <v>2447</v>
      </c>
      <c r="M630">
        <v>74</v>
      </c>
      <c r="N630" t="s">
        <v>3438</v>
      </c>
      <c r="O630" t="s">
        <v>1583</v>
      </c>
      <c r="P630" s="1">
        <v>44733</v>
      </c>
      <c r="Q630">
        <v>37.700000000000003</v>
      </c>
      <c r="R630">
        <v>16</v>
      </c>
      <c r="S630" t="s">
        <v>3427</v>
      </c>
      <c r="T630" t="s">
        <v>2689</v>
      </c>
      <c r="U630" s="10" t="s">
        <v>8522</v>
      </c>
      <c r="V630" t="s">
        <v>8523</v>
      </c>
      <c r="W630" t="s">
        <v>8524</v>
      </c>
      <c r="X630" t="s">
        <v>2688</v>
      </c>
      <c r="Y630" t="s">
        <v>2688</v>
      </c>
      <c r="Z630" t="s">
        <v>2689</v>
      </c>
      <c r="AA630" t="s">
        <v>2689</v>
      </c>
      <c r="AB630" t="s">
        <v>8525</v>
      </c>
      <c r="AD630" t="s">
        <v>8526</v>
      </c>
      <c r="AE630" t="s">
        <v>8527</v>
      </c>
      <c r="AH630" t="s">
        <v>3445</v>
      </c>
      <c r="AJ630" t="s">
        <v>8528</v>
      </c>
    </row>
    <row r="631" spans="1:36" ht="87.45" x14ac:dyDescent="0.4">
      <c r="A631" t="s">
        <v>1442</v>
      </c>
      <c r="B631" t="s">
        <v>8529</v>
      </c>
      <c r="C631" t="s">
        <v>1411</v>
      </c>
      <c r="D631" t="s">
        <v>8530</v>
      </c>
      <c r="E631" t="s">
        <v>2679</v>
      </c>
      <c r="F631" t="s">
        <v>8531</v>
      </c>
      <c r="G631">
        <v>38.546848814000001</v>
      </c>
      <c r="H631">
        <v>-90.536803566000003</v>
      </c>
      <c r="I631" t="s">
        <v>1411</v>
      </c>
      <c r="J631" t="s">
        <v>2442</v>
      </c>
      <c r="K631" t="s">
        <v>7386</v>
      </c>
      <c r="L631" t="s">
        <v>2427</v>
      </c>
      <c r="M631">
        <v>72</v>
      </c>
      <c r="N631" t="s">
        <v>7387</v>
      </c>
      <c r="O631" t="s">
        <v>1442</v>
      </c>
      <c r="P631" s="1">
        <v>44732</v>
      </c>
      <c r="Q631">
        <v>40</v>
      </c>
      <c r="R631">
        <v>16</v>
      </c>
      <c r="S631" t="s">
        <v>3427</v>
      </c>
      <c r="T631" t="s">
        <v>2689</v>
      </c>
      <c r="U631" s="10" t="s">
        <v>8532</v>
      </c>
      <c r="V631" t="s">
        <v>8533</v>
      </c>
      <c r="W631" t="s">
        <v>8534</v>
      </c>
      <c r="X631" t="s">
        <v>2688</v>
      </c>
      <c r="Y631" t="s">
        <v>2688</v>
      </c>
      <c r="Z631" t="s">
        <v>2689</v>
      </c>
      <c r="AA631" t="s">
        <v>2689</v>
      </c>
      <c r="AB631" t="s">
        <v>8535</v>
      </c>
      <c r="AD631" t="s">
        <v>8536</v>
      </c>
      <c r="AE631" t="s">
        <v>8537</v>
      </c>
      <c r="AH631" t="s">
        <v>3445</v>
      </c>
      <c r="AJ631" t="s">
        <v>8538</v>
      </c>
    </row>
    <row r="632" spans="1:36" x14ac:dyDescent="0.4">
      <c r="A632" t="s">
        <v>1438</v>
      </c>
      <c r="B632" t="s">
        <v>8539</v>
      </c>
      <c r="C632" t="s">
        <v>1411</v>
      </c>
      <c r="D632" t="s">
        <v>8540</v>
      </c>
      <c r="E632" t="s">
        <v>2679</v>
      </c>
      <c r="F632" t="s">
        <v>8541</v>
      </c>
      <c r="G632">
        <v>38.545589502799999</v>
      </c>
      <c r="H632">
        <v>-90.535724389799995</v>
      </c>
      <c r="I632" t="s">
        <v>1411</v>
      </c>
      <c r="J632" t="s">
        <v>2442</v>
      </c>
      <c r="K632" t="s">
        <v>7386</v>
      </c>
      <c r="L632" t="s">
        <v>2427</v>
      </c>
      <c r="M632">
        <v>71</v>
      </c>
      <c r="N632" t="s">
        <v>7387</v>
      </c>
      <c r="O632" t="s">
        <v>1438</v>
      </c>
      <c r="P632" s="1">
        <v>44732</v>
      </c>
      <c r="Q632">
        <v>22.5</v>
      </c>
      <c r="R632">
        <v>5</v>
      </c>
      <c r="S632" t="s">
        <v>3427</v>
      </c>
      <c r="T632" t="s">
        <v>2689</v>
      </c>
      <c r="U632" t="s">
        <v>8542</v>
      </c>
      <c r="V632" t="s">
        <v>8543</v>
      </c>
      <c r="W632" t="s">
        <v>8544</v>
      </c>
      <c r="X632" t="s">
        <v>2688</v>
      </c>
      <c r="Y632" t="s">
        <v>2688</v>
      </c>
      <c r="Z632" t="s">
        <v>2689</v>
      </c>
      <c r="AA632" t="s">
        <v>2689</v>
      </c>
      <c r="AB632" t="s">
        <v>8545</v>
      </c>
      <c r="AD632" t="s">
        <v>8546</v>
      </c>
      <c r="AE632" t="s">
        <v>8547</v>
      </c>
      <c r="AH632" t="s">
        <v>3445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A9CBE-A428-4922-966B-96A095F0B053}">
  <dimension ref="A1:I721"/>
  <sheetViews>
    <sheetView topLeftCell="A577" workbookViewId="0">
      <selection activeCell="G639" sqref="G639"/>
    </sheetView>
  </sheetViews>
  <sheetFormatPr defaultRowHeight="14.6" x14ac:dyDescent="0.4"/>
  <cols>
    <col min="1" max="1" width="12.3828125" bestFit="1" customWidth="1"/>
    <col min="2" max="2" width="15.15234375" bestFit="1" customWidth="1"/>
    <col min="3" max="3" width="18.765625" bestFit="1" customWidth="1"/>
    <col min="4" max="4" width="3.84375" bestFit="1" customWidth="1"/>
    <col min="5" max="5" width="8.69140625" bestFit="1" customWidth="1"/>
    <col min="6" max="6" width="8.15234375" bestFit="1" customWidth="1"/>
    <col min="7" max="7" width="8.921875" bestFit="1" customWidth="1"/>
    <col min="8" max="8" width="3.23046875" bestFit="1" customWidth="1"/>
    <col min="9" max="9" width="8.53515625" bestFit="1" customWidth="1"/>
    <col min="10" max="10" width="3.4609375" bestFit="1" customWidth="1"/>
    <col min="11" max="11" width="2.921875" bestFit="1" customWidth="1"/>
    <col min="12" max="12" width="8.23046875" bestFit="1" customWidth="1"/>
    <col min="13" max="13" width="7.69140625" bestFit="1" customWidth="1"/>
    <col min="14" max="14" width="4.3046875" bestFit="1" customWidth="1"/>
    <col min="15" max="15" width="9.84375" bestFit="1" customWidth="1"/>
    <col min="16" max="16" width="3.765625" bestFit="1" customWidth="1"/>
    <col min="17" max="17" width="4.53515625" bestFit="1" customWidth="1"/>
    <col min="18" max="18" width="3.07421875" bestFit="1" customWidth="1"/>
    <col min="19" max="19" width="3.69140625" bestFit="1" customWidth="1"/>
    <col min="20" max="20" width="3.15234375" bestFit="1" customWidth="1"/>
    <col min="21" max="21" width="3.3046875" bestFit="1" customWidth="1"/>
    <col min="22" max="22" width="6.61328125" bestFit="1" customWidth="1"/>
    <col min="23" max="23" width="10.69140625" bestFit="1" customWidth="1"/>
  </cols>
  <sheetData>
    <row r="1" spans="1:9" x14ac:dyDescent="0.4">
      <c r="A1" t="s">
        <v>2</v>
      </c>
      <c r="B1" t="s">
        <v>2561</v>
      </c>
      <c r="C1" t="s">
        <v>3</v>
      </c>
      <c r="D1" t="s">
        <v>2613</v>
      </c>
      <c r="E1" t="s">
        <v>2560</v>
      </c>
      <c r="F1" t="s">
        <v>2559</v>
      </c>
      <c r="G1" t="s">
        <v>5</v>
      </c>
      <c r="H1" t="s">
        <v>2628</v>
      </c>
      <c r="I1" t="s">
        <v>2618</v>
      </c>
    </row>
    <row r="2" spans="1:9" x14ac:dyDescent="0.4">
      <c r="A2" t="s">
        <v>28</v>
      </c>
      <c r="B2" t="str">
        <f t="shared" ref="B2:B65" si="0">_xlfn.CONCAT(A2,".bam")</f>
        <v>SYST-MOR-0007129.bam</v>
      </c>
      <c r="C2" t="s">
        <v>29</v>
      </c>
      <c r="D2" t="s">
        <v>2405</v>
      </c>
      <c r="E2" t="s">
        <v>2401</v>
      </c>
      <c r="F2" t="s">
        <v>2488</v>
      </c>
      <c r="G2" t="s">
        <v>30</v>
      </c>
      <c r="H2" t="str">
        <f>IF(ISERROR(FIND("x",LEFT(G2,LEN(G2)-7),1)),RIGHT(LEFT(G2,11),3),G2)</f>
        <v>lyr</v>
      </c>
      <c r="I2">
        <v>1</v>
      </c>
    </row>
    <row r="3" spans="1:9" x14ac:dyDescent="0.4">
      <c r="A3" t="s">
        <v>43</v>
      </c>
      <c r="B3" t="str">
        <f t="shared" si="0"/>
        <v>SYST-MOR-0007130.bam</v>
      </c>
      <c r="C3" t="s">
        <v>44</v>
      </c>
      <c r="D3" t="s">
        <v>2405</v>
      </c>
      <c r="E3" t="s">
        <v>2401</v>
      </c>
      <c r="F3" t="s">
        <v>2488</v>
      </c>
      <c r="G3" t="s">
        <v>45</v>
      </c>
      <c r="H3" t="str">
        <f t="shared" ref="H3:H66" si="1">IF(ISERROR(FIND("x",LEFT(G3,LEN(G3)-7),1)),RIGHT(LEFT(G3,11),3),G3)</f>
        <v>mac</v>
      </c>
      <c r="I3">
        <v>1</v>
      </c>
    </row>
    <row r="4" spans="1:9" x14ac:dyDescent="0.4">
      <c r="A4" t="s">
        <v>48</v>
      </c>
      <c r="B4" t="str">
        <f t="shared" si="0"/>
        <v>SYST-MOR-0007131.bam</v>
      </c>
      <c r="C4" t="s">
        <v>49</v>
      </c>
      <c r="D4" t="s">
        <v>2405</v>
      </c>
      <c r="E4" t="s">
        <v>2401</v>
      </c>
      <c r="F4" t="s">
        <v>2488</v>
      </c>
      <c r="G4" t="s">
        <v>50</v>
      </c>
      <c r="H4" t="str">
        <f t="shared" si="1"/>
        <v>ste</v>
      </c>
      <c r="I4">
        <v>1</v>
      </c>
    </row>
    <row r="5" spans="1:9" x14ac:dyDescent="0.4">
      <c r="A5" t="s">
        <v>53</v>
      </c>
      <c r="B5" t="str">
        <f t="shared" si="0"/>
        <v>SYST-MOR-0007132.bam</v>
      </c>
      <c r="C5" t="s">
        <v>54</v>
      </c>
      <c r="D5" t="s">
        <v>2405</v>
      </c>
      <c r="E5" t="s">
        <v>2401</v>
      </c>
      <c r="F5" t="s">
        <v>2488</v>
      </c>
      <c r="G5" t="s">
        <v>45</v>
      </c>
      <c r="H5" t="str">
        <f t="shared" si="1"/>
        <v>mac</v>
      </c>
      <c r="I5">
        <v>1</v>
      </c>
    </row>
    <row r="6" spans="1:9" x14ac:dyDescent="0.4">
      <c r="A6" t="s">
        <v>56</v>
      </c>
      <c r="B6" t="str">
        <f t="shared" si="0"/>
        <v>SYST-MOR-0007133.bam</v>
      </c>
      <c r="C6" t="s">
        <v>57</v>
      </c>
      <c r="D6" t="s">
        <v>2405</v>
      </c>
      <c r="E6" t="s">
        <v>2401</v>
      </c>
      <c r="F6" t="s">
        <v>2488</v>
      </c>
      <c r="G6" t="s">
        <v>50</v>
      </c>
      <c r="H6" t="str">
        <f t="shared" si="1"/>
        <v>ste</v>
      </c>
      <c r="I6">
        <v>1</v>
      </c>
    </row>
    <row r="7" spans="1:9" x14ac:dyDescent="0.4">
      <c r="A7" t="s">
        <v>59</v>
      </c>
      <c r="B7" t="str">
        <f t="shared" si="0"/>
        <v>SYST-MOR-0007134.bam</v>
      </c>
      <c r="C7" t="s">
        <v>60</v>
      </c>
      <c r="D7" t="s">
        <v>2405</v>
      </c>
      <c r="E7" t="s">
        <v>2401</v>
      </c>
      <c r="F7" t="s">
        <v>2488</v>
      </c>
      <c r="G7" t="s">
        <v>30</v>
      </c>
      <c r="H7" t="str">
        <f t="shared" si="1"/>
        <v>lyr</v>
      </c>
      <c r="I7">
        <v>1</v>
      </c>
    </row>
    <row r="8" spans="1:9" x14ac:dyDescent="0.4">
      <c r="A8" t="s">
        <v>62</v>
      </c>
      <c r="B8" t="str">
        <f t="shared" si="0"/>
        <v>SYST-MOR-0007135.bam</v>
      </c>
      <c r="C8" t="s">
        <v>63</v>
      </c>
      <c r="D8" t="s">
        <v>2405</v>
      </c>
      <c r="E8" t="s">
        <v>2401</v>
      </c>
      <c r="F8" t="s">
        <v>2488</v>
      </c>
      <c r="G8" t="s">
        <v>64</v>
      </c>
      <c r="H8" t="str">
        <f t="shared" si="1"/>
        <v>alb</v>
      </c>
      <c r="I8">
        <v>1</v>
      </c>
    </row>
    <row r="9" spans="1:9" x14ac:dyDescent="0.4">
      <c r="A9" t="s">
        <v>67</v>
      </c>
      <c r="B9" t="str">
        <f t="shared" si="0"/>
        <v>SYST-MOR-0007136.bam</v>
      </c>
      <c r="C9" t="s">
        <v>68</v>
      </c>
      <c r="D9" t="s">
        <v>2405</v>
      </c>
      <c r="E9" t="s">
        <v>2401</v>
      </c>
      <c r="F9" t="s">
        <v>2488</v>
      </c>
      <c r="G9" t="s">
        <v>50</v>
      </c>
      <c r="H9" t="str">
        <f t="shared" si="1"/>
        <v>ste</v>
      </c>
      <c r="I9">
        <v>1</v>
      </c>
    </row>
    <row r="10" spans="1:9" x14ac:dyDescent="0.4">
      <c r="A10" t="s">
        <v>70</v>
      </c>
      <c r="B10" t="str">
        <f t="shared" si="0"/>
        <v>SYST-MOR-0007137.bam</v>
      </c>
      <c r="C10" t="s">
        <v>71</v>
      </c>
      <c r="D10" t="s">
        <v>2405</v>
      </c>
      <c r="E10" t="s">
        <v>2401</v>
      </c>
      <c r="F10" t="s">
        <v>2488</v>
      </c>
      <c r="G10" t="s">
        <v>45</v>
      </c>
      <c r="H10" t="str">
        <f t="shared" si="1"/>
        <v>mac</v>
      </c>
      <c r="I10">
        <v>1</v>
      </c>
    </row>
    <row r="11" spans="1:9" x14ac:dyDescent="0.4">
      <c r="A11" t="s">
        <v>73</v>
      </c>
      <c r="B11" t="str">
        <f t="shared" si="0"/>
        <v>SYST-MOR-0007138.bam</v>
      </c>
      <c r="C11" t="s">
        <v>74</v>
      </c>
      <c r="D11" t="s">
        <v>2405</v>
      </c>
      <c r="E11" t="s">
        <v>2401</v>
      </c>
      <c r="F11" t="s">
        <v>2488</v>
      </c>
      <c r="G11" t="s">
        <v>30</v>
      </c>
      <c r="H11" t="str">
        <f t="shared" si="1"/>
        <v>lyr</v>
      </c>
      <c r="I11">
        <v>1</v>
      </c>
    </row>
    <row r="12" spans="1:9" x14ac:dyDescent="0.4">
      <c r="A12" t="s">
        <v>76</v>
      </c>
      <c r="B12" t="str">
        <f t="shared" si="0"/>
        <v>SYST-MOR-0007139.bam</v>
      </c>
      <c r="C12" t="s">
        <v>77</v>
      </c>
      <c r="D12" t="s">
        <v>2405</v>
      </c>
      <c r="E12" t="s">
        <v>2401</v>
      </c>
      <c r="F12" t="s">
        <v>2488</v>
      </c>
      <c r="G12" t="s">
        <v>50</v>
      </c>
      <c r="H12" t="str">
        <f t="shared" si="1"/>
        <v>ste</v>
      </c>
      <c r="I12">
        <v>1</v>
      </c>
    </row>
    <row r="13" spans="1:9" x14ac:dyDescent="0.4">
      <c r="A13" t="s">
        <v>79</v>
      </c>
      <c r="B13" t="str">
        <f t="shared" si="0"/>
        <v>SYST-MOR-0007140.bam</v>
      </c>
      <c r="C13" t="s">
        <v>80</v>
      </c>
      <c r="D13" t="s">
        <v>2405</v>
      </c>
      <c r="E13" t="s">
        <v>2401</v>
      </c>
      <c r="F13" t="s">
        <v>2488</v>
      </c>
      <c r="G13" t="s">
        <v>64</v>
      </c>
      <c r="H13" t="str">
        <f t="shared" si="1"/>
        <v>alb</v>
      </c>
      <c r="I13">
        <v>1</v>
      </c>
    </row>
    <row r="14" spans="1:9" x14ac:dyDescent="0.4">
      <c r="A14" t="s">
        <v>82</v>
      </c>
      <c r="B14" t="str">
        <f t="shared" si="0"/>
        <v>SYST-MOR-0007141.bam</v>
      </c>
      <c r="C14" t="s">
        <v>83</v>
      </c>
      <c r="D14" t="s">
        <v>2405</v>
      </c>
      <c r="E14" t="s">
        <v>2401</v>
      </c>
      <c r="F14" t="s">
        <v>2488</v>
      </c>
      <c r="G14" t="s">
        <v>84</v>
      </c>
      <c r="H14" t="str">
        <f t="shared" si="1"/>
        <v>mue</v>
      </c>
      <c r="I14">
        <v>1</v>
      </c>
    </row>
    <row r="15" spans="1:9" x14ac:dyDescent="0.4">
      <c r="A15" t="s">
        <v>87</v>
      </c>
      <c r="B15" t="str">
        <f t="shared" si="0"/>
        <v>SYST-MOR-0007142.bam</v>
      </c>
      <c r="C15" t="s">
        <v>88</v>
      </c>
      <c r="D15" t="s">
        <v>2405</v>
      </c>
      <c r="E15" t="s">
        <v>2401</v>
      </c>
      <c r="F15" t="s">
        <v>2488</v>
      </c>
      <c r="G15" t="s">
        <v>84</v>
      </c>
      <c r="H15" t="str">
        <f t="shared" si="1"/>
        <v>mue</v>
      </c>
      <c r="I15">
        <v>1</v>
      </c>
    </row>
    <row r="16" spans="1:9" x14ac:dyDescent="0.4">
      <c r="A16" t="s">
        <v>90</v>
      </c>
      <c r="B16" t="str">
        <f t="shared" si="0"/>
        <v>SYST-MOR-0007143.bam</v>
      </c>
      <c r="C16" t="s">
        <v>91</v>
      </c>
      <c r="D16" t="s">
        <v>2405</v>
      </c>
      <c r="E16" t="s">
        <v>2401</v>
      </c>
      <c r="F16" t="s">
        <v>2488</v>
      </c>
      <c r="G16" t="s">
        <v>45</v>
      </c>
      <c r="H16" t="str">
        <f t="shared" si="1"/>
        <v>mac</v>
      </c>
      <c r="I16">
        <v>1</v>
      </c>
    </row>
    <row r="17" spans="1:9" x14ac:dyDescent="0.4">
      <c r="A17" t="s">
        <v>93</v>
      </c>
      <c r="B17" t="str">
        <f t="shared" si="0"/>
        <v>SYST-MOR-0007144.bam</v>
      </c>
      <c r="C17" t="s">
        <v>94</v>
      </c>
      <c r="D17" t="s">
        <v>2405</v>
      </c>
      <c r="E17" t="s">
        <v>2401</v>
      </c>
      <c r="F17" t="s">
        <v>2488</v>
      </c>
      <c r="G17" t="s">
        <v>64</v>
      </c>
      <c r="H17" t="str">
        <f t="shared" si="1"/>
        <v>alb</v>
      </c>
      <c r="I17">
        <v>1</v>
      </c>
    </row>
    <row r="18" spans="1:9" x14ac:dyDescent="0.4">
      <c r="A18" t="s">
        <v>96</v>
      </c>
      <c r="B18" t="str">
        <f t="shared" si="0"/>
        <v>SYST-MOR-0007145.bam</v>
      </c>
      <c r="C18" t="s">
        <v>97</v>
      </c>
      <c r="D18" t="s">
        <v>2405</v>
      </c>
      <c r="E18" t="s">
        <v>2401</v>
      </c>
      <c r="F18" t="s">
        <v>2488</v>
      </c>
      <c r="G18" t="s">
        <v>50</v>
      </c>
      <c r="H18" t="str">
        <f t="shared" si="1"/>
        <v>ste</v>
      </c>
      <c r="I18">
        <v>1</v>
      </c>
    </row>
    <row r="19" spans="1:9" x14ac:dyDescent="0.4">
      <c r="A19" t="s">
        <v>99</v>
      </c>
      <c r="B19" t="str">
        <f t="shared" si="0"/>
        <v>SYST-MOR-0007146.bam</v>
      </c>
      <c r="C19" t="s">
        <v>100</v>
      </c>
      <c r="D19" t="s">
        <v>2405</v>
      </c>
      <c r="E19" t="s">
        <v>2401</v>
      </c>
      <c r="F19" t="s">
        <v>2488</v>
      </c>
      <c r="G19" t="s">
        <v>45</v>
      </c>
      <c r="H19" t="str">
        <f t="shared" si="1"/>
        <v>mac</v>
      </c>
      <c r="I19">
        <v>1</v>
      </c>
    </row>
    <row r="20" spans="1:9" x14ac:dyDescent="0.4">
      <c r="A20" t="s">
        <v>102</v>
      </c>
      <c r="B20" t="str">
        <f t="shared" si="0"/>
        <v>SYST-MOR-0007147.bam</v>
      </c>
      <c r="C20" t="s">
        <v>103</v>
      </c>
      <c r="D20" t="s">
        <v>2405</v>
      </c>
      <c r="E20" t="s">
        <v>2401</v>
      </c>
      <c r="F20" t="s">
        <v>2488</v>
      </c>
      <c r="G20" t="s">
        <v>30</v>
      </c>
      <c r="H20" t="str">
        <f t="shared" si="1"/>
        <v>lyr</v>
      </c>
      <c r="I20">
        <v>1</v>
      </c>
    </row>
    <row r="21" spans="1:9" x14ac:dyDescent="0.4">
      <c r="A21" t="s">
        <v>105</v>
      </c>
      <c r="B21" t="str">
        <f t="shared" si="0"/>
        <v>SYST-MOR-0007148.bam</v>
      </c>
      <c r="C21" t="s">
        <v>106</v>
      </c>
      <c r="D21" t="s">
        <v>2405</v>
      </c>
      <c r="E21" t="s">
        <v>2401</v>
      </c>
      <c r="F21" t="s">
        <v>2488</v>
      </c>
      <c r="G21" t="s">
        <v>64</v>
      </c>
      <c r="H21" t="str">
        <f t="shared" si="1"/>
        <v>alb</v>
      </c>
      <c r="I21">
        <v>1</v>
      </c>
    </row>
    <row r="22" spans="1:9" x14ac:dyDescent="0.4">
      <c r="A22" t="s">
        <v>108</v>
      </c>
      <c r="B22" t="str">
        <f t="shared" si="0"/>
        <v>SYST-MOR-0007149.bam</v>
      </c>
      <c r="C22" t="s">
        <v>109</v>
      </c>
      <c r="D22" t="s">
        <v>2405</v>
      </c>
      <c r="E22" t="s">
        <v>2401</v>
      </c>
      <c r="F22" t="s">
        <v>2488</v>
      </c>
      <c r="G22" t="s">
        <v>64</v>
      </c>
      <c r="H22" t="str">
        <f t="shared" si="1"/>
        <v>alb</v>
      </c>
      <c r="I22">
        <v>1</v>
      </c>
    </row>
    <row r="23" spans="1:9" x14ac:dyDescent="0.4">
      <c r="A23" t="s">
        <v>111</v>
      </c>
      <c r="B23" t="str">
        <f t="shared" si="0"/>
        <v>SYST-MOR-0006778.bam</v>
      </c>
      <c r="C23" t="s">
        <v>112</v>
      </c>
      <c r="D23" t="s">
        <v>2406</v>
      </c>
      <c r="E23" t="s">
        <v>2402</v>
      </c>
      <c r="F23" t="s">
        <v>2489</v>
      </c>
      <c r="G23" t="s">
        <v>45</v>
      </c>
      <c r="H23" t="str">
        <f t="shared" si="1"/>
        <v>mac</v>
      </c>
      <c r="I23">
        <v>1</v>
      </c>
    </row>
    <row r="24" spans="1:9" x14ac:dyDescent="0.4">
      <c r="A24" t="s">
        <v>120</v>
      </c>
      <c r="B24" t="str">
        <f t="shared" si="0"/>
        <v>SYST-MOR-0006779.bam</v>
      </c>
      <c r="C24" t="s">
        <v>121</v>
      </c>
      <c r="D24" t="s">
        <v>2406</v>
      </c>
      <c r="E24" t="s">
        <v>2402</v>
      </c>
      <c r="F24" t="s">
        <v>2489</v>
      </c>
      <c r="G24" t="s">
        <v>45</v>
      </c>
      <c r="H24" t="str">
        <f t="shared" si="1"/>
        <v>mac</v>
      </c>
      <c r="I24">
        <v>1</v>
      </c>
    </row>
    <row r="25" spans="1:9" x14ac:dyDescent="0.4">
      <c r="A25" t="s">
        <v>123</v>
      </c>
      <c r="B25" t="str">
        <f t="shared" si="0"/>
        <v>SYST-MOR-0006780.bam</v>
      </c>
      <c r="C25" t="s">
        <v>124</v>
      </c>
      <c r="D25" t="s">
        <v>2406</v>
      </c>
      <c r="E25" t="s">
        <v>2402</v>
      </c>
      <c r="F25" t="s">
        <v>2489</v>
      </c>
      <c r="G25" t="s">
        <v>45</v>
      </c>
      <c r="H25" t="str">
        <f t="shared" si="1"/>
        <v>mac</v>
      </c>
      <c r="I25">
        <v>1</v>
      </c>
    </row>
    <row r="26" spans="1:9" x14ac:dyDescent="0.4">
      <c r="A26" t="s">
        <v>126</v>
      </c>
      <c r="B26" t="str">
        <f t="shared" si="0"/>
        <v>SYST-MOR-0006781.bam</v>
      </c>
      <c r="C26" t="s">
        <v>127</v>
      </c>
      <c r="D26" t="s">
        <v>2406</v>
      </c>
      <c r="E26" t="s">
        <v>2402</v>
      </c>
      <c r="F26" t="s">
        <v>2489</v>
      </c>
      <c r="G26" t="s">
        <v>45</v>
      </c>
      <c r="H26" t="str">
        <f t="shared" si="1"/>
        <v>mac</v>
      </c>
      <c r="I26">
        <v>1</v>
      </c>
    </row>
    <row r="27" spans="1:9" x14ac:dyDescent="0.4">
      <c r="A27" t="s">
        <v>129</v>
      </c>
      <c r="B27" t="str">
        <f t="shared" si="0"/>
        <v>SYST-MOR-0006782.bam</v>
      </c>
      <c r="C27" t="s">
        <v>130</v>
      </c>
      <c r="D27" t="s">
        <v>2406</v>
      </c>
      <c r="E27" t="s">
        <v>2402</v>
      </c>
      <c r="F27" t="s">
        <v>2489</v>
      </c>
      <c r="G27" t="s">
        <v>45</v>
      </c>
      <c r="H27" t="str">
        <f t="shared" si="1"/>
        <v>mac</v>
      </c>
      <c r="I27">
        <v>1</v>
      </c>
    </row>
    <row r="28" spans="1:9" x14ac:dyDescent="0.4">
      <c r="A28" t="s">
        <v>132</v>
      </c>
      <c r="B28" t="str">
        <f t="shared" si="0"/>
        <v>SYST-MOR-0006798.bam</v>
      </c>
      <c r="C28" t="s">
        <v>133</v>
      </c>
      <c r="D28" t="s">
        <v>2406</v>
      </c>
      <c r="E28" t="s">
        <v>2403</v>
      </c>
      <c r="F28" t="s">
        <v>2490</v>
      </c>
      <c r="G28" t="s">
        <v>45</v>
      </c>
      <c r="H28" t="str">
        <f t="shared" si="1"/>
        <v>mac</v>
      </c>
      <c r="I28">
        <v>1</v>
      </c>
    </row>
    <row r="29" spans="1:9" x14ac:dyDescent="0.4">
      <c r="A29" t="s">
        <v>137</v>
      </c>
      <c r="B29" t="str">
        <f t="shared" si="0"/>
        <v>SYST-MOR-0006799.bam</v>
      </c>
      <c r="C29" t="s">
        <v>138</v>
      </c>
      <c r="D29" t="s">
        <v>2406</v>
      </c>
      <c r="E29" t="s">
        <v>2403</v>
      </c>
      <c r="F29" t="s">
        <v>2490</v>
      </c>
      <c r="G29" t="s">
        <v>45</v>
      </c>
      <c r="H29" t="str">
        <f t="shared" si="1"/>
        <v>mac</v>
      </c>
      <c r="I29">
        <v>1</v>
      </c>
    </row>
    <row r="30" spans="1:9" x14ac:dyDescent="0.4">
      <c r="A30" t="s">
        <v>141</v>
      </c>
      <c r="B30" t="str">
        <f t="shared" si="0"/>
        <v>SYST-MOR-0006800.bam</v>
      </c>
      <c r="C30" t="s">
        <v>142</v>
      </c>
      <c r="D30" t="s">
        <v>2406</v>
      </c>
      <c r="E30" t="s">
        <v>2403</v>
      </c>
      <c r="F30" t="s">
        <v>2490</v>
      </c>
      <c r="G30" t="s">
        <v>143</v>
      </c>
      <c r="H30" t="str">
        <f t="shared" si="1"/>
        <v>bic</v>
      </c>
      <c r="I30">
        <v>1</v>
      </c>
    </row>
    <row r="31" spans="1:9" x14ac:dyDescent="0.4">
      <c r="A31" t="s">
        <v>147</v>
      </c>
      <c r="B31" t="str">
        <f t="shared" si="0"/>
        <v>SYST-MOR-0006801.bam</v>
      </c>
      <c r="C31" t="s">
        <v>148</v>
      </c>
      <c r="D31" t="s">
        <v>2406</v>
      </c>
      <c r="E31" t="s">
        <v>2403</v>
      </c>
      <c r="F31" t="s">
        <v>2490</v>
      </c>
      <c r="G31" t="s">
        <v>45</v>
      </c>
      <c r="H31" t="str">
        <f t="shared" si="1"/>
        <v>mac</v>
      </c>
      <c r="I31">
        <v>1</v>
      </c>
    </row>
    <row r="32" spans="1:9" x14ac:dyDescent="0.4">
      <c r="A32" t="s">
        <v>150</v>
      </c>
      <c r="B32" t="str">
        <f t="shared" si="0"/>
        <v>SYST-MOR-0006802.bam</v>
      </c>
      <c r="C32" t="s">
        <v>151</v>
      </c>
      <c r="D32" t="s">
        <v>2406</v>
      </c>
      <c r="E32" t="s">
        <v>2403</v>
      </c>
      <c r="F32" t="s">
        <v>2490</v>
      </c>
      <c r="G32" t="s">
        <v>45</v>
      </c>
      <c r="H32" t="str">
        <f t="shared" si="1"/>
        <v>mac</v>
      </c>
      <c r="I32">
        <v>1</v>
      </c>
    </row>
    <row r="33" spans="1:9" x14ac:dyDescent="0.4">
      <c r="A33" t="s">
        <v>153</v>
      </c>
      <c r="B33" t="str">
        <f t="shared" si="0"/>
        <v>SYST-MOR-0006783.bam</v>
      </c>
      <c r="C33" t="s">
        <v>154</v>
      </c>
      <c r="D33" t="s">
        <v>2406</v>
      </c>
      <c r="E33" t="s">
        <v>2404</v>
      </c>
      <c r="F33" t="s">
        <v>2491</v>
      </c>
      <c r="G33" t="s">
        <v>64</v>
      </c>
      <c r="H33" t="str">
        <f t="shared" si="1"/>
        <v>alb</v>
      </c>
      <c r="I33">
        <v>1</v>
      </c>
    </row>
    <row r="34" spans="1:9" x14ac:dyDescent="0.4">
      <c r="A34" t="s">
        <v>159</v>
      </c>
      <c r="B34" t="str">
        <f t="shared" si="0"/>
        <v>SYST-MOR-0006784.bam</v>
      </c>
      <c r="C34" t="s">
        <v>160</v>
      </c>
      <c r="D34" t="s">
        <v>2406</v>
      </c>
      <c r="E34" t="s">
        <v>2404</v>
      </c>
      <c r="F34" t="s">
        <v>2491</v>
      </c>
      <c r="G34" t="s">
        <v>64</v>
      </c>
      <c r="H34" t="str">
        <f t="shared" si="1"/>
        <v>alb</v>
      </c>
      <c r="I34">
        <v>1</v>
      </c>
    </row>
    <row r="35" spans="1:9" x14ac:dyDescent="0.4">
      <c r="A35" t="s">
        <v>162</v>
      </c>
      <c r="B35" t="str">
        <f t="shared" si="0"/>
        <v>SYST-MOR-0006785.bam</v>
      </c>
      <c r="C35" t="s">
        <v>163</v>
      </c>
      <c r="D35" t="s">
        <v>2406</v>
      </c>
      <c r="E35" t="s">
        <v>2404</v>
      </c>
      <c r="F35" t="s">
        <v>2491</v>
      </c>
      <c r="G35" t="s">
        <v>64</v>
      </c>
      <c r="H35" t="str">
        <f t="shared" si="1"/>
        <v>alb</v>
      </c>
      <c r="I35">
        <v>1</v>
      </c>
    </row>
    <row r="36" spans="1:9" x14ac:dyDescent="0.4">
      <c r="A36" t="s">
        <v>165</v>
      </c>
      <c r="B36" t="str">
        <f t="shared" si="0"/>
        <v>SYST-MOR-0006786.bam</v>
      </c>
      <c r="C36" t="s">
        <v>166</v>
      </c>
      <c r="D36" t="s">
        <v>2406</v>
      </c>
      <c r="E36" t="s">
        <v>2404</v>
      </c>
      <c r="F36" t="s">
        <v>2491</v>
      </c>
      <c r="G36" t="s">
        <v>64</v>
      </c>
      <c r="H36" t="str">
        <f t="shared" si="1"/>
        <v>alb</v>
      </c>
      <c r="I36">
        <v>1</v>
      </c>
    </row>
    <row r="37" spans="1:9" x14ac:dyDescent="0.4">
      <c r="A37" t="s">
        <v>168</v>
      </c>
      <c r="B37" t="str">
        <f t="shared" si="0"/>
        <v>SYST-MOR-0006787.bam</v>
      </c>
      <c r="C37" t="s">
        <v>169</v>
      </c>
      <c r="D37" t="s">
        <v>2406</v>
      </c>
      <c r="E37" t="s">
        <v>2404</v>
      </c>
      <c r="F37" t="s">
        <v>2491</v>
      </c>
      <c r="G37" t="s">
        <v>84</v>
      </c>
      <c r="H37" t="str">
        <f t="shared" si="1"/>
        <v>mue</v>
      </c>
      <c r="I37">
        <v>1</v>
      </c>
    </row>
    <row r="38" spans="1:9" x14ac:dyDescent="0.4">
      <c r="A38" t="s">
        <v>171</v>
      </c>
      <c r="B38" t="str">
        <f t="shared" si="0"/>
        <v>SYST-MOR-0006788.bam</v>
      </c>
      <c r="C38" t="s">
        <v>172</v>
      </c>
      <c r="D38" t="s">
        <v>2406</v>
      </c>
      <c r="E38" t="s">
        <v>2404</v>
      </c>
      <c r="F38" t="s">
        <v>2491</v>
      </c>
      <c r="G38" t="s">
        <v>84</v>
      </c>
      <c r="H38" t="str">
        <f t="shared" si="1"/>
        <v>mue</v>
      </c>
      <c r="I38">
        <v>1</v>
      </c>
    </row>
    <row r="39" spans="1:9" x14ac:dyDescent="0.4">
      <c r="A39" t="s">
        <v>174</v>
      </c>
      <c r="B39" t="str">
        <f t="shared" si="0"/>
        <v>SYST-MOR-0006789.bam</v>
      </c>
      <c r="C39" t="s">
        <v>175</v>
      </c>
      <c r="D39" t="s">
        <v>2406</v>
      </c>
      <c r="E39" t="s">
        <v>2404</v>
      </c>
      <c r="F39" t="s">
        <v>2491</v>
      </c>
      <c r="G39" t="s">
        <v>84</v>
      </c>
      <c r="H39" t="str">
        <f t="shared" si="1"/>
        <v>mue</v>
      </c>
      <c r="I39">
        <v>1</v>
      </c>
    </row>
    <row r="40" spans="1:9" x14ac:dyDescent="0.4">
      <c r="A40" t="s">
        <v>177</v>
      </c>
      <c r="B40" t="str">
        <f t="shared" si="0"/>
        <v>SYST-MOR-0006790.bam</v>
      </c>
      <c r="C40" t="s">
        <v>178</v>
      </c>
      <c r="D40" t="s">
        <v>2406</v>
      </c>
      <c r="E40" t="s">
        <v>2404</v>
      </c>
      <c r="F40" t="s">
        <v>2491</v>
      </c>
      <c r="G40" t="s">
        <v>84</v>
      </c>
      <c r="H40" t="str">
        <f t="shared" si="1"/>
        <v>mue</v>
      </c>
      <c r="I40">
        <v>1</v>
      </c>
    </row>
    <row r="41" spans="1:9" x14ac:dyDescent="0.4">
      <c r="A41" t="s">
        <v>180</v>
      </c>
      <c r="B41" t="str">
        <f t="shared" si="0"/>
        <v>SYST-MOR-0006791.bam</v>
      </c>
      <c r="C41" t="s">
        <v>181</v>
      </c>
      <c r="D41" t="s">
        <v>2406</v>
      </c>
      <c r="E41" t="s">
        <v>2404</v>
      </c>
      <c r="F41" t="s">
        <v>2491</v>
      </c>
      <c r="G41" t="s">
        <v>45</v>
      </c>
      <c r="H41" t="str">
        <f t="shared" si="1"/>
        <v>mac</v>
      </c>
      <c r="I41">
        <v>1</v>
      </c>
    </row>
    <row r="42" spans="1:9" x14ac:dyDescent="0.4">
      <c r="A42" t="s">
        <v>183</v>
      </c>
      <c r="B42" t="str">
        <f t="shared" si="0"/>
        <v>SYST-MOR-0006792.bam</v>
      </c>
      <c r="C42" t="s">
        <v>184</v>
      </c>
      <c r="D42" t="s">
        <v>2406</v>
      </c>
      <c r="E42" t="s">
        <v>2404</v>
      </c>
      <c r="F42" t="s">
        <v>2491</v>
      </c>
      <c r="G42" t="s">
        <v>45</v>
      </c>
      <c r="H42" t="str">
        <f t="shared" si="1"/>
        <v>mac</v>
      </c>
      <c r="I42">
        <v>1</v>
      </c>
    </row>
    <row r="43" spans="1:9" x14ac:dyDescent="0.4">
      <c r="A43" t="s">
        <v>186</v>
      </c>
      <c r="B43" t="str">
        <f t="shared" si="0"/>
        <v>SYST-MOR-0006793.bam</v>
      </c>
      <c r="C43" t="s">
        <v>187</v>
      </c>
      <c r="D43" t="s">
        <v>2406</v>
      </c>
      <c r="E43" t="s">
        <v>2404</v>
      </c>
      <c r="F43" t="s">
        <v>2491</v>
      </c>
      <c r="G43" t="s">
        <v>64</v>
      </c>
      <c r="H43" t="str">
        <f t="shared" si="1"/>
        <v>alb</v>
      </c>
      <c r="I43">
        <v>1</v>
      </c>
    </row>
    <row r="44" spans="1:9" x14ac:dyDescent="0.4">
      <c r="A44" t="s">
        <v>189</v>
      </c>
      <c r="B44" t="str">
        <f t="shared" si="0"/>
        <v>SYST-MOR-0006794.bam</v>
      </c>
      <c r="C44" t="s">
        <v>190</v>
      </c>
      <c r="D44" t="s">
        <v>2406</v>
      </c>
      <c r="E44" t="s">
        <v>2404</v>
      </c>
      <c r="F44" t="s">
        <v>2491</v>
      </c>
      <c r="G44" t="s">
        <v>84</v>
      </c>
      <c r="H44" t="str">
        <f t="shared" si="1"/>
        <v>mue</v>
      </c>
      <c r="I44">
        <v>1</v>
      </c>
    </row>
    <row r="45" spans="1:9" x14ac:dyDescent="0.4">
      <c r="A45" t="s">
        <v>192</v>
      </c>
      <c r="B45" t="str">
        <f t="shared" si="0"/>
        <v>SYST-MOR-0006795.bam</v>
      </c>
      <c r="C45" t="s">
        <v>193</v>
      </c>
      <c r="D45" t="s">
        <v>2406</v>
      </c>
      <c r="E45" t="s">
        <v>2404</v>
      </c>
      <c r="F45" t="s">
        <v>2491</v>
      </c>
      <c r="G45" t="s">
        <v>84</v>
      </c>
      <c r="H45" t="str">
        <f t="shared" si="1"/>
        <v>mue</v>
      </c>
      <c r="I45">
        <v>1</v>
      </c>
    </row>
    <row r="46" spans="1:9" x14ac:dyDescent="0.4">
      <c r="A46" t="s">
        <v>195</v>
      </c>
      <c r="B46" t="str">
        <f t="shared" si="0"/>
        <v>SYST-MOR-0006796.bam</v>
      </c>
      <c r="C46" t="s">
        <v>196</v>
      </c>
      <c r="D46" t="s">
        <v>2406</v>
      </c>
      <c r="E46" t="s">
        <v>2404</v>
      </c>
      <c r="F46" t="s">
        <v>2491</v>
      </c>
      <c r="G46" t="s">
        <v>143</v>
      </c>
      <c r="H46" t="str">
        <f t="shared" si="1"/>
        <v>bic</v>
      </c>
      <c r="I46">
        <v>1</v>
      </c>
    </row>
    <row r="47" spans="1:9" x14ac:dyDescent="0.4">
      <c r="A47" t="s">
        <v>198</v>
      </c>
      <c r="B47" t="str">
        <f t="shared" si="0"/>
        <v>SYST-MOR-0006797.bam</v>
      </c>
      <c r="C47" t="s">
        <v>199</v>
      </c>
      <c r="D47" t="s">
        <v>2406</v>
      </c>
      <c r="E47" t="s">
        <v>2404</v>
      </c>
      <c r="F47" t="s">
        <v>2491</v>
      </c>
      <c r="G47" t="s">
        <v>143</v>
      </c>
      <c r="H47" t="str">
        <f t="shared" si="1"/>
        <v>bic</v>
      </c>
      <c r="I47">
        <v>1</v>
      </c>
    </row>
    <row r="48" spans="1:9" x14ac:dyDescent="0.4">
      <c r="A48" t="s">
        <v>201</v>
      </c>
      <c r="B48" t="str">
        <f t="shared" si="0"/>
        <v>SYST-MOR-0007241.bam</v>
      </c>
      <c r="C48" t="s">
        <v>202</v>
      </c>
      <c r="D48" t="s">
        <v>2407</v>
      </c>
      <c r="E48" t="s">
        <v>2408</v>
      </c>
      <c r="F48" t="s">
        <v>2492</v>
      </c>
      <c r="G48" t="s">
        <v>45</v>
      </c>
      <c r="H48" t="str">
        <f t="shared" si="1"/>
        <v>mac</v>
      </c>
      <c r="I48">
        <v>1</v>
      </c>
    </row>
    <row r="49" spans="1:9" x14ac:dyDescent="0.4">
      <c r="A49" t="s">
        <v>209</v>
      </c>
      <c r="B49" t="str">
        <f t="shared" si="0"/>
        <v>SYST-MOR-0007242.bam</v>
      </c>
      <c r="C49" t="s">
        <v>210</v>
      </c>
      <c r="D49" t="s">
        <v>2407</v>
      </c>
      <c r="E49" t="s">
        <v>2408</v>
      </c>
      <c r="F49" t="s">
        <v>2492</v>
      </c>
      <c r="G49" t="s">
        <v>45</v>
      </c>
      <c r="H49" t="str">
        <f t="shared" si="1"/>
        <v>mac</v>
      </c>
      <c r="I49">
        <v>1</v>
      </c>
    </row>
    <row r="50" spans="1:9" x14ac:dyDescent="0.4">
      <c r="A50" t="s">
        <v>212</v>
      </c>
      <c r="B50" t="str">
        <f t="shared" si="0"/>
        <v>SYST-MOR-0007243.bam</v>
      </c>
      <c r="C50" t="s">
        <v>213</v>
      </c>
      <c r="D50" t="s">
        <v>2407</v>
      </c>
      <c r="E50" t="s">
        <v>2408</v>
      </c>
      <c r="F50" t="s">
        <v>2492</v>
      </c>
      <c r="G50" t="s">
        <v>45</v>
      </c>
      <c r="H50" t="str">
        <f t="shared" si="1"/>
        <v>mac</v>
      </c>
      <c r="I50">
        <v>1</v>
      </c>
    </row>
    <row r="51" spans="1:9" x14ac:dyDescent="0.4">
      <c r="A51" t="s">
        <v>215</v>
      </c>
      <c r="B51" t="str">
        <f t="shared" si="0"/>
        <v>SYST-MOR-0007244.bam</v>
      </c>
      <c r="C51" t="s">
        <v>216</v>
      </c>
      <c r="D51" t="s">
        <v>2407</v>
      </c>
      <c r="E51" t="s">
        <v>2408</v>
      </c>
      <c r="F51" t="s">
        <v>2492</v>
      </c>
      <c r="G51" t="s">
        <v>64</v>
      </c>
      <c r="H51" t="str">
        <f t="shared" si="1"/>
        <v>alb</v>
      </c>
      <c r="I51">
        <v>1</v>
      </c>
    </row>
    <row r="52" spans="1:9" x14ac:dyDescent="0.4">
      <c r="A52" t="s">
        <v>218</v>
      </c>
      <c r="B52" t="str">
        <f t="shared" si="0"/>
        <v>SYST-MOR-0007245.bam</v>
      </c>
      <c r="C52" t="s">
        <v>219</v>
      </c>
      <c r="D52" t="s">
        <v>2407</v>
      </c>
      <c r="E52" t="s">
        <v>2408</v>
      </c>
      <c r="F52" t="s">
        <v>2492</v>
      </c>
      <c r="G52" t="s">
        <v>64</v>
      </c>
      <c r="H52" t="str">
        <f t="shared" si="1"/>
        <v>alb</v>
      </c>
      <c r="I52">
        <v>1</v>
      </c>
    </row>
    <row r="53" spans="1:9" x14ac:dyDescent="0.4">
      <c r="A53" t="s">
        <v>221</v>
      </c>
      <c r="B53" t="str">
        <f t="shared" si="0"/>
        <v>SYST-MOR-0007246.bam</v>
      </c>
      <c r="C53" t="s">
        <v>222</v>
      </c>
      <c r="D53" t="s">
        <v>2407</v>
      </c>
      <c r="E53" t="s">
        <v>2408</v>
      </c>
      <c r="F53" t="s">
        <v>2492</v>
      </c>
      <c r="G53" t="s">
        <v>45</v>
      </c>
      <c r="H53" t="str">
        <f t="shared" si="1"/>
        <v>mac</v>
      </c>
      <c r="I53">
        <v>1</v>
      </c>
    </row>
    <row r="54" spans="1:9" x14ac:dyDescent="0.4">
      <c r="A54" t="s">
        <v>224</v>
      </c>
      <c r="B54" t="str">
        <f t="shared" si="0"/>
        <v>SYST-MOR-0007247.bam</v>
      </c>
      <c r="C54" t="s">
        <v>225</v>
      </c>
      <c r="D54" t="s">
        <v>2407</v>
      </c>
      <c r="E54" t="s">
        <v>2408</v>
      </c>
      <c r="F54" t="s">
        <v>2492</v>
      </c>
      <c r="G54" t="s">
        <v>45</v>
      </c>
      <c r="H54" t="str">
        <f t="shared" si="1"/>
        <v>mac</v>
      </c>
      <c r="I54">
        <v>1</v>
      </c>
    </row>
    <row r="55" spans="1:9" x14ac:dyDescent="0.4">
      <c r="A55" t="s">
        <v>227</v>
      </c>
      <c r="B55" t="str">
        <f t="shared" si="0"/>
        <v>SYST-MOR-0007248.bam</v>
      </c>
      <c r="C55" t="s">
        <v>228</v>
      </c>
      <c r="D55" t="s">
        <v>2407</v>
      </c>
      <c r="E55" t="s">
        <v>2408</v>
      </c>
      <c r="F55" t="s">
        <v>2492</v>
      </c>
      <c r="G55" t="s">
        <v>64</v>
      </c>
      <c r="H55" t="str">
        <f t="shared" si="1"/>
        <v>alb</v>
      </c>
      <c r="I55">
        <v>1</v>
      </c>
    </row>
    <row r="56" spans="1:9" x14ac:dyDescent="0.4">
      <c r="A56" t="s">
        <v>230</v>
      </c>
      <c r="B56" t="str">
        <f t="shared" si="0"/>
        <v>SYST-MOR-0007249.bam</v>
      </c>
      <c r="C56" t="s">
        <v>231</v>
      </c>
      <c r="D56" t="s">
        <v>2407</v>
      </c>
      <c r="E56" t="s">
        <v>2408</v>
      </c>
      <c r="F56" t="s">
        <v>2492</v>
      </c>
      <c r="G56" t="s">
        <v>64</v>
      </c>
      <c r="H56" t="str">
        <f t="shared" si="1"/>
        <v>alb</v>
      </c>
      <c r="I56">
        <v>1</v>
      </c>
    </row>
    <row r="57" spans="1:9" x14ac:dyDescent="0.4">
      <c r="A57" t="s">
        <v>233</v>
      </c>
      <c r="B57" t="str">
        <f t="shared" si="0"/>
        <v>SYST-MOR-0007250.bam</v>
      </c>
      <c r="C57" t="s">
        <v>234</v>
      </c>
      <c r="D57" t="s">
        <v>2407</v>
      </c>
      <c r="E57" t="s">
        <v>2408</v>
      </c>
      <c r="F57" t="s">
        <v>2492</v>
      </c>
      <c r="G57" t="s">
        <v>64</v>
      </c>
      <c r="H57" t="str">
        <f t="shared" si="1"/>
        <v>alb</v>
      </c>
      <c r="I57">
        <v>1</v>
      </c>
    </row>
    <row r="58" spans="1:9" x14ac:dyDescent="0.4">
      <c r="A58" t="s">
        <v>236</v>
      </c>
      <c r="B58" t="str">
        <f t="shared" si="0"/>
        <v>SYST-MOR-0006717.bam</v>
      </c>
      <c r="C58" t="s">
        <v>237</v>
      </c>
      <c r="D58" t="s">
        <v>2407</v>
      </c>
      <c r="E58" t="s">
        <v>2409</v>
      </c>
      <c r="F58" t="s">
        <v>2493</v>
      </c>
      <c r="G58" t="s">
        <v>239</v>
      </c>
      <c r="H58" t="s">
        <v>2602</v>
      </c>
      <c r="I58">
        <v>1</v>
      </c>
    </row>
    <row r="59" spans="1:9" x14ac:dyDescent="0.4">
      <c r="A59" t="s">
        <v>246</v>
      </c>
      <c r="B59" t="str">
        <f t="shared" si="0"/>
        <v>SYST-MOR-0006718.bam</v>
      </c>
      <c r="C59" t="s">
        <v>247</v>
      </c>
      <c r="D59" t="s">
        <v>2407</v>
      </c>
      <c r="E59" t="s">
        <v>2409</v>
      </c>
      <c r="F59" t="s">
        <v>2493</v>
      </c>
      <c r="G59" t="s">
        <v>239</v>
      </c>
      <c r="H59" t="s">
        <v>2602</v>
      </c>
      <c r="I59">
        <v>1</v>
      </c>
    </row>
    <row r="60" spans="1:9" x14ac:dyDescent="0.4">
      <c r="A60" t="s">
        <v>250</v>
      </c>
      <c r="B60" t="str">
        <f t="shared" si="0"/>
        <v>SYST-MOR-0006719.bam</v>
      </c>
      <c r="C60" t="s">
        <v>251</v>
      </c>
      <c r="D60" t="s">
        <v>2407</v>
      </c>
      <c r="E60" t="s">
        <v>2409</v>
      </c>
      <c r="F60" t="s">
        <v>2493</v>
      </c>
      <c r="G60" t="s">
        <v>239</v>
      </c>
      <c r="H60" t="s">
        <v>2602</v>
      </c>
      <c r="I60">
        <v>1</v>
      </c>
    </row>
    <row r="61" spans="1:9" x14ac:dyDescent="0.4">
      <c r="A61" t="s">
        <v>254</v>
      </c>
      <c r="B61" t="str">
        <f t="shared" si="0"/>
        <v>SYST-MOR-0006729.bam</v>
      </c>
      <c r="C61" t="s">
        <v>255</v>
      </c>
      <c r="D61" t="s">
        <v>2407</v>
      </c>
      <c r="E61" t="s">
        <v>2410</v>
      </c>
      <c r="F61" t="s">
        <v>2494</v>
      </c>
      <c r="G61" t="s">
        <v>45</v>
      </c>
      <c r="H61" t="str">
        <f t="shared" si="1"/>
        <v>mac</v>
      </c>
      <c r="I61">
        <v>1</v>
      </c>
    </row>
    <row r="62" spans="1:9" x14ac:dyDescent="0.4">
      <c r="A62" t="s">
        <v>261</v>
      </c>
      <c r="B62" t="str">
        <f t="shared" si="0"/>
        <v>SYST-MOR-0006732.bam</v>
      </c>
      <c r="C62" t="s">
        <v>262</v>
      </c>
      <c r="D62" t="s">
        <v>2407</v>
      </c>
      <c r="E62" t="s">
        <v>2410</v>
      </c>
      <c r="F62" t="s">
        <v>2494</v>
      </c>
      <c r="G62" t="s">
        <v>64</v>
      </c>
      <c r="H62" t="str">
        <f t="shared" si="1"/>
        <v>alb</v>
      </c>
      <c r="I62">
        <v>1</v>
      </c>
    </row>
    <row r="63" spans="1:9" x14ac:dyDescent="0.4">
      <c r="A63" t="s">
        <v>265</v>
      </c>
      <c r="B63" t="str">
        <f t="shared" si="0"/>
        <v>SYST-MOR-0006731.bam</v>
      </c>
      <c r="C63" t="s">
        <v>266</v>
      </c>
      <c r="D63" t="s">
        <v>2407</v>
      </c>
      <c r="E63" t="s">
        <v>2410</v>
      </c>
      <c r="F63" t="s">
        <v>2494</v>
      </c>
      <c r="G63" t="s">
        <v>45</v>
      </c>
      <c r="H63" t="str">
        <f t="shared" si="1"/>
        <v>mac</v>
      </c>
      <c r="I63">
        <v>1</v>
      </c>
    </row>
    <row r="64" spans="1:9" x14ac:dyDescent="0.4">
      <c r="A64" t="s">
        <v>269</v>
      </c>
      <c r="B64" t="str">
        <f t="shared" si="0"/>
        <v>SYST-MOR-0006730.bam</v>
      </c>
      <c r="C64" t="s">
        <v>270</v>
      </c>
      <c r="D64" t="s">
        <v>2407</v>
      </c>
      <c r="E64" t="s">
        <v>2410</v>
      </c>
      <c r="F64" t="s">
        <v>2494</v>
      </c>
      <c r="G64" t="s">
        <v>64</v>
      </c>
      <c r="H64" t="str">
        <f t="shared" si="1"/>
        <v>alb</v>
      </c>
      <c r="I64">
        <v>1</v>
      </c>
    </row>
    <row r="65" spans="1:9" x14ac:dyDescent="0.4">
      <c r="A65" t="s">
        <v>273</v>
      </c>
      <c r="B65" t="str">
        <f t="shared" si="0"/>
        <v>SYST-MOR-0006733.bam</v>
      </c>
      <c r="C65" t="s">
        <v>274</v>
      </c>
      <c r="D65" t="s">
        <v>2407</v>
      </c>
      <c r="E65" t="s">
        <v>2410</v>
      </c>
      <c r="F65" t="s">
        <v>2494</v>
      </c>
      <c r="G65" t="s">
        <v>143</v>
      </c>
      <c r="H65" t="str">
        <f t="shared" si="1"/>
        <v>bic</v>
      </c>
      <c r="I65">
        <v>1</v>
      </c>
    </row>
    <row r="66" spans="1:9" x14ac:dyDescent="0.4">
      <c r="A66" t="s">
        <v>279</v>
      </c>
      <c r="B66" t="str">
        <f t="shared" ref="B66:B129" si="2">_xlfn.CONCAT(A66,".bam")</f>
        <v>SYST-MOR-0006734.bam</v>
      </c>
      <c r="C66" t="s">
        <v>280</v>
      </c>
      <c r="D66" t="s">
        <v>2407</v>
      </c>
      <c r="E66" t="s">
        <v>2410</v>
      </c>
      <c r="F66" t="s">
        <v>2494</v>
      </c>
      <c r="G66" t="s">
        <v>64</v>
      </c>
      <c r="H66" t="str">
        <f t="shared" si="1"/>
        <v>alb</v>
      </c>
      <c r="I66">
        <v>1</v>
      </c>
    </row>
    <row r="67" spans="1:9" x14ac:dyDescent="0.4">
      <c r="A67" t="s">
        <v>283</v>
      </c>
      <c r="B67" t="str">
        <f t="shared" si="2"/>
        <v>SYST-MOR-0006736.bam</v>
      </c>
      <c r="C67" t="s">
        <v>284</v>
      </c>
      <c r="D67" t="s">
        <v>2407</v>
      </c>
      <c r="E67" t="s">
        <v>2410</v>
      </c>
      <c r="F67" t="s">
        <v>2494</v>
      </c>
      <c r="G67" t="s">
        <v>64</v>
      </c>
      <c r="H67" t="str">
        <f t="shared" ref="H67:H130" si="3">IF(ISERROR(FIND("x",LEFT(G67,LEN(G67)-7),1)),RIGHT(LEFT(G67,11),3),G67)</f>
        <v>alb</v>
      </c>
      <c r="I67">
        <v>1</v>
      </c>
    </row>
    <row r="68" spans="1:9" x14ac:dyDescent="0.4">
      <c r="A68" t="s">
        <v>287</v>
      </c>
      <c r="B68" t="str">
        <f t="shared" si="2"/>
        <v>SYST-MOR-0006735.bam</v>
      </c>
      <c r="C68" t="s">
        <v>288</v>
      </c>
      <c r="D68" t="s">
        <v>2407</v>
      </c>
      <c r="E68" t="s">
        <v>2410</v>
      </c>
      <c r="F68" t="s">
        <v>2494</v>
      </c>
      <c r="G68" t="s">
        <v>45</v>
      </c>
      <c r="H68" t="str">
        <f t="shared" si="3"/>
        <v>mac</v>
      </c>
      <c r="I68">
        <v>1</v>
      </c>
    </row>
    <row r="69" spans="1:9" x14ac:dyDescent="0.4">
      <c r="A69" t="s">
        <v>291</v>
      </c>
      <c r="B69" t="str">
        <f t="shared" si="2"/>
        <v>SYST-MOR-0006737.bam</v>
      </c>
      <c r="C69" t="s">
        <v>292</v>
      </c>
      <c r="D69" t="s">
        <v>2407</v>
      </c>
      <c r="E69" t="s">
        <v>2410</v>
      </c>
      <c r="F69" t="s">
        <v>2494</v>
      </c>
      <c r="G69" t="s">
        <v>45</v>
      </c>
      <c r="H69" t="str">
        <f t="shared" si="3"/>
        <v>mac</v>
      </c>
      <c r="I69">
        <v>1</v>
      </c>
    </row>
    <row r="70" spans="1:9" x14ac:dyDescent="0.4">
      <c r="A70" t="s">
        <v>295</v>
      </c>
      <c r="B70" t="str">
        <f t="shared" si="2"/>
        <v>SYST-MOR-0006739.bam</v>
      </c>
      <c r="C70" t="s">
        <v>296</v>
      </c>
      <c r="D70" t="s">
        <v>2407</v>
      </c>
      <c r="E70" t="s">
        <v>2410</v>
      </c>
      <c r="F70" t="s">
        <v>2494</v>
      </c>
      <c r="G70" t="s">
        <v>64</v>
      </c>
      <c r="H70" t="str">
        <f t="shared" si="3"/>
        <v>alb</v>
      </c>
      <c r="I70">
        <v>1</v>
      </c>
    </row>
    <row r="71" spans="1:9" x14ac:dyDescent="0.4">
      <c r="A71" t="s">
        <v>299</v>
      </c>
      <c r="B71" t="str">
        <f t="shared" si="2"/>
        <v>SYST-MOR-0006738.bam</v>
      </c>
      <c r="C71" t="s">
        <v>300</v>
      </c>
      <c r="D71" t="s">
        <v>2407</v>
      </c>
      <c r="E71" t="s">
        <v>2410</v>
      </c>
      <c r="F71" t="s">
        <v>2494</v>
      </c>
      <c r="G71" t="s">
        <v>45</v>
      </c>
      <c r="H71" t="str">
        <f t="shared" si="3"/>
        <v>mac</v>
      </c>
      <c r="I71">
        <v>1</v>
      </c>
    </row>
    <row r="72" spans="1:9" x14ac:dyDescent="0.4">
      <c r="A72" t="s">
        <v>303</v>
      </c>
      <c r="B72" t="str">
        <f t="shared" si="2"/>
        <v>SYST-MOR-0006740.bam</v>
      </c>
      <c r="C72" t="s">
        <v>304</v>
      </c>
      <c r="D72" t="s">
        <v>2407</v>
      </c>
      <c r="E72" t="s">
        <v>2410</v>
      </c>
      <c r="F72" t="s">
        <v>2494</v>
      </c>
      <c r="G72" t="s">
        <v>45</v>
      </c>
      <c r="H72" t="str">
        <f t="shared" si="3"/>
        <v>mac</v>
      </c>
      <c r="I72">
        <v>1</v>
      </c>
    </row>
    <row r="73" spans="1:9" x14ac:dyDescent="0.4">
      <c r="A73" t="s">
        <v>307</v>
      </c>
      <c r="B73" t="str">
        <f t="shared" si="2"/>
        <v>SYST-MOR-0006741.bam</v>
      </c>
      <c r="C73" t="s">
        <v>308</v>
      </c>
      <c r="D73" t="s">
        <v>2407</v>
      </c>
      <c r="E73" t="s">
        <v>2410</v>
      </c>
      <c r="F73" t="s">
        <v>2494</v>
      </c>
      <c r="G73" t="s">
        <v>64</v>
      </c>
      <c r="H73" t="str">
        <f t="shared" si="3"/>
        <v>alb</v>
      </c>
      <c r="I73">
        <v>1</v>
      </c>
    </row>
    <row r="74" spans="1:9" x14ac:dyDescent="0.4">
      <c r="A74" t="s">
        <v>311</v>
      </c>
      <c r="B74" t="str">
        <f t="shared" si="2"/>
        <v>SYST-MOR-0006753.bam</v>
      </c>
      <c r="C74" t="s">
        <v>312</v>
      </c>
      <c r="D74" t="s">
        <v>2407</v>
      </c>
      <c r="E74" t="s">
        <v>2411</v>
      </c>
      <c r="F74" t="s">
        <v>2495</v>
      </c>
      <c r="G74" t="s">
        <v>45</v>
      </c>
      <c r="H74" t="str">
        <f t="shared" si="3"/>
        <v>mac</v>
      </c>
      <c r="I74">
        <v>1</v>
      </c>
    </row>
    <row r="75" spans="1:9" x14ac:dyDescent="0.4">
      <c r="A75" t="s">
        <v>317</v>
      </c>
      <c r="B75" t="str">
        <f t="shared" si="2"/>
        <v>SYST-MOR-0006754.bam</v>
      </c>
      <c r="C75" t="s">
        <v>318</v>
      </c>
      <c r="D75" t="s">
        <v>2407</v>
      </c>
      <c r="E75" t="s">
        <v>2411</v>
      </c>
      <c r="F75" t="s">
        <v>2495</v>
      </c>
      <c r="G75" t="s">
        <v>30</v>
      </c>
      <c r="H75" t="str">
        <f t="shared" si="3"/>
        <v>lyr</v>
      </c>
      <c r="I75">
        <v>1</v>
      </c>
    </row>
    <row r="76" spans="1:9" x14ac:dyDescent="0.4">
      <c r="A76" t="s">
        <v>321</v>
      </c>
      <c r="B76" t="str">
        <f t="shared" si="2"/>
        <v>SYST-MOR-0006755.bam</v>
      </c>
      <c r="C76" t="s">
        <v>322</v>
      </c>
      <c r="D76" t="s">
        <v>2407</v>
      </c>
      <c r="E76" t="s">
        <v>2411</v>
      </c>
      <c r="F76" t="s">
        <v>2495</v>
      </c>
      <c r="G76" t="s">
        <v>45</v>
      </c>
      <c r="H76" t="str">
        <f t="shared" si="3"/>
        <v>mac</v>
      </c>
      <c r="I76">
        <v>1</v>
      </c>
    </row>
    <row r="77" spans="1:9" x14ac:dyDescent="0.4">
      <c r="A77" t="s">
        <v>324</v>
      </c>
      <c r="B77" t="str">
        <f t="shared" si="2"/>
        <v>SYST-MOR-0006756.bam</v>
      </c>
      <c r="C77" t="s">
        <v>325</v>
      </c>
      <c r="D77" t="s">
        <v>2407</v>
      </c>
      <c r="E77" t="s">
        <v>2411</v>
      </c>
      <c r="F77" t="s">
        <v>2495</v>
      </c>
      <c r="G77" t="s">
        <v>30</v>
      </c>
      <c r="H77" t="str">
        <f t="shared" si="3"/>
        <v>lyr</v>
      </c>
      <c r="I77">
        <v>1</v>
      </c>
    </row>
    <row r="78" spans="1:9" x14ac:dyDescent="0.4">
      <c r="A78" t="s">
        <v>327</v>
      </c>
      <c r="B78" t="str">
        <f t="shared" si="2"/>
        <v>SYST-MOR-0006757.bam</v>
      </c>
      <c r="C78" t="s">
        <v>328</v>
      </c>
      <c r="D78" t="s">
        <v>2407</v>
      </c>
      <c r="E78" t="s">
        <v>2411</v>
      </c>
      <c r="F78" t="s">
        <v>2495</v>
      </c>
      <c r="G78" t="s">
        <v>30</v>
      </c>
      <c r="H78" t="str">
        <f t="shared" si="3"/>
        <v>lyr</v>
      </c>
      <c r="I78">
        <v>1</v>
      </c>
    </row>
    <row r="79" spans="1:9" x14ac:dyDescent="0.4">
      <c r="A79" t="s">
        <v>330</v>
      </c>
      <c r="B79" t="str">
        <f t="shared" si="2"/>
        <v>SYST-MOR-0006758.bam</v>
      </c>
      <c r="C79" t="s">
        <v>331</v>
      </c>
      <c r="D79" t="s">
        <v>2407</v>
      </c>
      <c r="E79" t="s">
        <v>2411</v>
      </c>
      <c r="F79" t="s">
        <v>2495</v>
      </c>
      <c r="G79" t="s">
        <v>45</v>
      </c>
      <c r="H79" t="str">
        <f t="shared" si="3"/>
        <v>mac</v>
      </c>
      <c r="I79">
        <v>1</v>
      </c>
    </row>
    <row r="80" spans="1:9" x14ac:dyDescent="0.4">
      <c r="A80" t="s">
        <v>333</v>
      </c>
      <c r="B80" t="str">
        <f t="shared" si="2"/>
        <v>SYST-MOR-0006759.bam</v>
      </c>
      <c r="C80" t="s">
        <v>334</v>
      </c>
      <c r="D80" t="s">
        <v>2407</v>
      </c>
      <c r="E80" t="s">
        <v>2411</v>
      </c>
      <c r="F80" t="s">
        <v>2495</v>
      </c>
      <c r="G80" t="s">
        <v>45</v>
      </c>
      <c r="H80" t="str">
        <f t="shared" si="3"/>
        <v>mac</v>
      </c>
      <c r="I80">
        <v>1</v>
      </c>
    </row>
    <row r="81" spans="1:9" x14ac:dyDescent="0.4">
      <c r="A81" t="s">
        <v>336</v>
      </c>
      <c r="B81" t="str">
        <f t="shared" si="2"/>
        <v>SYST-MOR-0006760.bam</v>
      </c>
      <c r="C81" t="s">
        <v>337</v>
      </c>
      <c r="D81" t="s">
        <v>2407</v>
      </c>
      <c r="E81" t="s">
        <v>2411</v>
      </c>
      <c r="F81" t="s">
        <v>2495</v>
      </c>
      <c r="G81" t="s">
        <v>30</v>
      </c>
      <c r="H81" t="str">
        <f t="shared" si="3"/>
        <v>lyr</v>
      </c>
      <c r="I81">
        <v>1</v>
      </c>
    </row>
    <row r="82" spans="1:9" x14ac:dyDescent="0.4">
      <c r="A82" t="s">
        <v>339</v>
      </c>
      <c r="B82" t="str">
        <f t="shared" si="2"/>
        <v>SYST-MOR-0006761.bam</v>
      </c>
      <c r="C82" t="s">
        <v>340</v>
      </c>
      <c r="D82" t="s">
        <v>2407</v>
      </c>
      <c r="E82" t="s">
        <v>2411</v>
      </c>
      <c r="F82" t="s">
        <v>2495</v>
      </c>
      <c r="G82" t="s">
        <v>45</v>
      </c>
      <c r="H82" t="str">
        <f t="shared" si="3"/>
        <v>mac</v>
      </c>
      <c r="I82">
        <v>1</v>
      </c>
    </row>
    <row r="83" spans="1:9" x14ac:dyDescent="0.4">
      <c r="A83" t="s">
        <v>342</v>
      </c>
      <c r="B83" t="str">
        <f t="shared" si="2"/>
        <v>SYST-MOR-0006762.bam</v>
      </c>
      <c r="C83" t="s">
        <v>343</v>
      </c>
      <c r="D83" t="s">
        <v>2407</v>
      </c>
      <c r="E83" t="s">
        <v>2411</v>
      </c>
      <c r="F83" t="s">
        <v>2495</v>
      </c>
      <c r="G83" t="s">
        <v>2622</v>
      </c>
      <c r="H83" t="s">
        <v>2629</v>
      </c>
      <c r="I83">
        <v>1</v>
      </c>
    </row>
    <row r="84" spans="1:9" x14ac:dyDescent="0.4">
      <c r="A84" t="s">
        <v>348</v>
      </c>
      <c r="B84" t="str">
        <f t="shared" si="2"/>
        <v>SYST-MOR-0007180.bam</v>
      </c>
      <c r="C84" t="s">
        <v>349</v>
      </c>
      <c r="D84" t="s">
        <v>2407</v>
      </c>
      <c r="E84" t="s">
        <v>2412</v>
      </c>
      <c r="F84" t="s">
        <v>2496</v>
      </c>
      <c r="G84" t="s">
        <v>64</v>
      </c>
      <c r="H84" t="str">
        <f t="shared" si="3"/>
        <v>alb</v>
      </c>
      <c r="I84">
        <v>1</v>
      </c>
    </row>
    <row r="85" spans="1:9" x14ac:dyDescent="0.4">
      <c r="A85" t="s">
        <v>353</v>
      </c>
      <c r="B85" t="str">
        <f t="shared" si="2"/>
        <v>SYST-MOR-0007181.bam</v>
      </c>
      <c r="C85" t="s">
        <v>354</v>
      </c>
      <c r="D85" t="s">
        <v>2407</v>
      </c>
      <c r="E85" t="s">
        <v>2412</v>
      </c>
      <c r="F85" t="s">
        <v>2496</v>
      </c>
      <c r="G85" t="s">
        <v>45</v>
      </c>
      <c r="H85" t="str">
        <f t="shared" si="3"/>
        <v>mac</v>
      </c>
      <c r="I85">
        <v>1</v>
      </c>
    </row>
    <row r="86" spans="1:9" x14ac:dyDescent="0.4">
      <c r="A86" t="s">
        <v>357</v>
      </c>
      <c r="B86" t="str">
        <f t="shared" si="2"/>
        <v>SYST-MOR-0007182.bam</v>
      </c>
      <c r="C86" t="s">
        <v>358</v>
      </c>
      <c r="D86" t="s">
        <v>2407</v>
      </c>
      <c r="E86" t="s">
        <v>2412</v>
      </c>
      <c r="F86" t="s">
        <v>2496</v>
      </c>
      <c r="G86" t="s">
        <v>143</v>
      </c>
      <c r="H86" t="str">
        <f t="shared" si="3"/>
        <v>bic</v>
      </c>
      <c r="I86">
        <v>1</v>
      </c>
    </row>
    <row r="87" spans="1:9" x14ac:dyDescent="0.4">
      <c r="A87" t="s">
        <v>360</v>
      </c>
      <c r="B87" t="str">
        <f t="shared" si="2"/>
        <v>SYST-MOR-0007183.bam</v>
      </c>
      <c r="C87" t="s">
        <v>361</v>
      </c>
      <c r="D87" t="s">
        <v>2407</v>
      </c>
      <c r="E87" t="s">
        <v>2412</v>
      </c>
      <c r="F87" t="s">
        <v>2496</v>
      </c>
      <c r="G87" t="s">
        <v>45</v>
      </c>
      <c r="H87" t="str">
        <f t="shared" si="3"/>
        <v>mac</v>
      </c>
      <c r="I87">
        <v>1</v>
      </c>
    </row>
    <row r="88" spans="1:9" x14ac:dyDescent="0.4">
      <c r="A88" t="s">
        <v>363</v>
      </c>
      <c r="B88" t="str">
        <f t="shared" si="2"/>
        <v>SYST-MOR-0007184.bam</v>
      </c>
      <c r="C88" t="s">
        <v>364</v>
      </c>
      <c r="D88" t="s">
        <v>2407</v>
      </c>
      <c r="E88" t="s">
        <v>2412</v>
      </c>
      <c r="F88" t="s">
        <v>2496</v>
      </c>
      <c r="G88" t="s">
        <v>64</v>
      </c>
      <c r="H88" t="str">
        <f t="shared" si="3"/>
        <v>alb</v>
      </c>
      <c r="I88">
        <v>1</v>
      </c>
    </row>
    <row r="89" spans="1:9" x14ac:dyDescent="0.4">
      <c r="A89" t="s">
        <v>366</v>
      </c>
      <c r="B89" t="str">
        <f t="shared" si="2"/>
        <v>SYST-MOR-0007185.bam</v>
      </c>
      <c r="C89" t="s">
        <v>367</v>
      </c>
      <c r="D89" t="s">
        <v>2407</v>
      </c>
      <c r="E89" t="s">
        <v>2412</v>
      </c>
      <c r="F89" t="s">
        <v>2496</v>
      </c>
      <c r="G89" t="s">
        <v>143</v>
      </c>
      <c r="H89" t="str">
        <f t="shared" si="3"/>
        <v>bic</v>
      </c>
      <c r="I89">
        <v>1</v>
      </c>
    </row>
    <row r="90" spans="1:9" x14ac:dyDescent="0.4">
      <c r="A90" t="s">
        <v>369</v>
      </c>
      <c r="B90" t="str">
        <f t="shared" si="2"/>
        <v>SYST-MOR-0007186.bam</v>
      </c>
      <c r="C90" t="s">
        <v>370</v>
      </c>
      <c r="D90" t="s">
        <v>2407</v>
      </c>
      <c r="E90" t="s">
        <v>2412</v>
      </c>
      <c r="F90" t="s">
        <v>2496</v>
      </c>
      <c r="G90" t="s">
        <v>64</v>
      </c>
      <c r="H90" t="str">
        <f t="shared" si="3"/>
        <v>alb</v>
      </c>
      <c r="I90">
        <v>1</v>
      </c>
    </row>
    <row r="91" spans="1:9" x14ac:dyDescent="0.4">
      <c r="A91" t="s">
        <v>372</v>
      </c>
      <c r="B91" t="str">
        <f t="shared" si="2"/>
        <v>SYST-MOR-0007187.bam</v>
      </c>
      <c r="C91" t="s">
        <v>373</v>
      </c>
      <c r="D91" t="s">
        <v>2407</v>
      </c>
      <c r="E91" t="s">
        <v>2412</v>
      </c>
      <c r="F91" t="s">
        <v>2496</v>
      </c>
      <c r="G91" t="s">
        <v>143</v>
      </c>
      <c r="H91" t="str">
        <f t="shared" si="3"/>
        <v>bic</v>
      </c>
      <c r="I91">
        <v>1</v>
      </c>
    </row>
    <row r="92" spans="1:9" x14ac:dyDescent="0.4">
      <c r="A92" t="s">
        <v>375</v>
      </c>
      <c r="B92" t="str">
        <f t="shared" si="2"/>
        <v>SYST-MOR-0007188.bam</v>
      </c>
      <c r="C92" t="s">
        <v>376</v>
      </c>
      <c r="D92" t="s">
        <v>2407</v>
      </c>
      <c r="E92" t="s">
        <v>2412</v>
      </c>
      <c r="F92" t="s">
        <v>2496</v>
      </c>
      <c r="G92" t="s">
        <v>45</v>
      </c>
      <c r="H92" t="str">
        <f t="shared" si="3"/>
        <v>mac</v>
      </c>
      <c r="I92">
        <v>1</v>
      </c>
    </row>
    <row r="93" spans="1:9" x14ac:dyDescent="0.4">
      <c r="A93" t="s">
        <v>378</v>
      </c>
      <c r="B93" t="str">
        <f t="shared" si="2"/>
        <v>SYST-MOR-0007189.bam</v>
      </c>
      <c r="C93" t="s">
        <v>379</v>
      </c>
      <c r="D93" t="s">
        <v>2407</v>
      </c>
      <c r="E93" t="s">
        <v>2412</v>
      </c>
      <c r="F93" t="s">
        <v>2496</v>
      </c>
      <c r="G93" t="s">
        <v>64</v>
      </c>
      <c r="H93" t="str">
        <f t="shared" si="3"/>
        <v>alb</v>
      </c>
      <c r="I93">
        <v>1</v>
      </c>
    </row>
    <row r="94" spans="1:9" x14ac:dyDescent="0.4">
      <c r="A94" t="s">
        <v>381</v>
      </c>
      <c r="B94" t="str">
        <f t="shared" si="2"/>
        <v>SYST-MOR-0007190.bam</v>
      </c>
      <c r="C94" t="s">
        <v>382</v>
      </c>
      <c r="D94" t="s">
        <v>2407</v>
      </c>
      <c r="E94" t="s">
        <v>2412</v>
      </c>
      <c r="F94" t="s">
        <v>2496</v>
      </c>
      <c r="G94" t="s">
        <v>45</v>
      </c>
      <c r="H94" t="str">
        <f t="shared" si="3"/>
        <v>mac</v>
      </c>
      <c r="I94">
        <v>1</v>
      </c>
    </row>
    <row r="95" spans="1:9" x14ac:dyDescent="0.4">
      <c r="A95" t="s">
        <v>384</v>
      </c>
      <c r="B95" t="str">
        <f t="shared" si="2"/>
        <v>SYST-MOR-0007191.bam</v>
      </c>
      <c r="C95" t="s">
        <v>385</v>
      </c>
      <c r="D95" t="s">
        <v>2407</v>
      </c>
      <c r="E95" t="s">
        <v>2412</v>
      </c>
      <c r="F95" t="s">
        <v>2496</v>
      </c>
      <c r="G95" t="s">
        <v>2623</v>
      </c>
      <c r="H95" t="s">
        <v>2630</v>
      </c>
      <c r="I95">
        <v>1</v>
      </c>
    </row>
    <row r="96" spans="1:9" x14ac:dyDescent="0.4">
      <c r="A96" t="s">
        <v>387</v>
      </c>
      <c r="B96" t="str">
        <f t="shared" si="2"/>
        <v>SYST-MOR-0007192.bam</v>
      </c>
      <c r="C96" t="s">
        <v>388</v>
      </c>
      <c r="D96" t="s">
        <v>2407</v>
      </c>
      <c r="E96" t="s">
        <v>2412</v>
      </c>
      <c r="F96" t="s">
        <v>2496</v>
      </c>
      <c r="G96" t="s">
        <v>64</v>
      </c>
      <c r="H96" t="str">
        <f t="shared" si="3"/>
        <v>alb</v>
      </c>
      <c r="I96">
        <v>1</v>
      </c>
    </row>
    <row r="97" spans="1:9" x14ac:dyDescent="0.4">
      <c r="A97" t="s">
        <v>390</v>
      </c>
      <c r="B97" t="str">
        <f t="shared" si="2"/>
        <v>SYST-MOR-0007193.bam</v>
      </c>
      <c r="C97" t="s">
        <v>391</v>
      </c>
      <c r="D97" t="s">
        <v>2407</v>
      </c>
      <c r="E97" t="s">
        <v>2412</v>
      </c>
      <c r="F97" t="s">
        <v>2496</v>
      </c>
      <c r="G97" t="s">
        <v>45</v>
      </c>
      <c r="H97" t="str">
        <f t="shared" si="3"/>
        <v>mac</v>
      </c>
      <c r="I97">
        <v>1</v>
      </c>
    </row>
    <row r="98" spans="1:9" x14ac:dyDescent="0.4">
      <c r="A98" t="s">
        <v>393</v>
      </c>
      <c r="B98" t="str">
        <f t="shared" si="2"/>
        <v>SYST-MOR-0007194.bam</v>
      </c>
      <c r="C98" t="s">
        <v>394</v>
      </c>
      <c r="D98" t="s">
        <v>2407</v>
      </c>
      <c r="E98" t="s">
        <v>2412</v>
      </c>
      <c r="F98" t="s">
        <v>2496</v>
      </c>
      <c r="G98" t="s">
        <v>143</v>
      </c>
      <c r="H98" t="str">
        <f t="shared" si="3"/>
        <v>bic</v>
      </c>
      <c r="I98">
        <v>1</v>
      </c>
    </row>
    <row r="99" spans="1:9" x14ac:dyDescent="0.4">
      <c r="A99" t="s">
        <v>396</v>
      </c>
      <c r="B99" t="str">
        <f t="shared" si="2"/>
        <v>SYST-MOR-0007219.bam</v>
      </c>
      <c r="C99" t="s">
        <v>397</v>
      </c>
      <c r="D99" t="s">
        <v>2413</v>
      </c>
      <c r="E99" t="s">
        <v>2414</v>
      </c>
      <c r="F99" t="s">
        <v>2497</v>
      </c>
      <c r="G99" t="s">
        <v>45</v>
      </c>
      <c r="H99" t="str">
        <f t="shared" si="3"/>
        <v>mac</v>
      </c>
      <c r="I99">
        <v>1</v>
      </c>
    </row>
    <row r="100" spans="1:9" x14ac:dyDescent="0.4">
      <c r="A100" t="s">
        <v>403</v>
      </c>
      <c r="B100" t="str">
        <f t="shared" si="2"/>
        <v>SYST-MOR-0007220.bam</v>
      </c>
      <c r="C100" t="s">
        <v>404</v>
      </c>
      <c r="D100" t="s">
        <v>2413</v>
      </c>
      <c r="E100" t="s">
        <v>2414</v>
      </c>
      <c r="F100" t="s">
        <v>2497</v>
      </c>
      <c r="G100" t="s">
        <v>45</v>
      </c>
      <c r="H100" t="str">
        <f t="shared" si="3"/>
        <v>mac</v>
      </c>
      <c r="I100">
        <v>1</v>
      </c>
    </row>
    <row r="101" spans="1:9" x14ac:dyDescent="0.4">
      <c r="A101" t="s">
        <v>406</v>
      </c>
      <c r="B101" t="str">
        <f t="shared" si="2"/>
        <v>SYST-MOR-0007228.bam</v>
      </c>
      <c r="C101" t="s">
        <v>407</v>
      </c>
      <c r="D101" t="s">
        <v>2413</v>
      </c>
      <c r="E101" t="s">
        <v>2415</v>
      </c>
      <c r="F101" t="s">
        <v>2498</v>
      </c>
      <c r="G101" t="s">
        <v>64</v>
      </c>
      <c r="H101" t="str">
        <f t="shared" si="3"/>
        <v>alb</v>
      </c>
      <c r="I101">
        <v>1</v>
      </c>
    </row>
    <row r="102" spans="1:9" x14ac:dyDescent="0.4">
      <c r="A102" t="s">
        <v>410</v>
      </c>
      <c r="B102" t="str">
        <f t="shared" si="2"/>
        <v>SYST-MOR-0007229.bam</v>
      </c>
      <c r="C102" t="s">
        <v>411</v>
      </c>
      <c r="D102" t="s">
        <v>2413</v>
      </c>
      <c r="E102" t="s">
        <v>2415</v>
      </c>
      <c r="F102" t="s">
        <v>2498</v>
      </c>
      <c r="G102" t="s">
        <v>64</v>
      </c>
      <c r="H102" t="str">
        <f t="shared" si="3"/>
        <v>alb</v>
      </c>
      <c r="I102">
        <v>1</v>
      </c>
    </row>
    <row r="103" spans="1:9" x14ac:dyDescent="0.4">
      <c r="A103" t="s">
        <v>413</v>
      </c>
      <c r="B103" t="str">
        <f t="shared" si="2"/>
        <v>SYST-MOR-0007230.bam</v>
      </c>
      <c r="C103" t="s">
        <v>414</v>
      </c>
      <c r="D103" t="s">
        <v>2413</v>
      </c>
      <c r="E103" t="s">
        <v>2415</v>
      </c>
      <c r="F103" t="s">
        <v>2498</v>
      </c>
      <c r="G103" t="s">
        <v>64</v>
      </c>
      <c r="H103" t="str">
        <f t="shared" si="3"/>
        <v>alb</v>
      </c>
      <c r="I103">
        <v>1</v>
      </c>
    </row>
    <row r="104" spans="1:9" x14ac:dyDescent="0.4">
      <c r="A104" t="s">
        <v>416</v>
      </c>
      <c r="B104" t="str">
        <f t="shared" si="2"/>
        <v>SYST-MOR-0007231.bam</v>
      </c>
      <c r="C104" t="s">
        <v>417</v>
      </c>
      <c r="D104" t="s">
        <v>2413</v>
      </c>
      <c r="E104" t="s">
        <v>2415</v>
      </c>
      <c r="F104" t="s">
        <v>2498</v>
      </c>
      <c r="G104" t="s">
        <v>64</v>
      </c>
      <c r="H104" t="str">
        <f t="shared" si="3"/>
        <v>alb</v>
      </c>
      <c r="I104">
        <v>1</v>
      </c>
    </row>
    <row r="105" spans="1:9" x14ac:dyDescent="0.4">
      <c r="A105" t="s">
        <v>419</v>
      </c>
      <c r="B105" t="str">
        <f t="shared" si="2"/>
        <v>SYST-MOR-0007232.bam</v>
      </c>
      <c r="C105" t="s">
        <v>420</v>
      </c>
      <c r="D105" t="s">
        <v>2413</v>
      </c>
      <c r="E105" t="s">
        <v>2415</v>
      </c>
      <c r="F105" t="s">
        <v>2498</v>
      </c>
      <c r="G105" t="s">
        <v>64</v>
      </c>
      <c r="H105" t="str">
        <f t="shared" si="3"/>
        <v>alb</v>
      </c>
      <c r="I105">
        <v>1</v>
      </c>
    </row>
    <row r="106" spans="1:9" x14ac:dyDescent="0.4">
      <c r="A106" t="s">
        <v>422</v>
      </c>
      <c r="B106" t="str">
        <f t="shared" si="2"/>
        <v>SYST-MOR-0007233.bam</v>
      </c>
      <c r="C106" t="s">
        <v>423</v>
      </c>
      <c r="D106" t="s">
        <v>2413</v>
      </c>
      <c r="E106" t="s">
        <v>2416</v>
      </c>
      <c r="F106" t="s">
        <v>2499</v>
      </c>
      <c r="G106" t="s">
        <v>45</v>
      </c>
      <c r="H106" t="str">
        <f t="shared" si="3"/>
        <v>mac</v>
      </c>
      <c r="I106">
        <v>1</v>
      </c>
    </row>
    <row r="107" spans="1:9" x14ac:dyDescent="0.4">
      <c r="A107" t="s">
        <v>426</v>
      </c>
      <c r="B107" t="str">
        <f t="shared" si="2"/>
        <v>SYST-MOR-0007221.bam</v>
      </c>
      <c r="C107" t="s">
        <v>427</v>
      </c>
      <c r="D107" t="s">
        <v>2413</v>
      </c>
      <c r="E107" t="s">
        <v>2417</v>
      </c>
      <c r="F107" t="s">
        <v>2500</v>
      </c>
      <c r="G107" t="s">
        <v>45</v>
      </c>
      <c r="H107" t="str">
        <f t="shared" si="3"/>
        <v>mac</v>
      </c>
      <c r="I107">
        <v>1</v>
      </c>
    </row>
    <row r="108" spans="1:9" x14ac:dyDescent="0.4">
      <c r="A108" t="s">
        <v>430</v>
      </c>
      <c r="B108" t="str">
        <f t="shared" si="2"/>
        <v>SYST-MOR-0007222.bam</v>
      </c>
      <c r="C108" t="s">
        <v>431</v>
      </c>
      <c r="D108" t="s">
        <v>2413</v>
      </c>
      <c r="E108" t="s">
        <v>2417</v>
      </c>
      <c r="F108" t="s">
        <v>2500</v>
      </c>
      <c r="G108" t="s">
        <v>45</v>
      </c>
      <c r="H108" t="str">
        <f t="shared" si="3"/>
        <v>mac</v>
      </c>
      <c r="I108">
        <v>1</v>
      </c>
    </row>
    <row r="109" spans="1:9" x14ac:dyDescent="0.4">
      <c r="A109" t="s">
        <v>433</v>
      </c>
      <c r="B109" t="str">
        <f t="shared" si="2"/>
        <v>SYST-MOR-0007223.bam</v>
      </c>
      <c r="C109" t="s">
        <v>434</v>
      </c>
      <c r="D109" t="s">
        <v>2413</v>
      </c>
      <c r="E109" t="s">
        <v>2417</v>
      </c>
      <c r="F109" t="s">
        <v>2500</v>
      </c>
      <c r="G109" t="s">
        <v>84</v>
      </c>
      <c r="H109" t="str">
        <f t="shared" si="3"/>
        <v>mue</v>
      </c>
      <c r="I109">
        <v>1</v>
      </c>
    </row>
    <row r="110" spans="1:9" x14ac:dyDescent="0.4">
      <c r="A110" t="s">
        <v>436</v>
      </c>
      <c r="B110" t="str">
        <f t="shared" si="2"/>
        <v>SYST-MOR-0007224.bam</v>
      </c>
      <c r="C110" t="s">
        <v>437</v>
      </c>
      <c r="D110" t="s">
        <v>2413</v>
      </c>
      <c r="E110" t="s">
        <v>2417</v>
      </c>
      <c r="F110" t="s">
        <v>2500</v>
      </c>
      <c r="G110" t="s">
        <v>84</v>
      </c>
      <c r="H110" t="str">
        <f t="shared" si="3"/>
        <v>mue</v>
      </c>
      <c r="I110">
        <v>1</v>
      </c>
    </row>
    <row r="111" spans="1:9" x14ac:dyDescent="0.4">
      <c r="A111" t="s">
        <v>439</v>
      </c>
      <c r="B111" t="str">
        <f t="shared" si="2"/>
        <v>SYST-MOR-0007225.bam</v>
      </c>
      <c r="C111" t="s">
        <v>440</v>
      </c>
      <c r="D111" t="s">
        <v>2413</v>
      </c>
      <c r="E111" t="s">
        <v>2417</v>
      </c>
      <c r="F111" t="s">
        <v>2500</v>
      </c>
      <c r="G111" t="s">
        <v>84</v>
      </c>
      <c r="H111" t="str">
        <f t="shared" si="3"/>
        <v>mue</v>
      </c>
      <c r="I111">
        <v>1</v>
      </c>
    </row>
    <row r="112" spans="1:9" x14ac:dyDescent="0.4">
      <c r="A112" t="s">
        <v>442</v>
      </c>
      <c r="B112" t="str">
        <f t="shared" si="2"/>
        <v>SYST-MOR-0007226.bam</v>
      </c>
      <c r="C112" t="s">
        <v>443</v>
      </c>
      <c r="D112" t="s">
        <v>2413</v>
      </c>
      <c r="E112" t="s">
        <v>2417</v>
      </c>
      <c r="F112" t="s">
        <v>2500</v>
      </c>
      <c r="G112" t="s">
        <v>84</v>
      </c>
      <c r="H112" t="str">
        <f t="shared" si="3"/>
        <v>mue</v>
      </c>
      <c r="I112">
        <v>1</v>
      </c>
    </row>
    <row r="113" spans="1:9" x14ac:dyDescent="0.4">
      <c r="A113" t="s">
        <v>445</v>
      </c>
      <c r="B113" t="str">
        <f t="shared" si="2"/>
        <v>SYST-MOR-0007227.bam</v>
      </c>
      <c r="C113" t="s">
        <v>446</v>
      </c>
      <c r="D113" t="s">
        <v>2413</v>
      </c>
      <c r="E113" t="s">
        <v>2417</v>
      </c>
      <c r="F113" t="s">
        <v>2500</v>
      </c>
      <c r="G113" t="s">
        <v>84</v>
      </c>
      <c r="H113" t="str">
        <f t="shared" si="3"/>
        <v>mue</v>
      </c>
      <c r="I113">
        <v>1</v>
      </c>
    </row>
    <row r="114" spans="1:9" x14ac:dyDescent="0.4">
      <c r="A114" t="s">
        <v>448</v>
      </c>
      <c r="B114" t="str">
        <f t="shared" si="2"/>
        <v>SYST-MOR-0007195.bam</v>
      </c>
      <c r="C114" t="s">
        <v>449</v>
      </c>
      <c r="D114" t="s">
        <v>2413</v>
      </c>
      <c r="E114" t="s">
        <v>2418</v>
      </c>
      <c r="F114" t="s">
        <v>2501</v>
      </c>
      <c r="G114" t="s">
        <v>64</v>
      </c>
      <c r="H114" t="str">
        <f t="shared" si="3"/>
        <v>alb</v>
      </c>
      <c r="I114">
        <v>1</v>
      </c>
    </row>
    <row r="115" spans="1:9" x14ac:dyDescent="0.4">
      <c r="A115" t="s">
        <v>453</v>
      </c>
      <c r="B115" t="str">
        <f t="shared" si="2"/>
        <v>SYST-MOR-0007196.bam</v>
      </c>
      <c r="C115" t="s">
        <v>454</v>
      </c>
      <c r="D115" t="s">
        <v>2413</v>
      </c>
      <c r="E115" t="s">
        <v>2418</v>
      </c>
      <c r="F115" t="s">
        <v>2501</v>
      </c>
      <c r="G115" t="s">
        <v>143</v>
      </c>
      <c r="H115" t="str">
        <f t="shared" si="3"/>
        <v>bic</v>
      </c>
      <c r="I115">
        <v>1</v>
      </c>
    </row>
    <row r="116" spans="1:9" x14ac:dyDescent="0.4">
      <c r="A116" t="s">
        <v>456</v>
      </c>
      <c r="B116" t="str">
        <f t="shared" si="2"/>
        <v>SYST-MOR-0007197.bam</v>
      </c>
      <c r="C116" t="s">
        <v>457</v>
      </c>
      <c r="D116" t="s">
        <v>2413</v>
      </c>
      <c r="E116" t="s">
        <v>2418</v>
      </c>
      <c r="F116" t="s">
        <v>2501</v>
      </c>
      <c r="G116" t="s">
        <v>64</v>
      </c>
      <c r="H116" t="str">
        <f t="shared" si="3"/>
        <v>alb</v>
      </c>
      <c r="I116">
        <v>1</v>
      </c>
    </row>
    <row r="117" spans="1:9" x14ac:dyDescent="0.4">
      <c r="A117" t="s">
        <v>459</v>
      </c>
      <c r="B117" t="str">
        <f t="shared" si="2"/>
        <v>SYST-MOR-0007198.bam</v>
      </c>
      <c r="C117" t="s">
        <v>460</v>
      </c>
      <c r="D117" t="s">
        <v>2413</v>
      </c>
      <c r="E117" t="s">
        <v>2418</v>
      </c>
      <c r="F117" t="s">
        <v>2501</v>
      </c>
      <c r="G117" t="s">
        <v>64</v>
      </c>
      <c r="H117" t="str">
        <f t="shared" si="3"/>
        <v>alb</v>
      </c>
      <c r="I117">
        <v>1</v>
      </c>
    </row>
    <row r="118" spans="1:9" x14ac:dyDescent="0.4">
      <c r="A118" t="s">
        <v>462</v>
      </c>
      <c r="B118" t="str">
        <f t="shared" si="2"/>
        <v>SYST-MOR-0007199.bam</v>
      </c>
      <c r="C118" t="s">
        <v>463</v>
      </c>
      <c r="D118" t="s">
        <v>2413</v>
      </c>
      <c r="E118" t="s">
        <v>2418</v>
      </c>
      <c r="F118" t="s">
        <v>2501</v>
      </c>
      <c r="G118" t="s">
        <v>143</v>
      </c>
      <c r="H118" t="str">
        <f t="shared" si="3"/>
        <v>bic</v>
      </c>
      <c r="I118">
        <v>1</v>
      </c>
    </row>
    <row r="119" spans="1:9" x14ac:dyDescent="0.4">
      <c r="A119" t="s">
        <v>465</v>
      </c>
      <c r="B119" t="str">
        <f t="shared" si="2"/>
        <v>SYST-MOR-0007200.bam</v>
      </c>
      <c r="C119" t="s">
        <v>466</v>
      </c>
      <c r="D119" t="s">
        <v>2413</v>
      </c>
      <c r="E119" t="s">
        <v>2418</v>
      </c>
      <c r="F119" t="s">
        <v>2501</v>
      </c>
      <c r="G119" t="s">
        <v>45</v>
      </c>
      <c r="H119" t="str">
        <f t="shared" si="3"/>
        <v>mac</v>
      </c>
      <c r="I119">
        <v>1</v>
      </c>
    </row>
    <row r="120" spans="1:9" x14ac:dyDescent="0.4">
      <c r="A120" t="s">
        <v>468</v>
      </c>
      <c r="B120" t="str">
        <f t="shared" si="2"/>
        <v>SYST-MOR-0007201.bam</v>
      </c>
      <c r="C120" t="s">
        <v>469</v>
      </c>
      <c r="D120" t="s">
        <v>2413</v>
      </c>
      <c r="E120" t="s">
        <v>2418</v>
      </c>
      <c r="F120" t="s">
        <v>2501</v>
      </c>
      <c r="G120" t="s">
        <v>64</v>
      </c>
      <c r="H120" t="str">
        <f t="shared" si="3"/>
        <v>alb</v>
      </c>
      <c r="I120">
        <v>1</v>
      </c>
    </row>
    <row r="121" spans="1:9" x14ac:dyDescent="0.4">
      <c r="A121" t="s">
        <v>471</v>
      </c>
      <c r="B121" t="str">
        <f t="shared" si="2"/>
        <v>SYST-MOR-0007202.bam</v>
      </c>
      <c r="C121" t="s">
        <v>472</v>
      </c>
      <c r="D121" t="s">
        <v>2413</v>
      </c>
      <c r="E121" t="s">
        <v>2418</v>
      </c>
      <c r="F121" t="s">
        <v>2501</v>
      </c>
      <c r="G121" t="s">
        <v>84</v>
      </c>
      <c r="H121" t="str">
        <f t="shared" si="3"/>
        <v>mue</v>
      </c>
      <c r="I121">
        <v>1</v>
      </c>
    </row>
    <row r="122" spans="1:9" x14ac:dyDescent="0.4">
      <c r="A122" t="s">
        <v>474</v>
      </c>
      <c r="B122" t="str">
        <f t="shared" si="2"/>
        <v>SYST-MOR-0007203.bam</v>
      </c>
      <c r="C122" t="s">
        <v>475</v>
      </c>
      <c r="D122" t="s">
        <v>2413</v>
      </c>
      <c r="E122" t="s">
        <v>2418</v>
      </c>
      <c r="F122" t="s">
        <v>2501</v>
      </c>
      <c r="G122" t="s">
        <v>84</v>
      </c>
      <c r="H122" t="str">
        <f t="shared" si="3"/>
        <v>mue</v>
      </c>
      <c r="I122">
        <v>1</v>
      </c>
    </row>
    <row r="123" spans="1:9" x14ac:dyDescent="0.4">
      <c r="A123" t="s">
        <v>477</v>
      </c>
      <c r="B123" t="str">
        <f t="shared" si="2"/>
        <v>SYST-MOR-0007204.bam</v>
      </c>
      <c r="C123" t="s">
        <v>478</v>
      </c>
      <c r="D123" t="s">
        <v>2413</v>
      </c>
      <c r="E123" t="s">
        <v>2418</v>
      </c>
      <c r="F123" t="s">
        <v>2501</v>
      </c>
      <c r="G123" t="s">
        <v>84</v>
      </c>
      <c r="H123" t="str">
        <f t="shared" si="3"/>
        <v>mue</v>
      </c>
      <c r="I123">
        <v>1</v>
      </c>
    </row>
    <row r="124" spans="1:9" x14ac:dyDescent="0.4">
      <c r="A124" t="s">
        <v>480</v>
      </c>
      <c r="B124" t="str">
        <f t="shared" si="2"/>
        <v>SYST-MOR-0007205.bam</v>
      </c>
      <c r="C124" t="s">
        <v>481</v>
      </c>
      <c r="D124" t="s">
        <v>2413</v>
      </c>
      <c r="E124" t="s">
        <v>2419</v>
      </c>
      <c r="F124" t="s">
        <v>2502</v>
      </c>
      <c r="G124" t="s">
        <v>84</v>
      </c>
      <c r="H124" t="str">
        <f t="shared" si="3"/>
        <v>mue</v>
      </c>
      <c r="I124">
        <v>1</v>
      </c>
    </row>
    <row r="125" spans="1:9" x14ac:dyDescent="0.4">
      <c r="A125" t="s">
        <v>485</v>
      </c>
      <c r="B125" t="str">
        <f t="shared" si="2"/>
        <v>SYST-MOR-0007206.bam</v>
      </c>
      <c r="C125" t="s">
        <v>486</v>
      </c>
      <c r="D125" t="s">
        <v>2413</v>
      </c>
      <c r="E125" t="s">
        <v>2419</v>
      </c>
      <c r="F125" t="s">
        <v>2502</v>
      </c>
      <c r="G125" t="s">
        <v>45</v>
      </c>
      <c r="H125" t="str">
        <f t="shared" si="3"/>
        <v>mac</v>
      </c>
      <c r="I125">
        <v>1</v>
      </c>
    </row>
    <row r="126" spans="1:9" x14ac:dyDescent="0.4">
      <c r="A126" t="s">
        <v>488</v>
      </c>
      <c r="B126" t="str">
        <f t="shared" si="2"/>
        <v>SYST-MOR-0007207.bam</v>
      </c>
      <c r="C126" t="s">
        <v>489</v>
      </c>
      <c r="D126" t="s">
        <v>2413</v>
      </c>
      <c r="E126" t="s">
        <v>2419</v>
      </c>
      <c r="F126" t="s">
        <v>2502</v>
      </c>
      <c r="G126" t="s">
        <v>45</v>
      </c>
      <c r="H126" t="str">
        <f t="shared" si="3"/>
        <v>mac</v>
      </c>
      <c r="I126">
        <v>1</v>
      </c>
    </row>
    <row r="127" spans="1:9" x14ac:dyDescent="0.4">
      <c r="A127" t="s">
        <v>491</v>
      </c>
      <c r="B127" t="str">
        <f t="shared" si="2"/>
        <v>SYST-MOR-0007208.bam</v>
      </c>
      <c r="C127" t="s">
        <v>492</v>
      </c>
      <c r="D127" t="s">
        <v>2413</v>
      </c>
      <c r="E127" t="s">
        <v>2419</v>
      </c>
      <c r="F127" t="s">
        <v>2502</v>
      </c>
      <c r="G127" t="s">
        <v>45</v>
      </c>
      <c r="H127" t="str">
        <f t="shared" si="3"/>
        <v>mac</v>
      </c>
      <c r="I127">
        <v>1</v>
      </c>
    </row>
    <row r="128" spans="1:9" x14ac:dyDescent="0.4">
      <c r="A128" t="s">
        <v>494</v>
      </c>
      <c r="B128" t="str">
        <f t="shared" si="2"/>
        <v>SYST-MOR-0007209.bam</v>
      </c>
      <c r="C128" t="s">
        <v>495</v>
      </c>
      <c r="D128" t="s">
        <v>2413</v>
      </c>
      <c r="E128" t="s">
        <v>2419</v>
      </c>
      <c r="F128" t="s">
        <v>2502</v>
      </c>
      <c r="G128" t="s">
        <v>84</v>
      </c>
      <c r="H128" t="str">
        <f t="shared" si="3"/>
        <v>mue</v>
      </c>
      <c r="I128">
        <v>1</v>
      </c>
    </row>
    <row r="129" spans="1:9" x14ac:dyDescent="0.4">
      <c r="A129" t="s">
        <v>497</v>
      </c>
      <c r="B129" t="str">
        <f t="shared" si="2"/>
        <v>SYST-MOR-0007210.bam</v>
      </c>
      <c r="C129" t="s">
        <v>498</v>
      </c>
      <c r="D129" t="s">
        <v>2413</v>
      </c>
      <c r="E129" t="s">
        <v>2419</v>
      </c>
      <c r="F129" t="s">
        <v>2502</v>
      </c>
      <c r="G129" t="s">
        <v>84</v>
      </c>
      <c r="H129" t="str">
        <f t="shared" si="3"/>
        <v>mue</v>
      </c>
      <c r="I129">
        <v>1</v>
      </c>
    </row>
    <row r="130" spans="1:9" x14ac:dyDescent="0.4">
      <c r="A130" t="s">
        <v>500</v>
      </c>
      <c r="B130" t="str">
        <f t="shared" ref="B130:B193" si="4">_xlfn.CONCAT(A130,".bam")</f>
        <v>SYST-MOR-0007211.bam</v>
      </c>
      <c r="C130" t="s">
        <v>501</v>
      </c>
      <c r="D130" t="s">
        <v>2413</v>
      </c>
      <c r="E130" t="s">
        <v>2419</v>
      </c>
      <c r="F130" t="s">
        <v>2502</v>
      </c>
      <c r="G130" t="s">
        <v>64</v>
      </c>
      <c r="H130" t="str">
        <f t="shared" si="3"/>
        <v>alb</v>
      </c>
      <c r="I130">
        <v>1</v>
      </c>
    </row>
    <row r="131" spans="1:9" x14ac:dyDescent="0.4">
      <c r="A131" t="s">
        <v>503</v>
      </c>
      <c r="B131" t="str">
        <f t="shared" si="4"/>
        <v>SYST-MOR-0007212.bam</v>
      </c>
      <c r="C131" t="s">
        <v>504</v>
      </c>
      <c r="D131" t="s">
        <v>2413</v>
      </c>
      <c r="E131" t="s">
        <v>2419</v>
      </c>
      <c r="F131" t="s">
        <v>2502</v>
      </c>
      <c r="G131" t="s">
        <v>143</v>
      </c>
      <c r="H131" t="str">
        <f t="shared" ref="H131:H194" si="5">IF(ISERROR(FIND("x",LEFT(G131,LEN(G131)-7),1)),RIGHT(LEFT(G131,11),3),G131)</f>
        <v>bic</v>
      </c>
      <c r="I131">
        <v>1</v>
      </c>
    </row>
    <row r="132" spans="1:9" x14ac:dyDescent="0.4">
      <c r="A132" t="s">
        <v>506</v>
      </c>
      <c r="B132" t="str">
        <f t="shared" si="4"/>
        <v>SYST-MOR-0007213.bam</v>
      </c>
      <c r="C132" t="s">
        <v>507</v>
      </c>
      <c r="D132" t="s">
        <v>2413</v>
      </c>
      <c r="E132" t="s">
        <v>2419</v>
      </c>
      <c r="F132" t="s">
        <v>2502</v>
      </c>
      <c r="G132" t="s">
        <v>143</v>
      </c>
      <c r="H132" t="str">
        <f t="shared" si="5"/>
        <v>bic</v>
      </c>
      <c r="I132">
        <v>1</v>
      </c>
    </row>
    <row r="133" spans="1:9" x14ac:dyDescent="0.4">
      <c r="A133" t="s">
        <v>509</v>
      </c>
      <c r="B133" t="str">
        <f t="shared" si="4"/>
        <v>SYST-MOR-0007214.bam</v>
      </c>
      <c r="C133" t="s">
        <v>510</v>
      </c>
      <c r="D133" t="s">
        <v>2413</v>
      </c>
      <c r="E133" t="s">
        <v>2419</v>
      </c>
      <c r="F133" t="s">
        <v>2502</v>
      </c>
      <c r="G133" t="s">
        <v>143</v>
      </c>
      <c r="H133" t="str">
        <f t="shared" si="5"/>
        <v>bic</v>
      </c>
      <c r="I133">
        <v>1</v>
      </c>
    </row>
    <row r="134" spans="1:9" x14ac:dyDescent="0.4">
      <c r="A134" t="s">
        <v>512</v>
      </c>
      <c r="B134" t="str">
        <f t="shared" si="4"/>
        <v>SYST-MOR-0007215.bam</v>
      </c>
      <c r="C134" t="s">
        <v>513</v>
      </c>
      <c r="D134" t="s">
        <v>2413</v>
      </c>
      <c r="E134" t="s">
        <v>2419</v>
      </c>
      <c r="F134" t="s">
        <v>2502</v>
      </c>
      <c r="G134" t="s">
        <v>84</v>
      </c>
      <c r="H134" t="str">
        <f t="shared" si="5"/>
        <v>mue</v>
      </c>
      <c r="I134">
        <v>1</v>
      </c>
    </row>
    <row r="135" spans="1:9" x14ac:dyDescent="0.4">
      <c r="A135" t="s">
        <v>515</v>
      </c>
      <c r="B135" t="str">
        <f t="shared" si="4"/>
        <v>SYST-MOR-0007216.bam</v>
      </c>
      <c r="C135" t="s">
        <v>516</v>
      </c>
      <c r="D135" t="s">
        <v>2413</v>
      </c>
      <c r="E135" t="s">
        <v>2419</v>
      </c>
      <c r="F135" t="s">
        <v>2502</v>
      </c>
      <c r="G135" t="s">
        <v>64</v>
      </c>
      <c r="H135" t="str">
        <f t="shared" si="5"/>
        <v>alb</v>
      </c>
      <c r="I135">
        <v>1</v>
      </c>
    </row>
    <row r="136" spans="1:9" x14ac:dyDescent="0.4">
      <c r="A136" t="s">
        <v>518</v>
      </c>
      <c r="B136" t="str">
        <f t="shared" si="4"/>
        <v>SYST-MOR-0007217.bam</v>
      </c>
      <c r="C136" t="s">
        <v>519</v>
      </c>
      <c r="D136" t="s">
        <v>2413</v>
      </c>
      <c r="E136" t="s">
        <v>2419</v>
      </c>
      <c r="F136" t="s">
        <v>2502</v>
      </c>
      <c r="G136" t="s">
        <v>64</v>
      </c>
      <c r="H136" t="str">
        <f t="shared" si="5"/>
        <v>alb</v>
      </c>
      <c r="I136">
        <v>1</v>
      </c>
    </row>
    <row r="137" spans="1:9" x14ac:dyDescent="0.4">
      <c r="A137" t="s">
        <v>521</v>
      </c>
      <c r="B137" t="str">
        <f t="shared" si="4"/>
        <v>SYST-MOR-0007218.bam</v>
      </c>
      <c r="C137" t="s">
        <v>522</v>
      </c>
      <c r="D137" t="s">
        <v>2413</v>
      </c>
      <c r="E137" t="s">
        <v>2419</v>
      </c>
      <c r="F137" t="s">
        <v>2502</v>
      </c>
      <c r="G137" t="s">
        <v>2624</v>
      </c>
      <c r="H137" t="s">
        <v>2631</v>
      </c>
      <c r="I137">
        <v>1</v>
      </c>
    </row>
    <row r="138" spans="1:9" x14ac:dyDescent="0.4">
      <c r="A138" t="s">
        <v>524</v>
      </c>
      <c r="B138" t="str">
        <f t="shared" si="4"/>
        <v>SYST-MOR-0007425.bam</v>
      </c>
      <c r="C138" t="s">
        <v>525</v>
      </c>
      <c r="D138" t="s">
        <v>2413</v>
      </c>
      <c r="E138" t="s">
        <v>2487</v>
      </c>
      <c r="F138" t="s">
        <v>2503</v>
      </c>
      <c r="G138" t="s">
        <v>45</v>
      </c>
      <c r="H138" t="str">
        <f t="shared" si="5"/>
        <v>mac</v>
      </c>
      <c r="I138">
        <v>1</v>
      </c>
    </row>
    <row r="139" spans="1:9" x14ac:dyDescent="0.4">
      <c r="A139" t="s">
        <v>530</v>
      </c>
      <c r="B139" t="str">
        <f t="shared" si="4"/>
        <v>SYST-MOR-0007426.bam</v>
      </c>
      <c r="C139" t="s">
        <v>531</v>
      </c>
      <c r="D139" t="s">
        <v>2413</v>
      </c>
      <c r="E139" t="s">
        <v>2487</v>
      </c>
      <c r="F139" t="s">
        <v>2503</v>
      </c>
      <c r="G139" t="s">
        <v>45</v>
      </c>
      <c r="H139" t="str">
        <f t="shared" si="5"/>
        <v>mac</v>
      </c>
      <c r="I139">
        <v>1</v>
      </c>
    </row>
    <row r="140" spans="1:9" x14ac:dyDescent="0.4">
      <c r="A140" t="s">
        <v>533</v>
      </c>
      <c r="B140" t="str">
        <f t="shared" si="4"/>
        <v>SYST-MOR-0007427.bam</v>
      </c>
      <c r="C140" t="s">
        <v>534</v>
      </c>
      <c r="D140" t="s">
        <v>2413</v>
      </c>
      <c r="E140" t="s">
        <v>2487</v>
      </c>
      <c r="F140" t="s">
        <v>2503</v>
      </c>
      <c r="G140" t="s">
        <v>45</v>
      </c>
      <c r="H140" t="str">
        <f t="shared" si="5"/>
        <v>mac</v>
      </c>
      <c r="I140">
        <v>1</v>
      </c>
    </row>
    <row r="141" spans="1:9" x14ac:dyDescent="0.4">
      <c r="A141" t="s">
        <v>536</v>
      </c>
      <c r="B141" t="str">
        <f t="shared" si="4"/>
        <v>SYST-MOR-0007428.bam</v>
      </c>
      <c r="C141" t="s">
        <v>537</v>
      </c>
      <c r="D141" t="s">
        <v>2413</v>
      </c>
      <c r="E141" t="s">
        <v>2487</v>
      </c>
      <c r="F141" t="s">
        <v>2503</v>
      </c>
      <c r="G141" t="s">
        <v>45</v>
      </c>
      <c r="H141" t="str">
        <f t="shared" si="5"/>
        <v>mac</v>
      </c>
      <c r="I141">
        <v>1</v>
      </c>
    </row>
    <row r="142" spans="1:9" x14ac:dyDescent="0.4">
      <c r="A142" t="s">
        <v>539</v>
      </c>
      <c r="B142" t="str">
        <f t="shared" si="4"/>
        <v>SYST-MOR-0007429.bam</v>
      </c>
      <c r="C142" t="s">
        <v>540</v>
      </c>
      <c r="D142" t="s">
        <v>2413</v>
      </c>
      <c r="E142" t="s">
        <v>2487</v>
      </c>
      <c r="F142" t="s">
        <v>2503</v>
      </c>
      <c r="G142" t="s">
        <v>45</v>
      </c>
      <c r="H142" t="str">
        <f t="shared" si="5"/>
        <v>mac</v>
      </c>
      <c r="I142">
        <v>1</v>
      </c>
    </row>
    <row r="143" spans="1:9" x14ac:dyDescent="0.4">
      <c r="A143" t="s">
        <v>542</v>
      </c>
      <c r="B143" t="str">
        <f t="shared" si="4"/>
        <v>SYST-MOR-0007430.bam</v>
      </c>
      <c r="C143" t="s">
        <v>543</v>
      </c>
      <c r="D143" t="s">
        <v>2413</v>
      </c>
      <c r="E143" t="s">
        <v>2487</v>
      </c>
      <c r="F143" t="s">
        <v>2503</v>
      </c>
      <c r="G143" t="s">
        <v>45</v>
      </c>
      <c r="H143" t="str">
        <f t="shared" si="5"/>
        <v>mac</v>
      </c>
      <c r="I143">
        <v>1</v>
      </c>
    </row>
    <row r="144" spans="1:9" x14ac:dyDescent="0.4">
      <c r="A144" t="s">
        <v>545</v>
      </c>
      <c r="B144" t="str">
        <f t="shared" si="4"/>
        <v>SYST-MOR-0007431.bam</v>
      </c>
      <c r="C144" t="s">
        <v>546</v>
      </c>
      <c r="D144" t="s">
        <v>2413</v>
      </c>
      <c r="E144" t="s">
        <v>2487</v>
      </c>
      <c r="F144" t="s">
        <v>2503</v>
      </c>
      <c r="G144" t="s">
        <v>45</v>
      </c>
      <c r="H144" t="str">
        <f t="shared" si="5"/>
        <v>mac</v>
      </c>
      <c r="I144">
        <v>1</v>
      </c>
    </row>
    <row r="145" spans="1:9" x14ac:dyDescent="0.4">
      <c r="A145" t="s">
        <v>548</v>
      </c>
      <c r="B145" t="str">
        <f t="shared" si="4"/>
        <v>SYST-MOR-0007432.bam</v>
      </c>
      <c r="C145" t="s">
        <v>549</v>
      </c>
      <c r="D145" t="s">
        <v>2413</v>
      </c>
      <c r="E145" t="s">
        <v>2487</v>
      </c>
      <c r="F145" t="s">
        <v>2503</v>
      </c>
      <c r="G145" t="s">
        <v>45</v>
      </c>
      <c r="H145" t="str">
        <f t="shared" si="5"/>
        <v>mac</v>
      </c>
      <c r="I145">
        <v>1</v>
      </c>
    </row>
    <row r="146" spans="1:9" x14ac:dyDescent="0.4">
      <c r="A146" t="s">
        <v>551</v>
      </c>
      <c r="B146" t="str">
        <f t="shared" si="4"/>
        <v>SYST-MOR-0007433.bam</v>
      </c>
      <c r="C146" t="s">
        <v>552</v>
      </c>
      <c r="D146" t="s">
        <v>2413</v>
      </c>
      <c r="E146" t="s">
        <v>2487</v>
      </c>
      <c r="F146" t="s">
        <v>2503</v>
      </c>
      <c r="G146" t="s">
        <v>45</v>
      </c>
      <c r="H146" t="str">
        <f t="shared" si="5"/>
        <v>mac</v>
      </c>
      <c r="I146">
        <v>1</v>
      </c>
    </row>
    <row r="147" spans="1:9" x14ac:dyDescent="0.4">
      <c r="A147" t="s">
        <v>554</v>
      </c>
      <c r="B147" t="str">
        <f t="shared" si="4"/>
        <v>SYST-MOR-0007434.bam</v>
      </c>
      <c r="C147" t="s">
        <v>555</v>
      </c>
      <c r="D147" t="s">
        <v>2413</v>
      </c>
      <c r="E147" t="s">
        <v>2487</v>
      </c>
      <c r="F147" t="s">
        <v>2503</v>
      </c>
      <c r="G147" t="s">
        <v>45</v>
      </c>
      <c r="H147" t="str">
        <f t="shared" si="5"/>
        <v>mac</v>
      </c>
      <c r="I147">
        <v>1</v>
      </c>
    </row>
    <row r="148" spans="1:9" x14ac:dyDescent="0.4">
      <c r="A148" t="s">
        <v>630</v>
      </c>
      <c r="B148" t="str">
        <f t="shared" si="4"/>
        <v>SYST-MOR-0007035.bam</v>
      </c>
      <c r="C148" t="s">
        <v>631</v>
      </c>
      <c r="D148" t="s">
        <v>2420</v>
      </c>
      <c r="E148" t="s">
        <v>2421</v>
      </c>
      <c r="F148" t="s">
        <v>2506</v>
      </c>
      <c r="G148" t="s">
        <v>632</v>
      </c>
      <c r="H148" t="str">
        <f t="shared" si="5"/>
        <v>pri</v>
      </c>
      <c r="I148">
        <v>1</v>
      </c>
    </row>
    <row r="149" spans="1:9" x14ac:dyDescent="0.4">
      <c r="A149" t="s">
        <v>637</v>
      </c>
      <c r="B149" t="str">
        <f t="shared" si="4"/>
        <v>SYST-MOR-0007036.bam</v>
      </c>
      <c r="C149" t="s">
        <v>638</v>
      </c>
      <c r="D149" t="s">
        <v>2420</v>
      </c>
      <c r="E149" t="s">
        <v>2421</v>
      </c>
      <c r="F149" t="s">
        <v>2506</v>
      </c>
      <c r="G149" t="s">
        <v>632</v>
      </c>
      <c r="H149" t="str">
        <f t="shared" si="5"/>
        <v>pri</v>
      </c>
      <c r="I149">
        <v>1</v>
      </c>
    </row>
    <row r="150" spans="1:9" x14ac:dyDescent="0.4">
      <c r="A150" t="s">
        <v>640</v>
      </c>
      <c r="B150" t="str">
        <f t="shared" si="4"/>
        <v>SYST-MOR-0007037.bam</v>
      </c>
      <c r="C150" t="s">
        <v>641</v>
      </c>
      <c r="D150" t="s">
        <v>2420</v>
      </c>
      <c r="E150" t="s">
        <v>2422</v>
      </c>
      <c r="F150" t="s">
        <v>2507</v>
      </c>
      <c r="G150" t="s">
        <v>45</v>
      </c>
      <c r="H150" t="str">
        <f t="shared" si="5"/>
        <v>mac</v>
      </c>
      <c r="I150">
        <v>1</v>
      </c>
    </row>
    <row r="151" spans="1:9" x14ac:dyDescent="0.4">
      <c r="A151" t="s">
        <v>645</v>
      </c>
      <c r="B151" t="str">
        <f t="shared" si="4"/>
        <v>SYST-MOR-0007038.bam</v>
      </c>
      <c r="C151" t="s">
        <v>646</v>
      </c>
      <c r="D151" t="s">
        <v>2420</v>
      </c>
      <c r="E151" t="s">
        <v>2422</v>
      </c>
      <c r="F151" t="s">
        <v>2507</v>
      </c>
      <c r="G151" t="s">
        <v>45</v>
      </c>
      <c r="H151" t="str">
        <f t="shared" si="5"/>
        <v>mac</v>
      </c>
      <c r="I151">
        <v>1</v>
      </c>
    </row>
    <row r="152" spans="1:9" x14ac:dyDescent="0.4">
      <c r="A152" t="s">
        <v>648</v>
      </c>
      <c r="B152" t="str">
        <f t="shared" si="4"/>
        <v>SYST-MOR-0007039.bam</v>
      </c>
      <c r="C152" t="s">
        <v>649</v>
      </c>
      <c r="D152" t="s">
        <v>2420</v>
      </c>
      <c r="E152" t="s">
        <v>2422</v>
      </c>
      <c r="F152" t="s">
        <v>2507</v>
      </c>
      <c r="G152" t="s">
        <v>84</v>
      </c>
      <c r="H152" t="str">
        <f t="shared" si="5"/>
        <v>mue</v>
      </c>
      <c r="I152">
        <v>1</v>
      </c>
    </row>
    <row r="153" spans="1:9" x14ac:dyDescent="0.4">
      <c r="A153" t="s">
        <v>651</v>
      </c>
      <c r="B153" t="str">
        <f t="shared" si="4"/>
        <v>SYST-MOR-0007040.bam</v>
      </c>
      <c r="C153" t="s">
        <v>652</v>
      </c>
      <c r="D153" t="s">
        <v>2420</v>
      </c>
      <c r="E153" t="s">
        <v>2422</v>
      </c>
      <c r="F153" t="s">
        <v>2507</v>
      </c>
      <c r="G153" t="s">
        <v>45</v>
      </c>
      <c r="H153" t="str">
        <f t="shared" si="5"/>
        <v>mac</v>
      </c>
      <c r="I153">
        <v>1</v>
      </c>
    </row>
    <row r="154" spans="1:9" x14ac:dyDescent="0.4">
      <c r="A154" t="s">
        <v>654</v>
      </c>
      <c r="B154" t="str">
        <f t="shared" si="4"/>
        <v>SYST-MOR-0007041.bam</v>
      </c>
      <c r="C154" t="s">
        <v>655</v>
      </c>
      <c r="D154" t="s">
        <v>2420</v>
      </c>
      <c r="E154" t="s">
        <v>2422</v>
      </c>
      <c r="F154" t="s">
        <v>2507</v>
      </c>
      <c r="G154" t="s">
        <v>84</v>
      </c>
      <c r="H154" t="str">
        <f t="shared" si="5"/>
        <v>mue</v>
      </c>
      <c r="I154">
        <v>1</v>
      </c>
    </row>
    <row r="155" spans="1:9" x14ac:dyDescent="0.4">
      <c r="A155" t="s">
        <v>657</v>
      </c>
      <c r="B155" t="str">
        <f t="shared" si="4"/>
        <v>SYST-MOR-0007042.bam</v>
      </c>
      <c r="C155" t="s">
        <v>658</v>
      </c>
      <c r="D155" t="s">
        <v>2420</v>
      </c>
      <c r="E155" t="s">
        <v>2422</v>
      </c>
      <c r="F155" t="s">
        <v>2507</v>
      </c>
      <c r="G155" t="s">
        <v>45</v>
      </c>
      <c r="H155" t="str">
        <f t="shared" si="5"/>
        <v>mac</v>
      </c>
      <c r="I155">
        <v>1</v>
      </c>
    </row>
    <row r="156" spans="1:9" x14ac:dyDescent="0.4">
      <c r="A156" t="s">
        <v>660</v>
      </c>
      <c r="B156" t="str">
        <f t="shared" si="4"/>
        <v>SYST-MOR-0007043.bam</v>
      </c>
      <c r="C156" t="s">
        <v>661</v>
      </c>
      <c r="D156" t="s">
        <v>2420</v>
      </c>
      <c r="E156" t="s">
        <v>2422</v>
      </c>
      <c r="F156" t="s">
        <v>2507</v>
      </c>
      <c r="G156" t="s">
        <v>84</v>
      </c>
      <c r="H156" t="str">
        <f t="shared" si="5"/>
        <v>mue</v>
      </c>
      <c r="I156">
        <v>1</v>
      </c>
    </row>
    <row r="157" spans="1:9" x14ac:dyDescent="0.4">
      <c r="A157" t="s">
        <v>663</v>
      </c>
      <c r="B157" t="str">
        <f t="shared" si="4"/>
        <v>SYST-MOR-0007044.bam</v>
      </c>
      <c r="C157" t="s">
        <v>664</v>
      </c>
      <c r="D157" t="s">
        <v>2420</v>
      </c>
      <c r="E157" t="s">
        <v>2422</v>
      </c>
      <c r="F157" t="s">
        <v>2507</v>
      </c>
      <c r="G157" t="s">
        <v>84</v>
      </c>
      <c r="H157" t="str">
        <f t="shared" si="5"/>
        <v>mue</v>
      </c>
      <c r="I157">
        <v>1</v>
      </c>
    </row>
    <row r="158" spans="1:9" x14ac:dyDescent="0.4">
      <c r="A158" t="s">
        <v>666</v>
      </c>
      <c r="B158" t="str">
        <f t="shared" si="4"/>
        <v>SYST-MOR-0007045.bam</v>
      </c>
      <c r="C158" t="s">
        <v>667</v>
      </c>
      <c r="D158" t="s">
        <v>2420</v>
      </c>
      <c r="E158" t="s">
        <v>2422</v>
      </c>
      <c r="F158" t="s">
        <v>2507</v>
      </c>
      <c r="G158" t="s">
        <v>45</v>
      </c>
      <c r="H158" t="str">
        <f t="shared" si="5"/>
        <v>mac</v>
      </c>
      <c r="I158">
        <v>1</v>
      </c>
    </row>
    <row r="159" spans="1:9" x14ac:dyDescent="0.4">
      <c r="A159" t="s">
        <v>669</v>
      </c>
      <c r="B159" t="str">
        <f t="shared" si="4"/>
        <v>SYST-MOR-0007046.bam</v>
      </c>
      <c r="C159" t="s">
        <v>670</v>
      </c>
      <c r="D159" t="s">
        <v>2420</v>
      </c>
      <c r="E159" t="s">
        <v>2422</v>
      </c>
      <c r="F159" t="s">
        <v>2507</v>
      </c>
      <c r="G159" t="s">
        <v>84</v>
      </c>
      <c r="H159" t="str">
        <f t="shared" si="5"/>
        <v>mue</v>
      </c>
      <c r="I159">
        <v>1</v>
      </c>
    </row>
    <row r="160" spans="1:9" x14ac:dyDescent="0.4">
      <c r="A160" t="s">
        <v>672</v>
      </c>
      <c r="B160" t="str">
        <f t="shared" si="4"/>
        <v>SYST-MOR-0007015.bam</v>
      </c>
      <c r="C160" t="s">
        <v>673</v>
      </c>
      <c r="D160" t="s">
        <v>2420</v>
      </c>
      <c r="E160" t="s">
        <v>2423</v>
      </c>
      <c r="F160" t="s">
        <v>2508</v>
      </c>
      <c r="G160" t="s">
        <v>84</v>
      </c>
      <c r="H160" t="str">
        <f t="shared" si="5"/>
        <v>mue</v>
      </c>
      <c r="I160">
        <v>1</v>
      </c>
    </row>
    <row r="161" spans="1:9" x14ac:dyDescent="0.4">
      <c r="A161" t="s">
        <v>676</v>
      </c>
      <c r="B161" t="str">
        <f t="shared" si="4"/>
        <v>SYST-MOR-0007016.bam</v>
      </c>
      <c r="C161" t="s">
        <v>677</v>
      </c>
      <c r="D161" t="s">
        <v>2420</v>
      </c>
      <c r="E161" t="s">
        <v>2423</v>
      </c>
      <c r="F161" t="s">
        <v>2508</v>
      </c>
      <c r="G161" t="s">
        <v>45</v>
      </c>
      <c r="H161" t="str">
        <f t="shared" si="5"/>
        <v>mac</v>
      </c>
      <c r="I161">
        <v>1</v>
      </c>
    </row>
    <row r="162" spans="1:9" x14ac:dyDescent="0.4">
      <c r="A162" t="s">
        <v>680</v>
      </c>
      <c r="B162" t="str">
        <f t="shared" si="4"/>
        <v>SYST-MOR-0007017.bam</v>
      </c>
      <c r="C162" t="s">
        <v>681</v>
      </c>
      <c r="D162" t="s">
        <v>2420</v>
      </c>
      <c r="E162" t="s">
        <v>2423</v>
      </c>
      <c r="F162" t="s">
        <v>2508</v>
      </c>
      <c r="G162" t="s">
        <v>84</v>
      </c>
      <c r="H162" t="str">
        <f t="shared" si="5"/>
        <v>mue</v>
      </c>
      <c r="I162">
        <v>1</v>
      </c>
    </row>
    <row r="163" spans="1:9" x14ac:dyDescent="0.4">
      <c r="A163" t="s">
        <v>683</v>
      </c>
      <c r="B163" t="str">
        <f t="shared" si="4"/>
        <v>SYST-MOR-0007018.bam</v>
      </c>
      <c r="C163" t="s">
        <v>684</v>
      </c>
      <c r="D163" t="s">
        <v>2420</v>
      </c>
      <c r="E163" t="s">
        <v>2423</v>
      </c>
      <c r="F163" t="s">
        <v>2508</v>
      </c>
      <c r="G163" t="s">
        <v>45</v>
      </c>
      <c r="H163" t="str">
        <f t="shared" si="5"/>
        <v>mac</v>
      </c>
      <c r="I163">
        <v>1</v>
      </c>
    </row>
    <row r="164" spans="1:9" x14ac:dyDescent="0.4">
      <c r="A164" t="s">
        <v>686</v>
      </c>
      <c r="B164" t="str">
        <f t="shared" si="4"/>
        <v>SYST-MOR-0007019.bam</v>
      </c>
      <c r="C164" t="s">
        <v>687</v>
      </c>
      <c r="D164" t="s">
        <v>2420</v>
      </c>
      <c r="E164" t="s">
        <v>2423</v>
      </c>
      <c r="F164" t="s">
        <v>2508</v>
      </c>
      <c r="G164" t="s">
        <v>50</v>
      </c>
      <c r="H164" t="str">
        <f t="shared" si="5"/>
        <v>ste</v>
      </c>
      <c r="I164">
        <v>1</v>
      </c>
    </row>
    <row r="165" spans="1:9" x14ac:dyDescent="0.4">
      <c r="A165" t="s">
        <v>689</v>
      </c>
      <c r="B165" t="str">
        <f t="shared" si="4"/>
        <v>SYST-MOR-0007020.bam</v>
      </c>
      <c r="C165" t="s">
        <v>690</v>
      </c>
      <c r="D165" t="s">
        <v>2420</v>
      </c>
      <c r="E165" t="s">
        <v>2423</v>
      </c>
      <c r="F165" t="s">
        <v>2508</v>
      </c>
      <c r="G165" t="s">
        <v>45</v>
      </c>
      <c r="H165" t="str">
        <f t="shared" si="5"/>
        <v>mac</v>
      </c>
      <c r="I165">
        <v>1</v>
      </c>
    </row>
    <row r="166" spans="1:9" x14ac:dyDescent="0.4">
      <c r="A166" t="s">
        <v>692</v>
      </c>
      <c r="B166" t="str">
        <f t="shared" si="4"/>
        <v>SYST-MOR-0007021.bam</v>
      </c>
      <c r="C166" t="s">
        <v>693</v>
      </c>
      <c r="D166" t="s">
        <v>2420</v>
      </c>
      <c r="E166" t="s">
        <v>2423</v>
      </c>
      <c r="F166" t="s">
        <v>2508</v>
      </c>
      <c r="G166" t="s">
        <v>84</v>
      </c>
      <c r="H166" t="str">
        <f t="shared" si="5"/>
        <v>mue</v>
      </c>
      <c r="I166">
        <v>1</v>
      </c>
    </row>
    <row r="167" spans="1:9" x14ac:dyDescent="0.4">
      <c r="A167" t="s">
        <v>695</v>
      </c>
      <c r="B167" t="str">
        <f t="shared" si="4"/>
        <v>SYST-MOR-0007022.bam</v>
      </c>
      <c r="C167" t="s">
        <v>696</v>
      </c>
      <c r="D167" t="s">
        <v>2420</v>
      </c>
      <c r="E167" t="s">
        <v>2423</v>
      </c>
      <c r="F167" t="s">
        <v>2508</v>
      </c>
      <c r="G167" t="s">
        <v>45</v>
      </c>
      <c r="H167" t="str">
        <f t="shared" si="5"/>
        <v>mac</v>
      </c>
      <c r="I167">
        <v>1</v>
      </c>
    </row>
    <row r="168" spans="1:9" x14ac:dyDescent="0.4">
      <c r="A168" t="s">
        <v>698</v>
      </c>
      <c r="B168" t="str">
        <f t="shared" si="4"/>
        <v>SYST-MOR-0007023.bam</v>
      </c>
      <c r="C168" t="s">
        <v>699</v>
      </c>
      <c r="D168" t="s">
        <v>2420</v>
      </c>
      <c r="E168" t="s">
        <v>2423</v>
      </c>
      <c r="F168" t="s">
        <v>2508</v>
      </c>
      <c r="G168" t="s">
        <v>84</v>
      </c>
      <c r="H168" t="str">
        <f t="shared" si="5"/>
        <v>mue</v>
      </c>
      <c r="I168">
        <v>1</v>
      </c>
    </row>
    <row r="169" spans="1:9" x14ac:dyDescent="0.4">
      <c r="A169" t="s">
        <v>701</v>
      </c>
      <c r="B169" t="str">
        <f t="shared" si="4"/>
        <v>SYST-MOR-0007024.bam</v>
      </c>
      <c r="C169" t="s">
        <v>702</v>
      </c>
      <c r="D169" t="s">
        <v>2420</v>
      </c>
      <c r="E169" t="s">
        <v>2423</v>
      </c>
      <c r="F169" t="s">
        <v>2508</v>
      </c>
      <c r="G169" t="s">
        <v>45</v>
      </c>
      <c r="H169" t="str">
        <f t="shared" si="5"/>
        <v>mac</v>
      </c>
      <c r="I169">
        <v>1</v>
      </c>
    </row>
    <row r="170" spans="1:9" x14ac:dyDescent="0.4">
      <c r="A170" t="s">
        <v>704</v>
      </c>
      <c r="B170" t="str">
        <f t="shared" si="4"/>
        <v>SYST-MOR-0007025.bam</v>
      </c>
      <c r="C170" t="s">
        <v>705</v>
      </c>
      <c r="D170" t="s">
        <v>2420</v>
      </c>
      <c r="E170" t="s">
        <v>2423</v>
      </c>
      <c r="F170" t="s">
        <v>2508</v>
      </c>
      <c r="G170" t="s">
        <v>84</v>
      </c>
      <c r="H170" t="str">
        <f t="shared" si="5"/>
        <v>mue</v>
      </c>
      <c r="I170">
        <v>1</v>
      </c>
    </row>
    <row r="171" spans="1:9" x14ac:dyDescent="0.4">
      <c r="A171" t="s">
        <v>707</v>
      </c>
      <c r="B171" t="str">
        <f t="shared" si="4"/>
        <v>SYST-MOR-0007026.bam</v>
      </c>
      <c r="C171" t="s">
        <v>708</v>
      </c>
      <c r="D171" t="s">
        <v>2420</v>
      </c>
      <c r="E171" t="s">
        <v>2423</v>
      </c>
      <c r="F171" t="s">
        <v>2508</v>
      </c>
      <c r="G171" t="s">
        <v>50</v>
      </c>
      <c r="H171" t="str">
        <f t="shared" si="5"/>
        <v>ste</v>
      </c>
      <c r="I171">
        <v>1</v>
      </c>
    </row>
    <row r="172" spans="1:9" x14ac:dyDescent="0.4">
      <c r="A172" t="s">
        <v>710</v>
      </c>
      <c r="B172" t="str">
        <f t="shared" si="4"/>
        <v>SYST-MOR-0007027.bam</v>
      </c>
      <c r="C172" t="s">
        <v>711</v>
      </c>
      <c r="D172" t="s">
        <v>2420</v>
      </c>
      <c r="E172" t="s">
        <v>2423</v>
      </c>
      <c r="F172" t="s">
        <v>2508</v>
      </c>
      <c r="G172" t="s">
        <v>50</v>
      </c>
      <c r="H172" t="str">
        <f t="shared" si="5"/>
        <v>ste</v>
      </c>
      <c r="I172">
        <v>1</v>
      </c>
    </row>
    <row r="173" spans="1:9" x14ac:dyDescent="0.4">
      <c r="A173" t="s">
        <v>713</v>
      </c>
      <c r="B173" t="str">
        <f t="shared" si="4"/>
        <v>SYST-MOR-0007028.bam</v>
      </c>
      <c r="C173" t="s">
        <v>714</v>
      </c>
      <c r="D173" t="s">
        <v>2420</v>
      </c>
      <c r="E173" t="s">
        <v>2423</v>
      </c>
      <c r="F173" t="s">
        <v>2508</v>
      </c>
      <c r="G173" t="s">
        <v>50</v>
      </c>
      <c r="H173" t="str">
        <f t="shared" si="5"/>
        <v>ste</v>
      </c>
      <c r="I173">
        <v>1</v>
      </c>
    </row>
    <row r="174" spans="1:9" x14ac:dyDescent="0.4">
      <c r="A174" t="s">
        <v>716</v>
      </c>
      <c r="B174" t="str">
        <f t="shared" si="4"/>
        <v>SYST-MOR-0007029.bam</v>
      </c>
      <c r="C174" t="s">
        <v>717</v>
      </c>
      <c r="D174" t="s">
        <v>2420</v>
      </c>
      <c r="E174" t="s">
        <v>2423</v>
      </c>
      <c r="F174" t="s">
        <v>2508</v>
      </c>
      <c r="G174" t="s">
        <v>50</v>
      </c>
      <c r="H174" t="str">
        <f t="shared" si="5"/>
        <v>ste</v>
      </c>
      <c r="I174">
        <v>1</v>
      </c>
    </row>
    <row r="175" spans="1:9" x14ac:dyDescent="0.4">
      <c r="A175" t="s">
        <v>719</v>
      </c>
      <c r="B175" t="str">
        <f t="shared" si="4"/>
        <v>SYST-MOR-0007030.bam</v>
      </c>
      <c r="C175" t="s">
        <v>720</v>
      </c>
      <c r="D175" t="s">
        <v>2420</v>
      </c>
      <c r="E175" t="s">
        <v>2423</v>
      </c>
      <c r="F175" t="s">
        <v>2508</v>
      </c>
      <c r="G175" t="s">
        <v>64</v>
      </c>
      <c r="H175" t="str">
        <f t="shared" si="5"/>
        <v>alb</v>
      </c>
      <c r="I175">
        <v>1</v>
      </c>
    </row>
    <row r="176" spans="1:9" x14ac:dyDescent="0.4">
      <c r="A176" t="s">
        <v>722</v>
      </c>
      <c r="B176" t="str">
        <f t="shared" si="4"/>
        <v>SYST-MOR-0007031.bam</v>
      </c>
      <c r="C176" t="s">
        <v>723</v>
      </c>
      <c r="D176" t="s">
        <v>2420</v>
      </c>
      <c r="E176" t="s">
        <v>2423</v>
      </c>
      <c r="F176" t="s">
        <v>2508</v>
      </c>
      <c r="G176" t="s">
        <v>64</v>
      </c>
      <c r="H176" t="str">
        <f t="shared" si="5"/>
        <v>alb</v>
      </c>
      <c r="I176">
        <v>1</v>
      </c>
    </row>
    <row r="177" spans="1:9" x14ac:dyDescent="0.4">
      <c r="A177" t="s">
        <v>725</v>
      </c>
      <c r="B177" t="str">
        <f t="shared" si="4"/>
        <v>SYST-MOR-0007032.bam</v>
      </c>
      <c r="C177" t="s">
        <v>726</v>
      </c>
      <c r="D177" t="s">
        <v>2420</v>
      </c>
      <c r="E177" t="s">
        <v>2423</v>
      </c>
      <c r="F177" t="s">
        <v>2508</v>
      </c>
      <c r="G177" t="s">
        <v>64</v>
      </c>
      <c r="H177" t="str">
        <f t="shared" si="5"/>
        <v>alb</v>
      </c>
      <c r="I177">
        <v>1</v>
      </c>
    </row>
    <row r="178" spans="1:9" x14ac:dyDescent="0.4">
      <c r="A178" t="s">
        <v>728</v>
      </c>
      <c r="B178" t="str">
        <f t="shared" si="4"/>
        <v>SYST-MOR-0007033.bam</v>
      </c>
      <c r="C178" t="s">
        <v>729</v>
      </c>
      <c r="D178" t="s">
        <v>2420</v>
      </c>
      <c r="E178" t="s">
        <v>2423</v>
      </c>
      <c r="F178" t="s">
        <v>2508</v>
      </c>
      <c r="G178" t="s">
        <v>64</v>
      </c>
      <c r="H178" t="str">
        <f t="shared" si="5"/>
        <v>alb</v>
      </c>
      <c r="I178">
        <v>1</v>
      </c>
    </row>
    <row r="179" spans="1:9" x14ac:dyDescent="0.4">
      <c r="A179" t="s">
        <v>731</v>
      </c>
      <c r="B179" t="str">
        <f t="shared" si="4"/>
        <v>SYST-MOR-0007034.bam</v>
      </c>
      <c r="C179" t="s">
        <v>732</v>
      </c>
      <c r="D179" t="s">
        <v>2420</v>
      </c>
      <c r="E179" t="s">
        <v>2423</v>
      </c>
      <c r="F179" t="s">
        <v>2508</v>
      </c>
      <c r="G179" t="s">
        <v>64</v>
      </c>
      <c r="H179" t="str">
        <f t="shared" si="5"/>
        <v>alb</v>
      </c>
      <c r="I179">
        <v>1</v>
      </c>
    </row>
    <row r="180" spans="1:9" x14ac:dyDescent="0.4">
      <c r="A180" t="s">
        <v>1223</v>
      </c>
      <c r="B180" t="str">
        <f t="shared" si="4"/>
        <v>SYST-MOR-0007393.bam</v>
      </c>
      <c r="C180" t="s">
        <v>1224</v>
      </c>
      <c r="D180" t="s">
        <v>2420</v>
      </c>
      <c r="E180" t="s">
        <v>2479</v>
      </c>
      <c r="F180" t="s">
        <v>2526</v>
      </c>
      <c r="G180" t="s">
        <v>45</v>
      </c>
      <c r="H180" t="str">
        <f t="shared" si="5"/>
        <v>mac</v>
      </c>
      <c r="I180">
        <v>1</v>
      </c>
    </row>
    <row r="181" spans="1:9" x14ac:dyDescent="0.4">
      <c r="A181" t="s">
        <v>1230</v>
      </c>
      <c r="B181" t="str">
        <f t="shared" si="4"/>
        <v>SYST-MOR-0007402.bam</v>
      </c>
      <c r="C181" t="s">
        <v>1231</v>
      </c>
      <c r="D181" t="s">
        <v>2420</v>
      </c>
      <c r="E181" t="s">
        <v>2479</v>
      </c>
      <c r="F181" t="s">
        <v>2526</v>
      </c>
      <c r="G181" t="s">
        <v>45</v>
      </c>
      <c r="H181" t="str">
        <f t="shared" si="5"/>
        <v>mac</v>
      </c>
      <c r="I181">
        <v>1</v>
      </c>
    </row>
    <row r="182" spans="1:9" x14ac:dyDescent="0.4">
      <c r="A182" t="s">
        <v>1233</v>
      </c>
      <c r="B182" t="str">
        <f t="shared" si="4"/>
        <v>SYST-MOR-0007394.bam</v>
      </c>
      <c r="C182" t="s">
        <v>1234</v>
      </c>
      <c r="D182" t="s">
        <v>2420</v>
      </c>
      <c r="E182" t="s">
        <v>2479</v>
      </c>
      <c r="F182" t="s">
        <v>2526</v>
      </c>
      <c r="G182" t="s">
        <v>45</v>
      </c>
      <c r="H182" t="str">
        <f t="shared" si="5"/>
        <v>mac</v>
      </c>
      <c r="I182">
        <v>1</v>
      </c>
    </row>
    <row r="183" spans="1:9" x14ac:dyDescent="0.4">
      <c r="A183" t="s">
        <v>1236</v>
      </c>
      <c r="B183" t="str">
        <f t="shared" si="4"/>
        <v>SYST-MOR-0007395.bam</v>
      </c>
      <c r="C183" t="s">
        <v>1237</v>
      </c>
      <c r="D183" t="s">
        <v>2420</v>
      </c>
      <c r="E183" t="s">
        <v>2479</v>
      </c>
      <c r="F183" t="s">
        <v>2526</v>
      </c>
      <c r="G183" t="s">
        <v>45</v>
      </c>
      <c r="H183" t="str">
        <f t="shared" si="5"/>
        <v>mac</v>
      </c>
      <c r="I183">
        <v>1</v>
      </c>
    </row>
    <row r="184" spans="1:9" x14ac:dyDescent="0.4">
      <c r="A184" t="s">
        <v>1239</v>
      </c>
      <c r="B184" t="str">
        <f t="shared" si="4"/>
        <v>SYST-MOR-0007396.bam</v>
      </c>
      <c r="C184" t="s">
        <v>1240</v>
      </c>
      <c r="D184" t="s">
        <v>2420</v>
      </c>
      <c r="E184" t="s">
        <v>2479</v>
      </c>
      <c r="F184" t="s">
        <v>2526</v>
      </c>
      <c r="G184" t="s">
        <v>45</v>
      </c>
      <c r="H184" t="str">
        <f t="shared" si="5"/>
        <v>mac</v>
      </c>
      <c r="I184">
        <v>1</v>
      </c>
    </row>
    <row r="185" spans="1:9" x14ac:dyDescent="0.4">
      <c r="A185" t="s">
        <v>1242</v>
      </c>
      <c r="B185" t="str">
        <f t="shared" si="4"/>
        <v>SYST-MOR-0007397.bam</v>
      </c>
      <c r="C185" t="s">
        <v>1243</v>
      </c>
      <c r="D185" t="s">
        <v>2420</v>
      </c>
      <c r="E185" t="s">
        <v>2479</v>
      </c>
      <c r="F185" t="s">
        <v>2526</v>
      </c>
      <c r="G185" t="s">
        <v>45</v>
      </c>
      <c r="H185" t="str">
        <f t="shared" si="5"/>
        <v>mac</v>
      </c>
      <c r="I185">
        <v>1</v>
      </c>
    </row>
    <row r="186" spans="1:9" x14ac:dyDescent="0.4">
      <c r="A186" t="s">
        <v>1245</v>
      </c>
      <c r="B186" t="str">
        <f t="shared" si="4"/>
        <v>SYST-MOR-0007398.bam</v>
      </c>
      <c r="C186" t="s">
        <v>1246</v>
      </c>
      <c r="D186" t="s">
        <v>2420</v>
      </c>
      <c r="E186" t="s">
        <v>2479</v>
      </c>
      <c r="F186" t="s">
        <v>2526</v>
      </c>
      <c r="G186" t="s">
        <v>45</v>
      </c>
      <c r="H186" t="str">
        <f t="shared" si="5"/>
        <v>mac</v>
      </c>
      <c r="I186">
        <v>1</v>
      </c>
    </row>
    <row r="187" spans="1:9" x14ac:dyDescent="0.4">
      <c r="A187" t="s">
        <v>1248</v>
      </c>
      <c r="B187" t="str">
        <f t="shared" si="4"/>
        <v>SYST-MOR-0007399.bam</v>
      </c>
      <c r="C187" t="s">
        <v>1249</v>
      </c>
      <c r="D187" t="s">
        <v>2420</v>
      </c>
      <c r="E187" t="s">
        <v>2479</v>
      </c>
      <c r="F187" t="s">
        <v>2526</v>
      </c>
      <c r="G187" t="s">
        <v>45</v>
      </c>
      <c r="H187" t="str">
        <f t="shared" si="5"/>
        <v>mac</v>
      </c>
      <c r="I187">
        <v>1</v>
      </c>
    </row>
    <row r="188" spans="1:9" x14ac:dyDescent="0.4">
      <c r="A188" t="s">
        <v>1251</v>
      </c>
      <c r="B188" t="str">
        <f t="shared" si="4"/>
        <v>SYST-MOR-0007400.bam</v>
      </c>
      <c r="C188" t="s">
        <v>1252</v>
      </c>
      <c r="D188" t="s">
        <v>2420</v>
      </c>
      <c r="E188" t="s">
        <v>2479</v>
      </c>
      <c r="F188" t="s">
        <v>2526</v>
      </c>
      <c r="G188" t="s">
        <v>45</v>
      </c>
      <c r="H188" t="str">
        <f t="shared" si="5"/>
        <v>mac</v>
      </c>
      <c r="I188">
        <v>1</v>
      </c>
    </row>
    <row r="189" spans="1:9" x14ac:dyDescent="0.4">
      <c r="A189" t="s">
        <v>1254</v>
      </c>
      <c r="B189" t="str">
        <f t="shared" si="4"/>
        <v>SYST-MOR-0007401.bam</v>
      </c>
      <c r="C189" t="s">
        <v>1255</v>
      </c>
      <c r="D189" t="s">
        <v>2420</v>
      </c>
      <c r="E189" t="s">
        <v>2479</v>
      </c>
      <c r="F189" t="s">
        <v>2526</v>
      </c>
      <c r="G189" t="s">
        <v>45</v>
      </c>
      <c r="H189" t="str">
        <f t="shared" si="5"/>
        <v>mac</v>
      </c>
      <c r="I189">
        <v>1</v>
      </c>
    </row>
    <row r="190" spans="1:9" x14ac:dyDescent="0.4">
      <c r="A190" t="s">
        <v>2080</v>
      </c>
      <c r="B190" t="str">
        <f t="shared" si="4"/>
        <v>SYST-MOR-0007403.bam</v>
      </c>
      <c r="C190" t="s">
        <v>2081</v>
      </c>
      <c r="D190" t="s">
        <v>2420</v>
      </c>
      <c r="E190" t="s">
        <v>2485</v>
      </c>
      <c r="F190" t="s">
        <v>2548</v>
      </c>
      <c r="G190" t="s">
        <v>45</v>
      </c>
      <c r="H190" t="str">
        <f t="shared" si="5"/>
        <v>mac</v>
      </c>
      <c r="I190">
        <v>1</v>
      </c>
    </row>
    <row r="191" spans="1:9" x14ac:dyDescent="0.4">
      <c r="A191" t="s">
        <v>2086</v>
      </c>
      <c r="B191" t="str">
        <f t="shared" si="4"/>
        <v>SYST-MOR-0007404.bam</v>
      </c>
      <c r="C191" t="s">
        <v>2087</v>
      </c>
      <c r="D191" t="s">
        <v>2420</v>
      </c>
      <c r="E191" t="s">
        <v>2485</v>
      </c>
      <c r="F191" t="s">
        <v>2548</v>
      </c>
      <c r="G191" t="s">
        <v>45</v>
      </c>
      <c r="H191" t="str">
        <f t="shared" si="5"/>
        <v>mac</v>
      </c>
      <c r="I191">
        <v>1</v>
      </c>
    </row>
    <row r="192" spans="1:9" x14ac:dyDescent="0.4">
      <c r="A192" t="s">
        <v>2089</v>
      </c>
      <c r="B192" t="str">
        <f t="shared" si="4"/>
        <v>SYST-MOR-0007405.bam</v>
      </c>
      <c r="C192" t="s">
        <v>2090</v>
      </c>
      <c r="D192" t="s">
        <v>2420</v>
      </c>
      <c r="E192" t="s">
        <v>2485</v>
      </c>
      <c r="F192" t="s">
        <v>2548</v>
      </c>
      <c r="G192" t="s">
        <v>45</v>
      </c>
      <c r="H192" t="str">
        <f t="shared" si="5"/>
        <v>mac</v>
      </c>
      <c r="I192">
        <v>1</v>
      </c>
    </row>
    <row r="193" spans="1:9" x14ac:dyDescent="0.4">
      <c r="A193" t="s">
        <v>2092</v>
      </c>
      <c r="B193" t="str">
        <f t="shared" si="4"/>
        <v>SYST-MOR-0007406.bam</v>
      </c>
      <c r="C193" t="s">
        <v>2093</v>
      </c>
      <c r="D193" t="s">
        <v>2420</v>
      </c>
      <c r="E193" t="s">
        <v>2485</v>
      </c>
      <c r="F193" t="s">
        <v>2548</v>
      </c>
      <c r="G193" t="s">
        <v>45</v>
      </c>
      <c r="H193" t="str">
        <f t="shared" si="5"/>
        <v>mac</v>
      </c>
      <c r="I193">
        <v>1</v>
      </c>
    </row>
    <row r="194" spans="1:9" x14ac:dyDescent="0.4">
      <c r="A194" t="s">
        <v>2095</v>
      </c>
      <c r="B194" t="str">
        <f t="shared" ref="B194:B257" si="6">_xlfn.CONCAT(A194,".bam")</f>
        <v>SYST-MOR-0007407.bam</v>
      </c>
      <c r="C194" t="s">
        <v>2096</v>
      </c>
      <c r="D194" t="s">
        <v>2420</v>
      </c>
      <c r="E194" t="s">
        <v>2485</v>
      </c>
      <c r="F194" t="s">
        <v>2548</v>
      </c>
      <c r="G194" t="s">
        <v>45</v>
      </c>
      <c r="H194" t="str">
        <f t="shared" si="5"/>
        <v>mac</v>
      </c>
      <c r="I194">
        <v>1</v>
      </c>
    </row>
    <row r="195" spans="1:9" x14ac:dyDescent="0.4">
      <c r="A195" t="s">
        <v>2098</v>
      </c>
      <c r="B195" t="str">
        <f t="shared" si="6"/>
        <v>SYST-MOR-0007408.bam</v>
      </c>
      <c r="C195" t="s">
        <v>2099</v>
      </c>
      <c r="D195" t="s">
        <v>2420</v>
      </c>
      <c r="E195" t="s">
        <v>2485</v>
      </c>
      <c r="F195" t="s">
        <v>2548</v>
      </c>
      <c r="G195" t="s">
        <v>45</v>
      </c>
      <c r="H195" t="str">
        <f t="shared" ref="H195:H258" si="7">IF(ISERROR(FIND("x",LEFT(G195,LEN(G195)-7),1)),RIGHT(LEFT(G195,11),3),G195)</f>
        <v>mac</v>
      </c>
      <c r="I195">
        <v>1</v>
      </c>
    </row>
    <row r="196" spans="1:9" x14ac:dyDescent="0.4">
      <c r="A196" t="s">
        <v>734</v>
      </c>
      <c r="B196" t="str">
        <f t="shared" si="6"/>
        <v>SYST-MOR-0006907.bam</v>
      </c>
      <c r="C196" t="s">
        <v>735</v>
      </c>
      <c r="D196" t="s">
        <v>2424</v>
      </c>
      <c r="E196" t="s">
        <v>2425</v>
      </c>
      <c r="F196" t="s">
        <v>2509</v>
      </c>
      <c r="G196" t="s">
        <v>45</v>
      </c>
      <c r="H196" t="str">
        <f t="shared" si="7"/>
        <v>mac</v>
      </c>
      <c r="I196">
        <v>1</v>
      </c>
    </row>
    <row r="197" spans="1:9" x14ac:dyDescent="0.4">
      <c r="A197" t="s">
        <v>741</v>
      </c>
      <c r="B197" t="str">
        <f t="shared" si="6"/>
        <v>SYST-MOR-0006908.bam</v>
      </c>
      <c r="C197" t="s">
        <v>742</v>
      </c>
      <c r="D197" t="s">
        <v>2424</v>
      </c>
      <c r="E197" t="s">
        <v>2425</v>
      </c>
      <c r="F197" t="s">
        <v>2509</v>
      </c>
      <c r="G197" t="s">
        <v>45</v>
      </c>
      <c r="H197" t="str">
        <f t="shared" si="7"/>
        <v>mac</v>
      </c>
      <c r="I197">
        <v>1</v>
      </c>
    </row>
    <row r="198" spans="1:9" x14ac:dyDescent="0.4">
      <c r="A198" t="s">
        <v>744</v>
      </c>
      <c r="B198" t="str">
        <f t="shared" si="6"/>
        <v>SYST-MOR-0006909.bam</v>
      </c>
      <c r="C198" t="s">
        <v>745</v>
      </c>
      <c r="D198" t="s">
        <v>2424</v>
      </c>
      <c r="E198" t="s">
        <v>2425</v>
      </c>
      <c r="F198" t="s">
        <v>2509</v>
      </c>
      <c r="G198" t="s">
        <v>45</v>
      </c>
      <c r="H198" t="str">
        <f t="shared" si="7"/>
        <v>mac</v>
      </c>
      <c r="I198">
        <v>1</v>
      </c>
    </row>
    <row r="199" spans="1:9" x14ac:dyDescent="0.4">
      <c r="A199" t="s">
        <v>747</v>
      </c>
      <c r="B199" t="str">
        <f t="shared" si="6"/>
        <v>SYST-MOR-0006910.bam</v>
      </c>
      <c r="C199" t="s">
        <v>748</v>
      </c>
      <c r="D199" t="s">
        <v>2424</v>
      </c>
      <c r="E199" t="s">
        <v>2425</v>
      </c>
      <c r="F199" t="s">
        <v>2509</v>
      </c>
      <c r="G199" t="s">
        <v>84</v>
      </c>
      <c r="H199" t="str">
        <f t="shared" si="7"/>
        <v>mue</v>
      </c>
      <c r="I199">
        <v>1</v>
      </c>
    </row>
    <row r="200" spans="1:9" x14ac:dyDescent="0.4">
      <c r="A200" t="s">
        <v>750</v>
      </c>
      <c r="B200" t="str">
        <f t="shared" si="6"/>
        <v>SYST-MOR-0006911.bam</v>
      </c>
      <c r="C200" t="s">
        <v>751</v>
      </c>
      <c r="D200" t="s">
        <v>2424</v>
      </c>
      <c r="E200" t="s">
        <v>2425</v>
      </c>
      <c r="F200" t="s">
        <v>2509</v>
      </c>
      <c r="G200" t="s">
        <v>45</v>
      </c>
      <c r="H200" t="str">
        <f t="shared" si="7"/>
        <v>mac</v>
      </c>
      <c r="I200">
        <v>1</v>
      </c>
    </row>
    <row r="201" spans="1:9" x14ac:dyDescent="0.4">
      <c r="A201" t="s">
        <v>753</v>
      </c>
      <c r="B201" t="str">
        <f t="shared" si="6"/>
        <v>SYST-MOR-0006912.bam</v>
      </c>
      <c r="C201" t="s">
        <v>754</v>
      </c>
      <c r="D201" t="s">
        <v>2424</v>
      </c>
      <c r="E201" t="s">
        <v>2425</v>
      </c>
      <c r="F201" t="s">
        <v>2509</v>
      </c>
      <c r="G201" t="s">
        <v>45</v>
      </c>
      <c r="H201" t="str">
        <f t="shared" si="7"/>
        <v>mac</v>
      </c>
      <c r="I201">
        <v>1</v>
      </c>
    </row>
    <row r="202" spans="1:9" x14ac:dyDescent="0.4">
      <c r="A202" t="s">
        <v>756</v>
      </c>
      <c r="B202" t="str">
        <f t="shared" si="6"/>
        <v>SYST-MOR-0006913.bam</v>
      </c>
      <c r="C202" t="s">
        <v>757</v>
      </c>
      <c r="D202" t="s">
        <v>2424</v>
      </c>
      <c r="E202" t="s">
        <v>2425</v>
      </c>
      <c r="F202" t="s">
        <v>2509</v>
      </c>
      <c r="G202" t="s">
        <v>84</v>
      </c>
      <c r="H202" t="str">
        <f t="shared" si="7"/>
        <v>mue</v>
      </c>
      <c r="I202">
        <v>1</v>
      </c>
    </row>
    <row r="203" spans="1:9" x14ac:dyDescent="0.4">
      <c r="A203" t="s">
        <v>759</v>
      </c>
      <c r="B203" t="str">
        <f t="shared" si="6"/>
        <v>SYST-MOR-0006914.bam</v>
      </c>
      <c r="C203" t="s">
        <v>760</v>
      </c>
      <c r="D203" t="s">
        <v>2424</v>
      </c>
      <c r="E203" t="s">
        <v>2425</v>
      </c>
      <c r="F203" t="s">
        <v>2509</v>
      </c>
      <c r="G203" t="s">
        <v>84</v>
      </c>
      <c r="H203" t="str">
        <f t="shared" si="7"/>
        <v>mue</v>
      </c>
      <c r="I203">
        <v>1</v>
      </c>
    </row>
    <row r="204" spans="1:9" x14ac:dyDescent="0.4">
      <c r="A204" t="s">
        <v>762</v>
      </c>
      <c r="B204" t="str">
        <f t="shared" si="6"/>
        <v>SYST-MOR-0006915.bam</v>
      </c>
      <c r="C204" t="s">
        <v>763</v>
      </c>
      <c r="D204" t="s">
        <v>2424</v>
      </c>
      <c r="E204" t="s">
        <v>2425</v>
      </c>
      <c r="F204" t="s">
        <v>2509</v>
      </c>
      <c r="G204" t="s">
        <v>84</v>
      </c>
      <c r="H204" t="str">
        <f t="shared" si="7"/>
        <v>mue</v>
      </c>
      <c r="I204">
        <v>1</v>
      </c>
    </row>
    <row r="205" spans="1:9" x14ac:dyDescent="0.4">
      <c r="A205" t="s">
        <v>765</v>
      </c>
      <c r="B205" t="str">
        <f t="shared" si="6"/>
        <v>SYST-MOR-0006916.bam</v>
      </c>
      <c r="C205" t="s">
        <v>766</v>
      </c>
      <c r="D205" t="s">
        <v>2424</v>
      </c>
      <c r="E205" t="s">
        <v>2425</v>
      </c>
      <c r="F205" t="s">
        <v>2509</v>
      </c>
      <c r="G205" t="s">
        <v>84</v>
      </c>
      <c r="H205" t="str">
        <f t="shared" si="7"/>
        <v>mue</v>
      </c>
      <c r="I205">
        <v>1</v>
      </c>
    </row>
    <row r="206" spans="1:9" x14ac:dyDescent="0.4">
      <c r="A206" t="s">
        <v>768</v>
      </c>
      <c r="B206" t="str">
        <f t="shared" si="6"/>
        <v>SYST-MOR-0006897.bam</v>
      </c>
      <c r="C206" t="s">
        <v>769</v>
      </c>
      <c r="D206" t="s">
        <v>2424</v>
      </c>
      <c r="E206" t="s">
        <v>2426</v>
      </c>
      <c r="F206" t="s">
        <v>2510</v>
      </c>
      <c r="G206" t="s">
        <v>45</v>
      </c>
      <c r="H206" t="str">
        <f t="shared" si="7"/>
        <v>mac</v>
      </c>
      <c r="I206">
        <v>1</v>
      </c>
    </row>
    <row r="207" spans="1:9" x14ac:dyDescent="0.4">
      <c r="A207" t="s">
        <v>773</v>
      </c>
      <c r="B207" t="str">
        <f t="shared" si="6"/>
        <v>SYST-MOR-0006898.bam</v>
      </c>
      <c r="C207" t="s">
        <v>774</v>
      </c>
      <c r="D207" t="s">
        <v>2424</v>
      </c>
      <c r="E207" t="s">
        <v>2426</v>
      </c>
      <c r="F207" t="s">
        <v>2510</v>
      </c>
      <c r="G207" t="s">
        <v>84</v>
      </c>
      <c r="H207" t="str">
        <f t="shared" si="7"/>
        <v>mue</v>
      </c>
      <c r="I207">
        <v>1</v>
      </c>
    </row>
    <row r="208" spans="1:9" x14ac:dyDescent="0.4">
      <c r="A208" t="s">
        <v>776</v>
      </c>
      <c r="B208" t="str">
        <f t="shared" si="6"/>
        <v>SYST-MOR-0006899.bam</v>
      </c>
      <c r="C208" t="s">
        <v>777</v>
      </c>
      <c r="D208" t="s">
        <v>2424</v>
      </c>
      <c r="E208" t="s">
        <v>2426</v>
      </c>
      <c r="F208" t="s">
        <v>2510</v>
      </c>
      <c r="G208" t="s">
        <v>45</v>
      </c>
      <c r="H208" t="str">
        <f t="shared" si="7"/>
        <v>mac</v>
      </c>
      <c r="I208">
        <v>1</v>
      </c>
    </row>
    <row r="209" spans="1:9" x14ac:dyDescent="0.4">
      <c r="A209" t="s">
        <v>779</v>
      </c>
      <c r="B209" t="str">
        <f t="shared" si="6"/>
        <v>SYST-MOR-0006900.bam</v>
      </c>
      <c r="C209" t="s">
        <v>780</v>
      </c>
      <c r="D209" t="s">
        <v>2424</v>
      </c>
      <c r="E209" t="s">
        <v>2426</v>
      </c>
      <c r="F209" t="s">
        <v>2510</v>
      </c>
      <c r="G209" t="s">
        <v>84</v>
      </c>
      <c r="H209" t="str">
        <f t="shared" si="7"/>
        <v>mue</v>
      </c>
      <c r="I209">
        <v>1</v>
      </c>
    </row>
    <row r="210" spans="1:9" x14ac:dyDescent="0.4">
      <c r="A210" t="s">
        <v>782</v>
      </c>
      <c r="B210" t="str">
        <f t="shared" si="6"/>
        <v>SYST-MOR-0006901.bam</v>
      </c>
      <c r="C210" t="s">
        <v>783</v>
      </c>
      <c r="D210" t="s">
        <v>2424</v>
      </c>
      <c r="E210" t="s">
        <v>2426</v>
      </c>
      <c r="F210" t="s">
        <v>2510</v>
      </c>
      <c r="G210" t="s">
        <v>84</v>
      </c>
      <c r="H210" t="str">
        <f t="shared" si="7"/>
        <v>mue</v>
      </c>
      <c r="I210">
        <v>1</v>
      </c>
    </row>
    <row r="211" spans="1:9" x14ac:dyDescent="0.4">
      <c r="A211" t="s">
        <v>785</v>
      </c>
      <c r="B211" t="str">
        <f t="shared" si="6"/>
        <v>SYST-MOR-0006902.bam</v>
      </c>
      <c r="C211" t="s">
        <v>786</v>
      </c>
      <c r="D211" t="s">
        <v>2424</v>
      </c>
      <c r="E211" t="s">
        <v>2426</v>
      </c>
      <c r="F211" t="s">
        <v>2510</v>
      </c>
      <c r="G211" t="s">
        <v>84</v>
      </c>
      <c r="H211" t="str">
        <f t="shared" si="7"/>
        <v>mue</v>
      </c>
      <c r="I211">
        <v>1</v>
      </c>
    </row>
    <row r="212" spans="1:9" x14ac:dyDescent="0.4">
      <c r="A212" t="s">
        <v>788</v>
      </c>
      <c r="B212" t="str">
        <f t="shared" si="6"/>
        <v>SYST-MOR-0006903.bam</v>
      </c>
      <c r="C212" t="s">
        <v>789</v>
      </c>
      <c r="D212" t="s">
        <v>2424</v>
      </c>
      <c r="E212" t="s">
        <v>2426</v>
      </c>
      <c r="F212" t="s">
        <v>2510</v>
      </c>
      <c r="G212" t="s">
        <v>45</v>
      </c>
      <c r="H212" t="str">
        <f t="shared" si="7"/>
        <v>mac</v>
      </c>
      <c r="I212">
        <v>1</v>
      </c>
    </row>
    <row r="213" spans="1:9" x14ac:dyDescent="0.4">
      <c r="A213" t="s">
        <v>791</v>
      </c>
      <c r="B213" t="str">
        <f t="shared" si="6"/>
        <v>SYST-MOR-0006904.bam</v>
      </c>
      <c r="C213" t="s">
        <v>792</v>
      </c>
      <c r="D213" t="s">
        <v>2424</v>
      </c>
      <c r="E213" t="s">
        <v>2426</v>
      </c>
      <c r="F213" t="s">
        <v>2510</v>
      </c>
      <c r="G213" t="s">
        <v>45</v>
      </c>
      <c r="H213" t="str">
        <f t="shared" si="7"/>
        <v>mac</v>
      </c>
      <c r="I213">
        <v>1</v>
      </c>
    </row>
    <row r="214" spans="1:9" x14ac:dyDescent="0.4">
      <c r="A214" t="s">
        <v>794</v>
      </c>
      <c r="B214" t="str">
        <f t="shared" si="6"/>
        <v>SYST-MOR-0006905.bam</v>
      </c>
      <c r="C214" t="s">
        <v>795</v>
      </c>
      <c r="D214" t="s">
        <v>2424</v>
      </c>
      <c r="E214" t="s">
        <v>2426</v>
      </c>
      <c r="F214" t="s">
        <v>2510</v>
      </c>
      <c r="G214" t="s">
        <v>84</v>
      </c>
      <c r="H214" t="str">
        <f t="shared" si="7"/>
        <v>mue</v>
      </c>
      <c r="I214">
        <v>1</v>
      </c>
    </row>
    <row r="215" spans="1:9" x14ac:dyDescent="0.4">
      <c r="A215" t="s">
        <v>797</v>
      </c>
      <c r="B215" t="str">
        <f t="shared" si="6"/>
        <v>SYST-MOR-0006906.bam</v>
      </c>
      <c r="C215" t="s">
        <v>798</v>
      </c>
      <c r="D215" t="s">
        <v>2424</v>
      </c>
      <c r="E215" t="s">
        <v>2426</v>
      </c>
      <c r="F215" t="s">
        <v>2510</v>
      </c>
      <c r="G215" t="s">
        <v>45</v>
      </c>
      <c r="H215" t="str">
        <f t="shared" si="7"/>
        <v>mac</v>
      </c>
      <c r="I215">
        <v>1</v>
      </c>
    </row>
    <row r="216" spans="1:9" x14ac:dyDescent="0.4">
      <c r="A216" t="s">
        <v>800</v>
      </c>
      <c r="B216" t="str">
        <f t="shared" si="6"/>
        <v>SYST-MOR-0006894.bam</v>
      </c>
      <c r="C216" t="s">
        <v>801</v>
      </c>
      <c r="D216" t="s">
        <v>2424</v>
      </c>
      <c r="E216" t="s">
        <v>2427</v>
      </c>
      <c r="F216" t="s">
        <v>2511</v>
      </c>
      <c r="G216" t="s">
        <v>45</v>
      </c>
      <c r="H216" t="str">
        <f t="shared" si="7"/>
        <v>mac</v>
      </c>
      <c r="I216">
        <v>1</v>
      </c>
    </row>
    <row r="217" spans="1:9" x14ac:dyDescent="0.4">
      <c r="A217" t="s">
        <v>804</v>
      </c>
      <c r="B217" t="str">
        <f t="shared" si="6"/>
        <v>SYST-MOR-0006895.bam</v>
      </c>
      <c r="C217" t="s">
        <v>805</v>
      </c>
      <c r="D217" t="s">
        <v>2424</v>
      </c>
      <c r="E217" t="s">
        <v>2427</v>
      </c>
      <c r="F217" t="s">
        <v>2511</v>
      </c>
      <c r="G217" t="s">
        <v>84</v>
      </c>
      <c r="H217" t="str">
        <f t="shared" si="7"/>
        <v>mue</v>
      </c>
      <c r="I217">
        <v>1</v>
      </c>
    </row>
    <row r="218" spans="1:9" x14ac:dyDescent="0.4">
      <c r="A218" t="s">
        <v>807</v>
      </c>
      <c r="B218" t="str">
        <f t="shared" si="6"/>
        <v>SYST-MOR-0006896.bam</v>
      </c>
      <c r="C218" t="s">
        <v>808</v>
      </c>
      <c r="D218" t="s">
        <v>2424</v>
      </c>
      <c r="E218" t="s">
        <v>2427</v>
      </c>
      <c r="F218" t="s">
        <v>2511</v>
      </c>
      <c r="G218" t="s">
        <v>84</v>
      </c>
      <c r="H218" t="str">
        <f t="shared" si="7"/>
        <v>mue</v>
      </c>
      <c r="I218">
        <v>1</v>
      </c>
    </row>
    <row r="219" spans="1:9" x14ac:dyDescent="0.4">
      <c r="A219" t="s">
        <v>810</v>
      </c>
      <c r="B219" t="str">
        <f t="shared" si="6"/>
        <v>SYST-MOR-0006932.bam</v>
      </c>
      <c r="C219" t="s">
        <v>811</v>
      </c>
      <c r="D219" t="s">
        <v>2424</v>
      </c>
      <c r="E219" t="s">
        <v>2428</v>
      </c>
      <c r="F219" t="s">
        <v>2512</v>
      </c>
      <c r="G219" t="s">
        <v>45</v>
      </c>
      <c r="H219" t="str">
        <f t="shared" si="7"/>
        <v>mac</v>
      </c>
      <c r="I219">
        <v>1</v>
      </c>
    </row>
    <row r="220" spans="1:9" x14ac:dyDescent="0.4">
      <c r="A220" t="s">
        <v>817</v>
      </c>
      <c r="B220" t="str">
        <f t="shared" si="6"/>
        <v>SYST-MOR-0006933.bam</v>
      </c>
      <c r="C220" t="s">
        <v>818</v>
      </c>
      <c r="D220" t="s">
        <v>2424</v>
      </c>
      <c r="E220" t="s">
        <v>2428</v>
      </c>
      <c r="F220" t="s">
        <v>2512</v>
      </c>
      <c r="G220" t="s">
        <v>45</v>
      </c>
      <c r="H220" t="str">
        <f t="shared" si="7"/>
        <v>mac</v>
      </c>
      <c r="I220">
        <v>1</v>
      </c>
    </row>
    <row r="221" spans="1:9" x14ac:dyDescent="0.4">
      <c r="A221" t="s">
        <v>820</v>
      </c>
      <c r="B221" t="str">
        <f t="shared" si="6"/>
        <v>SYST-MOR-0006934.bam</v>
      </c>
      <c r="C221" t="s">
        <v>821</v>
      </c>
      <c r="D221" t="s">
        <v>2424</v>
      </c>
      <c r="E221" t="s">
        <v>2428</v>
      </c>
      <c r="F221" t="s">
        <v>2512</v>
      </c>
      <c r="G221" t="s">
        <v>45</v>
      </c>
      <c r="H221" t="str">
        <f t="shared" si="7"/>
        <v>mac</v>
      </c>
      <c r="I221">
        <v>1</v>
      </c>
    </row>
    <row r="222" spans="1:9" x14ac:dyDescent="0.4">
      <c r="A222" t="s">
        <v>823</v>
      </c>
      <c r="B222" t="str">
        <f t="shared" si="6"/>
        <v>SYST-MOR-0006935.bam</v>
      </c>
      <c r="C222" t="s">
        <v>824</v>
      </c>
      <c r="D222" t="s">
        <v>2424</v>
      </c>
      <c r="E222" t="s">
        <v>2428</v>
      </c>
      <c r="F222" t="s">
        <v>2512</v>
      </c>
      <c r="G222" t="s">
        <v>45</v>
      </c>
      <c r="H222" t="str">
        <f t="shared" si="7"/>
        <v>mac</v>
      </c>
      <c r="I222">
        <v>1</v>
      </c>
    </row>
    <row r="223" spans="1:9" x14ac:dyDescent="0.4">
      <c r="A223" t="s">
        <v>827</v>
      </c>
      <c r="B223" t="str">
        <f t="shared" si="6"/>
        <v>SYST-MOR-0006936.bam</v>
      </c>
      <c r="C223" t="s">
        <v>828</v>
      </c>
      <c r="D223" t="s">
        <v>2424</v>
      </c>
      <c r="E223" t="s">
        <v>2428</v>
      </c>
      <c r="F223" t="s">
        <v>2512</v>
      </c>
      <c r="G223" t="s">
        <v>45</v>
      </c>
      <c r="H223" t="str">
        <f t="shared" si="7"/>
        <v>mac</v>
      </c>
      <c r="I223">
        <v>1</v>
      </c>
    </row>
    <row r="224" spans="1:9" x14ac:dyDescent="0.4">
      <c r="A224" t="s">
        <v>830</v>
      </c>
      <c r="B224" t="str">
        <f t="shared" si="6"/>
        <v>SYST-MOR-0006917.bam</v>
      </c>
      <c r="C224" t="s">
        <v>831</v>
      </c>
      <c r="D224" t="s">
        <v>2424</v>
      </c>
      <c r="E224" t="s">
        <v>2429</v>
      </c>
      <c r="F224" t="s">
        <v>2513</v>
      </c>
      <c r="G224" t="s">
        <v>239</v>
      </c>
      <c r="H224" t="s">
        <v>2602</v>
      </c>
      <c r="I224">
        <v>1</v>
      </c>
    </row>
    <row r="225" spans="1:9" x14ac:dyDescent="0.4">
      <c r="A225" t="s">
        <v>834</v>
      </c>
      <c r="B225" t="str">
        <f t="shared" si="6"/>
        <v>SYST-MOR-0006918.bam</v>
      </c>
      <c r="C225" t="s">
        <v>835</v>
      </c>
      <c r="D225" t="s">
        <v>2424</v>
      </c>
      <c r="E225" t="s">
        <v>2429</v>
      </c>
      <c r="F225" t="s">
        <v>2513</v>
      </c>
      <c r="G225" t="s">
        <v>30</v>
      </c>
      <c r="H225" t="str">
        <f t="shared" si="7"/>
        <v>lyr</v>
      </c>
      <c r="I225">
        <v>1</v>
      </c>
    </row>
    <row r="226" spans="1:9" x14ac:dyDescent="0.4">
      <c r="A226" t="s">
        <v>838</v>
      </c>
      <c r="B226" t="str">
        <f t="shared" si="6"/>
        <v>SYST-MOR-0006919.bam</v>
      </c>
      <c r="C226" t="s">
        <v>839</v>
      </c>
      <c r="D226" t="s">
        <v>2424</v>
      </c>
      <c r="E226" t="s">
        <v>2429</v>
      </c>
      <c r="F226" t="s">
        <v>2513</v>
      </c>
      <c r="G226" t="s">
        <v>2625</v>
      </c>
      <c r="H226" t="s">
        <v>2632</v>
      </c>
      <c r="I226">
        <v>1</v>
      </c>
    </row>
    <row r="227" spans="1:9" x14ac:dyDescent="0.4">
      <c r="A227" t="s">
        <v>841</v>
      </c>
      <c r="B227" t="str">
        <f t="shared" si="6"/>
        <v>SYST-MOR-0006920.bam</v>
      </c>
      <c r="C227" t="s">
        <v>842</v>
      </c>
      <c r="D227" t="s">
        <v>2424</v>
      </c>
      <c r="E227" t="s">
        <v>2429</v>
      </c>
      <c r="F227" t="s">
        <v>2513</v>
      </c>
      <c r="G227" t="s">
        <v>239</v>
      </c>
      <c r="H227" t="s">
        <v>2602</v>
      </c>
      <c r="I227">
        <v>1</v>
      </c>
    </row>
    <row r="228" spans="1:9" x14ac:dyDescent="0.4">
      <c r="A228" t="s">
        <v>844</v>
      </c>
      <c r="B228" t="str">
        <f t="shared" si="6"/>
        <v>SYST-MOR-0006921.bam</v>
      </c>
      <c r="C228" t="s">
        <v>845</v>
      </c>
      <c r="D228" t="s">
        <v>2424</v>
      </c>
      <c r="E228" t="s">
        <v>2429</v>
      </c>
      <c r="F228" t="s">
        <v>2513</v>
      </c>
      <c r="G228" t="s">
        <v>30</v>
      </c>
      <c r="H228" t="str">
        <f t="shared" si="7"/>
        <v>lyr</v>
      </c>
      <c r="I228">
        <v>1</v>
      </c>
    </row>
    <row r="229" spans="1:9" x14ac:dyDescent="0.4">
      <c r="A229" t="s">
        <v>847</v>
      </c>
      <c r="B229" t="str">
        <f t="shared" si="6"/>
        <v>SYST-MOR-0006922.bam</v>
      </c>
      <c r="C229" t="s">
        <v>848</v>
      </c>
      <c r="D229" t="s">
        <v>2424</v>
      </c>
      <c r="E229" t="s">
        <v>2429</v>
      </c>
      <c r="F229" t="s">
        <v>2513</v>
      </c>
      <c r="G229" t="s">
        <v>64</v>
      </c>
      <c r="H229" t="str">
        <f t="shared" si="7"/>
        <v>alb</v>
      </c>
      <c r="I229">
        <v>1</v>
      </c>
    </row>
    <row r="230" spans="1:9" x14ac:dyDescent="0.4">
      <c r="A230" t="s">
        <v>850</v>
      </c>
      <c r="B230" t="str">
        <f t="shared" si="6"/>
        <v>SYST-MOR-0006923.bam</v>
      </c>
      <c r="C230" t="s">
        <v>851</v>
      </c>
      <c r="D230" t="s">
        <v>2424</v>
      </c>
      <c r="E230" t="s">
        <v>2429</v>
      </c>
      <c r="F230" t="s">
        <v>2513</v>
      </c>
      <c r="G230" t="s">
        <v>852</v>
      </c>
      <c r="H230" t="s">
        <v>2620</v>
      </c>
      <c r="I230">
        <v>1</v>
      </c>
    </row>
    <row r="231" spans="1:9" x14ac:dyDescent="0.4">
      <c r="A231" t="s">
        <v>855</v>
      </c>
      <c r="B231" t="str">
        <f t="shared" si="6"/>
        <v>SYST-MOR-0006924.bam</v>
      </c>
      <c r="C231" t="s">
        <v>856</v>
      </c>
      <c r="D231" t="s">
        <v>2424</v>
      </c>
      <c r="E231" t="s">
        <v>2429</v>
      </c>
      <c r="F231" t="s">
        <v>2513</v>
      </c>
      <c r="G231" t="s">
        <v>239</v>
      </c>
      <c r="H231" t="s">
        <v>2602</v>
      </c>
      <c r="I231">
        <v>1</v>
      </c>
    </row>
    <row r="232" spans="1:9" x14ac:dyDescent="0.4">
      <c r="A232" t="s">
        <v>858</v>
      </c>
      <c r="B232" t="str">
        <f t="shared" si="6"/>
        <v>SYST-MOR-0006925.bam</v>
      </c>
      <c r="C232" t="s">
        <v>859</v>
      </c>
      <c r="D232" t="s">
        <v>2424</v>
      </c>
      <c r="E232" t="s">
        <v>2429</v>
      </c>
      <c r="F232" t="s">
        <v>2513</v>
      </c>
      <c r="G232" t="s">
        <v>30</v>
      </c>
      <c r="H232" t="str">
        <f t="shared" si="7"/>
        <v>lyr</v>
      </c>
      <c r="I232">
        <v>1</v>
      </c>
    </row>
    <row r="233" spans="1:9" x14ac:dyDescent="0.4">
      <c r="A233" t="s">
        <v>861</v>
      </c>
      <c r="B233" t="str">
        <f t="shared" si="6"/>
        <v>SYST-MOR-0006926.bam</v>
      </c>
      <c r="C233" t="s">
        <v>862</v>
      </c>
      <c r="D233" t="s">
        <v>2424</v>
      </c>
      <c r="E233" t="s">
        <v>2429</v>
      </c>
      <c r="F233" t="s">
        <v>2513</v>
      </c>
      <c r="G233" t="s">
        <v>64</v>
      </c>
      <c r="H233" t="str">
        <f t="shared" si="7"/>
        <v>alb</v>
      </c>
      <c r="I233">
        <v>1</v>
      </c>
    </row>
    <row r="234" spans="1:9" x14ac:dyDescent="0.4">
      <c r="A234" t="s">
        <v>864</v>
      </c>
      <c r="B234" t="str">
        <f t="shared" si="6"/>
        <v>SYST-MOR-0006927.bam</v>
      </c>
      <c r="C234" t="s">
        <v>865</v>
      </c>
      <c r="D234" t="s">
        <v>2424</v>
      </c>
      <c r="E234" t="s">
        <v>2429</v>
      </c>
      <c r="F234" t="s">
        <v>2513</v>
      </c>
      <c r="G234" t="s">
        <v>30</v>
      </c>
      <c r="H234" t="str">
        <f t="shared" si="7"/>
        <v>lyr</v>
      </c>
      <c r="I234">
        <v>1</v>
      </c>
    </row>
    <row r="235" spans="1:9" x14ac:dyDescent="0.4">
      <c r="A235" t="s">
        <v>867</v>
      </c>
      <c r="B235" t="str">
        <f t="shared" si="6"/>
        <v>SYST-MOR-0006928.bam</v>
      </c>
      <c r="C235" t="s">
        <v>868</v>
      </c>
      <c r="D235" t="s">
        <v>2424</v>
      </c>
      <c r="E235" t="s">
        <v>2429</v>
      </c>
      <c r="F235" t="s">
        <v>2513</v>
      </c>
      <c r="G235" t="s">
        <v>64</v>
      </c>
      <c r="H235" t="str">
        <f t="shared" si="7"/>
        <v>alb</v>
      </c>
      <c r="I235">
        <v>1</v>
      </c>
    </row>
    <row r="236" spans="1:9" x14ac:dyDescent="0.4">
      <c r="A236" t="s">
        <v>870</v>
      </c>
      <c r="B236" t="str">
        <f t="shared" si="6"/>
        <v>SYST-MOR-0006929.bam</v>
      </c>
      <c r="C236" t="s">
        <v>871</v>
      </c>
      <c r="D236" t="s">
        <v>2424</v>
      </c>
      <c r="E236" t="s">
        <v>2429</v>
      </c>
      <c r="F236" t="s">
        <v>2513</v>
      </c>
      <c r="G236" t="s">
        <v>84</v>
      </c>
      <c r="H236" t="str">
        <f t="shared" si="7"/>
        <v>mue</v>
      </c>
      <c r="I236">
        <v>1</v>
      </c>
    </row>
    <row r="237" spans="1:9" x14ac:dyDescent="0.4">
      <c r="A237" t="s">
        <v>874</v>
      </c>
      <c r="B237" t="str">
        <f t="shared" si="6"/>
        <v>SYST-MOR-0006930.bam</v>
      </c>
      <c r="C237" t="s">
        <v>875</v>
      </c>
      <c r="D237" t="s">
        <v>2424</v>
      </c>
      <c r="E237" t="s">
        <v>2429</v>
      </c>
      <c r="F237" t="s">
        <v>2513</v>
      </c>
      <c r="G237" t="s">
        <v>84</v>
      </c>
      <c r="H237" t="str">
        <f t="shared" si="7"/>
        <v>mue</v>
      </c>
      <c r="I237">
        <v>1</v>
      </c>
    </row>
    <row r="238" spans="1:9" x14ac:dyDescent="0.4">
      <c r="A238" t="s">
        <v>877</v>
      </c>
      <c r="B238" t="str">
        <f t="shared" si="6"/>
        <v>SYST-MOR-0006931.bam</v>
      </c>
      <c r="C238" t="s">
        <v>878</v>
      </c>
      <c r="D238" t="s">
        <v>2424</v>
      </c>
      <c r="E238" t="s">
        <v>2429</v>
      </c>
      <c r="F238" t="s">
        <v>2513</v>
      </c>
      <c r="G238" t="s">
        <v>84</v>
      </c>
      <c r="H238" t="str">
        <f t="shared" si="7"/>
        <v>mue</v>
      </c>
      <c r="I238">
        <v>1</v>
      </c>
    </row>
    <row r="239" spans="1:9" x14ac:dyDescent="0.4">
      <c r="A239" t="s">
        <v>881</v>
      </c>
      <c r="B239" t="str">
        <f t="shared" si="6"/>
        <v>SYST-MOR-0006890.bam</v>
      </c>
      <c r="C239" t="s">
        <v>882</v>
      </c>
      <c r="D239" t="s">
        <v>2424</v>
      </c>
      <c r="E239" t="s">
        <v>2430</v>
      </c>
      <c r="F239" t="s">
        <v>2514</v>
      </c>
      <c r="G239" t="s">
        <v>45</v>
      </c>
      <c r="H239" t="str">
        <f t="shared" si="7"/>
        <v>mac</v>
      </c>
      <c r="I239">
        <v>1</v>
      </c>
    </row>
    <row r="240" spans="1:9" x14ac:dyDescent="0.4">
      <c r="A240" t="s">
        <v>885</v>
      </c>
      <c r="B240" t="str">
        <f t="shared" si="6"/>
        <v>SYST-MOR-0006891.bam</v>
      </c>
      <c r="C240" t="s">
        <v>886</v>
      </c>
      <c r="D240" t="s">
        <v>2424</v>
      </c>
      <c r="E240" t="s">
        <v>2430</v>
      </c>
      <c r="F240" t="s">
        <v>2514</v>
      </c>
      <c r="G240" t="s">
        <v>45</v>
      </c>
      <c r="H240" t="str">
        <f t="shared" si="7"/>
        <v>mac</v>
      </c>
      <c r="I240">
        <v>1</v>
      </c>
    </row>
    <row r="241" spans="1:9" x14ac:dyDescent="0.4">
      <c r="A241" t="s">
        <v>888</v>
      </c>
      <c r="B241" t="str">
        <f t="shared" si="6"/>
        <v>SYST-MOR-0006892.bam</v>
      </c>
      <c r="C241" t="s">
        <v>889</v>
      </c>
      <c r="D241" t="s">
        <v>2424</v>
      </c>
      <c r="E241" t="s">
        <v>2430</v>
      </c>
      <c r="F241" t="s">
        <v>2514</v>
      </c>
      <c r="G241" t="s">
        <v>45</v>
      </c>
      <c r="H241" t="str">
        <f t="shared" si="7"/>
        <v>mac</v>
      </c>
      <c r="I241">
        <v>1</v>
      </c>
    </row>
    <row r="242" spans="1:9" x14ac:dyDescent="0.4">
      <c r="A242" t="s">
        <v>891</v>
      </c>
      <c r="B242" t="str">
        <f t="shared" si="6"/>
        <v>SYST-MOR-0006893.bam</v>
      </c>
      <c r="C242" t="s">
        <v>892</v>
      </c>
      <c r="D242" t="s">
        <v>2424</v>
      </c>
      <c r="E242" t="s">
        <v>2430</v>
      </c>
      <c r="F242" t="s">
        <v>2514</v>
      </c>
      <c r="G242" t="s">
        <v>45</v>
      </c>
      <c r="H242" t="str">
        <f t="shared" si="7"/>
        <v>mac</v>
      </c>
      <c r="I242">
        <v>1</v>
      </c>
    </row>
    <row r="243" spans="1:9" x14ac:dyDescent="0.4">
      <c r="A243" t="s">
        <v>894</v>
      </c>
      <c r="B243" t="str">
        <f t="shared" si="6"/>
        <v>SYST-MOR-0007106.bam</v>
      </c>
      <c r="C243" t="s">
        <v>895</v>
      </c>
      <c r="D243" t="s">
        <v>2431</v>
      </c>
      <c r="E243" t="s">
        <v>2432</v>
      </c>
      <c r="F243" t="s">
        <v>2515</v>
      </c>
      <c r="G243" t="s">
        <v>84</v>
      </c>
      <c r="H243" t="str">
        <f t="shared" si="7"/>
        <v>mue</v>
      </c>
      <c r="I243">
        <v>1</v>
      </c>
    </row>
    <row r="244" spans="1:9" x14ac:dyDescent="0.4">
      <c r="A244" t="s">
        <v>900</v>
      </c>
      <c r="B244" t="str">
        <f t="shared" si="6"/>
        <v>SYST-MOR-0007107.bam</v>
      </c>
      <c r="C244" t="s">
        <v>901</v>
      </c>
      <c r="D244" t="s">
        <v>2431</v>
      </c>
      <c r="E244" t="s">
        <v>2432</v>
      </c>
      <c r="F244" t="s">
        <v>2515</v>
      </c>
      <c r="G244" t="s">
        <v>84</v>
      </c>
      <c r="H244" t="str">
        <f t="shared" si="7"/>
        <v>mue</v>
      </c>
      <c r="I244">
        <v>1</v>
      </c>
    </row>
    <row r="245" spans="1:9" x14ac:dyDescent="0.4">
      <c r="A245" t="s">
        <v>903</v>
      </c>
      <c r="B245" t="str">
        <f t="shared" si="6"/>
        <v>SYST-MOR-0007108.bam</v>
      </c>
      <c r="C245" t="s">
        <v>904</v>
      </c>
      <c r="D245" t="s">
        <v>2431</v>
      </c>
      <c r="E245" t="s">
        <v>2432</v>
      </c>
      <c r="F245" t="s">
        <v>2515</v>
      </c>
      <c r="G245" t="s">
        <v>84</v>
      </c>
      <c r="H245" t="str">
        <f t="shared" si="7"/>
        <v>mue</v>
      </c>
      <c r="I245">
        <v>1</v>
      </c>
    </row>
    <row r="246" spans="1:9" x14ac:dyDescent="0.4">
      <c r="A246" t="s">
        <v>906</v>
      </c>
      <c r="B246" t="str">
        <f t="shared" si="6"/>
        <v>SYST-MOR-0007109.bam</v>
      </c>
      <c r="C246" t="s">
        <v>907</v>
      </c>
      <c r="D246" t="s">
        <v>2431</v>
      </c>
      <c r="E246" t="s">
        <v>2432</v>
      </c>
      <c r="F246" t="s">
        <v>2515</v>
      </c>
      <c r="G246" t="s">
        <v>64</v>
      </c>
      <c r="H246" t="str">
        <f t="shared" si="7"/>
        <v>alb</v>
      </c>
      <c r="I246">
        <v>1</v>
      </c>
    </row>
    <row r="247" spans="1:9" x14ac:dyDescent="0.4">
      <c r="A247" t="s">
        <v>909</v>
      </c>
      <c r="B247" t="str">
        <f t="shared" si="6"/>
        <v>SYST-MOR-0007110.bam</v>
      </c>
      <c r="C247" t="s">
        <v>910</v>
      </c>
      <c r="D247" t="s">
        <v>2431</v>
      </c>
      <c r="E247" t="s">
        <v>2432</v>
      </c>
      <c r="F247" t="s">
        <v>2515</v>
      </c>
      <c r="G247" t="s">
        <v>84</v>
      </c>
      <c r="H247" t="str">
        <f t="shared" si="7"/>
        <v>mue</v>
      </c>
      <c r="I247">
        <v>1</v>
      </c>
    </row>
    <row r="248" spans="1:9" x14ac:dyDescent="0.4">
      <c r="A248" t="s">
        <v>912</v>
      </c>
      <c r="B248" t="str">
        <f t="shared" si="6"/>
        <v>SYST-MOR-0007111.bam</v>
      </c>
      <c r="C248" t="s">
        <v>913</v>
      </c>
      <c r="D248" t="s">
        <v>2431</v>
      </c>
      <c r="E248" t="s">
        <v>2432</v>
      </c>
      <c r="F248" t="s">
        <v>2515</v>
      </c>
      <c r="G248" t="s">
        <v>84</v>
      </c>
      <c r="H248" t="str">
        <f t="shared" si="7"/>
        <v>mue</v>
      </c>
      <c r="I248">
        <v>1</v>
      </c>
    </row>
    <row r="249" spans="1:9" x14ac:dyDescent="0.4">
      <c r="A249" t="s">
        <v>915</v>
      </c>
      <c r="B249" t="str">
        <f t="shared" si="6"/>
        <v>SYST-MOR-0007112.bam</v>
      </c>
      <c r="C249" t="s">
        <v>916</v>
      </c>
      <c r="D249" t="s">
        <v>2431</v>
      </c>
      <c r="E249" t="s">
        <v>2432</v>
      </c>
      <c r="F249" t="s">
        <v>2515</v>
      </c>
      <c r="G249" t="s">
        <v>45</v>
      </c>
      <c r="H249" t="str">
        <f t="shared" si="7"/>
        <v>mac</v>
      </c>
      <c r="I249">
        <v>1</v>
      </c>
    </row>
    <row r="250" spans="1:9" x14ac:dyDescent="0.4">
      <c r="A250" t="s">
        <v>918</v>
      </c>
      <c r="B250" t="str">
        <f t="shared" si="6"/>
        <v>SYST-MOR-0007113.bam</v>
      </c>
      <c r="C250" t="s">
        <v>919</v>
      </c>
      <c r="D250" t="s">
        <v>2431</v>
      </c>
      <c r="E250" t="s">
        <v>2432</v>
      </c>
      <c r="F250" t="s">
        <v>2515</v>
      </c>
      <c r="G250" t="s">
        <v>64</v>
      </c>
      <c r="H250" t="str">
        <f t="shared" si="7"/>
        <v>alb</v>
      </c>
      <c r="I250">
        <v>1</v>
      </c>
    </row>
    <row r="251" spans="1:9" x14ac:dyDescent="0.4">
      <c r="A251" t="s">
        <v>921</v>
      </c>
      <c r="B251" t="str">
        <f t="shared" si="6"/>
        <v>SYST-MOR-0007119.bam</v>
      </c>
      <c r="C251" t="s">
        <v>922</v>
      </c>
      <c r="D251" t="s">
        <v>2431</v>
      </c>
      <c r="E251" t="s">
        <v>2433</v>
      </c>
      <c r="F251" t="s">
        <v>2516</v>
      </c>
      <c r="G251" t="s">
        <v>45</v>
      </c>
      <c r="H251" t="str">
        <f t="shared" si="7"/>
        <v>mac</v>
      </c>
      <c r="I251">
        <v>1</v>
      </c>
    </row>
    <row r="252" spans="1:9" x14ac:dyDescent="0.4">
      <c r="A252" t="s">
        <v>925</v>
      </c>
      <c r="B252" t="str">
        <f t="shared" si="6"/>
        <v>SYST-MOR-0007120.bam</v>
      </c>
      <c r="C252" t="s">
        <v>926</v>
      </c>
      <c r="D252" t="s">
        <v>2431</v>
      </c>
      <c r="E252" t="s">
        <v>2433</v>
      </c>
      <c r="F252" t="s">
        <v>2516</v>
      </c>
      <c r="G252" t="s">
        <v>64</v>
      </c>
      <c r="H252" t="str">
        <f t="shared" si="7"/>
        <v>alb</v>
      </c>
      <c r="I252">
        <v>1</v>
      </c>
    </row>
    <row r="253" spans="1:9" x14ac:dyDescent="0.4">
      <c r="A253" t="s">
        <v>928</v>
      </c>
      <c r="B253" t="str">
        <f t="shared" si="6"/>
        <v>SYST-MOR-0007121.bam</v>
      </c>
      <c r="C253" t="s">
        <v>929</v>
      </c>
      <c r="D253" t="s">
        <v>2431</v>
      </c>
      <c r="E253" t="s">
        <v>2433</v>
      </c>
      <c r="F253" t="s">
        <v>2516</v>
      </c>
      <c r="G253" t="s">
        <v>64</v>
      </c>
      <c r="H253" t="str">
        <f t="shared" si="7"/>
        <v>alb</v>
      </c>
      <c r="I253">
        <v>1</v>
      </c>
    </row>
    <row r="254" spans="1:9" x14ac:dyDescent="0.4">
      <c r="A254" t="s">
        <v>931</v>
      </c>
      <c r="B254" t="str">
        <f t="shared" si="6"/>
        <v>SYST-MOR-0007122.bam</v>
      </c>
      <c r="C254" t="s">
        <v>932</v>
      </c>
      <c r="D254" t="s">
        <v>2431</v>
      </c>
      <c r="E254" t="s">
        <v>2433</v>
      </c>
      <c r="F254" t="s">
        <v>2516</v>
      </c>
      <c r="G254" t="s">
        <v>64</v>
      </c>
      <c r="H254" t="str">
        <f t="shared" si="7"/>
        <v>alb</v>
      </c>
      <c r="I254">
        <v>1</v>
      </c>
    </row>
    <row r="255" spans="1:9" x14ac:dyDescent="0.4">
      <c r="A255" t="s">
        <v>934</v>
      </c>
      <c r="B255" t="str">
        <f t="shared" si="6"/>
        <v>SYST-MOR-0007114.bam</v>
      </c>
      <c r="C255" t="s">
        <v>935</v>
      </c>
      <c r="D255" t="s">
        <v>2431</v>
      </c>
      <c r="E255" t="s">
        <v>2434</v>
      </c>
      <c r="F255" t="s">
        <v>2517</v>
      </c>
      <c r="G255" t="s">
        <v>45</v>
      </c>
      <c r="H255" t="str">
        <f t="shared" si="7"/>
        <v>mac</v>
      </c>
      <c r="I255">
        <v>1</v>
      </c>
    </row>
    <row r="256" spans="1:9" x14ac:dyDescent="0.4">
      <c r="A256" t="s">
        <v>938</v>
      </c>
      <c r="B256" t="str">
        <f t="shared" si="6"/>
        <v>SYST-MOR-0007115.bam</v>
      </c>
      <c r="C256" t="s">
        <v>939</v>
      </c>
      <c r="D256" t="s">
        <v>2431</v>
      </c>
      <c r="E256" t="s">
        <v>2434</v>
      </c>
      <c r="F256" t="s">
        <v>2517</v>
      </c>
      <c r="G256" t="s">
        <v>45</v>
      </c>
      <c r="H256" t="str">
        <f t="shared" si="7"/>
        <v>mac</v>
      </c>
      <c r="I256">
        <v>1</v>
      </c>
    </row>
    <row r="257" spans="1:9" x14ac:dyDescent="0.4">
      <c r="A257" t="s">
        <v>941</v>
      </c>
      <c r="B257" t="str">
        <f t="shared" si="6"/>
        <v>SYST-MOR-0007116.bam</v>
      </c>
      <c r="C257" t="s">
        <v>942</v>
      </c>
      <c r="D257" t="s">
        <v>2431</v>
      </c>
      <c r="E257" t="s">
        <v>2434</v>
      </c>
      <c r="F257" t="s">
        <v>2517</v>
      </c>
      <c r="G257" t="s">
        <v>45</v>
      </c>
      <c r="H257" t="str">
        <f t="shared" si="7"/>
        <v>mac</v>
      </c>
      <c r="I257">
        <v>1</v>
      </c>
    </row>
    <row r="258" spans="1:9" x14ac:dyDescent="0.4">
      <c r="A258" t="s">
        <v>944</v>
      </c>
      <c r="B258" t="str">
        <f t="shared" ref="B258:B321" si="8">_xlfn.CONCAT(A258,".bam")</f>
        <v>SYST-MOR-0007117.bam</v>
      </c>
      <c r="C258" t="s">
        <v>945</v>
      </c>
      <c r="D258" t="s">
        <v>2431</v>
      </c>
      <c r="E258" t="s">
        <v>2434</v>
      </c>
      <c r="F258" t="s">
        <v>2517</v>
      </c>
      <c r="G258" t="s">
        <v>45</v>
      </c>
      <c r="H258" t="str">
        <f t="shared" si="7"/>
        <v>mac</v>
      </c>
      <c r="I258">
        <v>1</v>
      </c>
    </row>
    <row r="259" spans="1:9" x14ac:dyDescent="0.4">
      <c r="A259" t="s">
        <v>947</v>
      </c>
      <c r="B259" t="str">
        <f t="shared" si="8"/>
        <v>SYST-MOR-0007118.bam</v>
      </c>
      <c r="C259" t="s">
        <v>948</v>
      </c>
      <c r="D259" t="s">
        <v>2431</v>
      </c>
      <c r="E259" t="s">
        <v>2434</v>
      </c>
      <c r="F259" t="s">
        <v>2517</v>
      </c>
      <c r="G259" t="s">
        <v>45</v>
      </c>
      <c r="H259" t="str">
        <f t="shared" ref="H259:H322" si="9">IF(ISERROR(FIND("x",LEFT(G259,LEN(G259)-7),1)),RIGHT(LEFT(G259,11),3),G259)</f>
        <v>mac</v>
      </c>
      <c r="I259">
        <v>1</v>
      </c>
    </row>
    <row r="260" spans="1:9" x14ac:dyDescent="0.4">
      <c r="A260" t="s">
        <v>950</v>
      </c>
      <c r="B260" t="str">
        <f t="shared" si="8"/>
        <v>SYST-MOR-0007123.bam</v>
      </c>
      <c r="C260" t="s">
        <v>951</v>
      </c>
      <c r="D260" t="s">
        <v>2431</v>
      </c>
      <c r="E260" t="s">
        <v>2435</v>
      </c>
      <c r="F260" t="s">
        <v>2518</v>
      </c>
      <c r="G260" t="s">
        <v>45</v>
      </c>
      <c r="H260" t="str">
        <f t="shared" si="9"/>
        <v>mac</v>
      </c>
      <c r="I260">
        <v>1</v>
      </c>
    </row>
    <row r="261" spans="1:9" x14ac:dyDescent="0.4">
      <c r="A261" t="s">
        <v>954</v>
      </c>
      <c r="B261" t="str">
        <f t="shared" si="8"/>
        <v>SYST-MOR-0007124.bam</v>
      </c>
      <c r="C261" t="s">
        <v>955</v>
      </c>
      <c r="D261" t="s">
        <v>2431</v>
      </c>
      <c r="E261" t="s">
        <v>2435</v>
      </c>
      <c r="F261" t="s">
        <v>2518</v>
      </c>
      <c r="G261" t="s">
        <v>45</v>
      </c>
      <c r="H261" t="str">
        <f t="shared" si="9"/>
        <v>mac</v>
      </c>
      <c r="I261">
        <v>1</v>
      </c>
    </row>
    <row r="262" spans="1:9" x14ac:dyDescent="0.4">
      <c r="A262" t="s">
        <v>957</v>
      </c>
      <c r="B262" t="str">
        <f t="shared" si="8"/>
        <v>SYST-MOR-0007125.bam</v>
      </c>
      <c r="C262" t="s">
        <v>958</v>
      </c>
      <c r="D262" t="s">
        <v>2431</v>
      </c>
      <c r="E262" t="s">
        <v>2435</v>
      </c>
      <c r="F262" t="s">
        <v>2518</v>
      </c>
      <c r="G262" t="s">
        <v>64</v>
      </c>
      <c r="H262" t="str">
        <f t="shared" si="9"/>
        <v>alb</v>
      </c>
      <c r="I262">
        <v>1</v>
      </c>
    </row>
    <row r="263" spans="1:9" x14ac:dyDescent="0.4">
      <c r="A263" t="s">
        <v>960</v>
      </c>
      <c r="B263" t="str">
        <f t="shared" si="8"/>
        <v>SYST-MOR-0007126.bam</v>
      </c>
      <c r="C263" t="s">
        <v>961</v>
      </c>
      <c r="D263" t="s">
        <v>2431</v>
      </c>
      <c r="E263" t="s">
        <v>2435</v>
      </c>
      <c r="F263" t="s">
        <v>2518</v>
      </c>
      <c r="G263" t="s">
        <v>45</v>
      </c>
      <c r="H263" t="str">
        <f t="shared" si="9"/>
        <v>mac</v>
      </c>
      <c r="I263">
        <v>1</v>
      </c>
    </row>
    <row r="264" spans="1:9" x14ac:dyDescent="0.4">
      <c r="A264" t="s">
        <v>963</v>
      </c>
      <c r="B264" t="str">
        <f t="shared" si="8"/>
        <v>SYST-MOR-0007127.bam</v>
      </c>
      <c r="C264" t="s">
        <v>964</v>
      </c>
      <c r="D264" t="s">
        <v>2431</v>
      </c>
      <c r="E264" t="s">
        <v>2435</v>
      </c>
      <c r="F264" t="s">
        <v>2518</v>
      </c>
      <c r="G264" t="s">
        <v>45</v>
      </c>
      <c r="H264" t="str">
        <f t="shared" si="9"/>
        <v>mac</v>
      </c>
      <c r="I264">
        <v>1</v>
      </c>
    </row>
    <row r="265" spans="1:9" x14ac:dyDescent="0.4">
      <c r="A265" t="s">
        <v>966</v>
      </c>
      <c r="B265" t="str">
        <f t="shared" si="8"/>
        <v>SYST-MOR-0007128.bam</v>
      </c>
      <c r="C265" t="s">
        <v>967</v>
      </c>
      <c r="D265" t="s">
        <v>2431</v>
      </c>
      <c r="E265" t="s">
        <v>2435</v>
      </c>
      <c r="F265" t="s">
        <v>2518</v>
      </c>
      <c r="G265" t="s">
        <v>64</v>
      </c>
      <c r="H265" t="str">
        <f t="shared" si="9"/>
        <v>alb</v>
      </c>
      <c r="I265">
        <v>1</v>
      </c>
    </row>
    <row r="266" spans="1:9" x14ac:dyDescent="0.4">
      <c r="A266" t="s">
        <v>969</v>
      </c>
      <c r="B266" t="str">
        <f t="shared" si="8"/>
        <v>SYST-MOR-0007357.bam</v>
      </c>
      <c r="C266" t="s">
        <v>970</v>
      </c>
      <c r="D266" t="s">
        <v>2476</v>
      </c>
      <c r="E266" t="s">
        <v>2475</v>
      </c>
      <c r="F266" t="s">
        <v>2519</v>
      </c>
      <c r="G266" t="s">
        <v>45</v>
      </c>
      <c r="H266" t="str">
        <f t="shared" si="9"/>
        <v>mac</v>
      </c>
      <c r="I266">
        <v>1</v>
      </c>
    </row>
    <row r="267" spans="1:9" x14ac:dyDescent="0.4">
      <c r="A267" t="s">
        <v>977</v>
      </c>
      <c r="B267" t="str">
        <f t="shared" si="8"/>
        <v>SYST-MOR-0007358.bam</v>
      </c>
      <c r="C267" t="s">
        <v>978</v>
      </c>
      <c r="D267" t="s">
        <v>2476</v>
      </c>
      <c r="E267" t="s">
        <v>2475</v>
      </c>
      <c r="F267" t="s">
        <v>2519</v>
      </c>
      <c r="G267" t="s">
        <v>45</v>
      </c>
      <c r="H267" t="str">
        <f t="shared" si="9"/>
        <v>mac</v>
      </c>
      <c r="I267">
        <v>1</v>
      </c>
    </row>
    <row r="268" spans="1:9" x14ac:dyDescent="0.4">
      <c r="A268" t="s">
        <v>980</v>
      </c>
      <c r="B268" t="str">
        <f t="shared" si="8"/>
        <v>SYST-MOR-0007359.bam</v>
      </c>
      <c r="C268" t="s">
        <v>981</v>
      </c>
      <c r="D268" t="s">
        <v>2476</v>
      </c>
      <c r="E268" t="s">
        <v>2475</v>
      </c>
      <c r="F268" t="s">
        <v>2519</v>
      </c>
      <c r="G268" t="s">
        <v>45</v>
      </c>
      <c r="H268" t="str">
        <f t="shared" si="9"/>
        <v>mac</v>
      </c>
      <c r="I268">
        <v>1</v>
      </c>
    </row>
    <row r="269" spans="1:9" x14ac:dyDescent="0.4">
      <c r="A269" t="s">
        <v>984</v>
      </c>
      <c r="B269" t="str">
        <f t="shared" si="8"/>
        <v>SYST-MOR-0007360.bam</v>
      </c>
      <c r="C269" t="s">
        <v>985</v>
      </c>
      <c r="D269" t="s">
        <v>2476</v>
      </c>
      <c r="E269" t="s">
        <v>2475</v>
      </c>
      <c r="F269" t="s">
        <v>2519</v>
      </c>
      <c r="G269" t="s">
        <v>45</v>
      </c>
      <c r="H269" t="str">
        <f t="shared" si="9"/>
        <v>mac</v>
      </c>
      <c r="I269">
        <v>1</v>
      </c>
    </row>
    <row r="270" spans="1:9" x14ac:dyDescent="0.4">
      <c r="A270" t="s">
        <v>987</v>
      </c>
      <c r="B270" t="str">
        <f t="shared" si="8"/>
        <v>SYST-MOR-0007361.bam</v>
      </c>
      <c r="C270" t="s">
        <v>988</v>
      </c>
      <c r="D270" t="s">
        <v>2476</v>
      </c>
      <c r="E270" t="s">
        <v>2475</v>
      </c>
      <c r="F270" t="s">
        <v>2519</v>
      </c>
      <c r="G270" t="s">
        <v>45</v>
      </c>
      <c r="H270" t="str">
        <f t="shared" si="9"/>
        <v>mac</v>
      </c>
      <c r="I270">
        <v>1</v>
      </c>
    </row>
    <row r="271" spans="1:9" x14ac:dyDescent="0.4">
      <c r="A271" t="s">
        <v>990</v>
      </c>
      <c r="B271" t="str">
        <f t="shared" si="8"/>
        <v>SYST-MOR-0007362.bam</v>
      </c>
      <c r="C271" t="s">
        <v>991</v>
      </c>
      <c r="D271" t="s">
        <v>2476</v>
      </c>
      <c r="E271" t="s">
        <v>2475</v>
      </c>
      <c r="F271" t="s">
        <v>2519</v>
      </c>
      <c r="G271" t="s">
        <v>45</v>
      </c>
      <c r="H271" t="str">
        <f t="shared" si="9"/>
        <v>mac</v>
      </c>
      <c r="I271">
        <v>1</v>
      </c>
    </row>
    <row r="272" spans="1:9" x14ac:dyDescent="0.4">
      <c r="A272" t="s">
        <v>993</v>
      </c>
      <c r="B272" t="str">
        <f t="shared" si="8"/>
        <v>SYST-MOR-0007363.bam</v>
      </c>
      <c r="C272" t="s">
        <v>994</v>
      </c>
      <c r="D272" t="s">
        <v>2476</v>
      </c>
      <c r="E272" t="s">
        <v>2475</v>
      </c>
      <c r="F272" t="s">
        <v>2519</v>
      </c>
      <c r="G272" t="s">
        <v>45</v>
      </c>
      <c r="H272" t="str">
        <f t="shared" si="9"/>
        <v>mac</v>
      </c>
      <c r="I272">
        <v>1</v>
      </c>
    </row>
    <row r="273" spans="1:9" x14ac:dyDescent="0.4">
      <c r="A273" t="s">
        <v>996</v>
      </c>
      <c r="B273" t="str">
        <f t="shared" si="8"/>
        <v>SYST-MOR-0007364.bam</v>
      </c>
      <c r="C273" t="s">
        <v>997</v>
      </c>
      <c r="D273" t="s">
        <v>2476</v>
      </c>
      <c r="E273" t="s">
        <v>2475</v>
      </c>
      <c r="F273" t="s">
        <v>2519</v>
      </c>
      <c r="G273" t="s">
        <v>45</v>
      </c>
      <c r="H273" t="str">
        <f t="shared" si="9"/>
        <v>mac</v>
      </c>
      <c r="I273">
        <v>1</v>
      </c>
    </row>
    <row r="274" spans="1:9" x14ac:dyDescent="0.4">
      <c r="A274" t="s">
        <v>999</v>
      </c>
      <c r="B274" t="str">
        <f t="shared" si="8"/>
        <v>SYST-MOR-0007365.bam</v>
      </c>
      <c r="C274" t="s">
        <v>1000</v>
      </c>
      <c r="D274" t="s">
        <v>2476</v>
      </c>
      <c r="E274" t="s">
        <v>2475</v>
      </c>
      <c r="F274" t="s">
        <v>2519</v>
      </c>
      <c r="G274" t="s">
        <v>45</v>
      </c>
      <c r="H274" t="str">
        <f t="shared" si="9"/>
        <v>mac</v>
      </c>
      <c r="I274">
        <v>1</v>
      </c>
    </row>
    <row r="275" spans="1:9" x14ac:dyDescent="0.4">
      <c r="A275" t="s">
        <v>1002</v>
      </c>
      <c r="B275" t="str">
        <f t="shared" si="8"/>
        <v>SYST-MOR-0007366.bam</v>
      </c>
      <c r="C275" t="s">
        <v>1003</v>
      </c>
      <c r="D275" t="s">
        <v>2476</v>
      </c>
      <c r="E275" t="s">
        <v>2475</v>
      </c>
      <c r="F275" t="s">
        <v>2519</v>
      </c>
      <c r="G275" t="s">
        <v>45</v>
      </c>
      <c r="H275" t="str">
        <f t="shared" si="9"/>
        <v>mac</v>
      </c>
      <c r="I275">
        <v>1</v>
      </c>
    </row>
    <row r="276" spans="1:9" x14ac:dyDescent="0.4">
      <c r="A276" t="s">
        <v>1005</v>
      </c>
      <c r="B276" t="str">
        <f t="shared" si="8"/>
        <v>SYST-MOR-0007367.bam</v>
      </c>
      <c r="C276" t="s">
        <v>1006</v>
      </c>
      <c r="D276" t="s">
        <v>2476</v>
      </c>
      <c r="E276" t="s">
        <v>2477</v>
      </c>
      <c r="F276" t="s">
        <v>2520</v>
      </c>
      <c r="G276" t="s">
        <v>45</v>
      </c>
      <c r="H276" t="str">
        <f t="shared" si="9"/>
        <v>mac</v>
      </c>
      <c r="I276">
        <v>1</v>
      </c>
    </row>
    <row r="277" spans="1:9" x14ac:dyDescent="0.4">
      <c r="A277" t="s">
        <v>1010</v>
      </c>
      <c r="B277" t="str">
        <f t="shared" si="8"/>
        <v>SYST-MOR-0007368.bam</v>
      </c>
      <c r="C277" t="s">
        <v>1011</v>
      </c>
      <c r="D277" t="s">
        <v>2476</v>
      </c>
      <c r="E277" t="s">
        <v>2477</v>
      </c>
      <c r="F277" t="s">
        <v>2520</v>
      </c>
      <c r="G277" t="s">
        <v>45</v>
      </c>
      <c r="H277" t="str">
        <f t="shared" si="9"/>
        <v>mac</v>
      </c>
      <c r="I277">
        <v>1</v>
      </c>
    </row>
    <row r="278" spans="1:9" x14ac:dyDescent="0.4">
      <c r="A278" t="s">
        <v>1013</v>
      </c>
      <c r="B278" t="str">
        <f t="shared" si="8"/>
        <v>SYST-MOR-0007369.bam</v>
      </c>
      <c r="C278" t="s">
        <v>1014</v>
      </c>
      <c r="D278" t="s">
        <v>2476</v>
      </c>
      <c r="E278" t="s">
        <v>2477</v>
      </c>
      <c r="F278" t="s">
        <v>2520</v>
      </c>
      <c r="G278" t="s">
        <v>45</v>
      </c>
      <c r="H278" t="str">
        <f t="shared" si="9"/>
        <v>mac</v>
      </c>
      <c r="I278">
        <v>1</v>
      </c>
    </row>
    <row r="279" spans="1:9" x14ac:dyDescent="0.4">
      <c r="A279" t="s">
        <v>1016</v>
      </c>
      <c r="B279" t="str">
        <f t="shared" si="8"/>
        <v>SYST-MOR-0007370.bam</v>
      </c>
      <c r="C279" t="s">
        <v>1017</v>
      </c>
      <c r="D279" t="s">
        <v>2476</v>
      </c>
      <c r="E279" t="s">
        <v>2477</v>
      </c>
      <c r="F279" t="s">
        <v>2520</v>
      </c>
      <c r="G279" t="s">
        <v>45</v>
      </c>
      <c r="H279" t="str">
        <f t="shared" si="9"/>
        <v>mac</v>
      </c>
      <c r="I279">
        <v>1</v>
      </c>
    </row>
    <row r="280" spans="1:9" x14ac:dyDescent="0.4">
      <c r="A280" t="s">
        <v>1020</v>
      </c>
      <c r="B280" t="str">
        <f t="shared" si="8"/>
        <v>SYST-MOR-0007371.bam</v>
      </c>
      <c r="C280" t="s">
        <v>1021</v>
      </c>
      <c r="D280" t="s">
        <v>2476</v>
      </c>
      <c r="E280" t="s">
        <v>2477</v>
      </c>
      <c r="F280" t="s">
        <v>2520</v>
      </c>
      <c r="G280" t="s">
        <v>45</v>
      </c>
      <c r="H280" t="str">
        <f t="shared" si="9"/>
        <v>mac</v>
      </c>
      <c r="I280">
        <v>1</v>
      </c>
    </row>
    <row r="281" spans="1:9" x14ac:dyDescent="0.4">
      <c r="A281" t="s">
        <v>1025</v>
      </c>
      <c r="B281" t="str">
        <f t="shared" si="8"/>
        <v>SYST-MOR-0007372.bam</v>
      </c>
      <c r="C281" t="s">
        <v>1026</v>
      </c>
      <c r="D281" t="s">
        <v>2476</v>
      </c>
      <c r="E281" t="s">
        <v>2477</v>
      </c>
      <c r="F281" t="s">
        <v>2520</v>
      </c>
      <c r="G281" t="s">
        <v>45</v>
      </c>
      <c r="H281" t="str">
        <f t="shared" si="9"/>
        <v>mac</v>
      </c>
      <c r="I281">
        <v>1</v>
      </c>
    </row>
    <row r="282" spans="1:9" x14ac:dyDescent="0.4">
      <c r="A282" t="s">
        <v>1028</v>
      </c>
      <c r="B282" t="str">
        <f t="shared" si="8"/>
        <v>SYST-MOR-0007373.bam</v>
      </c>
      <c r="C282" t="s">
        <v>1029</v>
      </c>
      <c r="D282" t="s">
        <v>2476</v>
      </c>
      <c r="E282" t="s">
        <v>2477</v>
      </c>
      <c r="F282" t="s">
        <v>2520</v>
      </c>
      <c r="G282" t="s">
        <v>45</v>
      </c>
      <c r="H282" t="str">
        <f t="shared" si="9"/>
        <v>mac</v>
      </c>
      <c r="I282">
        <v>1</v>
      </c>
    </row>
    <row r="283" spans="1:9" x14ac:dyDescent="0.4">
      <c r="A283" t="s">
        <v>1031</v>
      </c>
      <c r="B283" t="str">
        <f t="shared" si="8"/>
        <v>SYST-MOR-0007374.bam</v>
      </c>
      <c r="C283" t="s">
        <v>1032</v>
      </c>
      <c r="D283" t="s">
        <v>2476</v>
      </c>
      <c r="E283" t="s">
        <v>2477</v>
      </c>
      <c r="F283" t="s">
        <v>2520</v>
      </c>
      <c r="G283" t="s">
        <v>45</v>
      </c>
      <c r="H283" t="str">
        <f t="shared" si="9"/>
        <v>mac</v>
      </c>
      <c r="I283">
        <v>1</v>
      </c>
    </row>
    <row r="284" spans="1:9" x14ac:dyDescent="0.4">
      <c r="A284" t="s">
        <v>1035</v>
      </c>
      <c r="B284" t="str">
        <f t="shared" si="8"/>
        <v>SYST-MOR-0007375.bam</v>
      </c>
      <c r="C284" t="s">
        <v>1036</v>
      </c>
      <c r="D284" t="s">
        <v>2476</v>
      </c>
      <c r="E284" t="s">
        <v>2477</v>
      </c>
      <c r="F284" t="s">
        <v>2520</v>
      </c>
      <c r="G284" t="s">
        <v>45</v>
      </c>
      <c r="H284" t="str">
        <f t="shared" si="9"/>
        <v>mac</v>
      </c>
      <c r="I284">
        <v>1</v>
      </c>
    </row>
    <row r="285" spans="1:9" x14ac:dyDescent="0.4">
      <c r="A285" t="s">
        <v>1038</v>
      </c>
      <c r="B285" t="str">
        <f t="shared" si="8"/>
        <v>SYST-MOR-0007376.bam</v>
      </c>
      <c r="C285" t="s">
        <v>1039</v>
      </c>
      <c r="D285" t="s">
        <v>2476</v>
      </c>
      <c r="E285" t="s">
        <v>2477</v>
      </c>
      <c r="F285" t="s">
        <v>2520</v>
      </c>
      <c r="G285" t="s">
        <v>45</v>
      </c>
      <c r="H285" t="str">
        <f t="shared" si="9"/>
        <v>mac</v>
      </c>
      <c r="I285">
        <v>1</v>
      </c>
    </row>
    <row r="286" spans="1:9" x14ac:dyDescent="0.4">
      <c r="A286" t="s">
        <v>1041</v>
      </c>
      <c r="B286" t="str">
        <f t="shared" si="8"/>
        <v>SYST-MOR-0007377.bam</v>
      </c>
      <c r="C286" t="s">
        <v>1042</v>
      </c>
      <c r="D286" t="s">
        <v>2476</v>
      </c>
      <c r="E286" t="s">
        <v>2425</v>
      </c>
      <c r="F286" t="s">
        <v>2521</v>
      </c>
      <c r="G286" t="s">
        <v>45</v>
      </c>
      <c r="H286" t="str">
        <f t="shared" si="9"/>
        <v>mac</v>
      </c>
      <c r="I286">
        <v>1</v>
      </c>
    </row>
    <row r="287" spans="1:9" x14ac:dyDescent="0.4">
      <c r="A287" t="s">
        <v>1046</v>
      </c>
      <c r="B287" t="str">
        <f t="shared" si="8"/>
        <v>SYST-MOR-0007378.bam</v>
      </c>
      <c r="C287" t="s">
        <v>1047</v>
      </c>
      <c r="D287" t="s">
        <v>2476</v>
      </c>
      <c r="E287" t="s">
        <v>2425</v>
      </c>
      <c r="F287" t="s">
        <v>2521</v>
      </c>
      <c r="G287" t="s">
        <v>45</v>
      </c>
      <c r="H287" t="str">
        <f t="shared" si="9"/>
        <v>mac</v>
      </c>
      <c r="I287">
        <v>1</v>
      </c>
    </row>
    <row r="288" spans="1:9" x14ac:dyDescent="0.4">
      <c r="A288" t="s">
        <v>1050</v>
      </c>
      <c r="B288" t="str">
        <f t="shared" si="8"/>
        <v>SYST-MOR-0007379.bam</v>
      </c>
      <c r="C288" t="s">
        <v>1051</v>
      </c>
      <c r="D288" t="s">
        <v>2476</v>
      </c>
      <c r="E288" t="s">
        <v>2425</v>
      </c>
      <c r="F288" t="s">
        <v>2521</v>
      </c>
      <c r="G288" t="s">
        <v>45</v>
      </c>
      <c r="H288" t="str">
        <f t="shared" si="9"/>
        <v>mac</v>
      </c>
      <c r="I288">
        <v>1</v>
      </c>
    </row>
    <row r="289" spans="1:9" x14ac:dyDescent="0.4">
      <c r="A289" t="s">
        <v>1055</v>
      </c>
      <c r="B289" t="str">
        <f t="shared" si="8"/>
        <v>SYST-MOR-0007380.bam</v>
      </c>
      <c r="C289" t="s">
        <v>1056</v>
      </c>
      <c r="D289" t="s">
        <v>2476</v>
      </c>
      <c r="E289" t="s">
        <v>2425</v>
      </c>
      <c r="F289" t="s">
        <v>2521</v>
      </c>
      <c r="G289" t="s">
        <v>45</v>
      </c>
      <c r="H289" t="str">
        <f t="shared" si="9"/>
        <v>mac</v>
      </c>
      <c r="I289">
        <v>1</v>
      </c>
    </row>
    <row r="290" spans="1:9" x14ac:dyDescent="0.4">
      <c r="A290" t="s">
        <v>1059</v>
      </c>
      <c r="B290" t="str">
        <f t="shared" si="8"/>
        <v>SYST-MOR-0007381.bam</v>
      </c>
      <c r="C290" t="s">
        <v>1060</v>
      </c>
      <c r="D290" t="s">
        <v>2476</v>
      </c>
      <c r="E290" t="s">
        <v>2425</v>
      </c>
      <c r="F290" t="s">
        <v>2521</v>
      </c>
      <c r="G290" t="s">
        <v>45</v>
      </c>
      <c r="H290" t="str">
        <f t="shared" si="9"/>
        <v>mac</v>
      </c>
      <c r="I290">
        <v>1</v>
      </c>
    </row>
    <row r="291" spans="1:9" x14ac:dyDescent="0.4">
      <c r="A291" t="s">
        <v>1062</v>
      </c>
      <c r="B291" t="str">
        <f t="shared" si="8"/>
        <v>SYST-MOR-0007382.bam</v>
      </c>
      <c r="C291" t="s">
        <v>1063</v>
      </c>
      <c r="D291" t="s">
        <v>2476</v>
      </c>
      <c r="E291" t="s">
        <v>2425</v>
      </c>
      <c r="F291" t="s">
        <v>2521</v>
      </c>
      <c r="G291" t="s">
        <v>45</v>
      </c>
      <c r="H291" t="str">
        <f t="shared" si="9"/>
        <v>mac</v>
      </c>
      <c r="I291">
        <v>1</v>
      </c>
    </row>
    <row r="292" spans="1:9" x14ac:dyDescent="0.4">
      <c r="A292" t="s">
        <v>1065</v>
      </c>
      <c r="B292" t="str">
        <f t="shared" si="8"/>
        <v>SYST-MOR-0007383.bam</v>
      </c>
      <c r="C292" t="s">
        <v>1066</v>
      </c>
      <c r="D292" t="s">
        <v>2476</v>
      </c>
      <c r="E292" t="s">
        <v>2425</v>
      </c>
      <c r="F292" t="s">
        <v>2521</v>
      </c>
      <c r="G292" t="s">
        <v>45</v>
      </c>
      <c r="H292" t="str">
        <f t="shared" si="9"/>
        <v>mac</v>
      </c>
      <c r="I292">
        <v>1</v>
      </c>
    </row>
    <row r="293" spans="1:9" x14ac:dyDescent="0.4">
      <c r="A293" t="s">
        <v>1068</v>
      </c>
      <c r="B293" t="str">
        <f t="shared" si="8"/>
        <v>SYST-MOR-0007384.bam</v>
      </c>
      <c r="C293" t="s">
        <v>1069</v>
      </c>
      <c r="D293" t="s">
        <v>2476</v>
      </c>
      <c r="E293" t="s">
        <v>2425</v>
      </c>
      <c r="F293" t="s">
        <v>2521</v>
      </c>
      <c r="G293" t="s">
        <v>45</v>
      </c>
      <c r="H293" t="str">
        <f t="shared" si="9"/>
        <v>mac</v>
      </c>
      <c r="I293">
        <v>1</v>
      </c>
    </row>
    <row r="294" spans="1:9" x14ac:dyDescent="0.4">
      <c r="A294" t="s">
        <v>1071</v>
      </c>
      <c r="B294" t="str">
        <f t="shared" si="8"/>
        <v>SYST-MOR-0007385.bam</v>
      </c>
      <c r="C294" t="s">
        <v>1072</v>
      </c>
      <c r="D294" t="s">
        <v>2476</v>
      </c>
      <c r="E294" t="s">
        <v>2425</v>
      </c>
      <c r="F294" t="s">
        <v>2521</v>
      </c>
      <c r="G294" t="s">
        <v>45</v>
      </c>
      <c r="H294" t="str">
        <f t="shared" si="9"/>
        <v>mac</v>
      </c>
      <c r="I294">
        <v>1</v>
      </c>
    </row>
    <row r="295" spans="1:9" x14ac:dyDescent="0.4">
      <c r="A295" t="s">
        <v>1074</v>
      </c>
      <c r="B295" t="str">
        <f t="shared" si="8"/>
        <v>SYST-MOR-0007386.bam</v>
      </c>
      <c r="C295" t="s">
        <v>1075</v>
      </c>
      <c r="D295" t="s">
        <v>2476</v>
      </c>
      <c r="E295" t="s">
        <v>2425</v>
      </c>
      <c r="F295" t="s">
        <v>2521</v>
      </c>
      <c r="G295" t="s">
        <v>45</v>
      </c>
      <c r="H295" t="str">
        <f t="shared" si="9"/>
        <v>mac</v>
      </c>
      <c r="I295">
        <v>1</v>
      </c>
    </row>
    <row r="296" spans="1:9" x14ac:dyDescent="0.4">
      <c r="A296" t="s">
        <v>1087</v>
      </c>
      <c r="B296" t="str">
        <f t="shared" si="8"/>
        <v>SYST-MOR-0007004.bam</v>
      </c>
      <c r="C296" t="s">
        <v>1088</v>
      </c>
      <c r="D296" t="s">
        <v>2436</v>
      </c>
      <c r="E296" t="s">
        <v>2437</v>
      </c>
      <c r="F296" t="s">
        <v>2523</v>
      </c>
      <c r="G296" t="s">
        <v>143</v>
      </c>
      <c r="H296" t="str">
        <f t="shared" si="9"/>
        <v>bic</v>
      </c>
      <c r="I296">
        <v>1</v>
      </c>
    </row>
    <row r="297" spans="1:9" x14ac:dyDescent="0.4">
      <c r="A297" t="s">
        <v>1093</v>
      </c>
      <c r="B297" t="str">
        <f t="shared" si="8"/>
        <v>SYST-MOR-0007005.bam</v>
      </c>
      <c r="C297" t="s">
        <v>1094</v>
      </c>
      <c r="D297" t="s">
        <v>2436</v>
      </c>
      <c r="E297" t="s">
        <v>2437</v>
      </c>
      <c r="F297" t="s">
        <v>2523</v>
      </c>
      <c r="G297" t="s">
        <v>64</v>
      </c>
      <c r="H297" t="str">
        <f t="shared" si="9"/>
        <v>alb</v>
      </c>
      <c r="I297">
        <v>1</v>
      </c>
    </row>
    <row r="298" spans="1:9" x14ac:dyDescent="0.4">
      <c r="A298" t="s">
        <v>1096</v>
      </c>
      <c r="B298" t="str">
        <f t="shared" si="8"/>
        <v>SYST-MOR-0007006.bam</v>
      </c>
      <c r="C298" t="s">
        <v>1097</v>
      </c>
      <c r="D298" t="s">
        <v>2436</v>
      </c>
      <c r="E298" t="s">
        <v>2437</v>
      </c>
      <c r="F298" t="s">
        <v>2523</v>
      </c>
      <c r="G298" t="s">
        <v>143</v>
      </c>
      <c r="H298" t="str">
        <f t="shared" si="9"/>
        <v>bic</v>
      </c>
      <c r="I298">
        <v>1</v>
      </c>
    </row>
    <row r="299" spans="1:9" x14ac:dyDescent="0.4">
      <c r="A299" t="s">
        <v>1099</v>
      </c>
      <c r="B299" t="str">
        <f t="shared" si="8"/>
        <v>SYST-MOR-0007007.bam</v>
      </c>
      <c r="C299" t="s">
        <v>1100</v>
      </c>
      <c r="D299" t="s">
        <v>2436</v>
      </c>
      <c r="E299" t="s">
        <v>2437</v>
      </c>
      <c r="F299" t="s">
        <v>2523</v>
      </c>
      <c r="G299" t="s">
        <v>64</v>
      </c>
      <c r="H299" t="str">
        <f t="shared" si="9"/>
        <v>alb</v>
      </c>
      <c r="I299">
        <v>1</v>
      </c>
    </row>
    <row r="300" spans="1:9" x14ac:dyDescent="0.4">
      <c r="A300" t="s">
        <v>1102</v>
      </c>
      <c r="B300" t="str">
        <f t="shared" si="8"/>
        <v>SYST-MOR-0007008.bam</v>
      </c>
      <c r="C300" t="s">
        <v>1103</v>
      </c>
      <c r="D300" t="s">
        <v>2436</v>
      </c>
      <c r="E300" t="s">
        <v>2437</v>
      </c>
      <c r="F300" t="s">
        <v>2523</v>
      </c>
      <c r="G300" t="s">
        <v>143</v>
      </c>
      <c r="H300" t="str">
        <f t="shared" si="9"/>
        <v>bic</v>
      </c>
      <c r="I300">
        <v>1</v>
      </c>
    </row>
    <row r="301" spans="1:9" x14ac:dyDescent="0.4">
      <c r="A301" t="s">
        <v>1105</v>
      </c>
      <c r="B301" t="str">
        <f t="shared" si="8"/>
        <v>SYST-MOR-0007009.bam</v>
      </c>
      <c r="C301" t="s">
        <v>1106</v>
      </c>
      <c r="D301" t="s">
        <v>2436</v>
      </c>
      <c r="E301" t="s">
        <v>2437</v>
      </c>
      <c r="F301" t="s">
        <v>2523</v>
      </c>
      <c r="G301" t="s">
        <v>64</v>
      </c>
      <c r="H301" t="str">
        <f t="shared" si="9"/>
        <v>alb</v>
      </c>
      <c r="I301">
        <v>1</v>
      </c>
    </row>
    <row r="302" spans="1:9" x14ac:dyDescent="0.4">
      <c r="A302" t="s">
        <v>1108</v>
      </c>
      <c r="B302" t="str">
        <f t="shared" si="8"/>
        <v>SYST-MOR-0007010.bam</v>
      </c>
      <c r="C302" t="s">
        <v>1109</v>
      </c>
      <c r="D302" t="s">
        <v>2436</v>
      </c>
      <c r="E302" t="s">
        <v>2437</v>
      </c>
      <c r="F302" t="s">
        <v>2523</v>
      </c>
      <c r="G302" t="s">
        <v>143</v>
      </c>
      <c r="H302" t="str">
        <f t="shared" si="9"/>
        <v>bic</v>
      </c>
      <c r="I302">
        <v>1</v>
      </c>
    </row>
    <row r="303" spans="1:9" x14ac:dyDescent="0.4">
      <c r="A303" t="s">
        <v>1111</v>
      </c>
      <c r="B303" t="str">
        <f t="shared" si="8"/>
        <v>SYST-MOR-0007011.bam</v>
      </c>
      <c r="C303" t="s">
        <v>1112</v>
      </c>
      <c r="D303" t="s">
        <v>2436</v>
      </c>
      <c r="E303" t="s">
        <v>2437</v>
      </c>
      <c r="F303" t="s">
        <v>2523</v>
      </c>
      <c r="G303" t="s">
        <v>64</v>
      </c>
      <c r="H303" t="str">
        <f t="shared" si="9"/>
        <v>alb</v>
      </c>
      <c r="I303">
        <v>1</v>
      </c>
    </row>
    <row r="304" spans="1:9" x14ac:dyDescent="0.4">
      <c r="A304" t="s">
        <v>1114</v>
      </c>
      <c r="B304" t="str">
        <f t="shared" si="8"/>
        <v>SYST-MOR-0007012.bam</v>
      </c>
      <c r="C304" t="s">
        <v>1115</v>
      </c>
      <c r="D304" t="s">
        <v>2436</v>
      </c>
      <c r="E304" t="s">
        <v>2437</v>
      </c>
      <c r="F304" t="s">
        <v>2523</v>
      </c>
      <c r="G304" t="s">
        <v>143</v>
      </c>
      <c r="H304" t="str">
        <f t="shared" si="9"/>
        <v>bic</v>
      </c>
      <c r="I304">
        <v>1</v>
      </c>
    </row>
    <row r="305" spans="1:9" x14ac:dyDescent="0.4">
      <c r="A305" t="s">
        <v>1117</v>
      </c>
      <c r="B305" t="str">
        <f t="shared" si="8"/>
        <v>SYST-MOR-0007013.bam</v>
      </c>
      <c r="C305" t="s">
        <v>1118</v>
      </c>
      <c r="D305" t="s">
        <v>2436</v>
      </c>
      <c r="E305" t="s">
        <v>2437</v>
      </c>
      <c r="F305" t="s">
        <v>2523</v>
      </c>
      <c r="G305" t="s">
        <v>64</v>
      </c>
      <c r="H305" t="str">
        <f t="shared" si="9"/>
        <v>alb</v>
      </c>
      <c r="I305">
        <v>1</v>
      </c>
    </row>
    <row r="306" spans="1:9" x14ac:dyDescent="0.4">
      <c r="A306" t="s">
        <v>1120</v>
      </c>
      <c r="B306" t="str">
        <f t="shared" si="8"/>
        <v>SYST-MOR-0007014.bam</v>
      </c>
      <c r="C306" t="s">
        <v>1121</v>
      </c>
      <c r="D306" t="s">
        <v>2436</v>
      </c>
      <c r="E306" t="s">
        <v>2437</v>
      </c>
      <c r="F306" t="s">
        <v>2523</v>
      </c>
      <c r="G306" t="s">
        <v>45</v>
      </c>
      <c r="H306" t="str">
        <f t="shared" si="9"/>
        <v>mac</v>
      </c>
      <c r="I306">
        <v>1</v>
      </c>
    </row>
    <row r="307" spans="1:9" x14ac:dyDescent="0.4">
      <c r="A307" t="s">
        <v>1123</v>
      </c>
      <c r="B307" t="str">
        <f t="shared" si="8"/>
        <v>SYST-MOR-0006985.bam</v>
      </c>
      <c r="C307" t="s">
        <v>1124</v>
      </c>
      <c r="D307" t="s">
        <v>2436</v>
      </c>
      <c r="E307" t="s">
        <v>2438</v>
      </c>
      <c r="F307" t="s">
        <v>2524</v>
      </c>
      <c r="G307" t="s">
        <v>632</v>
      </c>
      <c r="H307" t="str">
        <f t="shared" si="9"/>
        <v>pri</v>
      </c>
      <c r="I307">
        <v>1</v>
      </c>
    </row>
    <row r="308" spans="1:9" x14ac:dyDescent="0.4">
      <c r="A308" t="s">
        <v>1128</v>
      </c>
      <c r="B308" t="str">
        <f t="shared" si="8"/>
        <v>SYST-MOR-0006986.bam</v>
      </c>
      <c r="C308" t="s">
        <v>1129</v>
      </c>
      <c r="D308" t="s">
        <v>2436</v>
      </c>
      <c r="E308" t="s">
        <v>2438</v>
      </c>
      <c r="F308" t="s">
        <v>2524</v>
      </c>
      <c r="G308" t="s">
        <v>632</v>
      </c>
      <c r="H308" t="str">
        <f t="shared" si="9"/>
        <v>pri</v>
      </c>
      <c r="I308">
        <v>1</v>
      </c>
    </row>
    <row r="309" spans="1:9" x14ac:dyDescent="0.4">
      <c r="A309" t="s">
        <v>1131</v>
      </c>
      <c r="B309" t="str">
        <f t="shared" si="8"/>
        <v>SYST-MOR-0006987.bam</v>
      </c>
      <c r="C309" t="s">
        <v>1132</v>
      </c>
      <c r="D309" t="s">
        <v>2436</v>
      </c>
      <c r="E309" t="s">
        <v>2438</v>
      </c>
      <c r="F309" t="s">
        <v>2524</v>
      </c>
      <c r="G309" t="s">
        <v>632</v>
      </c>
      <c r="H309" t="str">
        <f t="shared" si="9"/>
        <v>pri</v>
      </c>
      <c r="I309">
        <v>1</v>
      </c>
    </row>
    <row r="310" spans="1:9" x14ac:dyDescent="0.4">
      <c r="A310" t="s">
        <v>1134</v>
      </c>
      <c r="B310" t="str">
        <f t="shared" si="8"/>
        <v>SYST-MOR-0006988.bam</v>
      </c>
      <c r="C310" t="s">
        <v>1135</v>
      </c>
      <c r="D310" t="s">
        <v>2436</v>
      </c>
      <c r="E310" t="s">
        <v>2438</v>
      </c>
      <c r="F310" t="s">
        <v>2524</v>
      </c>
      <c r="G310" t="s">
        <v>632</v>
      </c>
      <c r="H310" t="str">
        <f t="shared" si="9"/>
        <v>pri</v>
      </c>
      <c r="I310">
        <v>1</v>
      </c>
    </row>
    <row r="311" spans="1:9" x14ac:dyDescent="0.4">
      <c r="A311" t="s">
        <v>1137</v>
      </c>
      <c r="B311" t="str">
        <f t="shared" si="8"/>
        <v>SYST-MOR-0006989.bam</v>
      </c>
      <c r="C311" t="s">
        <v>1138</v>
      </c>
      <c r="D311" t="s">
        <v>2436</v>
      </c>
      <c r="E311" t="s">
        <v>2438</v>
      </c>
      <c r="F311" t="s">
        <v>2524</v>
      </c>
      <c r="G311" t="s">
        <v>64</v>
      </c>
      <c r="H311" t="str">
        <f t="shared" si="9"/>
        <v>alb</v>
      </c>
      <c r="I311">
        <v>1</v>
      </c>
    </row>
    <row r="312" spans="1:9" x14ac:dyDescent="0.4">
      <c r="A312" t="s">
        <v>1140</v>
      </c>
      <c r="B312" t="str">
        <f t="shared" si="8"/>
        <v>SYST-MOR-0006990.bam</v>
      </c>
      <c r="C312" t="s">
        <v>1141</v>
      </c>
      <c r="D312" t="s">
        <v>2436</v>
      </c>
      <c r="E312" t="s">
        <v>2438</v>
      </c>
      <c r="F312" t="s">
        <v>2524</v>
      </c>
      <c r="G312" t="s">
        <v>632</v>
      </c>
      <c r="H312" t="str">
        <f t="shared" si="9"/>
        <v>pri</v>
      </c>
      <c r="I312">
        <v>1</v>
      </c>
    </row>
    <row r="313" spans="1:9" x14ac:dyDescent="0.4">
      <c r="A313" t="s">
        <v>1143</v>
      </c>
      <c r="B313" t="str">
        <f t="shared" si="8"/>
        <v>SYST-MOR-0006991.bam</v>
      </c>
      <c r="C313" t="s">
        <v>1144</v>
      </c>
      <c r="D313" t="s">
        <v>2436</v>
      </c>
      <c r="E313" t="s">
        <v>2438</v>
      </c>
      <c r="F313" t="s">
        <v>2524</v>
      </c>
      <c r="G313" t="s">
        <v>64</v>
      </c>
      <c r="H313" t="str">
        <f t="shared" si="9"/>
        <v>alb</v>
      </c>
      <c r="I313">
        <v>1</v>
      </c>
    </row>
    <row r="314" spans="1:9" x14ac:dyDescent="0.4">
      <c r="A314" t="s">
        <v>1146</v>
      </c>
      <c r="B314" t="str">
        <f t="shared" si="8"/>
        <v>SYST-MOR-0006992.bam</v>
      </c>
      <c r="C314" t="s">
        <v>1147</v>
      </c>
      <c r="D314" t="s">
        <v>2436</v>
      </c>
      <c r="E314" t="s">
        <v>2438</v>
      </c>
      <c r="F314" t="s">
        <v>2524</v>
      </c>
      <c r="G314" t="s">
        <v>64</v>
      </c>
      <c r="H314" t="str">
        <f t="shared" si="9"/>
        <v>alb</v>
      </c>
      <c r="I314">
        <v>1</v>
      </c>
    </row>
    <row r="315" spans="1:9" x14ac:dyDescent="0.4">
      <c r="A315" t="s">
        <v>1149</v>
      </c>
      <c r="B315" t="str">
        <f t="shared" si="8"/>
        <v>SYST-MOR-0006993.bam</v>
      </c>
      <c r="C315" t="s">
        <v>1150</v>
      </c>
      <c r="D315" t="s">
        <v>2436</v>
      </c>
      <c r="E315" t="s">
        <v>2438</v>
      </c>
      <c r="F315" t="s">
        <v>2524</v>
      </c>
      <c r="G315" t="s">
        <v>64</v>
      </c>
      <c r="H315" t="str">
        <f t="shared" si="9"/>
        <v>alb</v>
      </c>
      <c r="I315">
        <v>1</v>
      </c>
    </row>
    <row r="316" spans="1:9" x14ac:dyDescent="0.4">
      <c r="A316" t="s">
        <v>1152</v>
      </c>
      <c r="B316" t="str">
        <f t="shared" si="8"/>
        <v>SYST-MOR-0006994.bam</v>
      </c>
      <c r="C316" t="s">
        <v>1153</v>
      </c>
      <c r="D316" t="s">
        <v>2436</v>
      </c>
      <c r="E316" t="s">
        <v>2438</v>
      </c>
      <c r="F316" t="s">
        <v>2524</v>
      </c>
      <c r="G316" t="s">
        <v>143</v>
      </c>
      <c r="H316" t="str">
        <f t="shared" si="9"/>
        <v>bic</v>
      </c>
      <c r="I316">
        <v>1</v>
      </c>
    </row>
    <row r="317" spans="1:9" x14ac:dyDescent="0.4">
      <c r="A317" t="s">
        <v>1155</v>
      </c>
      <c r="B317" t="str">
        <f t="shared" si="8"/>
        <v>SYST-MOR-0006995.bam</v>
      </c>
      <c r="C317" t="s">
        <v>1156</v>
      </c>
      <c r="D317" t="s">
        <v>2436</v>
      </c>
      <c r="E317" t="s">
        <v>2438</v>
      </c>
      <c r="F317" t="s">
        <v>2524</v>
      </c>
      <c r="G317" t="s">
        <v>143</v>
      </c>
      <c r="H317" t="str">
        <f t="shared" si="9"/>
        <v>bic</v>
      </c>
      <c r="I317">
        <v>1</v>
      </c>
    </row>
    <row r="318" spans="1:9" x14ac:dyDescent="0.4">
      <c r="A318" t="s">
        <v>1158</v>
      </c>
      <c r="B318" t="str">
        <f t="shared" si="8"/>
        <v>SYST-MOR-0006996.bam</v>
      </c>
      <c r="C318" t="s">
        <v>1159</v>
      </c>
      <c r="D318" t="s">
        <v>2436</v>
      </c>
      <c r="E318" t="s">
        <v>2438</v>
      </c>
      <c r="F318" t="s">
        <v>2524</v>
      </c>
      <c r="G318" t="s">
        <v>143</v>
      </c>
      <c r="H318" t="str">
        <f t="shared" si="9"/>
        <v>bic</v>
      </c>
      <c r="I318">
        <v>1</v>
      </c>
    </row>
    <row r="319" spans="1:9" x14ac:dyDescent="0.4">
      <c r="A319" t="s">
        <v>1161</v>
      </c>
      <c r="B319" t="str">
        <f t="shared" si="8"/>
        <v>SYST-MOR-0006997.bam</v>
      </c>
      <c r="C319" t="s">
        <v>1162</v>
      </c>
      <c r="D319" t="s">
        <v>2436</v>
      </c>
      <c r="E319" t="s">
        <v>2438</v>
      </c>
      <c r="F319" t="s">
        <v>2524</v>
      </c>
      <c r="G319" t="s">
        <v>143</v>
      </c>
      <c r="H319" t="str">
        <f t="shared" si="9"/>
        <v>bic</v>
      </c>
      <c r="I319">
        <v>1</v>
      </c>
    </row>
    <row r="320" spans="1:9" x14ac:dyDescent="0.4">
      <c r="A320" t="s">
        <v>1164</v>
      </c>
      <c r="B320" t="str">
        <f t="shared" si="8"/>
        <v>SYST-MOR-0006998.bam</v>
      </c>
      <c r="C320" t="s">
        <v>1165</v>
      </c>
      <c r="D320" t="s">
        <v>2436</v>
      </c>
      <c r="E320" t="s">
        <v>2438</v>
      </c>
      <c r="F320" t="s">
        <v>2524</v>
      </c>
      <c r="G320" t="s">
        <v>2626</v>
      </c>
      <c r="H320" t="s">
        <v>2633</v>
      </c>
      <c r="I320">
        <v>1</v>
      </c>
    </row>
    <row r="321" spans="1:9" x14ac:dyDescent="0.4">
      <c r="A321" t="s">
        <v>1167</v>
      </c>
      <c r="B321" t="str">
        <f t="shared" si="8"/>
        <v>SYST-MOR-0006999.bam</v>
      </c>
      <c r="C321" t="s">
        <v>1168</v>
      </c>
      <c r="D321" t="s">
        <v>2436</v>
      </c>
      <c r="E321" t="s">
        <v>2438</v>
      </c>
      <c r="F321" t="s">
        <v>2524</v>
      </c>
      <c r="G321" t="s">
        <v>45</v>
      </c>
      <c r="H321" t="str">
        <f t="shared" si="9"/>
        <v>mac</v>
      </c>
      <c r="I321">
        <v>1</v>
      </c>
    </row>
    <row r="322" spans="1:9" x14ac:dyDescent="0.4">
      <c r="A322" t="s">
        <v>1171</v>
      </c>
      <c r="B322" t="str">
        <f t="shared" ref="B322:B385" si="10">_xlfn.CONCAT(A322,".bam")</f>
        <v>SYST-MOR-0007000.bam</v>
      </c>
      <c r="C322" t="s">
        <v>1172</v>
      </c>
      <c r="D322" t="s">
        <v>2436</v>
      </c>
      <c r="E322" t="s">
        <v>2438</v>
      </c>
      <c r="F322" t="s">
        <v>2524</v>
      </c>
      <c r="G322" t="s">
        <v>64</v>
      </c>
      <c r="H322" t="str">
        <f t="shared" si="9"/>
        <v>alb</v>
      </c>
      <c r="I322">
        <v>1</v>
      </c>
    </row>
    <row r="323" spans="1:9" x14ac:dyDescent="0.4">
      <c r="A323" t="s">
        <v>1174</v>
      </c>
      <c r="B323" t="str">
        <f t="shared" si="10"/>
        <v>SYST-MOR-0007001.bam</v>
      </c>
      <c r="C323" t="s">
        <v>1175</v>
      </c>
      <c r="D323" t="s">
        <v>2436</v>
      </c>
      <c r="E323" t="s">
        <v>2438</v>
      </c>
      <c r="F323" t="s">
        <v>2524</v>
      </c>
      <c r="G323" t="s">
        <v>45</v>
      </c>
      <c r="H323" t="str">
        <f t="shared" ref="H323:H384" si="11">IF(ISERROR(FIND("x",LEFT(G323,LEN(G323)-7),1)),RIGHT(LEFT(G323,11),3),G323)</f>
        <v>mac</v>
      </c>
      <c r="I323">
        <v>1</v>
      </c>
    </row>
    <row r="324" spans="1:9" x14ac:dyDescent="0.4">
      <c r="A324" t="s">
        <v>1177</v>
      </c>
      <c r="B324" t="str">
        <f t="shared" si="10"/>
        <v>SYST-MOR-0007002.bam</v>
      </c>
      <c r="C324" t="s">
        <v>1178</v>
      </c>
      <c r="D324" t="s">
        <v>2436</v>
      </c>
      <c r="E324" t="s">
        <v>2438</v>
      </c>
      <c r="F324" t="s">
        <v>2524</v>
      </c>
      <c r="G324" t="s">
        <v>45</v>
      </c>
      <c r="H324" t="str">
        <f t="shared" si="11"/>
        <v>mac</v>
      </c>
      <c r="I324">
        <v>1</v>
      </c>
    </row>
    <row r="325" spans="1:9" x14ac:dyDescent="0.4">
      <c r="A325" t="s">
        <v>1180</v>
      </c>
      <c r="B325" t="str">
        <f t="shared" si="10"/>
        <v>SYST-MOR-0007003.bam</v>
      </c>
      <c r="C325" t="s">
        <v>1181</v>
      </c>
      <c r="D325" t="s">
        <v>2436</v>
      </c>
      <c r="E325" t="s">
        <v>2438</v>
      </c>
      <c r="F325" t="s">
        <v>2524</v>
      </c>
      <c r="G325" t="s">
        <v>45</v>
      </c>
      <c r="H325" t="str">
        <f t="shared" si="11"/>
        <v>mac</v>
      </c>
      <c r="I325">
        <v>1</v>
      </c>
    </row>
    <row r="326" spans="1:9" x14ac:dyDescent="0.4">
      <c r="A326" t="s">
        <v>1183</v>
      </c>
      <c r="B326" t="str">
        <f t="shared" si="10"/>
        <v>SYST-MOR-0007435.bam</v>
      </c>
      <c r="C326" t="s">
        <v>1184</v>
      </c>
      <c r="D326" t="s">
        <v>2436</v>
      </c>
      <c r="E326" t="s">
        <v>2478</v>
      </c>
      <c r="F326" t="s">
        <v>2525</v>
      </c>
      <c r="G326" t="s">
        <v>45</v>
      </c>
      <c r="H326" t="str">
        <f t="shared" si="11"/>
        <v>mac</v>
      </c>
      <c r="I326">
        <v>1</v>
      </c>
    </row>
    <row r="327" spans="1:9" x14ac:dyDescent="0.4">
      <c r="A327" t="s">
        <v>1190</v>
      </c>
      <c r="B327" t="str">
        <f t="shared" si="10"/>
        <v>SYST-MOR-0007436.bam</v>
      </c>
      <c r="C327" t="s">
        <v>1191</v>
      </c>
      <c r="D327" t="s">
        <v>2436</v>
      </c>
      <c r="E327" t="s">
        <v>2478</v>
      </c>
      <c r="F327" t="s">
        <v>2525</v>
      </c>
      <c r="G327" t="s">
        <v>2623</v>
      </c>
      <c r="H327" t="s">
        <v>2630</v>
      </c>
      <c r="I327">
        <v>1</v>
      </c>
    </row>
    <row r="328" spans="1:9" x14ac:dyDescent="0.4">
      <c r="A328" t="s">
        <v>1193</v>
      </c>
      <c r="B328" t="str">
        <f t="shared" si="10"/>
        <v>SYST-MOR-0007437.bam</v>
      </c>
      <c r="C328" t="s">
        <v>1194</v>
      </c>
      <c r="D328" t="s">
        <v>2436</v>
      </c>
      <c r="E328" t="s">
        <v>2478</v>
      </c>
      <c r="F328" t="s">
        <v>2525</v>
      </c>
      <c r="G328" t="s">
        <v>45</v>
      </c>
      <c r="H328" t="str">
        <f t="shared" si="11"/>
        <v>mac</v>
      </c>
      <c r="I328">
        <v>1</v>
      </c>
    </row>
    <row r="329" spans="1:9" x14ac:dyDescent="0.4">
      <c r="A329" t="s">
        <v>1196</v>
      </c>
      <c r="B329" t="str">
        <f t="shared" si="10"/>
        <v>SYST-MOR-0007438.bam</v>
      </c>
      <c r="C329" t="s">
        <v>1197</v>
      </c>
      <c r="D329" t="s">
        <v>2436</v>
      </c>
      <c r="E329" t="s">
        <v>2478</v>
      </c>
      <c r="F329" t="s">
        <v>2525</v>
      </c>
      <c r="G329" t="s">
        <v>45</v>
      </c>
      <c r="H329" t="str">
        <f t="shared" si="11"/>
        <v>mac</v>
      </c>
      <c r="I329">
        <v>1</v>
      </c>
    </row>
    <row r="330" spans="1:9" x14ac:dyDescent="0.4">
      <c r="A330" t="s">
        <v>1200</v>
      </c>
      <c r="B330" t="str">
        <f t="shared" si="10"/>
        <v>SYST-MOR-0007439.bam</v>
      </c>
      <c r="C330" t="s">
        <v>1201</v>
      </c>
      <c r="D330" t="s">
        <v>2436</v>
      </c>
      <c r="E330" t="s">
        <v>2478</v>
      </c>
      <c r="F330" t="s">
        <v>2525</v>
      </c>
      <c r="G330" t="s">
        <v>2623</v>
      </c>
      <c r="H330" t="s">
        <v>2630</v>
      </c>
      <c r="I330">
        <v>1</v>
      </c>
    </row>
    <row r="331" spans="1:9" x14ac:dyDescent="0.4">
      <c r="A331" t="s">
        <v>1204</v>
      </c>
      <c r="B331" t="str">
        <f t="shared" si="10"/>
        <v>SYST-MOR-0007440.bam</v>
      </c>
      <c r="C331" t="s">
        <v>1205</v>
      </c>
      <c r="D331" t="s">
        <v>2436</v>
      </c>
      <c r="E331" t="s">
        <v>2478</v>
      </c>
      <c r="F331" t="s">
        <v>2525</v>
      </c>
      <c r="G331" t="s">
        <v>45</v>
      </c>
      <c r="H331" t="str">
        <f t="shared" si="11"/>
        <v>mac</v>
      </c>
      <c r="I331">
        <v>1</v>
      </c>
    </row>
    <row r="332" spans="1:9" x14ac:dyDescent="0.4">
      <c r="A332" t="s">
        <v>1207</v>
      </c>
      <c r="B332" t="str">
        <f t="shared" si="10"/>
        <v>SYST-MOR-0007441.bam</v>
      </c>
      <c r="C332" t="s">
        <v>1208</v>
      </c>
      <c r="D332" t="s">
        <v>2436</v>
      </c>
      <c r="E332" t="s">
        <v>2478</v>
      </c>
      <c r="F332" t="s">
        <v>2525</v>
      </c>
      <c r="G332" t="s">
        <v>45</v>
      </c>
      <c r="H332" t="str">
        <f t="shared" si="11"/>
        <v>mac</v>
      </c>
      <c r="I332">
        <v>1</v>
      </c>
    </row>
    <row r="333" spans="1:9" x14ac:dyDescent="0.4">
      <c r="A333" t="s">
        <v>1210</v>
      </c>
      <c r="B333" t="str">
        <f t="shared" si="10"/>
        <v>SYST-MOR-0007442.bam</v>
      </c>
      <c r="C333" t="s">
        <v>1211</v>
      </c>
      <c r="D333" t="s">
        <v>2436</v>
      </c>
      <c r="E333" t="s">
        <v>2478</v>
      </c>
      <c r="F333" t="s">
        <v>2525</v>
      </c>
      <c r="G333" t="s">
        <v>45</v>
      </c>
      <c r="H333" t="str">
        <f t="shared" si="11"/>
        <v>mac</v>
      </c>
      <c r="I333">
        <v>1</v>
      </c>
    </row>
    <row r="334" spans="1:9" x14ac:dyDescent="0.4">
      <c r="A334" t="s">
        <v>1213</v>
      </c>
      <c r="B334" t="str">
        <f t="shared" si="10"/>
        <v>SYST-MOR-0007443.bam</v>
      </c>
      <c r="C334" t="s">
        <v>1214</v>
      </c>
      <c r="D334" t="s">
        <v>2436</v>
      </c>
      <c r="E334" t="s">
        <v>2478</v>
      </c>
      <c r="F334" t="s">
        <v>2525</v>
      </c>
      <c r="G334" t="s">
        <v>45</v>
      </c>
      <c r="H334" t="str">
        <f t="shared" si="11"/>
        <v>mac</v>
      </c>
      <c r="I334">
        <v>1</v>
      </c>
    </row>
    <row r="335" spans="1:9" x14ac:dyDescent="0.4">
      <c r="A335" t="s">
        <v>1217</v>
      </c>
      <c r="B335" t="str">
        <f t="shared" si="10"/>
        <v>SYST-MOR-0007444.bam</v>
      </c>
      <c r="C335" t="s">
        <v>1218</v>
      </c>
      <c r="D335" t="s">
        <v>2436</v>
      </c>
      <c r="E335" t="s">
        <v>2478</v>
      </c>
      <c r="F335" t="s">
        <v>2525</v>
      </c>
      <c r="G335" t="s">
        <v>45</v>
      </c>
      <c r="H335" t="str">
        <f t="shared" si="11"/>
        <v>mac</v>
      </c>
      <c r="I335">
        <v>1</v>
      </c>
    </row>
    <row r="336" spans="1:9" x14ac:dyDescent="0.4">
      <c r="A336" t="s">
        <v>1220</v>
      </c>
      <c r="B336" t="str">
        <f t="shared" si="10"/>
        <v>SYST-MOR-0007445.bam</v>
      </c>
      <c r="C336" t="s">
        <v>1221</v>
      </c>
      <c r="D336" t="s">
        <v>2436</v>
      </c>
      <c r="E336" t="s">
        <v>2478</v>
      </c>
      <c r="F336" t="s">
        <v>2525</v>
      </c>
      <c r="G336" t="s">
        <v>45</v>
      </c>
      <c r="H336" t="str">
        <f t="shared" si="11"/>
        <v>mac</v>
      </c>
      <c r="I336">
        <v>1</v>
      </c>
    </row>
    <row r="337" spans="1:9" x14ac:dyDescent="0.4">
      <c r="A337" t="s">
        <v>1257</v>
      </c>
      <c r="B337" t="str">
        <f t="shared" si="10"/>
        <v>SYST-MOR-0007251.bam</v>
      </c>
      <c r="C337" t="s">
        <v>1258</v>
      </c>
      <c r="D337" t="s">
        <v>2439</v>
      </c>
      <c r="E337" t="s">
        <v>2440</v>
      </c>
      <c r="F337" t="s">
        <v>2527</v>
      </c>
      <c r="G337" t="s">
        <v>45</v>
      </c>
      <c r="H337" t="str">
        <f t="shared" si="11"/>
        <v>mac</v>
      </c>
      <c r="I337">
        <v>1</v>
      </c>
    </row>
    <row r="338" spans="1:9" x14ac:dyDescent="0.4">
      <c r="A338" t="s">
        <v>1264</v>
      </c>
      <c r="B338" t="str">
        <f t="shared" si="10"/>
        <v>SYST-MOR-0007252.bam</v>
      </c>
      <c r="C338" t="s">
        <v>1265</v>
      </c>
      <c r="D338" t="s">
        <v>2439</v>
      </c>
      <c r="E338" t="s">
        <v>2440</v>
      </c>
      <c r="F338" t="s">
        <v>2527</v>
      </c>
      <c r="G338" t="s">
        <v>45</v>
      </c>
      <c r="H338" t="str">
        <f t="shared" si="11"/>
        <v>mac</v>
      </c>
      <c r="I338">
        <v>1</v>
      </c>
    </row>
    <row r="339" spans="1:9" x14ac:dyDescent="0.4">
      <c r="A339" t="s">
        <v>1267</v>
      </c>
      <c r="B339" t="str">
        <f t="shared" si="10"/>
        <v>SYST-MOR-0007253.bam</v>
      </c>
      <c r="C339" t="s">
        <v>1268</v>
      </c>
      <c r="D339" t="s">
        <v>2439</v>
      </c>
      <c r="E339" t="s">
        <v>2440</v>
      </c>
      <c r="F339" t="s">
        <v>2527</v>
      </c>
      <c r="G339" t="s">
        <v>45</v>
      </c>
      <c r="H339" t="str">
        <f t="shared" si="11"/>
        <v>mac</v>
      </c>
      <c r="I339">
        <v>1</v>
      </c>
    </row>
    <row r="340" spans="1:9" x14ac:dyDescent="0.4">
      <c r="A340" t="s">
        <v>1270</v>
      </c>
      <c r="B340" t="str">
        <f t="shared" si="10"/>
        <v>SYST-MOR-0007254.bam</v>
      </c>
      <c r="C340" t="s">
        <v>1271</v>
      </c>
      <c r="D340" t="s">
        <v>2439</v>
      </c>
      <c r="E340" t="s">
        <v>2440</v>
      </c>
      <c r="F340" t="s">
        <v>2527</v>
      </c>
      <c r="G340" t="s">
        <v>45</v>
      </c>
      <c r="H340" t="str">
        <f t="shared" si="11"/>
        <v>mac</v>
      </c>
      <c r="I340">
        <v>1</v>
      </c>
    </row>
    <row r="341" spans="1:9" x14ac:dyDescent="0.4">
      <c r="A341" t="s">
        <v>1273</v>
      </c>
      <c r="B341" t="str">
        <f t="shared" si="10"/>
        <v>SYST-MOR-0007255.bam</v>
      </c>
      <c r="C341" t="s">
        <v>1274</v>
      </c>
      <c r="D341" t="s">
        <v>2439</v>
      </c>
      <c r="E341" t="s">
        <v>2440</v>
      </c>
      <c r="F341" t="s">
        <v>2527</v>
      </c>
      <c r="G341" t="s">
        <v>45</v>
      </c>
      <c r="H341" t="str">
        <f t="shared" si="11"/>
        <v>mac</v>
      </c>
      <c r="I341">
        <v>1</v>
      </c>
    </row>
    <row r="342" spans="1:9" x14ac:dyDescent="0.4">
      <c r="A342" t="s">
        <v>1276</v>
      </c>
      <c r="B342" t="str">
        <f t="shared" si="10"/>
        <v>SYST-MOR-0007257.bam</v>
      </c>
      <c r="C342" t="s">
        <v>1277</v>
      </c>
      <c r="D342" t="s">
        <v>2439</v>
      </c>
      <c r="E342" t="s">
        <v>2440</v>
      </c>
      <c r="F342" t="s">
        <v>2527</v>
      </c>
      <c r="G342" t="s">
        <v>64</v>
      </c>
      <c r="H342" t="str">
        <f t="shared" si="11"/>
        <v>alb</v>
      </c>
      <c r="I342">
        <v>1</v>
      </c>
    </row>
    <row r="343" spans="1:9" x14ac:dyDescent="0.4">
      <c r="A343" t="s">
        <v>1279</v>
      </c>
      <c r="B343" t="str">
        <f t="shared" si="10"/>
        <v>SYST-MOR-0007258.bam</v>
      </c>
      <c r="C343" t="s">
        <v>1280</v>
      </c>
      <c r="D343" t="s">
        <v>2439</v>
      </c>
      <c r="E343" t="s">
        <v>2440</v>
      </c>
      <c r="F343" t="s">
        <v>2527</v>
      </c>
      <c r="G343" t="s">
        <v>64</v>
      </c>
      <c r="H343" t="str">
        <f t="shared" si="11"/>
        <v>alb</v>
      </c>
      <c r="I343">
        <v>1</v>
      </c>
    </row>
    <row r="344" spans="1:9" x14ac:dyDescent="0.4">
      <c r="A344" t="s">
        <v>1282</v>
      </c>
      <c r="B344" t="str">
        <f t="shared" si="10"/>
        <v>SYST-MOR-0007259.bam</v>
      </c>
      <c r="C344" t="s">
        <v>1283</v>
      </c>
      <c r="D344" t="s">
        <v>2439</v>
      </c>
      <c r="E344" t="s">
        <v>2440</v>
      </c>
      <c r="F344" t="s">
        <v>2527</v>
      </c>
      <c r="G344" t="s">
        <v>64</v>
      </c>
      <c r="H344" t="str">
        <f t="shared" si="11"/>
        <v>alb</v>
      </c>
      <c r="I344">
        <v>1</v>
      </c>
    </row>
    <row r="345" spans="1:9" x14ac:dyDescent="0.4">
      <c r="A345" t="s">
        <v>1285</v>
      </c>
      <c r="B345" t="str">
        <f t="shared" si="10"/>
        <v>SYST-MOR-0007260.bam</v>
      </c>
      <c r="C345" t="s">
        <v>1286</v>
      </c>
      <c r="D345" t="s">
        <v>2439</v>
      </c>
      <c r="E345" t="s">
        <v>2440</v>
      </c>
      <c r="F345" t="s">
        <v>2527</v>
      </c>
      <c r="G345" t="s">
        <v>64</v>
      </c>
      <c r="H345" t="str">
        <f t="shared" si="11"/>
        <v>alb</v>
      </c>
      <c r="I345">
        <v>1</v>
      </c>
    </row>
    <row r="346" spans="1:9" x14ac:dyDescent="0.4">
      <c r="A346" t="s">
        <v>1288</v>
      </c>
      <c r="B346" t="str">
        <f t="shared" si="10"/>
        <v>SYST-MOR-0007256.bam</v>
      </c>
      <c r="C346" t="s">
        <v>1289</v>
      </c>
      <c r="D346" t="s">
        <v>2439</v>
      </c>
      <c r="E346" t="s">
        <v>2440</v>
      </c>
      <c r="F346" t="s">
        <v>2527</v>
      </c>
      <c r="G346" t="s">
        <v>64</v>
      </c>
      <c r="H346" t="str">
        <f t="shared" si="11"/>
        <v>alb</v>
      </c>
      <c r="I346">
        <v>1</v>
      </c>
    </row>
    <row r="347" spans="1:9" x14ac:dyDescent="0.4">
      <c r="A347" t="s">
        <v>1291</v>
      </c>
      <c r="B347" t="str">
        <f t="shared" si="10"/>
        <v>SYST-MOR-0006943.bam</v>
      </c>
      <c r="C347" t="s">
        <v>1292</v>
      </c>
      <c r="D347" t="s">
        <v>2439</v>
      </c>
      <c r="E347" t="s">
        <v>2441</v>
      </c>
      <c r="F347" t="s">
        <v>2528</v>
      </c>
      <c r="G347" t="s">
        <v>45</v>
      </c>
      <c r="H347" t="str">
        <f t="shared" si="11"/>
        <v>mac</v>
      </c>
      <c r="I347">
        <v>1</v>
      </c>
    </row>
    <row r="348" spans="1:9" x14ac:dyDescent="0.4">
      <c r="A348" t="s">
        <v>1296</v>
      </c>
      <c r="B348" t="str">
        <f t="shared" si="10"/>
        <v>SYST-MOR-0006944.bam</v>
      </c>
      <c r="C348" t="s">
        <v>1297</v>
      </c>
      <c r="D348" t="s">
        <v>2439</v>
      </c>
      <c r="E348" t="s">
        <v>2441</v>
      </c>
      <c r="F348" t="s">
        <v>2528</v>
      </c>
      <c r="G348" t="s">
        <v>45</v>
      </c>
      <c r="H348" t="str">
        <f t="shared" si="11"/>
        <v>mac</v>
      </c>
      <c r="I348">
        <v>1</v>
      </c>
    </row>
    <row r="349" spans="1:9" x14ac:dyDescent="0.4">
      <c r="A349" t="s">
        <v>1299</v>
      </c>
      <c r="B349" t="str">
        <f t="shared" si="10"/>
        <v>SYST-MOR-0006945.bam</v>
      </c>
      <c r="C349" t="s">
        <v>1300</v>
      </c>
      <c r="D349" t="s">
        <v>2439</v>
      </c>
      <c r="E349" t="s">
        <v>2441</v>
      </c>
      <c r="F349" t="s">
        <v>2528</v>
      </c>
      <c r="G349" t="s">
        <v>45</v>
      </c>
      <c r="H349" t="str">
        <f t="shared" si="11"/>
        <v>mac</v>
      </c>
      <c r="I349">
        <v>1</v>
      </c>
    </row>
    <row r="350" spans="1:9" x14ac:dyDescent="0.4">
      <c r="A350" t="s">
        <v>1302</v>
      </c>
      <c r="B350" t="str">
        <f t="shared" si="10"/>
        <v>SYST-MOR-0006946.bam</v>
      </c>
      <c r="C350" t="s">
        <v>1303</v>
      </c>
      <c r="D350" t="s">
        <v>2439</v>
      </c>
      <c r="E350" t="s">
        <v>2441</v>
      </c>
      <c r="F350" t="s">
        <v>2528</v>
      </c>
      <c r="G350" t="s">
        <v>64</v>
      </c>
      <c r="H350" t="str">
        <f t="shared" si="11"/>
        <v>alb</v>
      </c>
      <c r="I350">
        <v>1</v>
      </c>
    </row>
    <row r="351" spans="1:9" x14ac:dyDescent="0.4">
      <c r="A351" t="s">
        <v>1305</v>
      </c>
      <c r="B351" t="str">
        <f t="shared" si="10"/>
        <v>SYST-MOR-0006947.bam</v>
      </c>
      <c r="C351" t="s">
        <v>1306</v>
      </c>
      <c r="D351" t="s">
        <v>2439</v>
      </c>
      <c r="E351" t="s">
        <v>2441</v>
      </c>
      <c r="F351" t="s">
        <v>2528</v>
      </c>
      <c r="G351" t="s">
        <v>2626</v>
      </c>
      <c r="H351" t="s">
        <v>2633</v>
      </c>
      <c r="I351">
        <v>1</v>
      </c>
    </row>
    <row r="352" spans="1:9" x14ac:dyDescent="0.4">
      <c r="A352" t="s">
        <v>1308</v>
      </c>
      <c r="B352" t="str">
        <f t="shared" si="10"/>
        <v>SYST-MOR-0006948.bam</v>
      </c>
      <c r="C352" t="s">
        <v>1309</v>
      </c>
      <c r="D352" t="s">
        <v>2439</v>
      </c>
      <c r="E352" t="s">
        <v>2441</v>
      </c>
      <c r="F352" t="s">
        <v>2528</v>
      </c>
      <c r="G352" t="s">
        <v>45</v>
      </c>
      <c r="H352" t="str">
        <f t="shared" si="11"/>
        <v>mac</v>
      </c>
      <c r="I352">
        <v>1</v>
      </c>
    </row>
    <row r="353" spans="1:9" x14ac:dyDescent="0.4">
      <c r="A353" t="s">
        <v>1311</v>
      </c>
      <c r="B353" t="str">
        <f t="shared" si="10"/>
        <v>SYST-MOR-0006949.bam</v>
      </c>
      <c r="C353" t="s">
        <v>1312</v>
      </c>
      <c r="D353" t="s">
        <v>2439</v>
      </c>
      <c r="E353" t="s">
        <v>2441</v>
      </c>
      <c r="F353" t="s">
        <v>2528</v>
      </c>
      <c r="G353" t="s">
        <v>64</v>
      </c>
      <c r="H353" t="str">
        <f t="shared" si="11"/>
        <v>alb</v>
      </c>
      <c r="I353">
        <v>1</v>
      </c>
    </row>
    <row r="354" spans="1:9" x14ac:dyDescent="0.4">
      <c r="A354" t="s">
        <v>1314</v>
      </c>
      <c r="B354" t="str">
        <f t="shared" si="10"/>
        <v>SYST-MOR-0006950.bam</v>
      </c>
      <c r="C354" t="s">
        <v>1315</v>
      </c>
      <c r="D354" t="s">
        <v>2439</v>
      </c>
      <c r="E354" t="s">
        <v>2441</v>
      </c>
      <c r="F354" t="s">
        <v>2528</v>
      </c>
      <c r="G354" t="s">
        <v>64</v>
      </c>
      <c r="H354" t="str">
        <f t="shared" si="11"/>
        <v>alb</v>
      </c>
      <c r="I354">
        <v>1</v>
      </c>
    </row>
    <row r="355" spans="1:9" x14ac:dyDescent="0.4">
      <c r="A355" t="s">
        <v>1317</v>
      </c>
      <c r="B355" t="str">
        <f t="shared" si="10"/>
        <v>SYST-MOR-0007446.bam</v>
      </c>
      <c r="C355" t="s">
        <v>1318</v>
      </c>
      <c r="D355" t="s">
        <v>2439</v>
      </c>
      <c r="E355" t="s">
        <v>2480</v>
      </c>
      <c r="F355" t="s">
        <v>2529</v>
      </c>
      <c r="G355" t="s">
        <v>45</v>
      </c>
      <c r="H355" t="str">
        <f t="shared" si="11"/>
        <v>mac</v>
      </c>
      <c r="I355">
        <v>1</v>
      </c>
    </row>
    <row r="356" spans="1:9" x14ac:dyDescent="0.4">
      <c r="A356" t="s">
        <v>1324</v>
      </c>
      <c r="B356" t="str">
        <f t="shared" si="10"/>
        <v>SYST-MOR-0007447.bam</v>
      </c>
      <c r="C356" t="s">
        <v>1325</v>
      </c>
      <c r="D356" t="s">
        <v>2439</v>
      </c>
      <c r="E356" t="s">
        <v>2480</v>
      </c>
      <c r="F356" t="s">
        <v>2529</v>
      </c>
      <c r="G356" t="s">
        <v>45</v>
      </c>
      <c r="H356" t="str">
        <f t="shared" si="11"/>
        <v>mac</v>
      </c>
      <c r="I356">
        <v>1</v>
      </c>
    </row>
    <row r="357" spans="1:9" x14ac:dyDescent="0.4">
      <c r="A357" t="s">
        <v>1327</v>
      </c>
      <c r="B357" t="str">
        <f t="shared" si="10"/>
        <v>SYST-MOR-0007448.bam</v>
      </c>
      <c r="C357" t="s">
        <v>1328</v>
      </c>
      <c r="D357" t="s">
        <v>2439</v>
      </c>
      <c r="E357" t="s">
        <v>2480</v>
      </c>
      <c r="F357" t="s">
        <v>2529</v>
      </c>
      <c r="G357" t="s">
        <v>45</v>
      </c>
      <c r="H357" t="str">
        <f t="shared" si="11"/>
        <v>mac</v>
      </c>
      <c r="I357">
        <v>1</v>
      </c>
    </row>
    <row r="358" spans="1:9" x14ac:dyDescent="0.4">
      <c r="A358" t="s">
        <v>1330</v>
      </c>
      <c r="B358" t="str">
        <f t="shared" si="10"/>
        <v>SYST-MOR-0007449.bam</v>
      </c>
      <c r="C358" t="s">
        <v>1331</v>
      </c>
      <c r="D358" t="s">
        <v>2439</v>
      </c>
      <c r="E358" t="s">
        <v>2480</v>
      </c>
      <c r="F358" t="s">
        <v>2529</v>
      </c>
      <c r="G358" t="s">
        <v>45</v>
      </c>
      <c r="H358" t="str">
        <f t="shared" si="11"/>
        <v>mac</v>
      </c>
      <c r="I358">
        <v>1</v>
      </c>
    </row>
    <row r="359" spans="1:9" x14ac:dyDescent="0.4">
      <c r="A359" t="s">
        <v>1333</v>
      </c>
      <c r="B359" t="str">
        <f t="shared" si="10"/>
        <v>SYST-MOR-0007450.bam</v>
      </c>
      <c r="C359" t="s">
        <v>1334</v>
      </c>
      <c r="D359" t="s">
        <v>2439</v>
      </c>
      <c r="E359" t="s">
        <v>2480</v>
      </c>
      <c r="F359" t="s">
        <v>2529</v>
      </c>
      <c r="G359" t="s">
        <v>45</v>
      </c>
      <c r="H359" t="str">
        <f t="shared" si="11"/>
        <v>mac</v>
      </c>
      <c r="I359">
        <v>1</v>
      </c>
    </row>
    <row r="360" spans="1:9" x14ac:dyDescent="0.4">
      <c r="A360" t="s">
        <v>1336</v>
      </c>
      <c r="B360" t="str">
        <f t="shared" si="10"/>
        <v>SYST-MOR-0007451.bam</v>
      </c>
      <c r="C360" t="s">
        <v>1337</v>
      </c>
      <c r="D360" t="s">
        <v>2439</v>
      </c>
      <c r="E360" t="s">
        <v>2480</v>
      </c>
      <c r="F360" t="s">
        <v>2529</v>
      </c>
      <c r="G360" t="s">
        <v>45</v>
      </c>
      <c r="H360" t="str">
        <f t="shared" si="11"/>
        <v>mac</v>
      </c>
      <c r="I360">
        <v>1</v>
      </c>
    </row>
    <row r="361" spans="1:9" x14ac:dyDescent="0.4">
      <c r="A361" t="s">
        <v>1339</v>
      </c>
      <c r="B361" t="str">
        <f t="shared" si="10"/>
        <v>SYST-MOR-0007452.bam</v>
      </c>
      <c r="C361" t="s">
        <v>1340</v>
      </c>
      <c r="D361" t="s">
        <v>2439</v>
      </c>
      <c r="E361" t="s">
        <v>2480</v>
      </c>
      <c r="F361" t="s">
        <v>2529</v>
      </c>
      <c r="G361" t="s">
        <v>45</v>
      </c>
      <c r="H361" t="str">
        <f t="shared" si="11"/>
        <v>mac</v>
      </c>
      <c r="I361">
        <v>1</v>
      </c>
    </row>
    <row r="362" spans="1:9" x14ac:dyDescent="0.4">
      <c r="A362" t="s">
        <v>1342</v>
      </c>
      <c r="B362" t="str">
        <f t="shared" si="10"/>
        <v>SYST-MOR-0007453.bam</v>
      </c>
      <c r="C362" t="s">
        <v>1343</v>
      </c>
      <c r="D362" t="s">
        <v>2439</v>
      </c>
      <c r="E362" t="s">
        <v>2480</v>
      </c>
      <c r="F362" t="s">
        <v>2529</v>
      </c>
      <c r="G362" t="s">
        <v>45</v>
      </c>
      <c r="H362" t="str">
        <f t="shared" si="11"/>
        <v>mac</v>
      </c>
      <c r="I362">
        <v>1</v>
      </c>
    </row>
    <row r="363" spans="1:9" x14ac:dyDescent="0.4">
      <c r="A363" t="s">
        <v>1345</v>
      </c>
      <c r="B363" t="str">
        <f t="shared" si="10"/>
        <v>SYST-MOR-0007454.bam</v>
      </c>
      <c r="C363" t="s">
        <v>1346</v>
      </c>
      <c r="D363" t="s">
        <v>2439</v>
      </c>
      <c r="E363" t="s">
        <v>2480</v>
      </c>
      <c r="F363" t="s">
        <v>2529</v>
      </c>
      <c r="G363" t="s">
        <v>45</v>
      </c>
      <c r="H363" t="str">
        <f t="shared" si="11"/>
        <v>mac</v>
      </c>
      <c r="I363">
        <v>1</v>
      </c>
    </row>
    <row r="364" spans="1:9" x14ac:dyDescent="0.4">
      <c r="A364" t="s">
        <v>1348</v>
      </c>
      <c r="B364" t="str">
        <f t="shared" si="10"/>
        <v>SYST-MOR-0007455.bam</v>
      </c>
      <c r="C364" t="s">
        <v>1349</v>
      </c>
      <c r="D364" t="s">
        <v>2439</v>
      </c>
      <c r="E364" t="s">
        <v>2609</v>
      </c>
      <c r="F364" t="s">
        <v>2610</v>
      </c>
      <c r="G364" t="s">
        <v>45</v>
      </c>
      <c r="H364" t="str">
        <f t="shared" si="11"/>
        <v>mac</v>
      </c>
      <c r="I364">
        <v>1</v>
      </c>
    </row>
    <row r="365" spans="1:9" x14ac:dyDescent="0.4">
      <c r="A365" t="s">
        <v>1354</v>
      </c>
      <c r="B365" t="str">
        <f t="shared" si="10"/>
        <v>SYST-MOR-0007456.bam</v>
      </c>
      <c r="C365" t="s">
        <v>1355</v>
      </c>
      <c r="D365" t="s">
        <v>2439</v>
      </c>
      <c r="E365" t="s">
        <v>2609</v>
      </c>
      <c r="F365" t="s">
        <v>2610</v>
      </c>
      <c r="G365" t="s">
        <v>45</v>
      </c>
      <c r="H365" t="str">
        <f t="shared" si="11"/>
        <v>mac</v>
      </c>
      <c r="I365">
        <v>1</v>
      </c>
    </row>
    <row r="366" spans="1:9" x14ac:dyDescent="0.4">
      <c r="A366" t="s">
        <v>1357</v>
      </c>
      <c r="B366" t="str">
        <f t="shared" si="10"/>
        <v>SYST-MOR-0007457.bam</v>
      </c>
      <c r="C366" t="s">
        <v>1358</v>
      </c>
      <c r="D366" t="s">
        <v>2439</v>
      </c>
      <c r="E366" t="s">
        <v>2609</v>
      </c>
      <c r="F366" t="s">
        <v>2610</v>
      </c>
      <c r="G366" t="s">
        <v>45</v>
      </c>
      <c r="H366" t="str">
        <f t="shared" si="11"/>
        <v>mac</v>
      </c>
      <c r="I366">
        <v>1</v>
      </c>
    </row>
    <row r="367" spans="1:9" x14ac:dyDescent="0.4">
      <c r="A367" t="s">
        <v>1360</v>
      </c>
      <c r="B367" t="str">
        <f t="shared" si="10"/>
        <v>SYST-MOR-0007458.bam</v>
      </c>
      <c r="C367" t="s">
        <v>1361</v>
      </c>
      <c r="D367" t="s">
        <v>2439</v>
      </c>
      <c r="E367" t="s">
        <v>2609</v>
      </c>
      <c r="F367" t="s">
        <v>2610</v>
      </c>
      <c r="G367" t="s">
        <v>45</v>
      </c>
      <c r="H367" t="str">
        <f t="shared" si="11"/>
        <v>mac</v>
      </c>
      <c r="I367">
        <v>1</v>
      </c>
    </row>
    <row r="368" spans="1:9" x14ac:dyDescent="0.4">
      <c r="A368" t="s">
        <v>1363</v>
      </c>
      <c r="B368" t="str">
        <f t="shared" si="10"/>
        <v>SYST-MOR-0007459.bam</v>
      </c>
      <c r="C368" t="s">
        <v>1364</v>
      </c>
      <c r="D368" t="s">
        <v>2439</v>
      </c>
      <c r="E368" t="s">
        <v>2609</v>
      </c>
      <c r="F368" t="s">
        <v>2610</v>
      </c>
      <c r="G368" t="s">
        <v>45</v>
      </c>
      <c r="H368" t="str">
        <f t="shared" si="11"/>
        <v>mac</v>
      </c>
      <c r="I368">
        <v>1</v>
      </c>
    </row>
    <row r="369" spans="1:9" x14ac:dyDescent="0.4">
      <c r="A369" t="s">
        <v>1366</v>
      </c>
      <c r="B369" t="str">
        <f t="shared" si="10"/>
        <v>SYST-MOR-0007460.bam</v>
      </c>
      <c r="C369" t="s">
        <v>1367</v>
      </c>
      <c r="D369" t="s">
        <v>2439</v>
      </c>
      <c r="E369" t="s">
        <v>2609</v>
      </c>
      <c r="F369" t="s">
        <v>2610</v>
      </c>
      <c r="G369" t="s">
        <v>45</v>
      </c>
      <c r="H369" t="str">
        <f t="shared" si="11"/>
        <v>mac</v>
      </c>
      <c r="I369">
        <v>1</v>
      </c>
    </row>
    <row r="370" spans="1:9" x14ac:dyDescent="0.4">
      <c r="A370" t="s">
        <v>1369</v>
      </c>
      <c r="B370" t="str">
        <f t="shared" si="10"/>
        <v>SYST-MOR-0007461.bam</v>
      </c>
      <c r="C370" t="s">
        <v>1370</v>
      </c>
      <c r="D370" t="s">
        <v>2439</v>
      </c>
      <c r="E370" t="s">
        <v>2609</v>
      </c>
      <c r="F370" t="s">
        <v>2610</v>
      </c>
      <c r="G370" t="s">
        <v>45</v>
      </c>
      <c r="H370" t="str">
        <f t="shared" si="11"/>
        <v>mac</v>
      </c>
      <c r="I370">
        <v>1</v>
      </c>
    </row>
    <row r="371" spans="1:9" x14ac:dyDescent="0.4">
      <c r="A371" t="s">
        <v>1372</v>
      </c>
      <c r="B371" t="str">
        <f t="shared" si="10"/>
        <v>SYST-MOR-0007462.bam</v>
      </c>
      <c r="C371" t="s">
        <v>1373</v>
      </c>
      <c r="D371" t="s">
        <v>2439</v>
      </c>
      <c r="E371" t="s">
        <v>2609</v>
      </c>
      <c r="F371" t="s">
        <v>2610</v>
      </c>
      <c r="G371" t="s">
        <v>45</v>
      </c>
      <c r="H371" t="str">
        <f t="shared" si="11"/>
        <v>mac</v>
      </c>
      <c r="I371">
        <v>1</v>
      </c>
    </row>
    <row r="372" spans="1:9" x14ac:dyDescent="0.4">
      <c r="A372" t="s">
        <v>1375</v>
      </c>
      <c r="B372" t="str">
        <f t="shared" si="10"/>
        <v>SYST-MOR-0007463.bam</v>
      </c>
      <c r="C372" t="s">
        <v>1376</v>
      </c>
      <c r="D372" t="s">
        <v>2439</v>
      </c>
      <c r="E372" t="s">
        <v>2609</v>
      </c>
      <c r="F372" t="s">
        <v>2610</v>
      </c>
      <c r="G372" t="s">
        <v>45</v>
      </c>
      <c r="H372" t="str">
        <f t="shared" si="11"/>
        <v>mac</v>
      </c>
      <c r="I372">
        <v>1</v>
      </c>
    </row>
    <row r="373" spans="1:9" x14ac:dyDescent="0.4">
      <c r="A373" t="s">
        <v>1379</v>
      </c>
      <c r="B373" t="str">
        <f t="shared" si="10"/>
        <v>SYST-MOR-0007464.bam</v>
      </c>
      <c r="C373" t="s">
        <v>1380</v>
      </c>
      <c r="D373" t="s">
        <v>2439</v>
      </c>
      <c r="E373" t="s">
        <v>2609</v>
      </c>
      <c r="F373" t="s">
        <v>2610</v>
      </c>
      <c r="G373" t="s">
        <v>45</v>
      </c>
      <c r="H373" t="str">
        <f t="shared" si="11"/>
        <v>mac</v>
      </c>
      <c r="I373">
        <v>1</v>
      </c>
    </row>
    <row r="374" spans="1:9" x14ac:dyDescent="0.4">
      <c r="A374" t="s">
        <v>1382</v>
      </c>
      <c r="B374" t="str">
        <f t="shared" si="10"/>
        <v>SYST-MOR-0007465.bam</v>
      </c>
      <c r="C374" t="s">
        <v>1383</v>
      </c>
      <c r="D374" t="s">
        <v>2439</v>
      </c>
      <c r="E374" t="s">
        <v>2609</v>
      </c>
      <c r="F374" t="s">
        <v>2610</v>
      </c>
      <c r="G374" t="s">
        <v>45</v>
      </c>
      <c r="H374" t="str">
        <f t="shared" si="11"/>
        <v>mac</v>
      </c>
      <c r="I374">
        <v>1</v>
      </c>
    </row>
    <row r="375" spans="1:9" x14ac:dyDescent="0.4">
      <c r="A375" t="s">
        <v>1385</v>
      </c>
      <c r="B375" t="str">
        <f t="shared" si="10"/>
        <v>SYST-MOR-0006763.bam</v>
      </c>
      <c r="C375" t="s">
        <v>1386</v>
      </c>
      <c r="D375" t="s">
        <v>2442</v>
      </c>
      <c r="E375" t="s">
        <v>2443</v>
      </c>
      <c r="F375" t="s">
        <v>2530</v>
      </c>
      <c r="G375" t="s">
        <v>45</v>
      </c>
      <c r="H375" t="str">
        <f t="shared" si="11"/>
        <v>mac</v>
      </c>
      <c r="I375">
        <v>1</v>
      </c>
    </row>
    <row r="376" spans="1:9" x14ac:dyDescent="0.4">
      <c r="A376" t="s">
        <v>1391</v>
      </c>
      <c r="B376" t="str">
        <f t="shared" si="10"/>
        <v>SYST-MOR-0006764.bam</v>
      </c>
      <c r="C376" t="s">
        <v>1392</v>
      </c>
      <c r="D376" t="s">
        <v>2442</v>
      </c>
      <c r="E376" t="s">
        <v>2443</v>
      </c>
      <c r="F376" t="s">
        <v>2530</v>
      </c>
      <c r="G376" t="s">
        <v>45</v>
      </c>
      <c r="H376" t="str">
        <f t="shared" si="11"/>
        <v>mac</v>
      </c>
      <c r="I376">
        <v>1</v>
      </c>
    </row>
    <row r="377" spans="1:9" x14ac:dyDescent="0.4">
      <c r="A377" t="s">
        <v>1394</v>
      </c>
      <c r="B377" t="str">
        <f t="shared" si="10"/>
        <v>SYST-MOR-0006765.bam</v>
      </c>
      <c r="C377" t="s">
        <v>1395</v>
      </c>
      <c r="D377" t="s">
        <v>2442</v>
      </c>
      <c r="E377" t="s">
        <v>2443</v>
      </c>
      <c r="F377" t="s">
        <v>2530</v>
      </c>
      <c r="G377" t="s">
        <v>45</v>
      </c>
      <c r="H377" t="str">
        <f t="shared" si="11"/>
        <v>mac</v>
      </c>
      <c r="I377">
        <v>1</v>
      </c>
    </row>
    <row r="378" spans="1:9" x14ac:dyDescent="0.4">
      <c r="A378" t="s">
        <v>1397</v>
      </c>
      <c r="B378" t="str">
        <f t="shared" si="10"/>
        <v>SYST-MOR-0006766.bam</v>
      </c>
      <c r="C378" t="s">
        <v>1398</v>
      </c>
      <c r="D378" t="s">
        <v>2442</v>
      </c>
      <c r="E378" t="s">
        <v>2443</v>
      </c>
      <c r="F378" t="s">
        <v>2530</v>
      </c>
      <c r="G378" t="s">
        <v>30</v>
      </c>
      <c r="H378" t="str">
        <f t="shared" si="11"/>
        <v>lyr</v>
      </c>
      <c r="I378">
        <v>1</v>
      </c>
    </row>
    <row r="379" spans="1:9" x14ac:dyDescent="0.4">
      <c r="A379" t="s">
        <v>1400</v>
      </c>
      <c r="B379" t="str">
        <f t="shared" si="10"/>
        <v>SYST-MOR-0006767.bam</v>
      </c>
      <c r="C379" t="s">
        <v>1401</v>
      </c>
      <c r="D379" t="s">
        <v>2442</v>
      </c>
      <c r="E379" t="s">
        <v>2443</v>
      </c>
      <c r="F379" t="s">
        <v>2530</v>
      </c>
      <c r="G379" t="s">
        <v>45</v>
      </c>
      <c r="H379" t="str">
        <f t="shared" si="11"/>
        <v>mac</v>
      </c>
      <c r="I379">
        <v>1</v>
      </c>
    </row>
    <row r="380" spans="1:9" x14ac:dyDescent="0.4">
      <c r="A380" t="s">
        <v>1403</v>
      </c>
      <c r="B380" t="str">
        <f t="shared" si="10"/>
        <v>SYST-MOR-0006768.bam</v>
      </c>
      <c r="C380" t="s">
        <v>1404</v>
      </c>
      <c r="D380" t="s">
        <v>2442</v>
      </c>
      <c r="E380" t="s">
        <v>2443</v>
      </c>
      <c r="F380" t="s">
        <v>2530</v>
      </c>
      <c r="G380" t="s">
        <v>30</v>
      </c>
      <c r="H380" t="str">
        <f t="shared" si="11"/>
        <v>lyr</v>
      </c>
      <c r="I380">
        <v>1</v>
      </c>
    </row>
    <row r="381" spans="1:9" x14ac:dyDescent="0.4">
      <c r="A381" t="s">
        <v>1406</v>
      </c>
      <c r="B381" t="str">
        <f t="shared" si="10"/>
        <v>SYST-MOR-0006769.bam</v>
      </c>
      <c r="C381" t="s">
        <v>1407</v>
      </c>
      <c r="D381" t="s">
        <v>2442</v>
      </c>
      <c r="E381" t="s">
        <v>2443</v>
      </c>
      <c r="F381" t="s">
        <v>2530</v>
      </c>
      <c r="G381" t="s">
        <v>45</v>
      </c>
      <c r="H381" t="str">
        <f t="shared" si="11"/>
        <v>mac</v>
      </c>
      <c r="I381">
        <v>1</v>
      </c>
    </row>
    <row r="382" spans="1:9" x14ac:dyDescent="0.4">
      <c r="A382" t="s">
        <v>1409</v>
      </c>
      <c r="B382" t="str">
        <f t="shared" si="10"/>
        <v>SYST-MOR-0006770.bam</v>
      </c>
      <c r="C382" t="s">
        <v>1410</v>
      </c>
      <c r="D382" t="s">
        <v>2442</v>
      </c>
      <c r="E382" t="s">
        <v>2443</v>
      </c>
      <c r="F382" t="s">
        <v>2530</v>
      </c>
      <c r="G382" t="s">
        <v>45</v>
      </c>
      <c r="H382" t="str">
        <f t="shared" si="11"/>
        <v>mac</v>
      </c>
      <c r="I382">
        <v>1</v>
      </c>
    </row>
    <row r="383" spans="1:9" x14ac:dyDescent="0.4">
      <c r="A383" t="s">
        <v>1413</v>
      </c>
      <c r="B383" t="str">
        <f t="shared" si="10"/>
        <v>SYST-MOR-0006771.bam</v>
      </c>
      <c r="C383" t="s">
        <v>1414</v>
      </c>
      <c r="D383" t="s">
        <v>2442</v>
      </c>
      <c r="E383" t="s">
        <v>2443</v>
      </c>
      <c r="F383" t="s">
        <v>2530</v>
      </c>
      <c r="G383" t="s">
        <v>239</v>
      </c>
      <c r="H383" t="s">
        <v>2602</v>
      </c>
      <c r="I383">
        <v>1</v>
      </c>
    </row>
    <row r="384" spans="1:9" x14ac:dyDescent="0.4">
      <c r="A384" t="s">
        <v>1417</v>
      </c>
      <c r="B384" t="str">
        <f t="shared" si="10"/>
        <v>SYST-MOR-0006772.bam</v>
      </c>
      <c r="C384" t="s">
        <v>1418</v>
      </c>
      <c r="D384" t="s">
        <v>2442</v>
      </c>
      <c r="E384" t="s">
        <v>2443</v>
      </c>
      <c r="F384" t="s">
        <v>2530</v>
      </c>
      <c r="G384" t="s">
        <v>45</v>
      </c>
      <c r="H384" t="str">
        <f t="shared" si="11"/>
        <v>mac</v>
      </c>
      <c r="I384">
        <v>1</v>
      </c>
    </row>
    <row r="385" spans="1:9" x14ac:dyDescent="0.4">
      <c r="A385" t="s">
        <v>1420</v>
      </c>
      <c r="B385" t="str">
        <f t="shared" si="10"/>
        <v>SYST-MOR-0006773.bam</v>
      </c>
      <c r="C385" t="s">
        <v>1421</v>
      </c>
      <c r="D385" t="s">
        <v>2442</v>
      </c>
      <c r="E385" t="s">
        <v>2443</v>
      </c>
      <c r="F385" t="s">
        <v>2530</v>
      </c>
      <c r="G385" t="s">
        <v>239</v>
      </c>
      <c r="H385" t="s">
        <v>2602</v>
      </c>
      <c r="I385">
        <v>1</v>
      </c>
    </row>
    <row r="386" spans="1:9" x14ac:dyDescent="0.4">
      <c r="A386" t="s">
        <v>1423</v>
      </c>
      <c r="B386" t="str">
        <f t="shared" ref="B386:B449" si="12">_xlfn.CONCAT(A386,".bam")</f>
        <v>SYST-MOR-0006774.bam</v>
      </c>
      <c r="C386" t="s">
        <v>1424</v>
      </c>
      <c r="D386" t="s">
        <v>2442</v>
      </c>
      <c r="E386" t="s">
        <v>2443</v>
      </c>
      <c r="F386" t="s">
        <v>2530</v>
      </c>
      <c r="G386" t="s">
        <v>239</v>
      </c>
      <c r="H386" t="s">
        <v>2602</v>
      </c>
      <c r="I386">
        <v>1</v>
      </c>
    </row>
    <row r="387" spans="1:9" x14ac:dyDescent="0.4">
      <c r="A387" t="s">
        <v>1426</v>
      </c>
      <c r="B387" t="str">
        <f t="shared" si="12"/>
        <v>SYST-MOR-0006775.bam</v>
      </c>
      <c r="C387" t="s">
        <v>1427</v>
      </c>
      <c r="D387" t="s">
        <v>2442</v>
      </c>
      <c r="E387" t="s">
        <v>2443</v>
      </c>
      <c r="F387" t="s">
        <v>2530</v>
      </c>
      <c r="G387" t="s">
        <v>45</v>
      </c>
      <c r="H387" t="str">
        <f t="shared" ref="H387:H450" si="13">IF(ISERROR(FIND("x",LEFT(G387,LEN(G387)-7),1)),RIGHT(LEFT(G387,11),3),G387)</f>
        <v>mac</v>
      </c>
      <c r="I387">
        <v>1</v>
      </c>
    </row>
    <row r="388" spans="1:9" x14ac:dyDescent="0.4">
      <c r="A388" t="s">
        <v>1430</v>
      </c>
      <c r="B388" t="str">
        <f t="shared" si="12"/>
        <v>SYST-MOR-0006776.bam</v>
      </c>
      <c r="C388" t="s">
        <v>1431</v>
      </c>
      <c r="D388" t="s">
        <v>2442</v>
      </c>
      <c r="E388" t="s">
        <v>2443</v>
      </c>
      <c r="F388" t="s">
        <v>2530</v>
      </c>
      <c r="G388" t="s">
        <v>30</v>
      </c>
      <c r="H388" t="str">
        <f t="shared" si="13"/>
        <v>lyr</v>
      </c>
      <c r="I388">
        <v>1</v>
      </c>
    </row>
    <row r="389" spans="1:9" x14ac:dyDescent="0.4">
      <c r="A389" t="s">
        <v>1434</v>
      </c>
      <c r="B389" t="str">
        <f t="shared" si="12"/>
        <v>SYST-MOR-0006777.bam</v>
      </c>
      <c r="C389" t="s">
        <v>1435</v>
      </c>
      <c r="D389" t="s">
        <v>2442</v>
      </c>
      <c r="E389" t="s">
        <v>2443</v>
      </c>
      <c r="F389" t="s">
        <v>2530</v>
      </c>
      <c r="G389" t="s">
        <v>45</v>
      </c>
      <c r="H389" t="str">
        <f t="shared" si="13"/>
        <v>mac</v>
      </c>
      <c r="I389">
        <v>1</v>
      </c>
    </row>
    <row r="390" spans="1:9" x14ac:dyDescent="0.4">
      <c r="A390" t="s">
        <v>1437</v>
      </c>
      <c r="B390" t="str">
        <f t="shared" si="12"/>
        <v>SYST-MOR-0006803.bam</v>
      </c>
      <c r="C390" t="s">
        <v>1438</v>
      </c>
      <c r="D390" t="s">
        <v>2442</v>
      </c>
      <c r="E390" t="s">
        <v>2427</v>
      </c>
      <c r="F390" t="s">
        <v>2531</v>
      </c>
      <c r="G390" t="s">
        <v>45</v>
      </c>
      <c r="H390" t="str">
        <f t="shared" si="13"/>
        <v>mac</v>
      </c>
      <c r="I390">
        <v>1</v>
      </c>
    </row>
    <row r="391" spans="1:9" x14ac:dyDescent="0.4">
      <c r="A391" t="s">
        <v>1441</v>
      </c>
      <c r="B391" t="str">
        <f t="shared" si="12"/>
        <v>SYST-MOR-0006804.bam</v>
      </c>
      <c r="C391" t="s">
        <v>1442</v>
      </c>
      <c r="D391" t="s">
        <v>2442</v>
      </c>
      <c r="E391" t="s">
        <v>2427</v>
      </c>
      <c r="F391" t="s">
        <v>2531</v>
      </c>
      <c r="G391" t="s">
        <v>45</v>
      </c>
      <c r="H391" t="str">
        <f t="shared" si="13"/>
        <v>mac</v>
      </c>
      <c r="I391">
        <v>1</v>
      </c>
    </row>
    <row r="392" spans="1:9" x14ac:dyDescent="0.4">
      <c r="A392" t="s">
        <v>1444</v>
      </c>
      <c r="B392" t="str">
        <f t="shared" si="12"/>
        <v>SYST-MOR-0006805.bam</v>
      </c>
      <c r="C392" t="s">
        <v>1445</v>
      </c>
      <c r="D392" t="s">
        <v>2442</v>
      </c>
      <c r="E392" t="s">
        <v>2427</v>
      </c>
      <c r="F392" t="s">
        <v>2531</v>
      </c>
      <c r="G392" t="s">
        <v>45</v>
      </c>
      <c r="H392" t="str">
        <f t="shared" si="13"/>
        <v>mac</v>
      </c>
      <c r="I392">
        <v>1</v>
      </c>
    </row>
    <row r="393" spans="1:9" x14ac:dyDescent="0.4">
      <c r="A393" t="s">
        <v>1447</v>
      </c>
      <c r="B393" t="str">
        <f t="shared" si="12"/>
        <v>SYST-MOR-0006821.bam</v>
      </c>
      <c r="C393" t="s">
        <v>1448</v>
      </c>
      <c r="D393" t="s">
        <v>2442</v>
      </c>
      <c r="E393" t="s">
        <v>2444</v>
      </c>
      <c r="F393" t="s">
        <v>2532</v>
      </c>
      <c r="G393" t="s">
        <v>45</v>
      </c>
      <c r="H393" t="str">
        <f t="shared" si="13"/>
        <v>mac</v>
      </c>
      <c r="I393">
        <v>1</v>
      </c>
    </row>
    <row r="394" spans="1:9" x14ac:dyDescent="0.4">
      <c r="A394" t="s">
        <v>1452</v>
      </c>
      <c r="B394" t="str">
        <f t="shared" si="12"/>
        <v>SYST-MOR-0006822.bam</v>
      </c>
      <c r="C394" t="s">
        <v>1453</v>
      </c>
      <c r="D394" t="s">
        <v>2442</v>
      </c>
      <c r="E394" t="s">
        <v>2444</v>
      </c>
      <c r="F394" t="s">
        <v>2532</v>
      </c>
      <c r="G394" t="s">
        <v>64</v>
      </c>
      <c r="H394" t="str">
        <f t="shared" si="13"/>
        <v>alb</v>
      </c>
      <c r="I394">
        <v>1</v>
      </c>
    </row>
    <row r="395" spans="1:9" x14ac:dyDescent="0.4">
      <c r="A395" t="s">
        <v>1455</v>
      </c>
      <c r="B395" t="str">
        <f t="shared" si="12"/>
        <v>SYST-MOR-0006823.bam</v>
      </c>
      <c r="C395" t="s">
        <v>1456</v>
      </c>
      <c r="D395" t="s">
        <v>2442</v>
      </c>
      <c r="E395" t="s">
        <v>2444</v>
      </c>
      <c r="F395" t="s">
        <v>2532</v>
      </c>
      <c r="G395" t="s">
        <v>50</v>
      </c>
      <c r="H395" t="str">
        <f t="shared" si="13"/>
        <v>ste</v>
      </c>
      <c r="I395">
        <v>1</v>
      </c>
    </row>
    <row r="396" spans="1:9" x14ac:dyDescent="0.4">
      <c r="A396" t="s">
        <v>1460</v>
      </c>
      <c r="B396" t="str">
        <f t="shared" si="12"/>
        <v>SYST-MOR-0006824.bam</v>
      </c>
      <c r="C396" t="s">
        <v>1461</v>
      </c>
      <c r="D396" t="s">
        <v>2442</v>
      </c>
      <c r="E396" t="s">
        <v>2444</v>
      </c>
      <c r="F396" t="s">
        <v>2532</v>
      </c>
      <c r="G396" t="s">
        <v>64</v>
      </c>
      <c r="H396" t="str">
        <f t="shared" si="13"/>
        <v>alb</v>
      </c>
      <c r="I396">
        <v>1</v>
      </c>
    </row>
    <row r="397" spans="1:9" x14ac:dyDescent="0.4">
      <c r="A397" t="s">
        <v>1463</v>
      </c>
      <c r="B397" t="str">
        <f t="shared" si="12"/>
        <v>SYST-MOR-0006825.bam</v>
      </c>
      <c r="C397" t="s">
        <v>1464</v>
      </c>
      <c r="D397" t="s">
        <v>2442</v>
      </c>
      <c r="E397" t="s">
        <v>2444</v>
      </c>
      <c r="F397" t="s">
        <v>2532</v>
      </c>
      <c r="G397" t="s">
        <v>50</v>
      </c>
      <c r="H397" t="str">
        <f t="shared" si="13"/>
        <v>ste</v>
      </c>
      <c r="I397">
        <v>1</v>
      </c>
    </row>
    <row r="398" spans="1:9" x14ac:dyDescent="0.4">
      <c r="A398" t="s">
        <v>1466</v>
      </c>
      <c r="B398" t="str">
        <f t="shared" si="12"/>
        <v>SYST-MOR-0006826.bam</v>
      </c>
      <c r="C398" t="s">
        <v>1467</v>
      </c>
      <c r="D398" t="s">
        <v>2442</v>
      </c>
      <c r="E398" t="s">
        <v>2444</v>
      </c>
      <c r="F398" t="s">
        <v>2532</v>
      </c>
      <c r="G398" t="s">
        <v>50</v>
      </c>
      <c r="H398" t="str">
        <f t="shared" si="13"/>
        <v>ste</v>
      </c>
      <c r="I398">
        <v>1</v>
      </c>
    </row>
    <row r="399" spans="1:9" x14ac:dyDescent="0.4">
      <c r="A399" t="s">
        <v>1469</v>
      </c>
      <c r="B399" t="str">
        <f t="shared" si="12"/>
        <v>SYST-MOR-0006827.bam</v>
      </c>
      <c r="C399" t="s">
        <v>1470</v>
      </c>
      <c r="D399" t="s">
        <v>2442</v>
      </c>
      <c r="E399" t="s">
        <v>2444</v>
      </c>
      <c r="F399" t="s">
        <v>2532</v>
      </c>
      <c r="G399" t="s">
        <v>84</v>
      </c>
      <c r="H399" t="str">
        <f t="shared" si="13"/>
        <v>mue</v>
      </c>
      <c r="I399">
        <v>1</v>
      </c>
    </row>
    <row r="400" spans="1:9" x14ac:dyDescent="0.4">
      <c r="A400" t="s">
        <v>1472</v>
      </c>
      <c r="B400" t="str">
        <f t="shared" si="12"/>
        <v>SYST-MOR-0006828.bam</v>
      </c>
      <c r="C400" t="s">
        <v>1473</v>
      </c>
      <c r="D400" t="s">
        <v>2442</v>
      </c>
      <c r="E400" t="s">
        <v>2444</v>
      </c>
      <c r="F400" t="s">
        <v>2532</v>
      </c>
      <c r="G400" t="s">
        <v>84</v>
      </c>
      <c r="H400" t="str">
        <f t="shared" si="13"/>
        <v>mue</v>
      </c>
      <c r="I400">
        <v>1</v>
      </c>
    </row>
    <row r="401" spans="1:9" x14ac:dyDescent="0.4">
      <c r="A401" t="s">
        <v>1475</v>
      </c>
      <c r="B401" t="str">
        <f t="shared" si="12"/>
        <v>SYST-MOR-0006829.bam</v>
      </c>
      <c r="C401" t="s">
        <v>1476</v>
      </c>
      <c r="D401" t="s">
        <v>2442</v>
      </c>
      <c r="E401" t="s">
        <v>2444</v>
      </c>
      <c r="F401" t="s">
        <v>2532</v>
      </c>
      <c r="G401" t="s">
        <v>84</v>
      </c>
      <c r="H401" t="str">
        <f t="shared" si="13"/>
        <v>mue</v>
      </c>
      <c r="I401">
        <v>1</v>
      </c>
    </row>
    <row r="402" spans="1:9" x14ac:dyDescent="0.4">
      <c r="A402" t="s">
        <v>1478</v>
      </c>
      <c r="B402" t="str">
        <f t="shared" si="12"/>
        <v>SYST-MOR-0006830.bam</v>
      </c>
      <c r="C402" t="s">
        <v>1479</v>
      </c>
      <c r="D402" t="s">
        <v>2442</v>
      </c>
      <c r="E402" t="s">
        <v>2444</v>
      </c>
      <c r="F402" t="s">
        <v>2532</v>
      </c>
      <c r="G402" t="s">
        <v>84</v>
      </c>
      <c r="H402" t="str">
        <f t="shared" si="13"/>
        <v>mue</v>
      </c>
      <c r="I402">
        <v>1</v>
      </c>
    </row>
    <row r="403" spans="1:9" x14ac:dyDescent="0.4">
      <c r="A403" t="s">
        <v>1481</v>
      </c>
      <c r="B403" t="str">
        <f t="shared" si="12"/>
        <v>SYST-MOR-0006831.bam</v>
      </c>
      <c r="C403" t="s">
        <v>1482</v>
      </c>
      <c r="D403" t="s">
        <v>2442</v>
      </c>
      <c r="E403" t="s">
        <v>2444</v>
      </c>
      <c r="F403" t="s">
        <v>2532</v>
      </c>
      <c r="G403" t="s">
        <v>64</v>
      </c>
      <c r="H403" t="str">
        <f t="shared" si="13"/>
        <v>alb</v>
      </c>
      <c r="I403">
        <v>1</v>
      </c>
    </row>
    <row r="404" spans="1:9" x14ac:dyDescent="0.4">
      <c r="A404" t="s">
        <v>1484</v>
      </c>
      <c r="B404" t="str">
        <f t="shared" si="12"/>
        <v>SYST-MOR-0006832.bam</v>
      </c>
      <c r="C404" t="s">
        <v>1485</v>
      </c>
      <c r="D404" t="s">
        <v>2442</v>
      </c>
      <c r="E404" t="s">
        <v>2444</v>
      </c>
      <c r="F404" t="s">
        <v>2532</v>
      </c>
      <c r="G404" t="s">
        <v>64</v>
      </c>
      <c r="H404" t="str">
        <f t="shared" si="13"/>
        <v>alb</v>
      </c>
      <c r="I404">
        <v>1</v>
      </c>
    </row>
    <row r="405" spans="1:9" x14ac:dyDescent="0.4">
      <c r="A405" t="s">
        <v>1487</v>
      </c>
      <c r="B405" t="str">
        <f t="shared" si="12"/>
        <v>SYST-MOR-0006833.bam</v>
      </c>
      <c r="C405" t="s">
        <v>1488</v>
      </c>
      <c r="D405" t="s">
        <v>2442</v>
      </c>
      <c r="E405" t="s">
        <v>2444</v>
      </c>
      <c r="F405" t="s">
        <v>2532</v>
      </c>
      <c r="G405" t="s">
        <v>50</v>
      </c>
      <c r="H405" t="str">
        <f t="shared" si="13"/>
        <v>ste</v>
      </c>
      <c r="I405">
        <v>1</v>
      </c>
    </row>
    <row r="406" spans="1:9" x14ac:dyDescent="0.4">
      <c r="A406" t="s">
        <v>1490</v>
      </c>
      <c r="B406" t="str">
        <f t="shared" si="12"/>
        <v>SYST-MOR-0006834.bam</v>
      </c>
      <c r="C406" t="s">
        <v>1491</v>
      </c>
      <c r="D406" t="s">
        <v>2442</v>
      </c>
      <c r="E406" t="s">
        <v>2445</v>
      </c>
      <c r="F406" t="s">
        <v>2533</v>
      </c>
      <c r="G406" t="s">
        <v>632</v>
      </c>
      <c r="H406" t="str">
        <f t="shared" si="13"/>
        <v>pri</v>
      </c>
      <c r="I406">
        <v>1</v>
      </c>
    </row>
    <row r="407" spans="1:9" x14ac:dyDescent="0.4">
      <c r="A407" t="s">
        <v>1498</v>
      </c>
      <c r="B407" t="str">
        <f t="shared" si="12"/>
        <v>SYST-MOR-0006835.bam</v>
      </c>
      <c r="C407" t="s">
        <v>1499</v>
      </c>
      <c r="D407" t="s">
        <v>2442</v>
      </c>
      <c r="E407" t="s">
        <v>2445</v>
      </c>
      <c r="F407" t="s">
        <v>2533</v>
      </c>
      <c r="G407" t="s">
        <v>632</v>
      </c>
      <c r="H407" t="str">
        <f t="shared" si="13"/>
        <v>pri</v>
      </c>
      <c r="I407">
        <v>1</v>
      </c>
    </row>
    <row r="408" spans="1:9" x14ac:dyDescent="0.4">
      <c r="A408" t="s">
        <v>1502</v>
      </c>
      <c r="B408" t="str">
        <f t="shared" si="12"/>
        <v>SYST-MOR-0006836.bam</v>
      </c>
      <c r="C408" t="s">
        <v>1503</v>
      </c>
      <c r="D408" t="s">
        <v>2442</v>
      </c>
      <c r="E408" t="s">
        <v>2445</v>
      </c>
      <c r="F408" t="s">
        <v>2533</v>
      </c>
      <c r="G408" t="s">
        <v>50</v>
      </c>
      <c r="H408" t="str">
        <f t="shared" si="13"/>
        <v>ste</v>
      </c>
      <c r="I408">
        <v>1</v>
      </c>
    </row>
    <row r="409" spans="1:9" x14ac:dyDescent="0.4">
      <c r="A409" t="s">
        <v>1507</v>
      </c>
      <c r="B409" t="str">
        <f t="shared" si="12"/>
        <v>SYST-MOR-0006837.bam</v>
      </c>
      <c r="C409" t="s">
        <v>1508</v>
      </c>
      <c r="D409" t="s">
        <v>2442</v>
      </c>
      <c r="E409" t="s">
        <v>2445</v>
      </c>
      <c r="F409" t="s">
        <v>2533</v>
      </c>
      <c r="G409" t="s">
        <v>632</v>
      </c>
      <c r="H409" t="str">
        <f t="shared" si="13"/>
        <v>pri</v>
      </c>
      <c r="I409">
        <v>1</v>
      </c>
    </row>
    <row r="410" spans="1:9" x14ac:dyDescent="0.4">
      <c r="A410" t="s">
        <v>1511</v>
      </c>
      <c r="B410" t="str">
        <f t="shared" si="12"/>
        <v>SYST-MOR-0006838.bam</v>
      </c>
      <c r="C410" t="s">
        <v>1512</v>
      </c>
      <c r="D410" t="s">
        <v>2442</v>
      </c>
      <c r="E410" t="s">
        <v>2445</v>
      </c>
      <c r="F410" t="s">
        <v>2533</v>
      </c>
      <c r="G410" t="s">
        <v>50</v>
      </c>
      <c r="H410" t="str">
        <f t="shared" si="13"/>
        <v>ste</v>
      </c>
      <c r="I410">
        <v>1</v>
      </c>
    </row>
    <row r="411" spans="1:9" x14ac:dyDescent="0.4">
      <c r="A411" t="s">
        <v>1515</v>
      </c>
      <c r="B411" t="str">
        <f t="shared" si="12"/>
        <v>SYST-MOR-0006839.bam</v>
      </c>
      <c r="C411" t="s">
        <v>1516</v>
      </c>
      <c r="D411" t="s">
        <v>2442</v>
      </c>
      <c r="E411" t="s">
        <v>2445</v>
      </c>
      <c r="F411" t="s">
        <v>2533</v>
      </c>
      <c r="G411" t="s">
        <v>632</v>
      </c>
      <c r="H411" t="str">
        <f t="shared" si="13"/>
        <v>pri</v>
      </c>
      <c r="I411">
        <v>1</v>
      </c>
    </row>
    <row r="412" spans="1:9" x14ac:dyDescent="0.4">
      <c r="A412" t="s">
        <v>1519</v>
      </c>
      <c r="B412" t="str">
        <f t="shared" si="12"/>
        <v>SYST-MOR-0006720.bam</v>
      </c>
      <c r="C412" t="s">
        <v>1520</v>
      </c>
      <c r="D412" t="s">
        <v>2442</v>
      </c>
      <c r="E412" t="s">
        <v>2446</v>
      </c>
      <c r="F412" t="s">
        <v>2534</v>
      </c>
      <c r="G412" t="s">
        <v>50</v>
      </c>
      <c r="H412" t="str">
        <f t="shared" si="13"/>
        <v>ste</v>
      </c>
      <c r="I412">
        <v>1</v>
      </c>
    </row>
    <row r="413" spans="1:9" x14ac:dyDescent="0.4">
      <c r="A413" t="s">
        <v>1525</v>
      </c>
      <c r="B413" t="str">
        <f t="shared" si="12"/>
        <v>SYST-MOR-0006721.bam</v>
      </c>
      <c r="C413" t="s">
        <v>1526</v>
      </c>
      <c r="D413" t="s">
        <v>2442</v>
      </c>
      <c r="E413" t="s">
        <v>2446</v>
      </c>
      <c r="F413" t="s">
        <v>2534</v>
      </c>
      <c r="G413" t="s">
        <v>45</v>
      </c>
      <c r="H413" t="str">
        <f t="shared" si="13"/>
        <v>mac</v>
      </c>
      <c r="I413">
        <v>1</v>
      </c>
    </row>
    <row r="414" spans="1:9" x14ac:dyDescent="0.4">
      <c r="A414" t="s">
        <v>1528</v>
      </c>
      <c r="B414" t="str">
        <f t="shared" si="12"/>
        <v>SYST-MOR-0006722.bam</v>
      </c>
      <c r="C414" t="s">
        <v>1529</v>
      </c>
      <c r="D414" t="s">
        <v>2442</v>
      </c>
      <c r="E414" t="s">
        <v>2446</v>
      </c>
      <c r="F414" t="s">
        <v>2534</v>
      </c>
      <c r="G414" t="s">
        <v>45</v>
      </c>
      <c r="H414" t="str">
        <f t="shared" si="13"/>
        <v>mac</v>
      </c>
      <c r="I414">
        <v>1</v>
      </c>
    </row>
    <row r="415" spans="1:9" x14ac:dyDescent="0.4">
      <c r="A415" t="s">
        <v>1531</v>
      </c>
      <c r="B415" t="str">
        <f t="shared" si="12"/>
        <v>SYST-MOR-0006723.bam</v>
      </c>
      <c r="C415" t="s">
        <v>1532</v>
      </c>
      <c r="D415" t="s">
        <v>2442</v>
      </c>
      <c r="E415" t="s">
        <v>2446</v>
      </c>
      <c r="F415" t="s">
        <v>2534</v>
      </c>
      <c r="G415" t="s">
        <v>45</v>
      </c>
      <c r="H415" t="str">
        <f t="shared" si="13"/>
        <v>mac</v>
      </c>
      <c r="I415">
        <v>1</v>
      </c>
    </row>
    <row r="416" spans="1:9" x14ac:dyDescent="0.4">
      <c r="A416" t="s">
        <v>1534</v>
      </c>
      <c r="B416" t="str">
        <f t="shared" si="12"/>
        <v>SYST-MOR-0006724.bam</v>
      </c>
      <c r="C416" t="s">
        <v>1535</v>
      </c>
      <c r="D416" t="s">
        <v>2442</v>
      </c>
      <c r="E416" t="s">
        <v>2446</v>
      </c>
      <c r="F416" t="s">
        <v>2534</v>
      </c>
      <c r="G416" t="s">
        <v>45</v>
      </c>
      <c r="H416" t="str">
        <f t="shared" si="13"/>
        <v>mac</v>
      </c>
      <c r="I416">
        <v>1</v>
      </c>
    </row>
    <row r="417" spans="1:9" x14ac:dyDescent="0.4">
      <c r="A417" t="s">
        <v>1537</v>
      </c>
      <c r="B417" t="str">
        <f t="shared" si="12"/>
        <v>SYST-MOR-0006725.bam</v>
      </c>
      <c r="C417" t="s">
        <v>1538</v>
      </c>
      <c r="D417" t="s">
        <v>2442</v>
      </c>
      <c r="E417" t="s">
        <v>2446</v>
      </c>
      <c r="F417" t="s">
        <v>2534</v>
      </c>
      <c r="G417" t="s">
        <v>45</v>
      </c>
      <c r="H417" t="str">
        <f t="shared" si="13"/>
        <v>mac</v>
      </c>
      <c r="I417">
        <v>1</v>
      </c>
    </row>
    <row r="418" spans="1:9" x14ac:dyDescent="0.4">
      <c r="A418" t="s">
        <v>1540</v>
      </c>
      <c r="B418" t="str">
        <f t="shared" si="12"/>
        <v>SYST-MOR-0006726.bam</v>
      </c>
      <c r="C418" t="s">
        <v>1541</v>
      </c>
      <c r="D418" t="s">
        <v>2442</v>
      </c>
      <c r="E418" t="s">
        <v>2446</v>
      </c>
      <c r="F418" t="s">
        <v>2534</v>
      </c>
      <c r="G418" t="s">
        <v>84</v>
      </c>
      <c r="H418" t="str">
        <f t="shared" si="13"/>
        <v>mue</v>
      </c>
      <c r="I418">
        <v>1</v>
      </c>
    </row>
    <row r="419" spans="1:9" x14ac:dyDescent="0.4">
      <c r="A419" t="s">
        <v>1543</v>
      </c>
      <c r="B419" t="str">
        <f t="shared" si="12"/>
        <v>SYST-MOR-0006727.bam</v>
      </c>
      <c r="C419" t="s">
        <v>1544</v>
      </c>
      <c r="D419" t="s">
        <v>2442</v>
      </c>
      <c r="E419" t="s">
        <v>2446</v>
      </c>
      <c r="F419" t="s">
        <v>2534</v>
      </c>
      <c r="G419" t="s">
        <v>84</v>
      </c>
      <c r="H419" t="str">
        <f t="shared" si="13"/>
        <v>mue</v>
      </c>
      <c r="I419">
        <v>1</v>
      </c>
    </row>
    <row r="420" spans="1:9" x14ac:dyDescent="0.4">
      <c r="A420" t="s">
        <v>1546</v>
      </c>
      <c r="B420" t="str">
        <f t="shared" si="12"/>
        <v>SYST-MOR-0006728.bam</v>
      </c>
      <c r="C420" t="s">
        <v>1547</v>
      </c>
      <c r="D420" t="s">
        <v>2442</v>
      </c>
      <c r="E420" t="s">
        <v>2446</v>
      </c>
      <c r="F420" t="s">
        <v>2534</v>
      </c>
      <c r="G420" t="s">
        <v>84</v>
      </c>
      <c r="H420" t="str">
        <f t="shared" si="13"/>
        <v>mue</v>
      </c>
      <c r="I420">
        <v>1</v>
      </c>
    </row>
    <row r="421" spans="1:9" x14ac:dyDescent="0.4">
      <c r="A421" t="s">
        <v>1549</v>
      </c>
      <c r="B421" t="str">
        <f t="shared" si="12"/>
        <v>SYST-MOR-0006742.bam</v>
      </c>
      <c r="C421" t="s">
        <v>1550</v>
      </c>
      <c r="D421" t="s">
        <v>2442</v>
      </c>
      <c r="E421" t="s">
        <v>2446</v>
      </c>
      <c r="F421" t="s">
        <v>2534</v>
      </c>
      <c r="G421" t="s">
        <v>50</v>
      </c>
      <c r="H421" t="str">
        <f t="shared" si="13"/>
        <v>ste</v>
      </c>
      <c r="I421">
        <v>1</v>
      </c>
    </row>
    <row r="422" spans="1:9" x14ac:dyDescent="0.4">
      <c r="A422" t="s">
        <v>1552</v>
      </c>
      <c r="B422" t="str">
        <f t="shared" si="12"/>
        <v>SYST-MOR-0006743.bam</v>
      </c>
      <c r="C422" t="s">
        <v>1553</v>
      </c>
      <c r="D422" t="s">
        <v>2442</v>
      </c>
      <c r="E422" t="s">
        <v>2446</v>
      </c>
      <c r="F422" t="s">
        <v>2534</v>
      </c>
      <c r="G422" t="s">
        <v>64</v>
      </c>
      <c r="H422" t="str">
        <f t="shared" si="13"/>
        <v>alb</v>
      </c>
      <c r="I422">
        <v>1</v>
      </c>
    </row>
    <row r="423" spans="1:9" x14ac:dyDescent="0.4">
      <c r="A423" t="s">
        <v>1555</v>
      </c>
      <c r="B423" t="str">
        <f t="shared" si="12"/>
        <v>SYST-MOR-0006744.bam</v>
      </c>
      <c r="C423" t="s">
        <v>1556</v>
      </c>
      <c r="D423" t="s">
        <v>2442</v>
      </c>
      <c r="E423" t="s">
        <v>2446</v>
      </c>
      <c r="F423" t="s">
        <v>2534</v>
      </c>
      <c r="G423" t="s">
        <v>84</v>
      </c>
      <c r="H423" t="str">
        <f t="shared" si="13"/>
        <v>mue</v>
      </c>
      <c r="I423">
        <v>1</v>
      </c>
    </row>
    <row r="424" spans="1:9" x14ac:dyDescent="0.4">
      <c r="A424" t="s">
        <v>1558</v>
      </c>
      <c r="B424" t="str">
        <f t="shared" si="12"/>
        <v>SYST-MOR-0006745.bam</v>
      </c>
      <c r="C424" t="s">
        <v>1559</v>
      </c>
      <c r="D424" t="s">
        <v>2442</v>
      </c>
      <c r="E424" t="s">
        <v>2446</v>
      </c>
      <c r="F424" t="s">
        <v>2534</v>
      </c>
      <c r="G424" t="s">
        <v>84</v>
      </c>
      <c r="H424" t="str">
        <f t="shared" si="13"/>
        <v>mue</v>
      </c>
      <c r="I424">
        <v>1</v>
      </c>
    </row>
    <row r="425" spans="1:9" x14ac:dyDescent="0.4">
      <c r="A425" t="s">
        <v>1561</v>
      </c>
      <c r="B425" t="str">
        <f t="shared" si="12"/>
        <v>SYST-MOR-0006746.bam</v>
      </c>
      <c r="C425" t="s">
        <v>1562</v>
      </c>
      <c r="D425" t="s">
        <v>2442</v>
      </c>
      <c r="E425" t="s">
        <v>2446</v>
      </c>
      <c r="F425" t="s">
        <v>2534</v>
      </c>
      <c r="G425" t="s">
        <v>64</v>
      </c>
      <c r="H425" t="str">
        <f t="shared" si="13"/>
        <v>alb</v>
      </c>
      <c r="I425">
        <v>1</v>
      </c>
    </row>
    <row r="426" spans="1:9" x14ac:dyDescent="0.4">
      <c r="A426" t="s">
        <v>1564</v>
      </c>
      <c r="B426" t="str">
        <f t="shared" si="12"/>
        <v>SYST-MOR-0006747.bam</v>
      </c>
      <c r="C426" t="s">
        <v>1565</v>
      </c>
      <c r="D426" t="s">
        <v>2442</v>
      </c>
      <c r="E426" t="s">
        <v>2446</v>
      </c>
      <c r="F426" t="s">
        <v>2534</v>
      </c>
      <c r="G426" t="s">
        <v>50</v>
      </c>
      <c r="H426" t="str">
        <f t="shared" si="13"/>
        <v>ste</v>
      </c>
      <c r="I426">
        <v>1</v>
      </c>
    </row>
    <row r="427" spans="1:9" x14ac:dyDescent="0.4">
      <c r="A427" t="s">
        <v>1567</v>
      </c>
      <c r="B427" t="str">
        <f t="shared" si="12"/>
        <v>SYST-MOR-0006748.bam</v>
      </c>
      <c r="C427" t="s">
        <v>1568</v>
      </c>
      <c r="D427" t="s">
        <v>2442</v>
      </c>
      <c r="E427" t="s">
        <v>2446</v>
      </c>
      <c r="F427" t="s">
        <v>2534</v>
      </c>
      <c r="G427" t="s">
        <v>50</v>
      </c>
      <c r="H427" t="str">
        <f t="shared" si="13"/>
        <v>ste</v>
      </c>
      <c r="I427">
        <v>1</v>
      </c>
    </row>
    <row r="428" spans="1:9" x14ac:dyDescent="0.4">
      <c r="A428" t="s">
        <v>1570</v>
      </c>
      <c r="B428" t="str">
        <f t="shared" si="12"/>
        <v>SYST-MOR-0006749.bam</v>
      </c>
      <c r="C428" t="s">
        <v>1571</v>
      </c>
      <c r="D428" t="s">
        <v>2442</v>
      </c>
      <c r="E428" t="s">
        <v>2446</v>
      </c>
      <c r="F428" t="s">
        <v>2534</v>
      </c>
      <c r="G428" t="s">
        <v>50</v>
      </c>
      <c r="H428" t="str">
        <f t="shared" si="13"/>
        <v>ste</v>
      </c>
      <c r="I428">
        <v>1</v>
      </c>
    </row>
    <row r="429" spans="1:9" x14ac:dyDescent="0.4">
      <c r="A429" t="s">
        <v>1573</v>
      </c>
      <c r="B429" t="str">
        <f t="shared" si="12"/>
        <v>SYST-MOR-0006750.bam</v>
      </c>
      <c r="C429" t="s">
        <v>1574</v>
      </c>
      <c r="D429" t="s">
        <v>2442</v>
      </c>
      <c r="E429" t="s">
        <v>2446</v>
      </c>
      <c r="F429" t="s">
        <v>2534</v>
      </c>
      <c r="G429" t="s">
        <v>64</v>
      </c>
      <c r="H429" t="str">
        <f t="shared" si="13"/>
        <v>alb</v>
      </c>
      <c r="I429">
        <v>1</v>
      </c>
    </row>
    <row r="430" spans="1:9" x14ac:dyDescent="0.4">
      <c r="A430" t="s">
        <v>1576</v>
      </c>
      <c r="B430" t="str">
        <f t="shared" si="12"/>
        <v>SYST-MOR-0006751.bam</v>
      </c>
      <c r="C430" t="s">
        <v>1577</v>
      </c>
      <c r="D430" t="s">
        <v>2442</v>
      </c>
      <c r="E430" t="s">
        <v>2446</v>
      </c>
      <c r="F430" t="s">
        <v>2534</v>
      </c>
      <c r="G430" t="s">
        <v>64</v>
      </c>
      <c r="H430" t="str">
        <f t="shared" si="13"/>
        <v>alb</v>
      </c>
      <c r="I430">
        <v>1</v>
      </c>
    </row>
    <row r="431" spans="1:9" x14ac:dyDescent="0.4">
      <c r="A431" t="s">
        <v>1579</v>
      </c>
      <c r="B431" t="str">
        <f t="shared" si="12"/>
        <v>SYST-MOR-0006752.bam</v>
      </c>
      <c r="C431" t="s">
        <v>1580</v>
      </c>
      <c r="D431" t="s">
        <v>2442</v>
      </c>
      <c r="E431" t="s">
        <v>2446</v>
      </c>
      <c r="F431" t="s">
        <v>2534</v>
      </c>
      <c r="G431" t="s">
        <v>64</v>
      </c>
      <c r="H431" t="str">
        <f t="shared" si="13"/>
        <v>alb</v>
      </c>
      <c r="I431">
        <v>1</v>
      </c>
    </row>
    <row r="432" spans="1:9" x14ac:dyDescent="0.4">
      <c r="A432" t="s">
        <v>1582</v>
      </c>
      <c r="B432" t="str">
        <f t="shared" si="12"/>
        <v>SYST-MOR-0006806.bam</v>
      </c>
      <c r="C432" t="s">
        <v>1583</v>
      </c>
      <c r="D432" t="s">
        <v>2442</v>
      </c>
      <c r="E432" t="s">
        <v>2447</v>
      </c>
      <c r="F432" t="s">
        <v>2535</v>
      </c>
      <c r="G432" t="s">
        <v>50</v>
      </c>
      <c r="H432" t="str">
        <f t="shared" si="13"/>
        <v>ste</v>
      </c>
      <c r="I432">
        <v>1</v>
      </c>
    </row>
    <row r="433" spans="1:9" x14ac:dyDescent="0.4">
      <c r="A433" t="s">
        <v>1587</v>
      </c>
      <c r="B433" t="str">
        <f t="shared" si="12"/>
        <v>SYST-MOR-0006807.bam</v>
      </c>
      <c r="C433" t="s">
        <v>1588</v>
      </c>
      <c r="D433" t="s">
        <v>2442</v>
      </c>
      <c r="E433" t="s">
        <v>2447</v>
      </c>
      <c r="F433" t="s">
        <v>2535</v>
      </c>
      <c r="G433" t="s">
        <v>84</v>
      </c>
      <c r="H433" t="str">
        <f t="shared" si="13"/>
        <v>mue</v>
      </c>
      <c r="I433">
        <v>1</v>
      </c>
    </row>
    <row r="434" spans="1:9" x14ac:dyDescent="0.4">
      <c r="A434" t="s">
        <v>1590</v>
      </c>
      <c r="B434" t="str">
        <f t="shared" si="12"/>
        <v>SYST-MOR-0006808.bam</v>
      </c>
      <c r="C434" t="s">
        <v>1591</v>
      </c>
      <c r="D434" t="s">
        <v>2442</v>
      </c>
      <c r="E434" t="s">
        <v>2447</v>
      </c>
      <c r="F434" t="s">
        <v>2535</v>
      </c>
      <c r="G434" t="s">
        <v>64</v>
      </c>
      <c r="H434" t="str">
        <f t="shared" si="13"/>
        <v>alb</v>
      </c>
      <c r="I434">
        <v>1</v>
      </c>
    </row>
    <row r="435" spans="1:9" x14ac:dyDescent="0.4">
      <c r="A435" t="s">
        <v>1593</v>
      </c>
      <c r="B435" t="str">
        <f t="shared" si="12"/>
        <v>SYST-MOR-0006809.bam</v>
      </c>
      <c r="C435" t="s">
        <v>1594</v>
      </c>
      <c r="D435" t="s">
        <v>2442</v>
      </c>
      <c r="E435" t="s">
        <v>2447</v>
      </c>
      <c r="F435" t="s">
        <v>2535</v>
      </c>
      <c r="G435" t="s">
        <v>84</v>
      </c>
      <c r="H435" t="str">
        <f t="shared" si="13"/>
        <v>mue</v>
      </c>
      <c r="I435">
        <v>1</v>
      </c>
    </row>
    <row r="436" spans="1:9" x14ac:dyDescent="0.4">
      <c r="A436" t="s">
        <v>1596</v>
      </c>
      <c r="B436" t="str">
        <f t="shared" si="12"/>
        <v>SYST-MOR-0006810.bam</v>
      </c>
      <c r="C436" t="s">
        <v>1597</v>
      </c>
      <c r="D436" t="s">
        <v>2442</v>
      </c>
      <c r="E436" t="s">
        <v>2447</v>
      </c>
      <c r="F436" t="s">
        <v>2535</v>
      </c>
      <c r="G436" t="s">
        <v>64</v>
      </c>
      <c r="H436" t="str">
        <f t="shared" si="13"/>
        <v>alb</v>
      </c>
      <c r="I436">
        <v>1</v>
      </c>
    </row>
    <row r="437" spans="1:9" x14ac:dyDescent="0.4">
      <c r="A437" t="s">
        <v>1599</v>
      </c>
      <c r="B437" t="str">
        <f t="shared" si="12"/>
        <v>SYST-MOR-0006811.bam</v>
      </c>
      <c r="C437" t="s">
        <v>1600</v>
      </c>
      <c r="D437" t="s">
        <v>2442</v>
      </c>
      <c r="E437" t="s">
        <v>2447</v>
      </c>
      <c r="F437" t="s">
        <v>2535</v>
      </c>
      <c r="G437" t="s">
        <v>50</v>
      </c>
      <c r="H437" t="str">
        <f t="shared" si="13"/>
        <v>ste</v>
      </c>
      <c r="I437">
        <v>1</v>
      </c>
    </row>
    <row r="438" spans="1:9" x14ac:dyDescent="0.4">
      <c r="A438" t="s">
        <v>1602</v>
      </c>
      <c r="B438" t="str">
        <f t="shared" si="12"/>
        <v>SYST-MOR-0006812.bam</v>
      </c>
      <c r="C438" t="s">
        <v>1603</v>
      </c>
      <c r="D438" t="s">
        <v>2442</v>
      </c>
      <c r="E438" t="s">
        <v>2447</v>
      </c>
      <c r="F438" t="s">
        <v>2535</v>
      </c>
      <c r="G438" t="s">
        <v>84</v>
      </c>
      <c r="H438" t="str">
        <f t="shared" si="13"/>
        <v>mue</v>
      </c>
      <c r="I438">
        <v>1</v>
      </c>
    </row>
    <row r="439" spans="1:9" x14ac:dyDescent="0.4">
      <c r="A439" t="s">
        <v>1605</v>
      </c>
      <c r="B439" t="str">
        <f t="shared" si="12"/>
        <v>SYST-MOR-0006813.bam</v>
      </c>
      <c r="C439" t="s">
        <v>1606</v>
      </c>
      <c r="D439" t="s">
        <v>2442</v>
      </c>
      <c r="E439" t="s">
        <v>2447</v>
      </c>
      <c r="F439" t="s">
        <v>2535</v>
      </c>
      <c r="G439" t="s">
        <v>84</v>
      </c>
      <c r="H439" t="str">
        <f t="shared" si="13"/>
        <v>mue</v>
      </c>
      <c r="I439">
        <v>1</v>
      </c>
    </row>
    <row r="440" spans="1:9" x14ac:dyDescent="0.4">
      <c r="A440" t="s">
        <v>1608</v>
      </c>
      <c r="B440" t="str">
        <f t="shared" si="12"/>
        <v>SYST-MOR-0006814.bam</v>
      </c>
      <c r="C440" t="s">
        <v>1609</v>
      </c>
      <c r="D440" t="s">
        <v>2442</v>
      </c>
      <c r="E440" t="s">
        <v>2447</v>
      </c>
      <c r="F440" t="s">
        <v>2535</v>
      </c>
      <c r="G440" t="s">
        <v>50</v>
      </c>
      <c r="H440" t="str">
        <f t="shared" si="13"/>
        <v>ste</v>
      </c>
      <c r="I440">
        <v>1</v>
      </c>
    </row>
    <row r="441" spans="1:9" x14ac:dyDescent="0.4">
      <c r="A441" t="s">
        <v>1611</v>
      </c>
      <c r="B441" t="str">
        <f t="shared" si="12"/>
        <v>SYST-MOR-0006815.bam</v>
      </c>
      <c r="C441" t="s">
        <v>1612</v>
      </c>
      <c r="D441" t="s">
        <v>2442</v>
      </c>
      <c r="E441" t="s">
        <v>2447</v>
      </c>
      <c r="F441" t="s">
        <v>2535</v>
      </c>
      <c r="G441" t="s">
        <v>50</v>
      </c>
      <c r="H441" t="str">
        <f t="shared" si="13"/>
        <v>ste</v>
      </c>
      <c r="I441">
        <v>1</v>
      </c>
    </row>
    <row r="442" spans="1:9" x14ac:dyDescent="0.4">
      <c r="A442" t="s">
        <v>1614</v>
      </c>
      <c r="B442" t="str">
        <f t="shared" si="12"/>
        <v>SYST-MOR-0006816.bam</v>
      </c>
      <c r="C442" t="s">
        <v>1615</v>
      </c>
      <c r="D442" t="s">
        <v>2442</v>
      </c>
      <c r="E442" t="s">
        <v>2447</v>
      </c>
      <c r="F442" t="s">
        <v>2535</v>
      </c>
      <c r="G442" t="s">
        <v>84</v>
      </c>
      <c r="H442" t="str">
        <f t="shared" si="13"/>
        <v>mue</v>
      </c>
      <c r="I442">
        <v>1</v>
      </c>
    </row>
    <row r="443" spans="1:9" x14ac:dyDescent="0.4">
      <c r="A443" t="s">
        <v>1617</v>
      </c>
      <c r="B443" t="str">
        <f t="shared" si="12"/>
        <v>SYST-MOR-0006817.bam</v>
      </c>
      <c r="C443" t="s">
        <v>1618</v>
      </c>
      <c r="D443" t="s">
        <v>2442</v>
      </c>
      <c r="E443" t="s">
        <v>2447</v>
      </c>
      <c r="F443" t="s">
        <v>2535</v>
      </c>
      <c r="G443" t="s">
        <v>64</v>
      </c>
      <c r="H443" t="str">
        <f t="shared" si="13"/>
        <v>alb</v>
      </c>
      <c r="I443">
        <v>1</v>
      </c>
    </row>
    <row r="444" spans="1:9" x14ac:dyDescent="0.4">
      <c r="A444" t="s">
        <v>1620</v>
      </c>
      <c r="B444" t="str">
        <f t="shared" si="12"/>
        <v>SYST-MOR-0006818.bam</v>
      </c>
      <c r="C444" t="s">
        <v>1621</v>
      </c>
      <c r="D444" t="s">
        <v>2442</v>
      </c>
      <c r="E444" t="s">
        <v>2447</v>
      </c>
      <c r="F444" t="s">
        <v>2535</v>
      </c>
      <c r="G444" t="s">
        <v>50</v>
      </c>
      <c r="H444" t="str">
        <f t="shared" si="13"/>
        <v>ste</v>
      </c>
      <c r="I444">
        <v>1</v>
      </c>
    </row>
    <row r="445" spans="1:9" x14ac:dyDescent="0.4">
      <c r="A445" t="s">
        <v>1623</v>
      </c>
      <c r="B445" t="str">
        <f t="shared" si="12"/>
        <v>SYST-MOR-0006819.bam</v>
      </c>
      <c r="C445" t="s">
        <v>1624</v>
      </c>
      <c r="D445" t="s">
        <v>2442</v>
      </c>
      <c r="E445" t="s">
        <v>2447</v>
      </c>
      <c r="F445" t="s">
        <v>2535</v>
      </c>
      <c r="G445" t="s">
        <v>64</v>
      </c>
      <c r="H445" t="str">
        <f t="shared" si="13"/>
        <v>alb</v>
      </c>
      <c r="I445">
        <v>1</v>
      </c>
    </row>
    <row r="446" spans="1:9" x14ac:dyDescent="0.4">
      <c r="A446" t="s">
        <v>1626</v>
      </c>
      <c r="B446" t="str">
        <f t="shared" si="12"/>
        <v>SYST-MOR-0006820.bam</v>
      </c>
      <c r="C446" t="s">
        <v>1627</v>
      </c>
      <c r="D446" t="s">
        <v>2442</v>
      </c>
      <c r="E446" t="s">
        <v>2447</v>
      </c>
      <c r="F446" t="s">
        <v>2535</v>
      </c>
      <c r="G446" t="s">
        <v>64</v>
      </c>
      <c r="H446" t="str">
        <f t="shared" si="13"/>
        <v>alb</v>
      </c>
      <c r="I446">
        <v>1</v>
      </c>
    </row>
    <row r="447" spans="1:9" x14ac:dyDescent="0.4">
      <c r="A447" t="s">
        <v>1629</v>
      </c>
      <c r="B447" t="str">
        <f t="shared" si="12"/>
        <v>SYST-MOR-0007419.bam</v>
      </c>
      <c r="C447" t="s">
        <v>1630</v>
      </c>
      <c r="D447" t="s">
        <v>2442</v>
      </c>
      <c r="E447" t="s">
        <v>2481</v>
      </c>
      <c r="F447" t="s">
        <v>2536</v>
      </c>
      <c r="G447" t="s">
        <v>45</v>
      </c>
      <c r="H447" t="str">
        <f t="shared" si="13"/>
        <v>mac</v>
      </c>
      <c r="I447">
        <v>1</v>
      </c>
    </row>
    <row r="448" spans="1:9" x14ac:dyDescent="0.4">
      <c r="A448" t="s">
        <v>1635</v>
      </c>
      <c r="B448" t="str">
        <f t="shared" si="12"/>
        <v>SYST-MOR-0007420.bam</v>
      </c>
      <c r="C448" t="s">
        <v>1636</v>
      </c>
      <c r="D448" t="s">
        <v>2442</v>
      </c>
      <c r="E448" t="s">
        <v>2481</v>
      </c>
      <c r="F448" t="s">
        <v>2536</v>
      </c>
      <c r="G448" t="s">
        <v>45</v>
      </c>
      <c r="H448" t="str">
        <f t="shared" si="13"/>
        <v>mac</v>
      </c>
      <c r="I448">
        <v>1</v>
      </c>
    </row>
    <row r="449" spans="1:9" x14ac:dyDescent="0.4">
      <c r="A449" t="s">
        <v>1639</v>
      </c>
      <c r="B449" t="str">
        <f t="shared" si="12"/>
        <v>SYST-MOR-0007421.bam</v>
      </c>
      <c r="C449" t="s">
        <v>1640</v>
      </c>
      <c r="D449" t="s">
        <v>2442</v>
      </c>
      <c r="E449" t="s">
        <v>2481</v>
      </c>
      <c r="F449" t="s">
        <v>2536</v>
      </c>
      <c r="G449" t="s">
        <v>45</v>
      </c>
      <c r="H449" t="str">
        <f t="shared" si="13"/>
        <v>mac</v>
      </c>
      <c r="I449">
        <v>1</v>
      </c>
    </row>
    <row r="450" spans="1:9" x14ac:dyDescent="0.4">
      <c r="A450" t="s">
        <v>1642</v>
      </c>
      <c r="B450" t="str">
        <f t="shared" ref="B450:B513" si="14">_xlfn.CONCAT(A450,".bam")</f>
        <v>SYST-MOR-0007422.bam</v>
      </c>
      <c r="C450" t="s">
        <v>1643</v>
      </c>
      <c r="D450" t="s">
        <v>2442</v>
      </c>
      <c r="E450" t="s">
        <v>2481</v>
      </c>
      <c r="F450" t="s">
        <v>2536</v>
      </c>
      <c r="G450" t="s">
        <v>45</v>
      </c>
      <c r="H450" t="str">
        <f t="shared" si="13"/>
        <v>mac</v>
      </c>
      <c r="I450">
        <v>1</v>
      </c>
    </row>
    <row r="451" spans="1:9" x14ac:dyDescent="0.4">
      <c r="A451" t="s">
        <v>1646</v>
      </c>
      <c r="B451" t="str">
        <f t="shared" si="14"/>
        <v>SYST-MOR-0007423.bam</v>
      </c>
      <c r="C451" t="s">
        <v>1647</v>
      </c>
      <c r="D451" t="s">
        <v>2442</v>
      </c>
      <c r="E451" t="s">
        <v>2481</v>
      </c>
      <c r="F451" t="s">
        <v>2536</v>
      </c>
      <c r="G451" t="s">
        <v>45</v>
      </c>
      <c r="H451" t="str">
        <f t="shared" ref="H451:H514" si="15">IF(ISERROR(FIND("x",LEFT(G451,LEN(G451)-7),1)),RIGHT(LEFT(G451,11),3),G451)</f>
        <v>mac</v>
      </c>
      <c r="I451">
        <v>1</v>
      </c>
    </row>
    <row r="452" spans="1:9" x14ac:dyDescent="0.4">
      <c r="A452" t="s">
        <v>1649</v>
      </c>
      <c r="B452" t="str">
        <f t="shared" si="14"/>
        <v>SYST-MOR-0007424.bam</v>
      </c>
      <c r="C452" t="s">
        <v>1650</v>
      </c>
      <c r="D452" t="s">
        <v>2442</v>
      </c>
      <c r="E452" t="s">
        <v>2481</v>
      </c>
      <c r="F452" t="s">
        <v>2536</v>
      </c>
      <c r="G452" t="s">
        <v>45</v>
      </c>
      <c r="H452" t="str">
        <f t="shared" si="15"/>
        <v>mac</v>
      </c>
      <c r="I452">
        <v>1</v>
      </c>
    </row>
    <row r="453" spans="1:9" x14ac:dyDescent="0.4">
      <c r="A453" t="s">
        <v>1652</v>
      </c>
      <c r="B453" t="str">
        <f t="shared" si="14"/>
        <v>SYST-MOR-0007097.bam</v>
      </c>
      <c r="C453" t="s">
        <v>1653</v>
      </c>
      <c r="D453" t="s">
        <v>2448</v>
      </c>
      <c r="E453" t="s">
        <v>2449</v>
      </c>
      <c r="F453" t="s">
        <v>2537</v>
      </c>
      <c r="G453" t="s">
        <v>64</v>
      </c>
      <c r="H453" t="str">
        <f t="shared" si="15"/>
        <v>alb</v>
      </c>
      <c r="I453">
        <v>1</v>
      </c>
    </row>
    <row r="454" spans="1:9" x14ac:dyDescent="0.4">
      <c r="A454" t="s">
        <v>1658</v>
      </c>
      <c r="B454" t="str">
        <f t="shared" si="14"/>
        <v>SYST-MOR-0007096.bam</v>
      </c>
      <c r="C454" t="s">
        <v>1659</v>
      </c>
      <c r="D454" t="s">
        <v>2448</v>
      </c>
      <c r="E454" t="s">
        <v>2449</v>
      </c>
      <c r="F454" t="s">
        <v>2537</v>
      </c>
      <c r="G454" t="s">
        <v>632</v>
      </c>
      <c r="H454" t="str">
        <f t="shared" si="15"/>
        <v>pri</v>
      </c>
      <c r="I454">
        <v>1</v>
      </c>
    </row>
    <row r="455" spans="1:9" x14ac:dyDescent="0.4">
      <c r="A455" t="s">
        <v>1662</v>
      </c>
      <c r="B455" t="str">
        <f t="shared" si="14"/>
        <v>SYST-MOR-0007098.bam</v>
      </c>
      <c r="C455" t="s">
        <v>1663</v>
      </c>
      <c r="D455" t="s">
        <v>2448</v>
      </c>
      <c r="E455" t="s">
        <v>2449</v>
      </c>
      <c r="F455" t="s">
        <v>2537</v>
      </c>
      <c r="G455" t="s">
        <v>632</v>
      </c>
      <c r="H455" t="str">
        <f t="shared" si="15"/>
        <v>pri</v>
      </c>
      <c r="I455">
        <v>1</v>
      </c>
    </row>
    <row r="456" spans="1:9" x14ac:dyDescent="0.4">
      <c r="A456" t="s">
        <v>1665</v>
      </c>
      <c r="B456" t="str">
        <f t="shared" si="14"/>
        <v>SYST-MOR-0007099.bam</v>
      </c>
      <c r="C456" t="s">
        <v>1666</v>
      </c>
      <c r="D456" t="s">
        <v>2448</v>
      </c>
      <c r="E456" t="s">
        <v>2449</v>
      </c>
      <c r="F456" t="s">
        <v>2537</v>
      </c>
      <c r="G456" t="s">
        <v>632</v>
      </c>
      <c r="H456" t="str">
        <f t="shared" si="15"/>
        <v>pri</v>
      </c>
      <c r="I456">
        <v>1</v>
      </c>
    </row>
    <row r="457" spans="1:9" x14ac:dyDescent="0.4">
      <c r="A457" t="s">
        <v>1668</v>
      </c>
      <c r="B457" t="str">
        <f t="shared" si="14"/>
        <v>SYST-MOR-0007100.bam</v>
      </c>
      <c r="C457" t="s">
        <v>1669</v>
      </c>
      <c r="D457" t="s">
        <v>2448</v>
      </c>
      <c r="E457" t="s">
        <v>2449</v>
      </c>
      <c r="F457" t="s">
        <v>2537</v>
      </c>
      <c r="G457" t="s">
        <v>632</v>
      </c>
      <c r="H457" t="str">
        <f t="shared" si="15"/>
        <v>pri</v>
      </c>
      <c r="I457">
        <v>1</v>
      </c>
    </row>
    <row r="458" spans="1:9" x14ac:dyDescent="0.4">
      <c r="A458" t="s">
        <v>1671</v>
      </c>
      <c r="B458" t="str">
        <f t="shared" si="14"/>
        <v>SYST-MOR-0007101.bam</v>
      </c>
      <c r="C458" t="s">
        <v>1672</v>
      </c>
      <c r="D458" t="s">
        <v>2448</v>
      </c>
      <c r="E458" t="s">
        <v>2449</v>
      </c>
      <c r="F458" t="s">
        <v>2537</v>
      </c>
      <c r="G458" t="s">
        <v>64</v>
      </c>
      <c r="H458" t="str">
        <f t="shared" si="15"/>
        <v>alb</v>
      </c>
      <c r="I458">
        <v>1</v>
      </c>
    </row>
    <row r="459" spans="1:9" x14ac:dyDescent="0.4">
      <c r="A459" t="s">
        <v>1674</v>
      </c>
      <c r="B459" t="str">
        <f t="shared" si="14"/>
        <v>SYST-MOR-0007102.bam</v>
      </c>
      <c r="C459" t="s">
        <v>1675</v>
      </c>
      <c r="D459" t="s">
        <v>2448</v>
      </c>
      <c r="E459" t="s">
        <v>2449</v>
      </c>
      <c r="F459" t="s">
        <v>2537</v>
      </c>
      <c r="G459" t="s">
        <v>64</v>
      </c>
      <c r="H459" t="str">
        <f t="shared" si="15"/>
        <v>alb</v>
      </c>
      <c r="I459">
        <v>1</v>
      </c>
    </row>
    <row r="460" spans="1:9" x14ac:dyDescent="0.4">
      <c r="A460" t="s">
        <v>1677</v>
      </c>
      <c r="B460" t="str">
        <f t="shared" si="14"/>
        <v>SYST-MOR-0007103.bam</v>
      </c>
      <c r="C460" t="s">
        <v>1678</v>
      </c>
      <c r="D460" t="s">
        <v>2448</v>
      </c>
      <c r="E460" t="s">
        <v>2449</v>
      </c>
      <c r="F460" t="s">
        <v>2537</v>
      </c>
      <c r="G460" t="s">
        <v>64</v>
      </c>
      <c r="H460" t="str">
        <f t="shared" si="15"/>
        <v>alb</v>
      </c>
      <c r="I460">
        <v>1</v>
      </c>
    </row>
    <row r="461" spans="1:9" x14ac:dyDescent="0.4">
      <c r="A461" t="s">
        <v>1680</v>
      </c>
      <c r="B461" t="str">
        <f t="shared" si="14"/>
        <v>SYST-MOR-0007104.bam</v>
      </c>
      <c r="C461" t="s">
        <v>1681</v>
      </c>
      <c r="D461" t="s">
        <v>2448</v>
      </c>
      <c r="E461" t="s">
        <v>2449</v>
      </c>
      <c r="F461" t="s">
        <v>2537</v>
      </c>
      <c r="G461" t="s">
        <v>632</v>
      </c>
      <c r="H461" t="str">
        <f t="shared" si="15"/>
        <v>pri</v>
      </c>
      <c r="I461">
        <v>1</v>
      </c>
    </row>
    <row r="462" spans="1:9" x14ac:dyDescent="0.4">
      <c r="A462" t="s">
        <v>1683</v>
      </c>
      <c r="B462" t="str">
        <f t="shared" si="14"/>
        <v>SYST-MOR-0007047.bam</v>
      </c>
      <c r="C462" t="s">
        <v>1684</v>
      </c>
      <c r="D462" t="s">
        <v>2448</v>
      </c>
      <c r="E462" t="s">
        <v>2450</v>
      </c>
      <c r="F462" t="s">
        <v>2538</v>
      </c>
      <c r="G462" t="s">
        <v>45</v>
      </c>
      <c r="H462" t="str">
        <f t="shared" si="15"/>
        <v>mac</v>
      </c>
      <c r="I462">
        <v>1</v>
      </c>
    </row>
    <row r="463" spans="1:9" x14ac:dyDescent="0.4">
      <c r="A463" t="s">
        <v>1688</v>
      </c>
      <c r="B463" t="str">
        <f t="shared" si="14"/>
        <v>SYST-MOR-0007048.bam</v>
      </c>
      <c r="C463" t="s">
        <v>1689</v>
      </c>
      <c r="D463" t="s">
        <v>2448</v>
      </c>
      <c r="E463" t="s">
        <v>2450</v>
      </c>
      <c r="F463" t="s">
        <v>2538</v>
      </c>
      <c r="G463" t="s">
        <v>45</v>
      </c>
      <c r="H463" t="str">
        <f t="shared" si="15"/>
        <v>mac</v>
      </c>
      <c r="I463">
        <v>1</v>
      </c>
    </row>
    <row r="464" spans="1:9" x14ac:dyDescent="0.4">
      <c r="A464" t="s">
        <v>1691</v>
      </c>
      <c r="B464" t="str">
        <f t="shared" si="14"/>
        <v>SYST-MOR-0007049.bam</v>
      </c>
      <c r="C464" t="s">
        <v>1692</v>
      </c>
      <c r="D464" t="s">
        <v>2448</v>
      </c>
      <c r="E464" t="s">
        <v>2450</v>
      </c>
      <c r="F464" t="s">
        <v>2538</v>
      </c>
      <c r="G464" t="s">
        <v>45</v>
      </c>
      <c r="H464" t="str">
        <f t="shared" si="15"/>
        <v>mac</v>
      </c>
      <c r="I464">
        <v>1</v>
      </c>
    </row>
    <row r="465" spans="1:9" x14ac:dyDescent="0.4">
      <c r="A465" t="s">
        <v>1694</v>
      </c>
      <c r="B465" t="str">
        <f t="shared" si="14"/>
        <v>SYST-MOR-0007050.bam</v>
      </c>
      <c r="C465" t="s">
        <v>1695</v>
      </c>
      <c r="D465" t="s">
        <v>2448</v>
      </c>
      <c r="E465" t="s">
        <v>2450</v>
      </c>
      <c r="F465" t="s">
        <v>2538</v>
      </c>
      <c r="G465" t="s">
        <v>2623</v>
      </c>
      <c r="H465" t="s">
        <v>2630</v>
      </c>
      <c r="I465">
        <v>1</v>
      </c>
    </row>
    <row r="466" spans="1:9" x14ac:dyDescent="0.4">
      <c r="A466" t="s">
        <v>1697</v>
      </c>
      <c r="B466" t="str">
        <f t="shared" si="14"/>
        <v>SYST-MOR-0007051.bam</v>
      </c>
      <c r="C466" t="s">
        <v>1698</v>
      </c>
      <c r="D466" t="s">
        <v>2448</v>
      </c>
      <c r="E466" t="s">
        <v>2450</v>
      </c>
      <c r="F466" t="s">
        <v>2538</v>
      </c>
      <c r="G466" t="s">
        <v>64</v>
      </c>
      <c r="H466" t="str">
        <f t="shared" si="15"/>
        <v>alb</v>
      </c>
      <c r="I466">
        <v>1</v>
      </c>
    </row>
    <row r="467" spans="1:9" x14ac:dyDescent="0.4">
      <c r="A467" t="s">
        <v>1700</v>
      </c>
      <c r="B467" t="str">
        <f t="shared" si="14"/>
        <v>SYST-MOR-0007052.bam</v>
      </c>
      <c r="C467" t="s">
        <v>1701</v>
      </c>
      <c r="D467" t="s">
        <v>2448</v>
      </c>
      <c r="E467" t="s">
        <v>2450</v>
      </c>
      <c r="F467" t="s">
        <v>2538</v>
      </c>
      <c r="G467" t="s">
        <v>143</v>
      </c>
      <c r="H467" t="str">
        <f t="shared" si="15"/>
        <v>bic</v>
      </c>
      <c r="I467">
        <v>1</v>
      </c>
    </row>
    <row r="468" spans="1:9" x14ac:dyDescent="0.4">
      <c r="A468" t="s">
        <v>1703</v>
      </c>
      <c r="B468" t="str">
        <f t="shared" si="14"/>
        <v>SYST-MOR-0007053.bam</v>
      </c>
      <c r="C468" t="s">
        <v>1704</v>
      </c>
      <c r="D468" t="s">
        <v>2448</v>
      </c>
      <c r="E468" t="s">
        <v>2450</v>
      </c>
      <c r="F468" t="s">
        <v>2538</v>
      </c>
      <c r="G468" t="s">
        <v>64</v>
      </c>
      <c r="H468" t="str">
        <f t="shared" si="15"/>
        <v>alb</v>
      </c>
      <c r="I468">
        <v>1</v>
      </c>
    </row>
    <row r="469" spans="1:9" x14ac:dyDescent="0.4">
      <c r="A469" t="s">
        <v>1706</v>
      </c>
      <c r="B469" t="str">
        <f t="shared" si="14"/>
        <v>SYST-MOR-0007054.bam</v>
      </c>
      <c r="C469" t="s">
        <v>1707</v>
      </c>
      <c r="D469" t="s">
        <v>2448</v>
      </c>
      <c r="E469" t="s">
        <v>2450</v>
      </c>
      <c r="F469" t="s">
        <v>2538</v>
      </c>
      <c r="G469" t="s">
        <v>64</v>
      </c>
      <c r="H469" t="str">
        <f t="shared" si="15"/>
        <v>alb</v>
      </c>
      <c r="I469">
        <v>1</v>
      </c>
    </row>
    <row r="470" spans="1:9" x14ac:dyDescent="0.4">
      <c r="A470" t="s">
        <v>1709</v>
      </c>
      <c r="B470" t="str">
        <f t="shared" si="14"/>
        <v>SYST-MOR-0007055.bam</v>
      </c>
      <c r="C470" t="s">
        <v>1710</v>
      </c>
      <c r="D470" t="s">
        <v>2448</v>
      </c>
      <c r="E470" t="s">
        <v>2450</v>
      </c>
      <c r="F470" t="s">
        <v>2538</v>
      </c>
      <c r="G470" t="s">
        <v>143</v>
      </c>
      <c r="H470" t="str">
        <f t="shared" si="15"/>
        <v>bic</v>
      </c>
      <c r="I470">
        <v>1</v>
      </c>
    </row>
    <row r="471" spans="1:9" x14ac:dyDescent="0.4">
      <c r="A471" t="s">
        <v>1712</v>
      </c>
      <c r="B471" t="str">
        <f t="shared" si="14"/>
        <v>SYST-MOR-0007056.bam</v>
      </c>
      <c r="C471" t="s">
        <v>1713</v>
      </c>
      <c r="D471" t="s">
        <v>2448</v>
      </c>
      <c r="E471" t="s">
        <v>2450</v>
      </c>
      <c r="F471" t="s">
        <v>2538</v>
      </c>
      <c r="G471" t="s">
        <v>2623</v>
      </c>
      <c r="H471" t="s">
        <v>2630</v>
      </c>
      <c r="I471">
        <v>1</v>
      </c>
    </row>
    <row r="472" spans="1:9" x14ac:dyDescent="0.4">
      <c r="A472" t="s">
        <v>1715</v>
      </c>
      <c r="B472" t="str">
        <f t="shared" si="14"/>
        <v>SYST-MOR-0007057.bam</v>
      </c>
      <c r="C472" t="s">
        <v>1716</v>
      </c>
      <c r="D472" t="s">
        <v>2448</v>
      </c>
      <c r="E472" t="s">
        <v>2450</v>
      </c>
      <c r="F472" t="s">
        <v>2538</v>
      </c>
      <c r="G472" t="s">
        <v>143</v>
      </c>
      <c r="H472" t="str">
        <f t="shared" si="15"/>
        <v>bic</v>
      </c>
      <c r="I472">
        <v>1</v>
      </c>
    </row>
    <row r="473" spans="1:9" x14ac:dyDescent="0.4">
      <c r="A473" t="s">
        <v>1718</v>
      </c>
      <c r="B473" t="str">
        <f t="shared" si="14"/>
        <v>SYST-MOR-0007058.bam</v>
      </c>
      <c r="C473" t="s">
        <v>1719</v>
      </c>
      <c r="D473" t="s">
        <v>2448</v>
      </c>
      <c r="E473" t="s">
        <v>2450</v>
      </c>
      <c r="F473" t="s">
        <v>2538</v>
      </c>
      <c r="G473" t="s">
        <v>2626</v>
      </c>
      <c r="H473" t="s">
        <v>2633</v>
      </c>
      <c r="I473">
        <v>1</v>
      </c>
    </row>
    <row r="474" spans="1:9" x14ac:dyDescent="0.4">
      <c r="A474" t="s">
        <v>1721</v>
      </c>
      <c r="B474" t="str">
        <f t="shared" si="14"/>
        <v>SYST-MOR-0007059.bam</v>
      </c>
      <c r="C474" t="s">
        <v>1722</v>
      </c>
      <c r="D474" t="s">
        <v>2448</v>
      </c>
      <c r="E474" t="s">
        <v>2450</v>
      </c>
      <c r="F474" t="s">
        <v>2538</v>
      </c>
      <c r="G474" t="s">
        <v>143</v>
      </c>
      <c r="H474" t="str">
        <f t="shared" si="15"/>
        <v>bic</v>
      </c>
      <c r="I474">
        <v>1</v>
      </c>
    </row>
    <row r="475" spans="1:9" x14ac:dyDescent="0.4">
      <c r="A475" t="s">
        <v>1724</v>
      </c>
      <c r="B475" t="str">
        <f t="shared" si="14"/>
        <v>SYST-MOR-0007060.bam</v>
      </c>
      <c r="C475" t="s">
        <v>1725</v>
      </c>
      <c r="D475" t="s">
        <v>2448</v>
      </c>
      <c r="E475" t="s">
        <v>2450</v>
      </c>
      <c r="F475" t="s">
        <v>2538</v>
      </c>
      <c r="G475" t="s">
        <v>143</v>
      </c>
      <c r="H475" t="str">
        <f t="shared" si="15"/>
        <v>bic</v>
      </c>
      <c r="I475">
        <v>1</v>
      </c>
    </row>
    <row r="476" spans="1:9" x14ac:dyDescent="0.4">
      <c r="A476" t="s">
        <v>1727</v>
      </c>
      <c r="B476" t="str">
        <f t="shared" si="14"/>
        <v>SYST-MOR-0007090.bam</v>
      </c>
      <c r="C476" t="s">
        <v>1728</v>
      </c>
      <c r="D476" t="s">
        <v>2448</v>
      </c>
      <c r="E476" t="s">
        <v>2451</v>
      </c>
      <c r="F476" t="s">
        <v>2539</v>
      </c>
      <c r="G476" t="s">
        <v>1729</v>
      </c>
      <c r="H476" t="str">
        <f t="shared" si="15"/>
        <v>mon</v>
      </c>
      <c r="I476">
        <v>1</v>
      </c>
    </row>
    <row r="477" spans="1:9" x14ac:dyDescent="0.4">
      <c r="A477" t="s">
        <v>1734</v>
      </c>
      <c r="B477" t="str">
        <f t="shared" si="14"/>
        <v>SYST-MOR-0007091.bam</v>
      </c>
      <c r="C477" t="s">
        <v>1735</v>
      </c>
      <c r="D477" t="s">
        <v>2448</v>
      </c>
      <c r="E477" t="s">
        <v>2451</v>
      </c>
      <c r="F477" t="s">
        <v>2539</v>
      </c>
      <c r="G477" t="s">
        <v>64</v>
      </c>
      <c r="H477" t="str">
        <f t="shared" si="15"/>
        <v>alb</v>
      </c>
      <c r="I477">
        <v>1</v>
      </c>
    </row>
    <row r="478" spans="1:9" x14ac:dyDescent="0.4">
      <c r="A478" t="s">
        <v>1738</v>
      </c>
      <c r="B478" t="str">
        <f t="shared" si="14"/>
        <v>SYST-MOR-0007092.bam</v>
      </c>
      <c r="C478" t="s">
        <v>1739</v>
      </c>
      <c r="D478" t="s">
        <v>2448</v>
      </c>
      <c r="E478" t="s">
        <v>2451</v>
      </c>
      <c r="F478" t="s">
        <v>2539</v>
      </c>
      <c r="G478" t="s">
        <v>1729</v>
      </c>
      <c r="H478" t="str">
        <f t="shared" si="15"/>
        <v>mon</v>
      </c>
      <c r="I478">
        <v>1</v>
      </c>
    </row>
    <row r="479" spans="1:9" x14ac:dyDescent="0.4">
      <c r="A479" t="s">
        <v>1741</v>
      </c>
      <c r="B479" t="str">
        <f t="shared" si="14"/>
        <v>SYST-MOR-0007093.bam</v>
      </c>
      <c r="C479" t="s">
        <v>1742</v>
      </c>
      <c r="D479" t="s">
        <v>2448</v>
      </c>
      <c r="E479" t="s">
        <v>2451</v>
      </c>
      <c r="F479" t="s">
        <v>2539</v>
      </c>
      <c r="G479" t="s">
        <v>1729</v>
      </c>
      <c r="H479" t="str">
        <f t="shared" si="15"/>
        <v>mon</v>
      </c>
      <c r="I479">
        <v>1</v>
      </c>
    </row>
    <row r="480" spans="1:9" x14ac:dyDescent="0.4">
      <c r="A480" t="s">
        <v>1744</v>
      </c>
      <c r="B480" t="str">
        <f t="shared" si="14"/>
        <v>SYST-MOR-0007094.bam</v>
      </c>
      <c r="C480" t="s">
        <v>1745</v>
      </c>
      <c r="D480" t="s">
        <v>2448</v>
      </c>
      <c r="E480" t="s">
        <v>2451</v>
      </c>
      <c r="F480" t="s">
        <v>2539</v>
      </c>
      <c r="G480" t="s">
        <v>1729</v>
      </c>
      <c r="H480" t="str">
        <f t="shared" si="15"/>
        <v>mon</v>
      </c>
      <c r="I480">
        <v>1</v>
      </c>
    </row>
    <row r="481" spans="1:9" x14ac:dyDescent="0.4">
      <c r="A481" t="s">
        <v>1747</v>
      </c>
      <c r="B481" t="str">
        <f t="shared" si="14"/>
        <v>SYST-MOR-0007095.bam</v>
      </c>
      <c r="C481" t="s">
        <v>1748</v>
      </c>
      <c r="D481" t="s">
        <v>2448</v>
      </c>
      <c r="E481" t="s">
        <v>2451</v>
      </c>
      <c r="F481" t="s">
        <v>2539</v>
      </c>
      <c r="G481" t="s">
        <v>1729</v>
      </c>
      <c r="H481" t="str">
        <f t="shared" si="15"/>
        <v>mon</v>
      </c>
      <c r="I481">
        <v>1</v>
      </c>
    </row>
    <row r="482" spans="1:9" x14ac:dyDescent="0.4">
      <c r="A482" t="s">
        <v>1750</v>
      </c>
      <c r="B482" t="str">
        <f t="shared" si="14"/>
        <v>SYST-MOR-0007105.bam</v>
      </c>
      <c r="C482" t="s">
        <v>1751</v>
      </c>
      <c r="D482" t="s">
        <v>2448</v>
      </c>
      <c r="E482" t="s">
        <v>2451</v>
      </c>
      <c r="F482" t="s">
        <v>2539</v>
      </c>
      <c r="G482" t="s">
        <v>64</v>
      </c>
      <c r="H482" t="str">
        <f t="shared" si="15"/>
        <v>alb</v>
      </c>
      <c r="I482">
        <v>1</v>
      </c>
    </row>
    <row r="483" spans="1:9" x14ac:dyDescent="0.4">
      <c r="A483" t="s">
        <v>1753</v>
      </c>
      <c r="B483" t="str">
        <f t="shared" si="14"/>
        <v>SYST-MOR-0007071.bam</v>
      </c>
      <c r="C483" t="s">
        <v>1754</v>
      </c>
      <c r="D483" t="s">
        <v>2448</v>
      </c>
      <c r="E483" t="s">
        <v>2452</v>
      </c>
      <c r="F483" t="s">
        <v>2540</v>
      </c>
      <c r="G483" t="s">
        <v>45</v>
      </c>
      <c r="H483" t="str">
        <f t="shared" si="15"/>
        <v>mac</v>
      </c>
      <c r="I483">
        <v>1</v>
      </c>
    </row>
    <row r="484" spans="1:9" x14ac:dyDescent="0.4">
      <c r="A484" t="s">
        <v>1758</v>
      </c>
      <c r="B484" t="str">
        <f t="shared" si="14"/>
        <v>SYST-MOR-0007072.bam</v>
      </c>
      <c r="C484" t="s">
        <v>1759</v>
      </c>
      <c r="D484" t="s">
        <v>2448</v>
      </c>
      <c r="E484" t="s">
        <v>2452</v>
      </c>
      <c r="F484" t="s">
        <v>2540</v>
      </c>
      <c r="G484" t="s">
        <v>45</v>
      </c>
      <c r="H484" t="str">
        <f t="shared" si="15"/>
        <v>mac</v>
      </c>
      <c r="I484">
        <v>1</v>
      </c>
    </row>
    <row r="485" spans="1:9" x14ac:dyDescent="0.4">
      <c r="A485" t="s">
        <v>1762</v>
      </c>
      <c r="B485" t="str">
        <f t="shared" si="14"/>
        <v>SYST-MOR-0007073.bam</v>
      </c>
      <c r="C485" t="s">
        <v>1763</v>
      </c>
      <c r="D485" t="s">
        <v>2448</v>
      </c>
      <c r="E485" t="s">
        <v>2452</v>
      </c>
      <c r="F485" t="s">
        <v>2540</v>
      </c>
      <c r="G485" t="s">
        <v>45</v>
      </c>
      <c r="H485" t="str">
        <f t="shared" si="15"/>
        <v>mac</v>
      </c>
      <c r="I485">
        <v>1</v>
      </c>
    </row>
    <row r="486" spans="1:9" x14ac:dyDescent="0.4">
      <c r="A486" t="s">
        <v>1765</v>
      </c>
      <c r="B486" t="str">
        <f t="shared" si="14"/>
        <v>SYST-MOR-0007074.bam</v>
      </c>
      <c r="C486" t="s">
        <v>1766</v>
      </c>
      <c r="D486" t="s">
        <v>2448</v>
      </c>
      <c r="E486" t="s">
        <v>2452</v>
      </c>
      <c r="F486" t="s">
        <v>2540</v>
      </c>
      <c r="G486" t="s">
        <v>45</v>
      </c>
      <c r="H486" t="str">
        <f t="shared" si="15"/>
        <v>mac</v>
      </c>
      <c r="I486">
        <v>1</v>
      </c>
    </row>
    <row r="487" spans="1:9" x14ac:dyDescent="0.4">
      <c r="A487" t="s">
        <v>1768</v>
      </c>
      <c r="B487" t="str">
        <f t="shared" si="14"/>
        <v>SYST-MOR-0007075.bam</v>
      </c>
      <c r="C487" t="s">
        <v>1769</v>
      </c>
      <c r="D487" t="s">
        <v>2448</v>
      </c>
      <c r="E487" t="s">
        <v>2452</v>
      </c>
      <c r="F487" t="s">
        <v>2540</v>
      </c>
      <c r="G487" t="s">
        <v>64</v>
      </c>
      <c r="H487" t="str">
        <f t="shared" si="15"/>
        <v>alb</v>
      </c>
      <c r="I487">
        <v>1</v>
      </c>
    </row>
    <row r="488" spans="1:9" x14ac:dyDescent="0.4">
      <c r="A488" t="s">
        <v>1771</v>
      </c>
      <c r="B488" t="str">
        <f t="shared" si="14"/>
        <v>SYST-MOR-0007076.bam</v>
      </c>
      <c r="C488" t="s">
        <v>1772</v>
      </c>
      <c r="D488" t="s">
        <v>2448</v>
      </c>
      <c r="E488" t="s">
        <v>2452</v>
      </c>
      <c r="F488" t="s">
        <v>2540</v>
      </c>
      <c r="G488" t="s">
        <v>45</v>
      </c>
      <c r="H488" t="str">
        <f t="shared" si="15"/>
        <v>mac</v>
      </c>
      <c r="I488">
        <v>1</v>
      </c>
    </row>
    <row r="489" spans="1:9" x14ac:dyDescent="0.4">
      <c r="A489" t="s">
        <v>1774</v>
      </c>
      <c r="B489" t="str">
        <f t="shared" si="14"/>
        <v>SYST-MOR-0007077.bam</v>
      </c>
      <c r="C489" t="s">
        <v>1775</v>
      </c>
      <c r="D489" t="s">
        <v>2448</v>
      </c>
      <c r="E489" t="s">
        <v>2452</v>
      </c>
      <c r="F489" t="s">
        <v>2540</v>
      </c>
      <c r="G489" t="s">
        <v>2626</v>
      </c>
      <c r="H489" t="s">
        <v>2633</v>
      </c>
      <c r="I489">
        <v>1</v>
      </c>
    </row>
    <row r="490" spans="1:9" x14ac:dyDescent="0.4">
      <c r="A490" t="s">
        <v>1777</v>
      </c>
      <c r="B490" t="str">
        <f t="shared" si="14"/>
        <v>SYST-MOR-0007078.bam</v>
      </c>
      <c r="C490" t="s">
        <v>1778</v>
      </c>
      <c r="D490" t="s">
        <v>2448</v>
      </c>
      <c r="E490" t="s">
        <v>2452</v>
      </c>
      <c r="F490" t="s">
        <v>2540</v>
      </c>
      <c r="G490" t="s">
        <v>64</v>
      </c>
      <c r="H490" t="str">
        <f t="shared" si="15"/>
        <v>alb</v>
      </c>
      <c r="I490">
        <v>1</v>
      </c>
    </row>
    <row r="491" spans="1:9" x14ac:dyDescent="0.4">
      <c r="A491" t="s">
        <v>1780</v>
      </c>
      <c r="B491" t="str">
        <f t="shared" si="14"/>
        <v>SYST-MOR-0007079.bam</v>
      </c>
      <c r="C491" t="s">
        <v>1781</v>
      </c>
      <c r="D491" t="s">
        <v>2448</v>
      </c>
      <c r="E491" t="s">
        <v>2452</v>
      </c>
      <c r="F491" t="s">
        <v>2540</v>
      </c>
      <c r="G491" t="s">
        <v>64</v>
      </c>
      <c r="H491" t="str">
        <f t="shared" si="15"/>
        <v>alb</v>
      </c>
      <c r="I491">
        <v>1</v>
      </c>
    </row>
    <row r="492" spans="1:9" x14ac:dyDescent="0.4">
      <c r="A492" t="s">
        <v>1783</v>
      </c>
      <c r="B492" t="str">
        <f t="shared" si="14"/>
        <v>SYST-MOR-0007080.bam</v>
      </c>
      <c r="C492" t="s">
        <v>1784</v>
      </c>
      <c r="D492" t="s">
        <v>2448</v>
      </c>
      <c r="E492" t="s">
        <v>2452</v>
      </c>
      <c r="F492" t="s">
        <v>2540</v>
      </c>
      <c r="G492" t="s">
        <v>64</v>
      </c>
      <c r="H492" t="str">
        <f t="shared" si="15"/>
        <v>alb</v>
      </c>
      <c r="I492">
        <v>1</v>
      </c>
    </row>
    <row r="493" spans="1:9" x14ac:dyDescent="0.4">
      <c r="A493" t="s">
        <v>1786</v>
      </c>
      <c r="B493" t="str">
        <f t="shared" si="14"/>
        <v>SYST-MOR-0007061.bam</v>
      </c>
      <c r="C493" t="s">
        <v>1787</v>
      </c>
      <c r="D493" t="s">
        <v>2448</v>
      </c>
      <c r="E493" t="s">
        <v>2453</v>
      </c>
      <c r="F493" t="s">
        <v>2541</v>
      </c>
      <c r="G493" t="s">
        <v>64</v>
      </c>
      <c r="H493" t="str">
        <f t="shared" si="15"/>
        <v>alb</v>
      </c>
      <c r="I493">
        <v>1</v>
      </c>
    </row>
    <row r="494" spans="1:9" x14ac:dyDescent="0.4">
      <c r="A494" t="s">
        <v>1791</v>
      </c>
      <c r="B494" t="str">
        <f t="shared" si="14"/>
        <v>SYST-MOR-0007062.bam</v>
      </c>
      <c r="C494" t="s">
        <v>1792</v>
      </c>
      <c r="D494" t="s">
        <v>2448</v>
      </c>
      <c r="E494" t="s">
        <v>2453</v>
      </c>
      <c r="F494" t="s">
        <v>2541</v>
      </c>
      <c r="G494" t="s">
        <v>64</v>
      </c>
      <c r="H494" t="str">
        <f t="shared" si="15"/>
        <v>alb</v>
      </c>
      <c r="I494">
        <v>1</v>
      </c>
    </row>
    <row r="495" spans="1:9" x14ac:dyDescent="0.4">
      <c r="A495" t="s">
        <v>1794</v>
      </c>
      <c r="B495" t="str">
        <f t="shared" si="14"/>
        <v>SYST-MOR-0007063.bam</v>
      </c>
      <c r="C495" t="s">
        <v>1795</v>
      </c>
      <c r="D495" t="s">
        <v>2448</v>
      </c>
      <c r="E495" t="s">
        <v>2453</v>
      </c>
      <c r="F495" t="s">
        <v>2541</v>
      </c>
      <c r="G495" t="s">
        <v>64</v>
      </c>
      <c r="H495" t="str">
        <f t="shared" si="15"/>
        <v>alb</v>
      </c>
      <c r="I495">
        <v>1</v>
      </c>
    </row>
    <row r="496" spans="1:9" x14ac:dyDescent="0.4">
      <c r="A496" t="s">
        <v>1797</v>
      </c>
      <c r="B496" t="str">
        <f t="shared" si="14"/>
        <v>SYST-MOR-0007064.bam</v>
      </c>
      <c r="C496" t="s">
        <v>1798</v>
      </c>
      <c r="D496" t="s">
        <v>2448</v>
      </c>
      <c r="E496" t="s">
        <v>2453</v>
      </c>
      <c r="F496" t="s">
        <v>2541</v>
      </c>
      <c r="G496" t="s">
        <v>64</v>
      </c>
      <c r="H496" t="str">
        <f t="shared" si="15"/>
        <v>alb</v>
      </c>
      <c r="I496">
        <v>1</v>
      </c>
    </row>
    <row r="497" spans="1:9" x14ac:dyDescent="0.4">
      <c r="A497" t="s">
        <v>1800</v>
      </c>
      <c r="B497" t="str">
        <f t="shared" si="14"/>
        <v>SYST-MOR-0007065.bam</v>
      </c>
      <c r="C497" t="s">
        <v>1801</v>
      </c>
      <c r="D497" t="s">
        <v>2448</v>
      </c>
      <c r="E497" t="s">
        <v>2453</v>
      </c>
      <c r="F497" t="s">
        <v>2541</v>
      </c>
      <c r="G497" t="s">
        <v>64</v>
      </c>
      <c r="H497" t="str">
        <f t="shared" si="15"/>
        <v>alb</v>
      </c>
      <c r="I497">
        <v>1</v>
      </c>
    </row>
    <row r="498" spans="1:9" x14ac:dyDescent="0.4">
      <c r="A498" t="s">
        <v>1803</v>
      </c>
      <c r="B498" t="str">
        <f t="shared" si="14"/>
        <v>SYST-MOR-0007066.bam</v>
      </c>
      <c r="C498" t="s">
        <v>1804</v>
      </c>
      <c r="D498" t="s">
        <v>2448</v>
      </c>
      <c r="E498" t="s">
        <v>2453</v>
      </c>
      <c r="F498" t="s">
        <v>2541</v>
      </c>
      <c r="G498" t="s">
        <v>45</v>
      </c>
      <c r="H498" t="str">
        <f t="shared" si="15"/>
        <v>mac</v>
      </c>
      <c r="I498">
        <v>1</v>
      </c>
    </row>
    <row r="499" spans="1:9" x14ac:dyDescent="0.4">
      <c r="A499" t="s">
        <v>1806</v>
      </c>
      <c r="B499" t="str">
        <f t="shared" si="14"/>
        <v>SYST-MOR-0007067.bam</v>
      </c>
      <c r="C499" t="s">
        <v>1807</v>
      </c>
      <c r="D499" t="s">
        <v>2448</v>
      </c>
      <c r="E499" t="s">
        <v>2453</v>
      </c>
      <c r="F499" t="s">
        <v>2541</v>
      </c>
      <c r="G499" t="s">
        <v>45</v>
      </c>
      <c r="H499" t="str">
        <f t="shared" si="15"/>
        <v>mac</v>
      </c>
      <c r="I499">
        <v>1</v>
      </c>
    </row>
    <row r="500" spans="1:9" x14ac:dyDescent="0.4">
      <c r="A500" t="s">
        <v>1809</v>
      </c>
      <c r="B500" t="str">
        <f t="shared" si="14"/>
        <v>SYST-MOR-0007068.bam</v>
      </c>
      <c r="C500" t="s">
        <v>1810</v>
      </c>
      <c r="D500" t="s">
        <v>2448</v>
      </c>
      <c r="E500" t="s">
        <v>2453</v>
      </c>
      <c r="F500" t="s">
        <v>2541</v>
      </c>
      <c r="G500" t="s">
        <v>45</v>
      </c>
      <c r="H500" t="str">
        <f t="shared" si="15"/>
        <v>mac</v>
      </c>
      <c r="I500">
        <v>1</v>
      </c>
    </row>
    <row r="501" spans="1:9" x14ac:dyDescent="0.4">
      <c r="A501" t="s">
        <v>1812</v>
      </c>
      <c r="B501" t="str">
        <f t="shared" si="14"/>
        <v>SYST-MOR-0007069.bam</v>
      </c>
      <c r="C501" t="s">
        <v>1813</v>
      </c>
      <c r="D501" t="s">
        <v>2448</v>
      </c>
      <c r="E501" t="s">
        <v>2453</v>
      </c>
      <c r="F501" t="s">
        <v>2541</v>
      </c>
      <c r="G501" t="s">
        <v>45</v>
      </c>
      <c r="H501" t="str">
        <f t="shared" si="15"/>
        <v>mac</v>
      </c>
      <c r="I501">
        <v>1</v>
      </c>
    </row>
    <row r="502" spans="1:9" x14ac:dyDescent="0.4">
      <c r="A502" t="s">
        <v>1815</v>
      </c>
      <c r="B502" t="str">
        <f t="shared" si="14"/>
        <v>SYST-MOR-0007070.bam</v>
      </c>
      <c r="C502" t="s">
        <v>1816</v>
      </c>
      <c r="D502" t="s">
        <v>2448</v>
      </c>
      <c r="E502" t="s">
        <v>2453</v>
      </c>
      <c r="F502" t="s">
        <v>2541</v>
      </c>
      <c r="G502" t="s">
        <v>45</v>
      </c>
      <c r="H502" t="str">
        <f t="shared" si="15"/>
        <v>mac</v>
      </c>
      <c r="I502">
        <v>1</v>
      </c>
    </row>
    <row r="503" spans="1:9" x14ac:dyDescent="0.4">
      <c r="A503" t="s">
        <v>1818</v>
      </c>
      <c r="B503" t="str">
        <f t="shared" si="14"/>
        <v>SYST-MOR-0006970.bam</v>
      </c>
      <c r="C503" t="s">
        <v>1819</v>
      </c>
      <c r="D503" t="s">
        <v>2454</v>
      </c>
      <c r="E503" t="s">
        <v>2455</v>
      </c>
      <c r="F503" t="s">
        <v>2542</v>
      </c>
      <c r="G503" t="s">
        <v>143</v>
      </c>
      <c r="H503" t="str">
        <f t="shared" si="15"/>
        <v>bic</v>
      </c>
      <c r="I503">
        <v>1</v>
      </c>
    </row>
    <row r="504" spans="1:9" x14ac:dyDescent="0.4">
      <c r="A504" t="s">
        <v>1824</v>
      </c>
      <c r="B504" t="str">
        <f t="shared" si="14"/>
        <v>SYST-MOR-0006971.bam</v>
      </c>
      <c r="C504" t="s">
        <v>1825</v>
      </c>
      <c r="D504" t="s">
        <v>2454</v>
      </c>
      <c r="E504" t="s">
        <v>2455</v>
      </c>
      <c r="F504" t="s">
        <v>2542</v>
      </c>
      <c r="G504" t="s">
        <v>143</v>
      </c>
      <c r="H504" t="str">
        <f t="shared" si="15"/>
        <v>bic</v>
      </c>
      <c r="I504">
        <v>1</v>
      </c>
    </row>
    <row r="505" spans="1:9" x14ac:dyDescent="0.4">
      <c r="A505" t="s">
        <v>1828</v>
      </c>
      <c r="B505" t="str">
        <f t="shared" si="14"/>
        <v>SYST-MOR-0006972.bam</v>
      </c>
      <c r="C505" t="s">
        <v>1829</v>
      </c>
      <c r="D505" t="s">
        <v>2454</v>
      </c>
      <c r="E505" t="s">
        <v>2455</v>
      </c>
      <c r="F505" t="s">
        <v>2542</v>
      </c>
      <c r="G505" t="s">
        <v>84</v>
      </c>
      <c r="H505" t="str">
        <f t="shared" si="15"/>
        <v>mue</v>
      </c>
      <c r="I505">
        <v>1</v>
      </c>
    </row>
    <row r="506" spans="1:9" x14ac:dyDescent="0.4">
      <c r="A506" t="s">
        <v>1831</v>
      </c>
      <c r="B506" t="str">
        <f t="shared" si="14"/>
        <v>SYST-MOR-0006973.bam</v>
      </c>
      <c r="C506" t="s">
        <v>1832</v>
      </c>
      <c r="D506" t="s">
        <v>2454</v>
      </c>
      <c r="E506" t="s">
        <v>2455</v>
      </c>
      <c r="F506" t="s">
        <v>2542</v>
      </c>
      <c r="G506" t="s">
        <v>45</v>
      </c>
      <c r="H506" t="str">
        <f t="shared" si="15"/>
        <v>mac</v>
      </c>
      <c r="I506">
        <v>1</v>
      </c>
    </row>
    <row r="507" spans="1:9" x14ac:dyDescent="0.4">
      <c r="A507" t="s">
        <v>1834</v>
      </c>
      <c r="B507" t="str">
        <f t="shared" si="14"/>
        <v>SYST-MOR-0006974.bam</v>
      </c>
      <c r="C507" t="s">
        <v>1835</v>
      </c>
      <c r="D507" t="s">
        <v>2454</v>
      </c>
      <c r="E507" t="s">
        <v>2455</v>
      </c>
      <c r="F507" t="s">
        <v>2542</v>
      </c>
      <c r="G507" t="s">
        <v>84</v>
      </c>
      <c r="H507" t="str">
        <f t="shared" si="15"/>
        <v>mue</v>
      </c>
      <c r="I507">
        <v>1</v>
      </c>
    </row>
    <row r="508" spans="1:9" x14ac:dyDescent="0.4">
      <c r="A508" t="s">
        <v>1837</v>
      </c>
      <c r="B508" t="str">
        <f t="shared" si="14"/>
        <v>SYST-MOR-0006975.bam</v>
      </c>
      <c r="C508" t="s">
        <v>1838</v>
      </c>
      <c r="D508" t="s">
        <v>2454</v>
      </c>
      <c r="E508" t="s">
        <v>2455</v>
      </c>
      <c r="F508" t="s">
        <v>2542</v>
      </c>
      <c r="G508" t="s">
        <v>45</v>
      </c>
      <c r="H508" t="str">
        <f t="shared" si="15"/>
        <v>mac</v>
      </c>
      <c r="I508">
        <v>1</v>
      </c>
    </row>
    <row r="509" spans="1:9" x14ac:dyDescent="0.4">
      <c r="A509" t="s">
        <v>1840</v>
      </c>
      <c r="B509" t="str">
        <f t="shared" si="14"/>
        <v>SYST-MOR-0006976.bam</v>
      </c>
      <c r="C509" t="s">
        <v>1841</v>
      </c>
      <c r="D509" t="s">
        <v>2454</v>
      </c>
      <c r="E509" t="s">
        <v>2455</v>
      </c>
      <c r="F509" t="s">
        <v>2542</v>
      </c>
      <c r="G509" t="s">
        <v>64</v>
      </c>
      <c r="H509" t="str">
        <f t="shared" si="15"/>
        <v>alb</v>
      </c>
      <c r="I509">
        <v>1</v>
      </c>
    </row>
    <row r="510" spans="1:9" x14ac:dyDescent="0.4">
      <c r="A510" t="s">
        <v>1843</v>
      </c>
      <c r="B510" t="str">
        <f t="shared" si="14"/>
        <v>SYST-MOR-0006977.bam</v>
      </c>
      <c r="C510" t="s">
        <v>1844</v>
      </c>
      <c r="D510" t="s">
        <v>2454</v>
      </c>
      <c r="E510" t="s">
        <v>2455</v>
      </c>
      <c r="F510" t="s">
        <v>2542</v>
      </c>
      <c r="G510" t="s">
        <v>45</v>
      </c>
      <c r="H510" t="str">
        <f t="shared" si="15"/>
        <v>mac</v>
      </c>
      <c r="I510">
        <v>1</v>
      </c>
    </row>
    <row r="511" spans="1:9" x14ac:dyDescent="0.4">
      <c r="A511" t="s">
        <v>1846</v>
      </c>
      <c r="B511" t="str">
        <f t="shared" si="14"/>
        <v>SYST-MOR-0006978.bam</v>
      </c>
      <c r="C511" t="s">
        <v>1847</v>
      </c>
      <c r="D511" t="s">
        <v>2454</v>
      </c>
      <c r="E511" t="s">
        <v>2455</v>
      </c>
      <c r="F511" t="s">
        <v>2542</v>
      </c>
      <c r="G511" t="s">
        <v>64</v>
      </c>
      <c r="H511" t="str">
        <f t="shared" si="15"/>
        <v>alb</v>
      </c>
      <c r="I511">
        <v>1</v>
      </c>
    </row>
    <row r="512" spans="1:9" x14ac:dyDescent="0.4">
      <c r="A512" t="s">
        <v>1849</v>
      </c>
      <c r="B512" t="str">
        <f t="shared" si="14"/>
        <v>SYST-MOR-0006979.bam</v>
      </c>
      <c r="C512" t="s">
        <v>1850</v>
      </c>
      <c r="D512" t="s">
        <v>2454</v>
      </c>
      <c r="E512" t="s">
        <v>2455</v>
      </c>
      <c r="F512" t="s">
        <v>2542</v>
      </c>
      <c r="G512" t="s">
        <v>45</v>
      </c>
      <c r="H512" t="str">
        <f t="shared" si="15"/>
        <v>mac</v>
      </c>
      <c r="I512">
        <v>1</v>
      </c>
    </row>
    <row r="513" spans="1:9" x14ac:dyDescent="0.4">
      <c r="A513" t="s">
        <v>1852</v>
      </c>
      <c r="B513" t="str">
        <f t="shared" si="14"/>
        <v>SYST-MOR-0006980.bam</v>
      </c>
      <c r="C513" t="s">
        <v>1853</v>
      </c>
      <c r="D513" t="s">
        <v>2454</v>
      </c>
      <c r="E513" t="s">
        <v>2455</v>
      </c>
      <c r="F513" t="s">
        <v>2542</v>
      </c>
      <c r="G513" t="s">
        <v>45</v>
      </c>
      <c r="H513" t="str">
        <f t="shared" si="15"/>
        <v>mac</v>
      </c>
      <c r="I513">
        <v>1</v>
      </c>
    </row>
    <row r="514" spans="1:9" x14ac:dyDescent="0.4">
      <c r="A514" t="s">
        <v>1855</v>
      </c>
      <c r="B514" t="str">
        <f t="shared" ref="B514:B577" si="16">_xlfn.CONCAT(A514,".bam")</f>
        <v>SYST-MOR-0006981.bam</v>
      </c>
      <c r="C514" t="s">
        <v>1856</v>
      </c>
      <c r="D514" t="s">
        <v>2454</v>
      </c>
      <c r="E514" t="s">
        <v>2455</v>
      </c>
      <c r="F514" t="s">
        <v>2542</v>
      </c>
      <c r="G514" t="s">
        <v>84</v>
      </c>
      <c r="H514" t="str">
        <f t="shared" si="15"/>
        <v>mue</v>
      </c>
      <c r="I514">
        <v>1</v>
      </c>
    </row>
    <row r="515" spans="1:9" x14ac:dyDescent="0.4">
      <c r="A515" t="s">
        <v>1858</v>
      </c>
      <c r="B515" t="str">
        <f t="shared" si="16"/>
        <v>SYST-MOR-0006982.bam</v>
      </c>
      <c r="C515" t="s">
        <v>1859</v>
      </c>
      <c r="D515" t="s">
        <v>2454</v>
      </c>
      <c r="E515" t="s">
        <v>2455</v>
      </c>
      <c r="F515" t="s">
        <v>2542</v>
      </c>
      <c r="G515" t="s">
        <v>64</v>
      </c>
      <c r="H515" t="str">
        <f t="shared" ref="H515:H578" si="17">IF(ISERROR(FIND("x",LEFT(G515,LEN(G515)-7),1)),RIGHT(LEFT(G515,11),3),G515)</f>
        <v>alb</v>
      </c>
      <c r="I515">
        <v>1</v>
      </c>
    </row>
    <row r="516" spans="1:9" x14ac:dyDescent="0.4">
      <c r="A516" t="s">
        <v>1861</v>
      </c>
      <c r="B516" t="str">
        <f t="shared" si="16"/>
        <v>SYST-MOR-0006983.bam</v>
      </c>
      <c r="C516" t="s">
        <v>1862</v>
      </c>
      <c r="D516" t="s">
        <v>2454</v>
      </c>
      <c r="E516" t="s">
        <v>2455</v>
      </c>
      <c r="F516" t="s">
        <v>2542</v>
      </c>
      <c r="G516" t="s">
        <v>84</v>
      </c>
      <c r="H516" t="str">
        <f t="shared" si="17"/>
        <v>mue</v>
      </c>
      <c r="I516">
        <v>1</v>
      </c>
    </row>
    <row r="517" spans="1:9" x14ac:dyDescent="0.4">
      <c r="A517" t="s">
        <v>1864</v>
      </c>
      <c r="B517" t="str">
        <f t="shared" si="16"/>
        <v>SYST-MOR-0006984.bam</v>
      </c>
      <c r="C517" t="s">
        <v>1865</v>
      </c>
      <c r="D517" t="s">
        <v>2454</v>
      </c>
      <c r="E517" t="s">
        <v>2455</v>
      </c>
      <c r="F517" t="s">
        <v>2542</v>
      </c>
      <c r="G517" t="s">
        <v>64</v>
      </c>
      <c r="H517" t="str">
        <f t="shared" si="17"/>
        <v>alb</v>
      </c>
      <c r="I517">
        <v>1</v>
      </c>
    </row>
    <row r="518" spans="1:9" x14ac:dyDescent="0.4">
      <c r="A518" t="s">
        <v>1867</v>
      </c>
      <c r="B518" t="str">
        <f t="shared" si="16"/>
        <v>SYST-MOR-0007234.bam</v>
      </c>
      <c r="C518" t="s">
        <v>1868</v>
      </c>
      <c r="D518" t="s">
        <v>2454</v>
      </c>
      <c r="E518" t="s">
        <v>2456</v>
      </c>
      <c r="F518" t="s">
        <v>2543</v>
      </c>
      <c r="G518" t="s">
        <v>84</v>
      </c>
      <c r="H518" t="str">
        <f t="shared" si="17"/>
        <v>mue</v>
      </c>
      <c r="I518">
        <v>1</v>
      </c>
    </row>
    <row r="519" spans="1:9" x14ac:dyDescent="0.4">
      <c r="A519" t="s">
        <v>1872</v>
      </c>
      <c r="B519" t="str">
        <f t="shared" si="16"/>
        <v>SYST-MOR-0007235.bam</v>
      </c>
      <c r="C519" t="s">
        <v>1873</v>
      </c>
      <c r="D519" t="s">
        <v>2454</v>
      </c>
      <c r="E519" t="s">
        <v>2456</v>
      </c>
      <c r="F519" t="s">
        <v>2543</v>
      </c>
      <c r="G519" t="s">
        <v>84</v>
      </c>
      <c r="H519" t="str">
        <f t="shared" si="17"/>
        <v>mue</v>
      </c>
      <c r="I519">
        <v>1</v>
      </c>
    </row>
    <row r="520" spans="1:9" x14ac:dyDescent="0.4">
      <c r="A520" t="s">
        <v>1875</v>
      </c>
      <c r="B520" t="str">
        <f t="shared" si="16"/>
        <v>SYST-MOR-0007236.bam</v>
      </c>
      <c r="C520" t="s">
        <v>1876</v>
      </c>
      <c r="D520" t="s">
        <v>2454</v>
      </c>
      <c r="E520" t="s">
        <v>2456</v>
      </c>
      <c r="F520" t="s">
        <v>2543</v>
      </c>
      <c r="G520" t="s">
        <v>64</v>
      </c>
      <c r="H520" t="str">
        <f t="shared" si="17"/>
        <v>alb</v>
      </c>
      <c r="I520">
        <v>1</v>
      </c>
    </row>
    <row r="521" spans="1:9" x14ac:dyDescent="0.4">
      <c r="A521" t="s">
        <v>1878</v>
      </c>
      <c r="B521" t="str">
        <f t="shared" si="16"/>
        <v>SYST-MOR-0007237.bam</v>
      </c>
      <c r="C521" t="s">
        <v>1879</v>
      </c>
      <c r="D521" t="s">
        <v>2454</v>
      </c>
      <c r="E521" t="s">
        <v>2456</v>
      </c>
      <c r="F521" t="s">
        <v>2543</v>
      </c>
      <c r="G521" t="s">
        <v>64</v>
      </c>
      <c r="H521" t="str">
        <f t="shared" si="17"/>
        <v>alb</v>
      </c>
      <c r="I521">
        <v>1</v>
      </c>
    </row>
    <row r="522" spans="1:9" x14ac:dyDescent="0.4">
      <c r="A522" t="s">
        <v>1881</v>
      </c>
      <c r="B522" t="str">
        <f t="shared" si="16"/>
        <v>SYST-MOR-0007238.bam</v>
      </c>
      <c r="C522" t="s">
        <v>1882</v>
      </c>
      <c r="D522" t="s">
        <v>2454</v>
      </c>
      <c r="E522" t="s">
        <v>2456</v>
      </c>
      <c r="F522" t="s">
        <v>2543</v>
      </c>
      <c r="G522" t="s">
        <v>1729</v>
      </c>
      <c r="H522" t="str">
        <f t="shared" si="17"/>
        <v>mon</v>
      </c>
      <c r="I522">
        <v>1</v>
      </c>
    </row>
    <row r="523" spans="1:9" x14ac:dyDescent="0.4">
      <c r="A523" t="s">
        <v>1884</v>
      </c>
      <c r="B523" t="str">
        <f t="shared" si="16"/>
        <v>SYST-MOR-0007239.bam</v>
      </c>
      <c r="C523" t="s">
        <v>1885</v>
      </c>
      <c r="D523" t="s">
        <v>2454</v>
      </c>
      <c r="E523" t="s">
        <v>2456</v>
      </c>
      <c r="F523" t="s">
        <v>2543</v>
      </c>
      <c r="G523" t="s">
        <v>1729</v>
      </c>
      <c r="H523" t="str">
        <f t="shared" si="17"/>
        <v>mon</v>
      </c>
      <c r="I523">
        <v>1</v>
      </c>
    </row>
    <row r="524" spans="1:9" x14ac:dyDescent="0.4">
      <c r="A524" t="s">
        <v>1887</v>
      </c>
      <c r="B524" t="str">
        <f t="shared" si="16"/>
        <v>SYST-MOR-0007240.bam</v>
      </c>
      <c r="C524" t="s">
        <v>1888</v>
      </c>
      <c r="D524" t="s">
        <v>2454</v>
      </c>
      <c r="E524" t="s">
        <v>2456</v>
      </c>
      <c r="F524" t="s">
        <v>2543</v>
      </c>
      <c r="G524" t="s">
        <v>1729</v>
      </c>
      <c r="H524" t="str">
        <f t="shared" si="17"/>
        <v>mon</v>
      </c>
      <c r="I524">
        <v>1</v>
      </c>
    </row>
    <row r="525" spans="1:9" x14ac:dyDescent="0.4">
      <c r="A525" t="s">
        <v>1890</v>
      </c>
      <c r="B525" t="str">
        <f t="shared" si="16"/>
        <v>SYST-MOR-0007466.bam</v>
      </c>
      <c r="C525" t="s">
        <v>1891</v>
      </c>
      <c r="D525" t="s">
        <v>2454</v>
      </c>
      <c r="E525" t="s">
        <v>2482</v>
      </c>
      <c r="F525" t="s">
        <v>2544</v>
      </c>
      <c r="G525" t="s">
        <v>45</v>
      </c>
      <c r="H525" t="str">
        <f t="shared" si="17"/>
        <v>mac</v>
      </c>
      <c r="I525">
        <v>1</v>
      </c>
    </row>
    <row r="526" spans="1:9" x14ac:dyDescent="0.4">
      <c r="A526" t="s">
        <v>1897</v>
      </c>
      <c r="B526" t="str">
        <f t="shared" si="16"/>
        <v>SYST-MOR-0007467.bam</v>
      </c>
      <c r="C526" t="s">
        <v>1898</v>
      </c>
      <c r="D526" t="s">
        <v>2454</v>
      </c>
      <c r="E526" t="s">
        <v>2482</v>
      </c>
      <c r="F526" t="s">
        <v>2544</v>
      </c>
      <c r="G526" t="s">
        <v>45</v>
      </c>
      <c r="H526" t="str">
        <f t="shared" si="17"/>
        <v>mac</v>
      </c>
      <c r="I526">
        <v>1</v>
      </c>
    </row>
    <row r="527" spans="1:9" x14ac:dyDescent="0.4">
      <c r="A527" t="s">
        <v>1900</v>
      </c>
      <c r="B527" t="str">
        <f t="shared" si="16"/>
        <v>SYST-MOR-0007468.bam</v>
      </c>
      <c r="C527" t="s">
        <v>1901</v>
      </c>
      <c r="D527" t="s">
        <v>2454</v>
      </c>
      <c r="E527" t="s">
        <v>2482</v>
      </c>
      <c r="F527" t="s">
        <v>2544</v>
      </c>
      <c r="G527" t="s">
        <v>45</v>
      </c>
      <c r="H527" t="str">
        <f t="shared" si="17"/>
        <v>mac</v>
      </c>
      <c r="I527">
        <v>1</v>
      </c>
    </row>
    <row r="528" spans="1:9" x14ac:dyDescent="0.4">
      <c r="A528" t="s">
        <v>1903</v>
      </c>
      <c r="B528" t="str">
        <f t="shared" si="16"/>
        <v>SYST-MOR-0007469.bam</v>
      </c>
      <c r="C528" t="s">
        <v>1904</v>
      </c>
      <c r="D528" t="s">
        <v>2454</v>
      </c>
      <c r="E528" t="s">
        <v>2482</v>
      </c>
      <c r="F528" t="s">
        <v>2544</v>
      </c>
      <c r="G528" t="s">
        <v>45</v>
      </c>
      <c r="H528" t="str">
        <f t="shared" si="17"/>
        <v>mac</v>
      </c>
      <c r="I528">
        <v>1</v>
      </c>
    </row>
    <row r="529" spans="1:9" x14ac:dyDescent="0.4">
      <c r="A529" t="s">
        <v>1906</v>
      </c>
      <c r="B529" t="str">
        <f t="shared" si="16"/>
        <v>SYST-MOR-0007470.bam</v>
      </c>
      <c r="C529" t="s">
        <v>1907</v>
      </c>
      <c r="D529" t="s">
        <v>2454</v>
      </c>
      <c r="E529" t="s">
        <v>2482</v>
      </c>
      <c r="F529" t="s">
        <v>2544</v>
      </c>
      <c r="G529" t="s">
        <v>45</v>
      </c>
      <c r="H529" t="str">
        <f t="shared" si="17"/>
        <v>mac</v>
      </c>
      <c r="I529">
        <v>1</v>
      </c>
    </row>
    <row r="530" spans="1:9" x14ac:dyDescent="0.4">
      <c r="A530" t="s">
        <v>1909</v>
      </c>
      <c r="B530" t="str">
        <f t="shared" si="16"/>
        <v>SYST-MOR-0007471.bam</v>
      </c>
      <c r="C530" t="s">
        <v>1910</v>
      </c>
      <c r="D530" t="s">
        <v>2454</v>
      </c>
      <c r="E530" t="s">
        <v>2482</v>
      </c>
      <c r="F530" t="s">
        <v>2544</v>
      </c>
      <c r="G530" t="s">
        <v>50</v>
      </c>
      <c r="H530" t="str">
        <f t="shared" si="17"/>
        <v>ste</v>
      </c>
      <c r="I530">
        <v>1</v>
      </c>
    </row>
    <row r="531" spans="1:9" x14ac:dyDescent="0.4">
      <c r="A531" t="s">
        <v>1912</v>
      </c>
      <c r="B531" t="str">
        <f t="shared" si="16"/>
        <v>SYST-MOR-0007472.bam</v>
      </c>
      <c r="C531" t="s">
        <v>1913</v>
      </c>
      <c r="D531" t="s">
        <v>2454</v>
      </c>
      <c r="E531" t="s">
        <v>2482</v>
      </c>
      <c r="F531" t="s">
        <v>2544</v>
      </c>
      <c r="G531" t="s">
        <v>45</v>
      </c>
      <c r="H531" t="str">
        <f t="shared" si="17"/>
        <v>mac</v>
      </c>
      <c r="I531">
        <v>1</v>
      </c>
    </row>
    <row r="532" spans="1:9" x14ac:dyDescent="0.4">
      <c r="A532" t="s">
        <v>1915</v>
      </c>
      <c r="B532" t="str">
        <f t="shared" si="16"/>
        <v>SYST-MOR-0007473.bam</v>
      </c>
      <c r="C532" t="s">
        <v>1916</v>
      </c>
      <c r="D532" t="s">
        <v>2454</v>
      </c>
      <c r="E532" t="s">
        <v>2482</v>
      </c>
      <c r="F532" t="s">
        <v>2544</v>
      </c>
      <c r="G532" t="s">
        <v>45</v>
      </c>
      <c r="H532" t="str">
        <f t="shared" si="17"/>
        <v>mac</v>
      </c>
      <c r="I532">
        <v>1</v>
      </c>
    </row>
    <row r="533" spans="1:9" x14ac:dyDescent="0.4">
      <c r="A533" t="s">
        <v>1918</v>
      </c>
      <c r="B533" t="str">
        <f t="shared" si="16"/>
        <v>SYST-MOR-0007474.bam</v>
      </c>
      <c r="C533" t="s">
        <v>1919</v>
      </c>
      <c r="D533" t="s">
        <v>2454</v>
      </c>
      <c r="E533" t="s">
        <v>2482</v>
      </c>
      <c r="F533" t="s">
        <v>2544</v>
      </c>
      <c r="G533" t="s">
        <v>45</v>
      </c>
      <c r="H533" t="str">
        <f t="shared" si="17"/>
        <v>mac</v>
      </c>
      <c r="I533">
        <v>1</v>
      </c>
    </row>
    <row r="534" spans="1:9" x14ac:dyDescent="0.4">
      <c r="A534" t="s">
        <v>1921</v>
      </c>
      <c r="B534" t="str">
        <f t="shared" si="16"/>
        <v>SYST-MOR-0007475.bam</v>
      </c>
      <c r="C534" t="s">
        <v>1922</v>
      </c>
      <c r="D534" t="s">
        <v>2454</v>
      </c>
      <c r="E534" t="s">
        <v>2482</v>
      </c>
      <c r="F534" t="s">
        <v>2544</v>
      </c>
      <c r="G534" t="s">
        <v>45</v>
      </c>
      <c r="H534" t="str">
        <f t="shared" si="17"/>
        <v>mac</v>
      </c>
      <c r="I534">
        <v>1</v>
      </c>
    </row>
    <row r="535" spans="1:9" x14ac:dyDescent="0.4">
      <c r="A535" t="s">
        <v>1924</v>
      </c>
      <c r="B535" t="str">
        <f t="shared" si="16"/>
        <v>SYST-MOR-0007476.bam</v>
      </c>
      <c r="C535" t="s">
        <v>1925</v>
      </c>
      <c r="D535" t="s">
        <v>2454</v>
      </c>
      <c r="E535" t="s">
        <v>2483</v>
      </c>
      <c r="F535" t="s">
        <v>2545</v>
      </c>
      <c r="G535" t="s">
        <v>45</v>
      </c>
      <c r="H535" t="str">
        <f t="shared" si="17"/>
        <v>mac</v>
      </c>
      <c r="I535">
        <v>1</v>
      </c>
    </row>
    <row r="536" spans="1:9" x14ac:dyDescent="0.4">
      <c r="A536" t="s">
        <v>1929</v>
      </c>
      <c r="B536" t="str">
        <f t="shared" si="16"/>
        <v>SYST-MOR-0007477.bam</v>
      </c>
      <c r="C536" t="s">
        <v>1930</v>
      </c>
      <c r="D536" t="s">
        <v>2454</v>
      </c>
      <c r="E536" t="s">
        <v>2483</v>
      </c>
      <c r="F536" t="s">
        <v>2545</v>
      </c>
      <c r="G536" t="s">
        <v>45</v>
      </c>
      <c r="H536" t="str">
        <f t="shared" si="17"/>
        <v>mac</v>
      </c>
      <c r="I536">
        <v>1</v>
      </c>
    </row>
    <row r="537" spans="1:9" x14ac:dyDescent="0.4">
      <c r="A537" t="s">
        <v>1932</v>
      </c>
      <c r="B537" t="str">
        <f t="shared" si="16"/>
        <v>SYST-MOR-0007478.bam</v>
      </c>
      <c r="C537" t="s">
        <v>1933</v>
      </c>
      <c r="D537" t="s">
        <v>2454</v>
      </c>
      <c r="E537" t="s">
        <v>2483</v>
      </c>
      <c r="F537" t="s">
        <v>2545</v>
      </c>
      <c r="G537" t="s">
        <v>45</v>
      </c>
      <c r="H537" t="str">
        <f t="shared" si="17"/>
        <v>mac</v>
      </c>
      <c r="I537">
        <v>1</v>
      </c>
    </row>
    <row r="538" spans="1:9" x14ac:dyDescent="0.4">
      <c r="A538" t="s">
        <v>1935</v>
      </c>
      <c r="B538" t="str">
        <f t="shared" si="16"/>
        <v>SYST-MOR-0007479.bam</v>
      </c>
      <c r="C538" t="s">
        <v>1936</v>
      </c>
      <c r="D538" t="s">
        <v>2454</v>
      </c>
      <c r="E538" t="s">
        <v>2483</v>
      </c>
      <c r="F538" t="s">
        <v>2545</v>
      </c>
      <c r="G538" t="s">
        <v>45</v>
      </c>
      <c r="H538" t="str">
        <f t="shared" si="17"/>
        <v>mac</v>
      </c>
      <c r="I538">
        <v>1</v>
      </c>
    </row>
    <row r="539" spans="1:9" x14ac:dyDescent="0.4">
      <c r="A539" t="s">
        <v>1938</v>
      </c>
      <c r="B539" t="str">
        <f t="shared" si="16"/>
        <v>SYST-MOR-0007480.bam</v>
      </c>
      <c r="C539" t="s">
        <v>1939</v>
      </c>
      <c r="D539" t="s">
        <v>2454</v>
      </c>
      <c r="E539" t="s">
        <v>2483</v>
      </c>
      <c r="F539" t="s">
        <v>2545</v>
      </c>
      <c r="G539" t="s">
        <v>45</v>
      </c>
      <c r="H539" t="str">
        <f t="shared" si="17"/>
        <v>mac</v>
      </c>
      <c r="I539">
        <v>1</v>
      </c>
    </row>
    <row r="540" spans="1:9" x14ac:dyDescent="0.4">
      <c r="A540" t="s">
        <v>1941</v>
      </c>
      <c r="B540" t="str">
        <f t="shared" si="16"/>
        <v>SYST-MOR-0007481.bam</v>
      </c>
      <c r="C540" t="s">
        <v>1942</v>
      </c>
      <c r="D540" t="s">
        <v>2454</v>
      </c>
      <c r="E540" t="s">
        <v>2483</v>
      </c>
      <c r="F540" t="s">
        <v>2545</v>
      </c>
      <c r="G540" t="s">
        <v>45</v>
      </c>
      <c r="H540" t="str">
        <f t="shared" si="17"/>
        <v>mac</v>
      </c>
      <c r="I540">
        <v>1</v>
      </c>
    </row>
    <row r="541" spans="1:9" x14ac:dyDescent="0.4">
      <c r="A541" t="s">
        <v>1944</v>
      </c>
      <c r="B541" t="str">
        <f t="shared" si="16"/>
        <v>SYST-MOR-0007482.bam</v>
      </c>
      <c r="C541" t="s">
        <v>1945</v>
      </c>
      <c r="D541" t="s">
        <v>2454</v>
      </c>
      <c r="E541" t="s">
        <v>2483</v>
      </c>
      <c r="F541" t="s">
        <v>2545</v>
      </c>
      <c r="G541" t="s">
        <v>45</v>
      </c>
      <c r="H541" t="str">
        <f t="shared" si="17"/>
        <v>mac</v>
      </c>
      <c r="I541">
        <v>1</v>
      </c>
    </row>
    <row r="542" spans="1:9" x14ac:dyDescent="0.4">
      <c r="A542" t="s">
        <v>1947</v>
      </c>
      <c r="B542" t="str">
        <f t="shared" si="16"/>
        <v>SYST-MOR-0007483.bam</v>
      </c>
      <c r="C542" t="s">
        <v>1948</v>
      </c>
      <c r="D542" t="s">
        <v>2454</v>
      </c>
      <c r="E542" t="s">
        <v>2483</v>
      </c>
      <c r="F542" t="s">
        <v>2545</v>
      </c>
      <c r="G542" t="s">
        <v>45</v>
      </c>
      <c r="H542" t="str">
        <f t="shared" si="17"/>
        <v>mac</v>
      </c>
      <c r="I542">
        <v>1</v>
      </c>
    </row>
    <row r="543" spans="1:9" x14ac:dyDescent="0.4">
      <c r="A543" t="s">
        <v>1950</v>
      </c>
      <c r="B543" t="str">
        <f t="shared" si="16"/>
        <v>SYST-MOR-0007484.bam</v>
      </c>
      <c r="C543" t="s">
        <v>1951</v>
      </c>
      <c r="D543" t="s">
        <v>2454</v>
      </c>
      <c r="E543" t="s">
        <v>2483</v>
      </c>
      <c r="F543" t="s">
        <v>2545</v>
      </c>
      <c r="G543" t="s">
        <v>45</v>
      </c>
      <c r="H543" t="str">
        <f t="shared" si="17"/>
        <v>mac</v>
      </c>
      <c r="I543">
        <v>1</v>
      </c>
    </row>
    <row r="544" spans="1:9" x14ac:dyDescent="0.4">
      <c r="A544" t="s">
        <v>1953</v>
      </c>
      <c r="B544" t="str">
        <f t="shared" si="16"/>
        <v>SYST-MOR-0007485.bam</v>
      </c>
      <c r="C544" t="s">
        <v>1954</v>
      </c>
      <c r="D544" t="s">
        <v>2454</v>
      </c>
      <c r="E544" t="s">
        <v>2483</v>
      </c>
      <c r="F544" t="s">
        <v>2545</v>
      </c>
      <c r="G544" t="s">
        <v>45</v>
      </c>
      <c r="H544" t="str">
        <f t="shared" si="17"/>
        <v>mac</v>
      </c>
      <c r="I544">
        <v>1</v>
      </c>
    </row>
    <row r="545" spans="1:9" x14ac:dyDescent="0.4">
      <c r="A545" t="s">
        <v>1077</v>
      </c>
      <c r="B545" t="str">
        <f t="shared" si="16"/>
        <v>SYST-MOR-0006842.bam</v>
      </c>
      <c r="C545" t="s">
        <v>1078</v>
      </c>
      <c r="D545" t="s">
        <v>2457</v>
      </c>
      <c r="E545" t="s">
        <v>2458</v>
      </c>
      <c r="F545" t="s">
        <v>2522</v>
      </c>
      <c r="G545" t="s">
        <v>1079</v>
      </c>
      <c r="H545" t="str">
        <f t="shared" si="17"/>
        <v>mar</v>
      </c>
      <c r="I545">
        <v>1</v>
      </c>
    </row>
    <row r="546" spans="1:9" x14ac:dyDescent="0.4">
      <c r="A546" t="s">
        <v>1956</v>
      </c>
      <c r="B546" t="str">
        <f t="shared" si="16"/>
        <v>SYST-MOR-0006840.bam</v>
      </c>
      <c r="C546" t="s">
        <v>1957</v>
      </c>
      <c r="D546" t="s">
        <v>2457</v>
      </c>
      <c r="E546" t="s">
        <v>2458</v>
      </c>
      <c r="F546" t="s">
        <v>2522</v>
      </c>
      <c r="G546" t="s">
        <v>84</v>
      </c>
      <c r="H546" t="str">
        <f t="shared" si="17"/>
        <v>mue</v>
      </c>
      <c r="I546">
        <v>1</v>
      </c>
    </row>
    <row r="547" spans="1:9" x14ac:dyDescent="0.4">
      <c r="A547" t="s">
        <v>1959</v>
      </c>
      <c r="B547" t="str">
        <f t="shared" si="16"/>
        <v>SYST-MOR-0006841.bam</v>
      </c>
      <c r="C547" t="s">
        <v>1960</v>
      </c>
      <c r="D547" t="s">
        <v>2457</v>
      </c>
      <c r="E547" t="s">
        <v>2458</v>
      </c>
      <c r="F547" t="s">
        <v>2522</v>
      </c>
      <c r="G547" t="s">
        <v>1079</v>
      </c>
      <c r="H547" t="str">
        <f t="shared" si="17"/>
        <v>mar</v>
      </c>
      <c r="I547">
        <v>1</v>
      </c>
    </row>
    <row r="548" spans="1:9" x14ac:dyDescent="0.4">
      <c r="A548" t="s">
        <v>1962</v>
      </c>
      <c r="B548" t="str">
        <f t="shared" si="16"/>
        <v>SYST-MOR-0006843.bam</v>
      </c>
      <c r="C548" t="s">
        <v>1963</v>
      </c>
      <c r="D548" t="s">
        <v>2457</v>
      </c>
      <c r="E548" t="s">
        <v>2458</v>
      </c>
      <c r="F548" t="s">
        <v>2522</v>
      </c>
      <c r="G548" t="s">
        <v>84</v>
      </c>
      <c r="H548" t="str">
        <f t="shared" si="17"/>
        <v>mue</v>
      </c>
      <c r="I548">
        <v>1</v>
      </c>
    </row>
    <row r="549" spans="1:9" x14ac:dyDescent="0.4">
      <c r="A549" t="s">
        <v>1965</v>
      </c>
      <c r="B549" t="str">
        <f t="shared" si="16"/>
        <v>SYST-MOR-0006844.bam</v>
      </c>
      <c r="C549" t="s">
        <v>1966</v>
      </c>
      <c r="D549" t="s">
        <v>2457</v>
      </c>
      <c r="E549" t="s">
        <v>2458</v>
      </c>
      <c r="F549" t="s">
        <v>2522</v>
      </c>
      <c r="G549" t="s">
        <v>45</v>
      </c>
      <c r="H549" t="str">
        <f t="shared" si="17"/>
        <v>mac</v>
      </c>
      <c r="I549">
        <v>1</v>
      </c>
    </row>
    <row r="550" spans="1:9" x14ac:dyDescent="0.4">
      <c r="A550" t="s">
        <v>1968</v>
      </c>
      <c r="B550" t="str">
        <f t="shared" si="16"/>
        <v>SYST-MOR-0006845.bam</v>
      </c>
      <c r="C550" t="s">
        <v>1969</v>
      </c>
      <c r="D550" t="s">
        <v>2457</v>
      </c>
      <c r="E550" t="s">
        <v>2458</v>
      </c>
      <c r="F550" t="s">
        <v>2522</v>
      </c>
      <c r="G550" t="s">
        <v>1079</v>
      </c>
      <c r="H550" t="str">
        <f t="shared" si="17"/>
        <v>mar</v>
      </c>
      <c r="I550">
        <v>1</v>
      </c>
    </row>
    <row r="551" spans="1:9" x14ac:dyDescent="0.4">
      <c r="A551" t="s">
        <v>1971</v>
      </c>
      <c r="B551" t="str">
        <f t="shared" si="16"/>
        <v>SYST-MOR-0006846.bam</v>
      </c>
      <c r="C551" t="s">
        <v>1972</v>
      </c>
      <c r="D551" t="s">
        <v>2457</v>
      </c>
      <c r="E551" t="s">
        <v>2458</v>
      </c>
      <c r="F551" t="s">
        <v>2522</v>
      </c>
      <c r="G551" t="s">
        <v>1079</v>
      </c>
      <c r="H551" t="str">
        <f t="shared" si="17"/>
        <v>mar</v>
      </c>
      <c r="I551">
        <v>1</v>
      </c>
    </row>
    <row r="552" spans="1:9" x14ac:dyDescent="0.4">
      <c r="A552" t="s">
        <v>1974</v>
      </c>
      <c r="B552" t="str">
        <f t="shared" si="16"/>
        <v>SYST-MOR-0006847.bam</v>
      </c>
      <c r="C552" t="s">
        <v>1975</v>
      </c>
      <c r="D552" t="s">
        <v>2457</v>
      </c>
      <c r="E552" t="s">
        <v>2458</v>
      </c>
      <c r="F552" t="s">
        <v>2522</v>
      </c>
      <c r="G552" t="s">
        <v>1079</v>
      </c>
      <c r="H552" t="str">
        <f t="shared" si="17"/>
        <v>mar</v>
      </c>
      <c r="I552">
        <v>1</v>
      </c>
    </row>
    <row r="553" spans="1:9" x14ac:dyDescent="0.4">
      <c r="A553" t="s">
        <v>1977</v>
      </c>
      <c r="B553" t="str">
        <f t="shared" si="16"/>
        <v>SYST-MOR-0006848.bam</v>
      </c>
      <c r="C553" t="s">
        <v>1978</v>
      </c>
      <c r="D553" t="s">
        <v>2457</v>
      </c>
      <c r="E553" t="s">
        <v>2458</v>
      </c>
      <c r="F553" t="s">
        <v>2522</v>
      </c>
      <c r="G553" t="s">
        <v>1079</v>
      </c>
      <c r="H553" t="str">
        <f t="shared" si="17"/>
        <v>mar</v>
      </c>
      <c r="I553">
        <v>1</v>
      </c>
    </row>
    <row r="554" spans="1:9" x14ac:dyDescent="0.4">
      <c r="A554" t="s">
        <v>1980</v>
      </c>
      <c r="B554" t="str">
        <f t="shared" si="16"/>
        <v>SYST-MOR-0006849.bam</v>
      </c>
      <c r="C554" t="s">
        <v>1981</v>
      </c>
      <c r="D554" t="s">
        <v>2457</v>
      </c>
      <c r="E554" t="s">
        <v>2458</v>
      </c>
      <c r="F554" t="s">
        <v>2522</v>
      </c>
      <c r="G554" t="s">
        <v>84</v>
      </c>
      <c r="H554" t="str">
        <f t="shared" si="17"/>
        <v>mue</v>
      </c>
      <c r="I554">
        <v>1</v>
      </c>
    </row>
    <row r="555" spans="1:9" x14ac:dyDescent="0.4">
      <c r="A555" t="s">
        <v>1983</v>
      </c>
      <c r="B555" t="str">
        <f t="shared" si="16"/>
        <v>SYST-MOR-0006850.bam</v>
      </c>
      <c r="C555" t="s">
        <v>1984</v>
      </c>
      <c r="D555" t="s">
        <v>2457</v>
      </c>
      <c r="E555" t="s">
        <v>2458</v>
      </c>
      <c r="F555" t="s">
        <v>2522</v>
      </c>
      <c r="G555" t="s">
        <v>84</v>
      </c>
      <c r="H555" t="str">
        <f t="shared" si="17"/>
        <v>mue</v>
      </c>
      <c r="I555">
        <v>1</v>
      </c>
    </row>
    <row r="556" spans="1:9" x14ac:dyDescent="0.4">
      <c r="A556" t="s">
        <v>1986</v>
      </c>
      <c r="B556" t="str">
        <f t="shared" si="16"/>
        <v>SYST-MOR-0006851.bam</v>
      </c>
      <c r="C556" t="s">
        <v>1987</v>
      </c>
      <c r="D556" t="s">
        <v>2457</v>
      </c>
      <c r="E556" t="s">
        <v>2458</v>
      </c>
      <c r="F556" t="s">
        <v>2522</v>
      </c>
      <c r="G556" t="s">
        <v>84</v>
      </c>
      <c r="H556" t="str">
        <f t="shared" si="17"/>
        <v>mue</v>
      </c>
      <c r="I556">
        <v>1</v>
      </c>
    </row>
    <row r="557" spans="1:9" x14ac:dyDescent="0.4">
      <c r="A557" t="s">
        <v>1989</v>
      </c>
      <c r="B557" t="str">
        <f t="shared" si="16"/>
        <v>SYST-MOR-0006852.bam</v>
      </c>
      <c r="C557" t="s">
        <v>1990</v>
      </c>
      <c r="D557" t="s">
        <v>2457</v>
      </c>
      <c r="E557" t="s">
        <v>2458</v>
      </c>
      <c r="F557" t="s">
        <v>2522</v>
      </c>
      <c r="G557" t="s">
        <v>45</v>
      </c>
      <c r="H557" t="str">
        <f t="shared" si="17"/>
        <v>mac</v>
      </c>
      <c r="I557">
        <v>1</v>
      </c>
    </row>
    <row r="558" spans="1:9" x14ac:dyDescent="0.4">
      <c r="A558" t="s">
        <v>1992</v>
      </c>
      <c r="B558" t="str">
        <f t="shared" si="16"/>
        <v>SYST-MOR-0006853.bam</v>
      </c>
      <c r="C558" t="s">
        <v>1993</v>
      </c>
      <c r="D558" t="s">
        <v>2457</v>
      </c>
      <c r="E558" t="s">
        <v>2458</v>
      </c>
      <c r="F558" t="s">
        <v>2522</v>
      </c>
      <c r="G558" t="s">
        <v>45</v>
      </c>
      <c r="H558" t="str">
        <f t="shared" si="17"/>
        <v>mac</v>
      </c>
      <c r="I558">
        <v>1</v>
      </c>
    </row>
    <row r="559" spans="1:9" x14ac:dyDescent="0.4">
      <c r="A559" t="s">
        <v>1995</v>
      </c>
      <c r="B559" t="str">
        <f t="shared" si="16"/>
        <v>SYST-MOR-0006854.bam</v>
      </c>
      <c r="C559" t="s">
        <v>1996</v>
      </c>
      <c r="D559" t="s">
        <v>2457</v>
      </c>
      <c r="E559" t="s">
        <v>2458</v>
      </c>
      <c r="F559" t="s">
        <v>2522</v>
      </c>
      <c r="G559" t="s">
        <v>45</v>
      </c>
      <c r="H559" t="str">
        <f t="shared" si="17"/>
        <v>mac</v>
      </c>
      <c r="I559">
        <v>1</v>
      </c>
    </row>
    <row r="560" spans="1:9" x14ac:dyDescent="0.4">
      <c r="A560" t="s">
        <v>1998</v>
      </c>
      <c r="B560" t="str">
        <f t="shared" si="16"/>
        <v>SYST-MOR-0006855.bam</v>
      </c>
      <c r="C560" t="s">
        <v>1999</v>
      </c>
      <c r="D560" t="s">
        <v>2457</v>
      </c>
      <c r="E560" t="s">
        <v>2458</v>
      </c>
      <c r="F560" t="s">
        <v>2522</v>
      </c>
      <c r="G560" s="3" t="s">
        <v>2627</v>
      </c>
      <c r="H560" t="s">
        <v>2634</v>
      </c>
      <c r="I560">
        <v>1</v>
      </c>
    </row>
    <row r="561" spans="1:9" x14ac:dyDescent="0.4">
      <c r="A561" t="s">
        <v>2001</v>
      </c>
      <c r="B561" t="str">
        <f t="shared" si="16"/>
        <v>SYST-MOR-0006856.bam</v>
      </c>
      <c r="C561" t="s">
        <v>2002</v>
      </c>
      <c r="D561" t="s">
        <v>2457</v>
      </c>
      <c r="E561" t="s">
        <v>2458</v>
      </c>
      <c r="F561" t="s">
        <v>2522</v>
      </c>
      <c r="G561" t="s">
        <v>1079</v>
      </c>
      <c r="H561" t="str">
        <f t="shared" si="17"/>
        <v>mar</v>
      </c>
      <c r="I561">
        <v>1</v>
      </c>
    </row>
    <row r="562" spans="1:9" x14ac:dyDescent="0.4">
      <c r="A562" t="s">
        <v>2004</v>
      </c>
      <c r="B562" t="str">
        <f t="shared" si="16"/>
        <v>SYST-MOR-0006857.bam</v>
      </c>
      <c r="C562" t="s">
        <v>2005</v>
      </c>
      <c r="D562" t="s">
        <v>2457</v>
      </c>
      <c r="E562" t="s">
        <v>2459</v>
      </c>
      <c r="F562" t="s">
        <v>2546</v>
      </c>
      <c r="G562" t="s">
        <v>45</v>
      </c>
      <c r="H562" t="str">
        <f t="shared" si="17"/>
        <v>mac</v>
      </c>
      <c r="I562">
        <v>1</v>
      </c>
    </row>
    <row r="563" spans="1:9" x14ac:dyDescent="0.4">
      <c r="A563" t="s">
        <v>2009</v>
      </c>
      <c r="B563" t="str">
        <f t="shared" si="16"/>
        <v>SYST-MOR-0006858.bam</v>
      </c>
      <c r="C563" t="s">
        <v>2010</v>
      </c>
      <c r="D563" t="s">
        <v>2457</v>
      </c>
      <c r="E563" t="s">
        <v>2459</v>
      </c>
      <c r="F563" t="s">
        <v>2546</v>
      </c>
      <c r="G563" t="s">
        <v>45</v>
      </c>
      <c r="H563" t="str">
        <f t="shared" si="17"/>
        <v>mac</v>
      </c>
      <c r="I563">
        <v>1</v>
      </c>
    </row>
    <row r="564" spans="1:9" x14ac:dyDescent="0.4">
      <c r="A564" t="s">
        <v>2012</v>
      </c>
      <c r="B564" t="str">
        <f t="shared" si="16"/>
        <v>SYST-MOR-0006859.bam</v>
      </c>
      <c r="C564" t="s">
        <v>2013</v>
      </c>
      <c r="D564" t="s">
        <v>2457</v>
      </c>
      <c r="E564" t="s">
        <v>2459</v>
      </c>
      <c r="F564" t="s">
        <v>2546</v>
      </c>
      <c r="G564" t="s">
        <v>50</v>
      </c>
      <c r="H564" t="str">
        <f t="shared" si="17"/>
        <v>ste</v>
      </c>
      <c r="I564">
        <v>1</v>
      </c>
    </row>
    <row r="565" spans="1:9" x14ac:dyDescent="0.4">
      <c r="A565" t="s">
        <v>2015</v>
      </c>
      <c r="B565" t="str">
        <f t="shared" si="16"/>
        <v>SYST-MOR-0006860.bam</v>
      </c>
      <c r="C565" t="s">
        <v>2016</v>
      </c>
      <c r="D565" t="s">
        <v>2457</v>
      </c>
      <c r="E565" t="s">
        <v>2459</v>
      </c>
      <c r="F565" t="s">
        <v>2546</v>
      </c>
      <c r="G565" t="s">
        <v>84</v>
      </c>
      <c r="H565" t="str">
        <f t="shared" si="17"/>
        <v>mue</v>
      </c>
      <c r="I565">
        <v>1</v>
      </c>
    </row>
    <row r="566" spans="1:9" x14ac:dyDescent="0.4">
      <c r="A566" t="s">
        <v>2018</v>
      </c>
      <c r="B566" t="str">
        <f t="shared" si="16"/>
        <v>SYST-MOR-0006861.bam</v>
      </c>
      <c r="C566" t="s">
        <v>2019</v>
      </c>
      <c r="D566" t="s">
        <v>2457</v>
      </c>
      <c r="E566" t="s">
        <v>2459</v>
      </c>
      <c r="F566" t="s">
        <v>2546</v>
      </c>
      <c r="G566" t="s">
        <v>45</v>
      </c>
      <c r="H566" t="str">
        <f t="shared" si="17"/>
        <v>mac</v>
      </c>
      <c r="I566">
        <v>1</v>
      </c>
    </row>
    <row r="567" spans="1:9" x14ac:dyDescent="0.4">
      <c r="A567" t="s">
        <v>2021</v>
      </c>
      <c r="B567" t="str">
        <f t="shared" si="16"/>
        <v>SYST-MOR-0006862.bam</v>
      </c>
      <c r="C567" t="s">
        <v>2022</v>
      </c>
      <c r="D567" t="s">
        <v>2457</v>
      </c>
      <c r="E567" t="s">
        <v>2459</v>
      </c>
      <c r="F567" t="s">
        <v>2546</v>
      </c>
      <c r="G567" t="s">
        <v>45</v>
      </c>
      <c r="H567" t="str">
        <f t="shared" si="17"/>
        <v>mac</v>
      </c>
      <c r="I567">
        <v>1</v>
      </c>
    </row>
    <row r="568" spans="1:9" x14ac:dyDescent="0.4">
      <c r="A568" t="s">
        <v>2024</v>
      </c>
      <c r="B568" t="str">
        <f t="shared" si="16"/>
        <v>SYST-MOR-0006863.bam</v>
      </c>
      <c r="C568" t="s">
        <v>2025</v>
      </c>
      <c r="D568" t="s">
        <v>2457</v>
      </c>
      <c r="E568" t="s">
        <v>2459</v>
      </c>
      <c r="F568" t="s">
        <v>2546</v>
      </c>
      <c r="G568" t="s">
        <v>84</v>
      </c>
      <c r="H568" t="str">
        <f t="shared" si="17"/>
        <v>mue</v>
      </c>
      <c r="I568">
        <v>1</v>
      </c>
    </row>
    <row r="569" spans="1:9" x14ac:dyDescent="0.4">
      <c r="A569" t="s">
        <v>2027</v>
      </c>
      <c r="B569" t="str">
        <f t="shared" si="16"/>
        <v>SYST-MOR-0006864.bam</v>
      </c>
      <c r="C569" t="s">
        <v>2028</v>
      </c>
      <c r="D569" t="s">
        <v>2457</v>
      </c>
      <c r="E569" t="s">
        <v>2459</v>
      </c>
      <c r="F569" t="s">
        <v>2546</v>
      </c>
      <c r="G569" t="s">
        <v>50</v>
      </c>
      <c r="H569" t="str">
        <f t="shared" si="17"/>
        <v>ste</v>
      </c>
      <c r="I569">
        <v>1</v>
      </c>
    </row>
    <row r="570" spans="1:9" x14ac:dyDescent="0.4">
      <c r="A570" t="s">
        <v>2030</v>
      </c>
      <c r="B570" t="str">
        <f t="shared" si="16"/>
        <v>SYST-MOR-0006865.bam</v>
      </c>
      <c r="C570" t="s">
        <v>2031</v>
      </c>
      <c r="D570" t="s">
        <v>2457</v>
      </c>
      <c r="E570" t="s">
        <v>2459</v>
      </c>
      <c r="F570" t="s">
        <v>2546</v>
      </c>
      <c r="G570" t="s">
        <v>50</v>
      </c>
      <c r="H570" t="str">
        <f t="shared" si="17"/>
        <v>ste</v>
      </c>
      <c r="I570">
        <v>1</v>
      </c>
    </row>
    <row r="571" spans="1:9" x14ac:dyDescent="0.4">
      <c r="A571" t="s">
        <v>2033</v>
      </c>
      <c r="B571" t="str">
        <f t="shared" si="16"/>
        <v>SYST-MOR-0006866.bam</v>
      </c>
      <c r="C571" t="s">
        <v>2034</v>
      </c>
      <c r="D571" t="s">
        <v>2457</v>
      </c>
      <c r="E571" t="s">
        <v>2459</v>
      </c>
      <c r="F571" t="s">
        <v>2546</v>
      </c>
      <c r="G571" t="s">
        <v>45</v>
      </c>
      <c r="H571" t="str">
        <f t="shared" si="17"/>
        <v>mac</v>
      </c>
      <c r="I571">
        <v>1</v>
      </c>
    </row>
    <row r="572" spans="1:9" x14ac:dyDescent="0.4">
      <c r="A572" t="s">
        <v>2036</v>
      </c>
      <c r="B572" t="str">
        <f t="shared" si="16"/>
        <v>SYST-MOR-0006867.bam</v>
      </c>
      <c r="C572" t="s">
        <v>2037</v>
      </c>
      <c r="D572" t="s">
        <v>2457</v>
      </c>
      <c r="E572" t="s">
        <v>2459</v>
      </c>
      <c r="F572" t="s">
        <v>2546</v>
      </c>
      <c r="G572" t="s">
        <v>50</v>
      </c>
      <c r="H572" t="str">
        <f t="shared" si="17"/>
        <v>ste</v>
      </c>
      <c r="I572">
        <v>1</v>
      </c>
    </row>
    <row r="573" spans="1:9" x14ac:dyDescent="0.4">
      <c r="A573" t="s">
        <v>2039</v>
      </c>
      <c r="B573" t="str">
        <f t="shared" si="16"/>
        <v>SYST-MOR-0006868.bam</v>
      </c>
      <c r="C573" t="s">
        <v>2040</v>
      </c>
      <c r="D573" t="s">
        <v>2457</v>
      </c>
      <c r="E573" t="s">
        <v>2459</v>
      </c>
      <c r="F573" t="s">
        <v>2546</v>
      </c>
      <c r="G573" t="s">
        <v>50</v>
      </c>
      <c r="H573" t="str">
        <f t="shared" si="17"/>
        <v>ste</v>
      </c>
      <c r="I573">
        <v>1</v>
      </c>
    </row>
    <row r="574" spans="1:9" x14ac:dyDescent="0.4">
      <c r="A574" t="s">
        <v>2042</v>
      </c>
      <c r="B574" t="str">
        <f t="shared" si="16"/>
        <v>SYST-MOR-0006869.bam</v>
      </c>
      <c r="C574" t="s">
        <v>2043</v>
      </c>
      <c r="D574" t="s">
        <v>2457</v>
      </c>
      <c r="E574" t="s">
        <v>2459</v>
      </c>
      <c r="F574" t="s">
        <v>2546</v>
      </c>
      <c r="G574" t="s">
        <v>84</v>
      </c>
      <c r="H574" t="str">
        <f t="shared" si="17"/>
        <v>mue</v>
      </c>
      <c r="I574">
        <v>1</v>
      </c>
    </row>
    <row r="575" spans="1:9" x14ac:dyDescent="0.4">
      <c r="A575" t="s">
        <v>2045</v>
      </c>
      <c r="B575" t="str">
        <f t="shared" si="16"/>
        <v>SYST-MOR-0007409.bam</v>
      </c>
      <c r="C575" t="s">
        <v>2046</v>
      </c>
      <c r="D575" t="s">
        <v>2457</v>
      </c>
      <c r="E575" t="s">
        <v>2484</v>
      </c>
      <c r="F575" t="s">
        <v>2547</v>
      </c>
      <c r="G575" t="s">
        <v>45</v>
      </c>
      <c r="H575" t="str">
        <f t="shared" si="17"/>
        <v>mac</v>
      </c>
      <c r="I575">
        <v>1</v>
      </c>
    </row>
    <row r="576" spans="1:9" x14ac:dyDescent="0.4">
      <c r="A576" t="s">
        <v>2052</v>
      </c>
      <c r="B576" t="str">
        <f t="shared" si="16"/>
        <v>SYST-MOR-0007410.bam</v>
      </c>
      <c r="C576" t="s">
        <v>2053</v>
      </c>
      <c r="D576" t="s">
        <v>2457</v>
      </c>
      <c r="E576" t="s">
        <v>2484</v>
      </c>
      <c r="F576" t="s">
        <v>2547</v>
      </c>
      <c r="G576" t="s">
        <v>45</v>
      </c>
      <c r="H576" t="str">
        <f t="shared" si="17"/>
        <v>mac</v>
      </c>
      <c r="I576">
        <v>1</v>
      </c>
    </row>
    <row r="577" spans="1:9" x14ac:dyDescent="0.4">
      <c r="A577" t="s">
        <v>2056</v>
      </c>
      <c r="B577" t="str">
        <f t="shared" si="16"/>
        <v>SYST-MOR-0007411.bam</v>
      </c>
      <c r="C577" t="s">
        <v>2057</v>
      </c>
      <c r="D577" t="s">
        <v>2457</v>
      </c>
      <c r="E577" t="s">
        <v>2484</v>
      </c>
      <c r="F577" t="s">
        <v>2547</v>
      </c>
      <c r="G577" t="s">
        <v>45</v>
      </c>
      <c r="H577" t="str">
        <f t="shared" si="17"/>
        <v>mac</v>
      </c>
      <c r="I577">
        <v>1</v>
      </c>
    </row>
    <row r="578" spans="1:9" x14ac:dyDescent="0.4">
      <c r="A578" t="s">
        <v>2059</v>
      </c>
      <c r="B578" t="str">
        <f t="shared" ref="B578:B641" si="18">_xlfn.CONCAT(A578,".bam")</f>
        <v>SYST-MOR-0007412.bam</v>
      </c>
      <c r="C578" t="s">
        <v>2060</v>
      </c>
      <c r="D578" t="s">
        <v>2457</v>
      </c>
      <c r="E578" t="s">
        <v>2484</v>
      </c>
      <c r="F578" t="s">
        <v>2547</v>
      </c>
      <c r="G578" t="s">
        <v>45</v>
      </c>
      <c r="H578" t="str">
        <f t="shared" si="17"/>
        <v>mac</v>
      </c>
      <c r="I578">
        <v>1</v>
      </c>
    </row>
    <row r="579" spans="1:9" x14ac:dyDescent="0.4">
      <c r="A579" t="s">
        <v>2062</v>
      </c>
      <c r="B579" t="str">
        <f t="shared" si="18"/>
        <v>SYST-MOR-0007413.bam</v>
      </c>
      <c r="C579" t="s">
        <v>2063</v>
      </c>
      <c r="D579" t="s">
        <v>2457</v>
      </c>
      <c r="E579" t="s">
        <v>2484</v>
      </c>
      <c r="F579" t="s">
        <v>2547</v>
      </c>
      <c r="G579" t="s">
        <v>45</v>
      </c>
      <c r="H579" t="str">
        <f t="shared" ref="H579:H642" si="19">IF(ISERROR(FIND("x",LEFT(G579,LEN(G579)-7),1)),RIGHT(LEFT(G579,11),3),G579)</f>
        <v>mac</v>
      </c>
      <c r="I579">
        <v>1</v>
      </c>
    </row>
    <row r="580" spans="1:9" x14ac:dyDescent="0.4">
      <c r="A580" t="s">
        <v>2065</v>
      </c>
      <c r="B580" t="str">
        <f t="shared" si="18"/>
        <v>SYST-MOR-0007414.bam</v>
      </c>
      <c r="C580" t="s">
        <v>2066</v>
      </c>
      <c r="D580" t="s">
        <v>2457</v>
      </c>
      <c r="E580" t="s">
        <v>2484</v>
      </c>
      <c r="F580" t="s">
        <v>2547</v>
      </c>
      <c r="G580" t="s">
        <v>45</v>
      </c>
      <c r="H580" t="str">
        <f t="shared" si="19"/>
        <v>mac</v>
      </c>
      <c r="I580">
        <v>1</v>
      </c>
    </row>
    <row r="581" spans="1:9" x14ac:dyDescent="0.4">
      <c r="A581" t="s">
        <v>2068</v>
      </c>
      <c r="B581" t="str">
        <f t="shared" si="18"/>
        <v>SYST-MOR-0007415.bam</v>
      </c>
      <c r="C581" t="s">
        <v>2069</v>
      </c>
      <c r="D581" t="s">
        <v>2457</v>
      </c>
      <c r="E581" t="s">
        <v>2484</v>
      </c>
      <c r="F581" t="s">
        <v>2547</v>
      </c>
      <c r="G581" t="s">
        <v>45</v>
      </c>
      <c r="H581" t="str">
        <f t="shared" si="19"/>
        <v>mac</v>
      </c>
      <c r="I581">
        <v>1</v>
      </c>
    </row>
    <row r="582" spans="1:9" x14ac:dyDescent="0.4">
      <c r="A582" t="s">
        <v>2071</v>
      </c>
      <c r="B582" t="str">
        <f t="shared" si="18"/>
        <v>SYST-MOR-0007416.bam</v>
      </c>
      <c r="C582" t="s">
        <v>2072</v>
      </c>
      <c r="D582" t="s">
        <v>2457</v>
      </c>
      <c r="E582" t="s">
        <v>2484</v>
      </c>
      <c r="F582" t="s">
        <v>2547</v>
      </c>
      <c r="G582" t="s">
        <v>45</v>
      </c>
      <c r="H582" t="str">
        <f t="shared" si="19"/>
        <v>mac</v>
      </c>
      <c r="I582">
        <v>1</v>
      </c>
    </row>
    <row r="583" spans="1:9" x14ac:dyDescent="0.4">
      <c r="A583" t="s">
        <v>2074</v>
      </c>
      <c r="B583" t="str">
        <f t="shared" si="18"/>
        <v>SYST-MOR-0007417.bam</v>
      </c>
      <c r="C583" t="s">
        <v>2075</v>
      </c>
      <c r="D583" t="s">
        <v>2457</v>
      </c>
      <c r="E583" t="s">
        <v>2484</v>
      </c>
      <c r="F583" t="s">
        <v>2547</v>
      </c>
      <c r="G583" t="s">
        <v>45</v>
      </c>
      <c r="H583" t="str">
        <f t="shared" si="19"/>
        <v>mac</v>
      </c>
      <c r="I583">
        <v>1</v>
      </c>
    </row>
    <row r="584" spans="1:9" x14ac:dyDescent="0.4">
      <c r="A584" t="s">
        <v>2077</v>
      </c>
      <c r="B584" t="str">
        <f t="shared" si="18"/>
        <v>SYST-MOR-0007418.bam</v>
      </c>
      <c r="C584" t="s">
        <v>2078</v>
      </c>
      <c r="D584" t="s">
        <v>2457</v>
      </c>
      <c r="E584" t="s">
        <v>2484</v>
      </c>
      <c r="F584" t="s">
        <v>2547</v>
      </c>
      <c r="G584" t="s">
        <v>45</v>
      </c>
      <c r="H584" t="str">
        <f t="shared" si="19"/>
        <v>mac</v>
      </c>
      <c r="I584">
        <v>1</v>
      </c>
    </row>
    <row r="585" spans="1:9" x14ac:dyDescent="0.4">
      <c r="A585" t="s">
        <v>557</v>
      </c>
      <c r="B585" t="str">
        <f t="shared" si="18"/>
        <v>SYST-MOR-0007486.bam</v>
      </c>
      <c r="C585" t="s">
        <v>558</v>
      </c>
      <c r="D585" t="s">
        <v>2472</v>
      </c>
      <c r="E585" t="s">
        <v>2473</v>
      </c>
      <c r="F585" t="s">
        <v>2504</v>
      </c>
      <c r="G585" t="s">
        <v>45</v>
      </c>
      <c r="H585" t="str">
        <f t="shared" si="19"/>
        <v>mac</v>
      </c>
      <c r="I585">
        <v>1</v>
      </c>
    </row>
    <row r="586" spans="1:9" x14ac:dyDescent="0.4">
      <c r="A586" t="s">
        <v>565</v>
      </c>
      <c r="B586" t="str">
        <f t="shared" si="18"/>
        <v>SYST-MOR-0007487.bam</v>
      </c>
      <c r="C586" t="s">
        <v>566</v>
      </c>
      <c r="D586" t="s">
        <v>2472</v>
      </c>
      <c r="E586" t="s">
        <v>2473</v>
      </c>
      <c r="F586" t="s">
        <v>2504</v>
      </c>
      <c r="G586" t="s">
        <v>45</v>
      </c>
      <c r="H586" t="str">
        <f t="shared" si="19"/>
        <v>mac</v>
      </c>
      <c r="I586">
        <v>1</v>
      </c>
    </row>
    <row r="587" spans="1:9" x14ac:dyDescent="0.4">
      <c r="A587" t="s">
        <v>568</v>
      </c>
      <c r="B587" t="str">
        <f t="shared" si="18"/>
        <v>SYST-MOR-0007488.bam</v>
      </c>
      <c r="C587" t="s">
        <v>569</v>
      </c>
      <c r="D587" t="s">
        <v>2472</v>
      </c>
      <c r="E587" t="s">
        <v>2473</v>
      </c>
      <c r="F587" t="s">
        <v>2504</v>
      </c>
      <c r="G587" t="s">
        <v>45</v>
      </c>
      <c r="H587" t="str">
        <f t="shared" si="19"/>
        <v>mac</v>
      </c>
      <c r="I587">
        <v>1</v>
      </c>
    </row>
    <row r="588" spans="1:9" x14ac:dyDescent="0.4">
      <c r="A588" t="s">
        <v>571</v>
      </c>
      <c r="B588" t="str">
        <f t="shared" si="18"/>
        <v>SYST-MOR-0007489.bam</v>
      </c>
      <c r="C588" t="s">
        <v>572</v>
      </c>
      <c r="D588" t="s">
        <v>2472</v>
      </c>
      <c r="E588" t="s">
        <v>2473</v>
      </c>
      <c r="F588" t="s">
        <v>2504</v>
      </c>
      <c r="G588" t="s">
        <v>45</v>
      </c>
      <c r="H588" t="str">
        <f t="shared" si="19"/>
        <v>mac</v>
      </c>
      <c r="I588">
        <v>1</v>
      </c>
    </row>
    <row r="589" spans="1:9" x14ac:dyDescent="0.4">
      <c r="A589" t="s">
        <v>574</v>
      </c>
      <c r="B589" t="str">
        <f t="shared" si="18"/>
        <v>SYST-MOR-0007490.bam</v>
      </c>
      <c r="C589" t="s">
        <v>575</v>
      </c>
      <c r="D589" t="s">
        <v>2472</v>
      </c>
      <c r="E589" t="s">
        <v>2473</v>
      </c>
      <c r="F589" t="s">
        <v>2504</v>
      </c>
      <c r="G589" t="s">
        <v>45</v>
      </c>
      <c r="H589" t="str">
        <f t="shared" si="19"/>
        <v>mac</v>
      </c>
      <c r="I589">
        <v>1</v>
      </c>
    </row>
    <row r="590" spans="1:9" x14ac:dyDescent="0.4">
      <c r="A590" t="s">
        <v>577</v>
      </c>
      <c r="B590" t="str">
        <f t="shared" si="18"/>
        <v>SYST-MOR-0007491.bam</v>
      </c>
      <c r="C590" t="s">
        <v>578</v>
      </c>
      <c r="D590" t="s">
        <v>2472</v>
      </c>
      <c r="E590" t="s">
        <v>2473</v>
      </c>
      <c r="F590" t="s">
        <v>2504</v>
      </c>
      <c r="G590" t="s">
        <v>45</v>
      </c>
      <c r="H590" t="str">
        <f t="shared" si="19"/>
        <v>mac</v>
      </c>
      <c r="I590">
        <v>1</v>
      </c>
    </row>
    <row r="591" spans="1:9" x14ac:dyDescent="0.4">
      <c r="A591" t="s">
        <v>580</v>
      </c>
      <c r="B591" t="str">
        <f t="shared" si="18"/>
        <v>SYST-MOR-0007492.bam</v>
      </c>
      <c r="C591" t="s">
        <v>581</v>
      </c>
      <c r="D591" t="s">
        <v>2472</v>
      </c>
      <c r="E591" t="s">
        <v>2473</v>
      </c>
      <c r="F591" t="s">
        <v>2504</v>
      </c>
      <c r="G591" t="s">
        <v>45</v>
      </c>
      <c r="H591" t="str">
        <f t="shared" si="19"/>
        <v>mac</v>
      </c>
      <c r="I591">
        <v>1</v>
      </c>
    </row>
    <row r="592" spans="1:9" x14ac:dyDescent="0.4">
      <c r="A592" t="s">
        <v>583</v>
      </c>
      <c r="B592" t="str">
        <f t="shared" si="18"/>
        <v>SYST-MOR-0007493.bam</v>
      </c>
      <c r="C592" t="s">
        <v>584</v>
      </c>
      <c r="D592" t="s">
        <v>2472</v>
      </c>
      <c r="E592" t="s">
        <v>2473</v>
      </c>
      <c r="F592" t="s">
        <v>2504</v>
      </c>
      <c r="G592" t="s">
        <v>45</v>
      </c>
      <c r="H592" t="str">
        <f t="shared" si="19"/>
        <v>mac</v>
      </c>
      <c r="I592">
        <v>1</v>
      </c>
    </row>
    <row r="593" spans="1:9" x14ac:dyDescent="0.4">
      <c r="A593" t="s">
        <v>586</v>
      </c>
      <c r="B593" t="str">
        <f t="shared" si="18"/>
        <v>SYST-MOR-0007494.bam</v>
      </c>
      <c r="C593" t="s">
        <v>587</v>
      </c>
      <c r="D593" t="s">
        <v>2472</v>
      </c>
      <c r="E593" t="s">
        <v>2473</v>
      </c>
      <c r="F593" t="s">
        <v>2504</v>
      </c>
      <c r="G593" t="s">
        <v>45</v>
      </c>
      <c r="H593" t="str">
        <f t="shared" si="19"/>
        <v>mac</v>
      </c>
      <c r="I593">
        <v>1</v>
      </c>
    </row>
    <row r="594" spans="1:9" x14ac:dyDescent="0.4">
      <c r="A594" t="s">
        <v>590</v>
      </c>
      <c r="B594" t="str">
        <f t="shared" si="18"/>
        <v>SYST-MOR-0007496.bam</v>
      </c>
      <c r="C594" t="s">
        <v>591</v>
      </c>
      <c r="D594" t="s">
        <v>2472</v>
      </c>
      <c r="E594" t="s">
        <v>2474</v>
      </c>
      <c r="F594" t="s">
        <v>2505</v>
      </c>
      <c r="G594" t="s">
        <v>45</v>
      </c>
      <c r="H594" t="str">
        <f t="shared" si="19"/>
        <v>mac</v>
      </c>
      <c r="I594">
        <v>1</v>
      </c>
    </row>
    <row r="595" spans="1:9" x14ac:dyDescent="0.4">
      <c r="A595" t="s">
        <v>595</v>
      </c>
      <c r="B595" t="str">
        <f t="shared" si="18"/>
        <v>SYST-MOR-0007497.bam</v>
      </c>
      <c r="C595" t="s">
        <v>596</v>
      </c>
      <c r="D595" t="s">
        <v>2472</v>
      </c>
      <c r="E595" t="s">
        <v>2474</v>
      </c>
      <c r="F595" t="s">
        <v>2505</v>
      </c>
      <c r="G595" t="s">
        <v>45</v>
      </c>
      <c r="H595" t="str">
        <f t="shared" si="19"/>
        <v>mac</v>
      </c>
      <c r="I595">
        <v>1</v>
      </c>
    </row>
    <row r="596" spans="1:9" x14ac:dyDescent="0.4">
      <c r="A596" t="s">
        <v>599</v>
      </c>
      <c r="B596" t="str">
        <f t="shared" si="18"/>
        <v>SYST-MOR-0007498.bam</v>
      </c>
      <c r="C596" t="s">
        <v>600</v>
      </c>
      <c r="D596" t="s">
        <v>2472</v>
      </c>
      <c r="E596" t="s">
        <v>2474</v>
      </c>
      <c r="F596" t="s">
        <v>2505</v>
      </c>
      <c r="G596" t="s">
        <v>45</v>
      </c>
      <c r="H596" t="str">
        <f t="shared" si="19"/>
        <v>mac</v>
      </c>
      <c r="I596">
        <v>1</v>
      </c>
    </row>
    <row r="597" spans="1:9" x14ac:dyDescent="0.4">
      <c r="A597" t="s">
        <v>602</v>
      </c>
      <c r="B597" t="str">
        <f t="shared" si="18"/>
        <v>SYST-MOR-0007499.bam</v>
      </c>
      <c r="C597" t="s">
        <v>603</v>
      </c>
      <c r="D597" t="s">
        <v>2472</v>
      </c>
      <c r="E597" t="s">
        <v>2474</v>
      </c>
      <c r="F597" t="s">
        <v>2505</v>
      </c>
      <c r="G597" t="s">
        <v>45</v>
      </c>
      <c r="H597" t="str">
        <f t="shared" si="19"/>
        <v>mac</v>
      </c>
      <c r="I597">
        <v>1</v>
      </c>
    </row>
    <row r="598" spans="1:9" x14ac:dyDescent="0.4">
      <c r="A598" t="s">
        <v>606</v>
      </c>
      <c r="B598" t="str">
        <f t="shared" si="18"/>
        <v>SYST-MOR-0007500.bam</v>
      </c>
      <c r="C598" t="s">
        <v>607</v>
      </c>
      <c r="D598" t="s">
        <v>2472</v>
      </c>
      <c r="E598" t="s">
        <v>2474</v>
      </c>
      <c r="F598" t="s">
        <v>2505</v>
      </c>
      <c r="G598" t="s">
        <v>45</v>
      </c>
      <c r="H598" t="str">
        <f t="shared" si="19"/>
        <v>mac</v>
      </c>
      <c r="I598">
        <v>1</v>
      </c>
    </row>
    <row r="599" spans="1:9" x14ac:dyDescent="0.4">
      <c r="A599" t="s">
        <v>610</v>
      </c>
      <c r="B599" t="str">
        <f t="shared" si="18"/>
        <v>SYST-MOR-0007501.bam</v>
      </c>
      <c r="C599" t="s">
        <v>611</v>
      </c>
      <c r="D599" t="s">
        <v>2472</v>
      </c>
      <c r="E599" t="s">
        <v>2474</v>
      </c>
      <c r="F599" t="s">
        <v>2505</v>
      </c>
      <c r="G599" t="s">
        <v>45</v>
      </c>
      <c r="H599" t="str">
        <f t="shared" si="19"/>
        <v>mac</v>
      </c>
      <c r="I599">
        <v>1</v>
      </c>
    </row>
    <row r="600" spans="1:9" x14ac:dyDescent="0.4">
      <c r="A600" t="s">
        <v>613</v>
      </c>
      <c r="B600" t="str">
        <f t="shared" si="18"/>
        <v>SYST-MOR-0007502.bam</v>
      </c>
      <c r="C600" t="s">
        <v>614</v>
      </c>
      <c r="D600" t="s">
        <v>2472</v>
      </c>
      <c r="E600" t="s">
        <v>2474</v>
      </c>
      <c r="F600" t="s">
        <v>2505</v>
      </c>
      <c r="G600" t="s">
        <v>45</v>
      </c>
      <c r="H600" t="str">
        <f t="shared" si="19"/>
        <v>mac</v>
      </c>
      <c r="I600">
        <v>1</v>
      </c>
    </row>
    <row r="601" spans="1:9" x14ac:dyDescent="0.4">
      <c r="A601" t="s">
        <v>617</v>
      </c>
      <c r="B601" t="str">
        <f t="shared" si="18"/>
        <v>SYST-MOR-0007503.bam</v>
      </c>
      <c r="C601" t="s">
        <v>618</v>
      </c>
      <c r="D601" t="s">
        <v>2472</v>
      </c>
      <c r="E601" t="s">
        <v>2474</v>
      </c>
      <c r="F601" t="s">
        <v>2505</v>
      </c>
      <c r="G601" t="s">
        <v>45</v>
      </c>
      <c r="H601" t="str">
        <f t="shared" si="19"/>
        <v>mac</v>
      </c>
      <c r="I601">
        <v>1</v>
      </c>
    </row>
    <row r="602" spans="1:9" x14ac:dyDescent="0.4">
      <c r="A602" t="s">
        <v>620</v>
      </c>
      <c r="B602" t="str">
        <f t="shared" si="18"/>
        <v>SYST-MOR-0007504.bam</v>
      </c>
      <c r="C602" t="s">
        <v>621</v>
      </c>
      <c r="D602" t="s">
        <v>2472</v>
      </c>
      <c r="E602" t="s">
        <v>2474</v>
      </c>
      <c r="F602" t="s">
        <v>2505</v>
      </c>
      <c r="G602" t="s">
        <v>45</v>
      </c>
      <c r="H602" t="str">
        <f t="shared" si="19"/>
        <v>mac</v>
      </c>
      <c r="I602">
        <v>1</v>
      </c>
    </row>
    <row r="603" spans="1:9" x14ac:dyDescent="0.4">
      <c r="A603" t="s">
        <v>623</v>
      </c>
      <c r="B603" t="str">
        <f t="shared" si="18"/>
        <v>SYST-MOR-0007505.bam</v>
      </c>
      <c r="C603" t="s">
        <v>624</v>
      </c>
      <c r="D603" t="s">
        <v>2472</v>
      </c>
      <c r="E603" t="s">
        <v>2474</v>
      </c>
      <c r="F603" t="s">
        <v>2505</v>
      </c>
      <c r="G603" t="s">
        <v>45</v>
      </c>
      <c r="H603" t="str">
        <f t="shared" si="19"/>
        <v>mac</v>
      </c>
      <c r="I603">
        <v>1</v>
      </c>
    </row>
    <row r="604" spans="1:9" x14ac:dyDescent="0.4">
      <c r="A604" t="s">
        <v>626</v>
      </c>
      <c r="B604" t="str">
        <f t="shared" si="18"/>
        <v>SYST-MOR-0007495.bam</v>
      </c>
      <c r="C604" t="s">
        <v>627</v>
      </c>
      <c r="D604" t="s">
        <v>2472</v>
      </c>
      <c r="E604" t="s">
        <v>2473</v>
      </c>
      <c r="F604" t="s">
        <v>2504</v>
      </c>
      <c r="G604" t="s">
        <v>45</v>
      </c>
      <c r="H604" t="str">
        <f t="shared" si="19"/>
        <v>mac</v>
      </c>
      <c r="I604">
        <v>1</v>
      </c>
    </row>
    <row r="605" spans="1:9" x14ac:dyDescent="0.4">
      <c r="A605" t="s">
        <v>2101</v>
      </c>
      <c r="B605" t="str">
        <f t="shared" si="18"/>
        <v>SYST-MOR-0006870.bam</v>
      </c>
      <c r="C605" t="s">
        <v>2102</v>
      </c>
      <c r="D605" t="s">
        <v>2460</v>
      </c>
      <c r="E605" t="s">
        <v>2461</v>
      </c>
      <c r="F605" t="s">
        <v>2549</v>
      </c>
      <c r="G605" t="s">
        <v>45</v>
      </c>
      <c r="H605" t="str">
        <f t="shared" si="19"/>
        <v>mac</v>
      </c>
      <c r="I605">
        <v>1</v>
      </c>
    </row>
    <row r="606" spans="1:9" x14ac:dyDescent="0.4">
      <c r="A606" t="s">
        <v>2108</v>
      </c>
      <c r="B606" t="str">
        <f t="shared" si="18"/>
        <v>SYST-MOR-0006871.bam</v>
      </c>
      <c r="C606" t="s">
        <v>2109</v>
      </c>
      <c r="D606" t="s">
        <v>2460</v>
      </c>
      <c r="E606" t="s">
        <v>2461</v>
      </c>
      <c r="F606" t="s">
        <v>2549</v>
      </c>
      <c r="G606" t="s">
        <v>84</v>
      </c>
      <c r="H606" t="str">
        <f t="shared" si="19"/>
        <v>mue</v>
      </c>
      <c r="I606">
        <v>1</v>
      </c>
    </row>
    <row r="607" spans="1:9" x14ac:dyDescent="0.4">
      <c r="A607" t="s">
        <v>2111</v>
      </c>
      <c r="B607" t="str">
        <f t="shared" si="18"/>
        <v>SYST-MOR-0006872.bam</v>
      </c>
      <c r="C607" t="s">
        <v>2112</v>
      </c>
      <c r="D607" t="s">
        <v>2460</v>
      </c>
      <c r="E607" t="s">
        <v>2461</v>
      </c>
      <c r="F607" t="s">
        <v>2549</v>
      </c>
      <c r="G607" t="s">
        <v>45</v>
      </c>
      <c r="H607" t="str">
        <f t="shared" si="19"/>
        <v>mac</v>
      </c>
      <c r="I607">
        <v>1</v>
      </c>
    </row>
    <row r="608" spans="1:9" x14ac:dyDescent="0.4">
      <c r="A608" t="s">
        <v>2114</v>
      </c>
      <c r="B608" t="str">
        <f t="shared" si="18"/>
        <v>SYST-MOR-0006873.bam</v>
      </c>
      <c r="C608" t="s">
        <v>2115</v>
      </c>
      <c r="D608" t="s">
        <v>2460</v>
      </c>
      <c r="E608" t="s">
        <v>2461</v>
      </c>
      <c r="F608" t="s">
        <v>2549</v>
      </c>
      <c r="G608" t="s">
        <v>45</v>
      </c>
      <c r="H608" t="str">
        <f t="shared" si="19"/>
        <v>mac</v>
      </c>
      <c r="I608">
        <v>1</v>
      </c>
    </row>
    <row r="609" spans="1:9" x14ac:dyDescent="0.4">
      <c r="A609" t="s">
        <v>2117</v>
      </c>
      <c r="B609" t="str">
        <f t="shared" si="18"/>
        <v>SYST-MOR-0006874.bam</v>
      </c>
      <c r="C609" t="s">
        <v>2118</v>
      </c>
      <c r="D609" t="s">
        <v>2460</v>
      </c>
      <c r="E609" t="s">
        <v>2461</v>
      </c>
      <c r="F609" t="s">
        <v>2549</v>
      </c>
      <c r="G609" t="s">
        <v>84</v>
      </c>
      <c r="H609" t="str">
        <f t="shared" si="19"/>
        <v>mue</v>
      </c>
      <c r="I609">
        <v>1</v>
      </c>
    </row>
    <row r="610" spans="1:9" x14ac:dyDescent="0.4">
      <c r="A610" t="s">
        <v>2120</v>
      </c>
      <c r="B610" t="str">
        <f t="shared" si="18"/>
        <v>SYST-MOR-0006875.bam</v>
      </c>
      <c r="C610" t="s">
        <v>2121</v>
      </c>
      <c r="D610" t="s">
        <v>2460</v>
      </c>
      <c r="E610" t="s">
        <v>2461</v>
      </c>
      <c r="F610" t="s">
        <v>2549</v>
      </c>
      <c r="G610" t="s">
        <v>45</v>
      </c>
      <c r="H610" t="str">
        <f t="shared" si="19"/>
        <v>mac</v>
      </c>
      <c r="I610">
        <v>1</v>
      </c>
    </row>
    <row r="611" spans="1:9" x14ac:dyDescent="0.4">
      <c r="A611" t="s">
        <v>2123</v>
      </c>
      <c r="B611" t="str">
        <f t="shared" si="18"/>
        <v>SYST-MOR-0006876.bam</v>
      </c>
      <c r="C611" t="s">
        <v>2124</v>
      </c>
      <c r="D611" t="s">
        <v>2460</v>
      </c>
      <c r="E611" t="s">
        <v>2461</v>
      </c>
      <c r="F611" t="s">
        <v>2549</v>
      </c>
      <c r="G611" t="s">
        <v>84</v>
      </c>
      <c r="H611" t="str">
        <f t="shared" si="19"/>
        <v>mue</v>
      </c>
      <c r="I611">
        <v>1</v>
      </c>
    </row>
    <row r="612" spans="1:9" x14ac:dyDescent="0.4">
      <c r="A612" t="s">
        <v>2126</v>
      </c>
      <c r="B612" t="str">
        <f t="shared" si="18"/>
        <v>SYST-MOR-0006877.bam</v>
      </c>
      <c r="C612" t="s">
        <v>2127</v>
      </c>
      <c r="D612" t="s">
        <v>2460</v>
      </c>
      <c r="E612" t="s">
        <v>2461</v>
      </c>
      <c r="F612" t="s">
        <v>2549</v>
      </c>
      <c r="G612" t="s">
        <v>64</v>
      </c>
      <c r="H612" t="str">
        <f t="shared" si="19"/>
        <v>alb</v>
      </c>
      <c r="I612">
        <v>1</v>
      </c>
    </row>
    <row r="613" spans="1:9" x14ac:dyDescent="0.4">
      <c r="A613" t="s">
        <v>2129</v>
      </c>
      <c r="B613" t="str">
        <f t="shared" si="18"/>
        <v>SYST-MOR-0006878.bam</v>
      </c>
      <c r="C613" t="s">
        <v>2130</v>
      </c>
      <c r="D613" t="s">
        <v>2460</v>
      </c>
      <c r="E613" t="s">
        <v>2461</v>
      </c>
      <c r="F613" t="s">
        <v>2549</v>
      </c>
      <c r="G613" t="s">
        <v>45</v>
      </c>
      <c r="H613" t="str">
        <f t="shared" si="19"/>
        <v>mac</v>
      </c>
      <c r="I613">
        <v>1</v>
      </c>
    </row>
    <row r="614" spans="1:9" x14ac:dyDescent="0.4">
      <c r="A614" t="s">
        <v>2132</v>
      </c>
      <c r="B614" t="str">
        <f t="shared" si="18"/>
        <v>SYST-MOR-0006879.bam</v>
      </c>
      <c r="C614" t="s">
        <v>2133</v>
      </c>
      <c r="D614" t="s">
        <v>2460</v>
      </c>
      <c r="E614" t="s">
        <v>2461</v>
      </c>
      <c r="F614" t="s">
        <v>2549</v>
      </c>
      <c r="G614" t="s">
        <v>64</v>
      </c>
      <c r="H614" t="str">
        <f t="shared" si="19"/>
        <v>alb</v>
      </c>
      <c r="I614">
        <v>1</v>
      </c>
    </row>
    <row r="615" spans="1:9" x14ac:dyDescent="0.4">
      <c r="A615" t="s">
        <v>2135</v>
      </c>
      <c r="B615" t="str">
        <f t="shared" si="18"/>
        <v>SYST-MOR-0006880.bam</v>
      </c>
      <c r="C615" t="s">
        <v>2136</v>
      </c>
      <c r="D615" t="s">
        <v>2460</v>
      </c>
      <c r="E615" t="s">
        <v>2461</v>
      </c>
      <c r="F615" t="s">
        <v>2549</v>
      </c>
      <c r="G615" t="s">
        <v>84</v>
      </c>
      <c r="H615" t="str">
        <f t="shared" si="19"/>
        <v>mue</v>
      </c>
      <c r="I615">
        <v>1</v>
      </c>
    </row>
    <row r="616" spans="1:9" x14ac:dyDescent="0.4">
      <c r="A616" t="s">
        <v>2138</v>
      </c>
      <c r="B616" t="str">
        <f t="shared" si="18"/>
        <v>SYST-MOR-0006881.bam</v>
      </c>
      <c r="C616" t="s">
        <v>2139</v>
      </c>
      <c r="D616" t="s">
        <v>2460</v>
      </c>
      <c r="E616" t="s">
        <v>2461</v>
      </c>
      <c r="F616" t="s">
        <v>2549</v>
      </c>
      <c r="G616" t="s">
        <v>64</v>
      </c>
      <c r="H616" t="str">
        <f t="shared" si="19"/>
        <v>alb</v>
      </c>
      <c r="I616">
        <v>1</v>
      </c>
    </row>
    <row r="617" spans="1:9" x14ac:dyDescent="0.4">
      <c r="A617" t="s">
        <v>2141</v>
      </c>
      <c r="B617" t="str">
        <f t="shared" si="18"/>
        <v>SYST-MOR-0006882.bam</v>
      </c>
      <c r="C617" t="s">
        <v>2142</v>
      </c>
      <c r="D617" t="s">
        <v>2460</v>
      </c>
      <c r="E617" t="s">
        <v>2461</v>
      </c>
      <c r="F617" t="s">
        <v>2549</v>
      </c>
      <c r="G617" t="s">
        <v>84</v>
      </c>
      <c r="H617" t="str">
        <f t="shared" si="19"/>
        <v>mue</v>
      </c>
      <c r="I617">
        <v>1</v>
      </c>
    </row>
    <row r="618" spans="1:9" x14ac:dyDescent="0.4">
      <c r="A618" t="s">
        <v>2144</v>
      </c>
      <c r="B618" t="str">
        <f t="shared" si="18"/>
        <v>SYST-MOR-0006883.bam</v>
      </c>
      <c r="C618" t="s">
        <v>2145</v>
      </c>
      <c r="D618" t="s">
        <v>2460</v>
      </c>
      <c r="E618" t="s">
        <v>2461</v>
      </c>
      <c r="F618" t="s">
        <v>2549</v>
      </c>
      <c r="G618" t="s">
        <v>64</v>
      </c>
      <c r="H618" t="str">
        <f t="shared" si="19"/>
        <v>alb</v>
      </c>
      <c r="I618">
        <v>1</v>
      </c>
    </row>
    <row r="619" spans="1:9" x14ac:dyDescent="0.4">
      <c r="A619" t="s">
        <v>2147</v>
      </c>
      <c r="B619" t="str">
        <f t="shared" si="18"/>
        <v>SYST-MOR-0006884.bam</v>
      </c>
      <c r="C619" t="s">
        <v>2148</v>
      </c>
      <c r="D619" t="s">
        <v>2460</v>
      </c>
      <c r="E619" t="s">
        <v>2461</v>
      </c>
      <c r="F619" t="s">
        <v>2549</v>
      </c>
      <c r="G619" t="s">
        <v>64</v>
      </c>
      <c r="H619" t="str">
        <f t="shared" si="19"/>
        <v>alb</v>
      </c>
      <c r="I619">
        <v>1</v>
      </c>
    </row>
    <row r="620" spans="1:9" x14ac:dyDescent="0.4">
      <c r="A620" t="s">
        <v>2150</v>
      </c>
      <c r="B620" t="str">
        <f t="shared" si="18"/>
        <v>SYST-MOR-0006885.bam</v>
      </c>
      <c r="C620" t="s">
        <v>2151</v>
      </c>
      <c r="D620" t="s">
        <v>2460</v>
      </c>
      <c r="E620" t="s">
        <v>2462</v>
      </c>
      <c r="F620" t="s">
        <v>2550</v>
      </c>
      <c r="G620" t="s">
        <v>84</v>
      </c>
      <c r="H620" t="str">
        <f t="shared" si="19"/>
        <v>mue</v>
      </c>
      <c r="I620">
        <v>1</v>
      </c>
    </row>
    <row r="621" spans="1:9" x14ac:dyDescent="0.4">
      <c r="A621" t="s">
        <v>2155</v>
      </c>
      <c r="B621" t="str">
        <f t="shared" si="18"/>
        <v>SYST-MOR-0006886.bam</v>
      </c>
      <c r="C621" t="s">
        <v>2156</v>
      </c>
      <c r="D621" t="s">
        <v>2460</v>
      </c>
      <c r="E621" t="s">
        <v>2462</v>
      </c>
      <c r="F621" t="s">
        <v>2550</v>
      </c>
      <c r="G621" t="s">
        <v>50</v>
      </c>
      <c r="H621" t="str">
        <f t="shared" si="19"/>
        <v>ste</v>
      </c>
      <c r="I621">
        <v>1</v>
      </c>
    </row>
    <row r="622" spans="1:9" x14ac:dyDescent="0.4">
      <c r="A622" t="s">
        <v>2158</v>
      </c>
      <c r="B622" t="str">
        <f t="shared" si="18"/>
        <v>SYST-MOR-0006887.bam</v>
      </c>
      <c r="C622" t="s">
        <v>2159</v>
      </c>
      <c r="D622" t="s">
        <v>2460</v>
      </c>
      <c r="E622" t="s">
        <v>2462</v>
      </c>
      <c r="F622" t="s">
        <v>2550</v>
      </c>
      <c r="G622" t="s">
        <v>84</v>
      </c>
      <c r="H622" t="str">
        <f t="shared" si="19"/>
        <v>mue</v>
      </c>
      <c r="I622">
        <v>1</v>
      </c>
    </row>
    <row r="623" spans="1:9" x14ac:dyDescent="0.4">
      <c r="A623" t="s">
        <v>2161</v>
      </c>
      <c r="B623" t="str">
        <f t="shared" si="18"/>
        <v>SYST-MOR-0006888.bam</v>
      </c>
      <c r="C623" t="s">
        <v>2162</v>
      </c>
      <c r="D623" t="s">
        <v>2460</v>
      </c>
      <c r="E623" t="s">
        <v>2462</v>
      </c>
      <c r="F623" t="s">
        <v>2550</v>
      </c>
      <c r="G623" t="s">
        <v>50</v>
      </c>
      <c r="H623" t="str">
        <f t="shared" si="19"/>
        <v>ste</v>
      </c>
      <c r="I623">
        <v>1</v>
      </c>
    </row>
    <row r="624" spans="1:9" x14ac:dyDescent="0.4">
      <c r="A624" t="s">
        <v>2164</v>
      </c>
      <c r="B624" t="str">
        <f t="shared" si="18"/>
        <v>SYST-MOR-0006889.bam</v>
      </c>
      <c r="C624" t="s">
        <v>2165</v>
      </c>
      <c r="D624" t="s">
        <v>2460</v>
      </c>
      <c r="E624" t="s">
        <v>2462</v>
      </c>
      <c r="F624" t="s">
        <v>2550</v>
      </c>
      <c r="G624" t="s">
        <v>64</v>
      </c>
      <c r="H624" t="str">
        <f t="shared" si="19"/>
        <v>alb</v>
      </c>
      <c r="I624">
        <v>1</v>
      </c>
    </row>
    <row r="625" spans="1:9" x14ac:dyDescent="0.4">
      <c r="A625" t="s">
        <v>2167</v>
      </c>
      <c r="B625" t="str">
        <f t="shared" si="18"/>
        <v>SYST-MOR-0007150.bam</v>
      </c>
      <c r="C625" t="s">
        <v>2168</v>
      </c>
      <c r="D625" t="s">
        <v>2463</v>
      </c>
      <c r="E625" t="s">
        <v>2464</v>
      </c>
      <c r="F625" t="s">
        <v>2551</v>
      </c>
      <c r="G625" t="s">
        <v>45</v>
      </c>
      <c r="H625" t="str">
        <f t="shared" si="19"/>
        <v>mac</v>
      </c>
      <c r="I625">
        <v>1</v>
      </c>
    </row>
    <row r="626" spans="1:9" x14ac:dyDescent="0.4">
      <c r="A626" t="s">
        <v>2173</v>
      </c>
      <c r="B626" t="str">
        <f t="shared" si="18"/>
        <v>SYST-MOR-0007151.bam</v>
      </c>
      <c r="C626" t="s">
        <v>2174</v>
      </c>
      <c r="D626" t="s">
        <v>2463</v>
      </c>
      <c r="E626" t="s">
        <v>2464</v>
      </c>
      <c r="F626" t="s">
        <v>2551</v>
      </c>
      <c r="G626" t="s">
        <v>45</v>
      </c>
      <c r="H626" t="str">
        <f t="shared" si="19"/>
        <v>mac</v>
      </c>
      <c r="I626">
        <v>1</v>
      </c>
    </row>
    <row r="627" spans="1:9" x14ac:dyDescent="0.4">
      <c r="A627" t="s">
        <v>2176</v>
      </c>
      <c r="B627" t="str">
        <f t="shared" si="18"/>
        <v>SYST-MOR-0007152.bam</v>
      </c>
      <c r="C627" t="s">
        <v>2177</v>
      </c>
      <c r="D627" t="s">
        <v>2463</v>
      </c>
      <c r="E627" t="s">
        <v>2464</v>
      </c>
      <c r="F627" t="s">
        <v>2551</v>
      </c>
      <c r="G627" t="s">
        <v>45</v>
      </c>
      <c r="H627" t="str">
        <f t="shared" si="19"/>
        <v>mac</v>
      </c>
      <c r="I627">
        <v>1</v>
      </c>
    </row>
    <row r="628" spans="1:9" x14ac:dyDescent="0.4">
      <c r="A628" t="s">
        <v>2179</v>
      </c>
      <c r="B628" t="str">
        <f t="shared" si="18"/>
        <v>SYST-MOR-0007153.bam</v>
      </c>
      <c r="C628" t="s">
        <v>2180</v>
      </c>
      <c r="D628" t="s">
        <v>2463</v>
      </c>
      <c r="E628" t="s">
        <v>2464</v>
      </c>
      <c r="F628" t="s">
        <v>2551</v>
      </c>
      <c r="G628" t="s">
        <v>45</v>
      </c>
      <c r="H628" t="str">
        <f t="shared" si="19"/>
        <v>mac</v>
      </c>
      <c r="I628">
        <v>1</v>
      </c>
    </row>
    <row r="629" spans="1:9" x14ac:dyDescent="0.4">
      <c r="A629" t="s">
        <v>2182</v>
      </c>
      <c r="B629" t="str">
        <f t="shared" si="18"/>
        <v>SYST-MOR-0007154.bam</v>
      </c>
      <c r="C629" t="s">
        <v>2183</v>
      </c>
      <c r="D629" t="s">
        <v>2463</v>
      </c>
      <c r="E629" t="s">
        <v>2464</v>
      </c>
      <c r="F629" t="s">
        <v>2551</v>
      </c>
      <c r="G629" t="s">
        <v>239</v>
      </c>
      <c r="H629" t="s">
        <v>2602</v>
      </c>
      <c r="I629">
        <v>1</v>
      </c>
    </row>
    <row r="630" spans="1:9" x14ac:dyDescent="0.4">
      <c r="A630" t="s">
        <v>2185</v>
      </c>
      <c r="B630" t="str">
        <f t="shared" si="18"/>
        <v>SYST-MOR-0007155.bam</v>
      </c>
      <c r="C630" t="s">
        <v>2186</v>
      </c>
      <c r="D630" t="s">
        <v>2463</v>
      </c>
      <c r="E630" t="s">
        <v>2464</v>
      </c>
      <c r="F630" t="s">
        <v>2551</v>
      </c>
      <c r="G630" t="s">
        <v>239</v>
      </c>
      <c r="H630" t="s">
        <v>2602</v>
      </c>
      <c r="I630">
        <v>1</v>
      </c>
    </row>
    <row r="631" spans="1:9" x14ac:dyDescent="0.4">
      <c r="A631" t="s">
        <v>2188</v>
      </c>
      <c r="B631" t="str">
        <f t="shared" si="18"/>
        <v>SYST-MOR-0007156.bam</v>
      </c>
      <c r="C631" t="s">
        <v>2189</v>
      </c>
      <c r="D631" t="s">
        <v>2463</v>
      </c>
      <c r="E631" t="s">
        <v>2464</v>
      </c>
      <c r="F631" t="s">
        <v>2551</v>
      </c>
      <c r="G631" t="s">
        <v>45</v>
      </c>
      <c r="H631" t="str">
        <f t="shared" si="19"/>
        <v>mac</v>
      </c>
      <c r="I631">
        <v>1</v>
      </c>
    </row>
    <row r="632" spans="1:9" x14ac:dyDescent="0.4">
      <c r="A632" t="s">
        <v>2191</v>
      </c>
      <c r="B632" t="str">
        <f t="shared" si="18"/>
        <v>SYST-MOR-0007157.bam</v>
      </c>
      <c r="C632" t="s">
        <v>2192</v>
      </c>
      <c r="D632" t="s">
        <v>2463</v>
      </c>
      <c r="E632" t="s">
        <v>2464</v>
      </c>
      <c r="F632" t="s">
        <v>2551</v>
      </c>
      <c r="G632" t="s">
        <v>30</v>
      </c>
      <c r="H632" t="str">
        <f t="shared" si="19"/>
        <v>lyr</v>
      </c>
      <c r="I632">
        <v>1</v>
      </c>
    </row>
    <row r="633" spans="1:9" x14ac:dyDescent="0.4">
      <c r="A633" t="s">
        <v>2194</v>
      </c>
      <c r="B633" t="str">
        <f t="shared" si="18"/>
        <v>SYST-MOR-0007169.bam</v>
      </c>
      <c r="C633" t="s">
        <v>2195</v>
      </c>
      <c r="D633" t="s">
        <v>2463</v>
      </c>
      <c r="E633" t="s">
        <v>2403</v>
      </c>
      <c r="F633" t="s">
        <v>2552</v>
      </c>
      <c r="G633" s="8" t="s">
        <v>1079</v>
      </c>
      <c r="H633" t="str">
        <f t="shared" si="19"/>
        <v>mar</v>
      </c>
      <c r="I633">
        <v>1</v>
      </c>
    </row>
    <row r="634" spans="1:9" x14ac:dyDescent="0.4">
      <c r="A634" t="s">
        <v>2200</v>
      </c>
      <c r="B634" t="str">
        <f t="shared" si="18"/>
        <v>SYST-MOR-0007170.bam</v>
      </c>
      <c r="C634" t="s">
        <v>2201</v>
      </c>
      <c r="D634" t="s">
        <v>2463</v>
      </c>
      <c r="E634" t="s">
        <v>2403</v>
      </c>
      <c r="F634" t="s">
        <v>2552</v>
      </c>
      <c r="G634" t="s">
        <v>50</v>
      </c>
      <c r="H634" t="str">
        <f t="shared" si="19"/>
        <v>ste</v>
      </c>
      <c r="I634">
        <v>1</v>
      </c>
    </row>
    <row r="635" spans="1:9" x14ac:dyDescent="0.4">
      <c r="A635" t="s">
        <v>2203</v>
      </c>
      <c r="B635" t="str">
        <f t="shared" si="18"/>
        <v>SYST-MOR-0007171.bam</v>
      </c>
      <c r="C635" t="s">
        <v>2204</v>
      </c>
      <c r="D635" t="s">
        <v>2463</v>
      </c>
      <c r="E635" t="s">
        <v>2403</v>
      </c>
      <c r="F635" t="s">
        <v>2552</v>
      </c>
      <c r="G635" t="s">
        <v>45</v>
      </c>
      <c r="H635" t="str">
        <f t="shared" si="19"/>
        <v>mac</v>
      </c>
      <c r="I635">
        <v>1</v>
      </c>
    </row>
    <row r="636" spans="1:9" x14ac:dyDescent="0.4">
      <c r="A636" t="s">
        <v>2206</v>
      </c>
      <c r="B636" t="str">
        <f t="shared" si="18"/>
        <v>SYST-MOR-0007172.bam</v>
      </c>
      <c r="C636" t="s">
        <v>2207</v>
      </c>
      <c r="D636" t="s">
        <v>2463</v>
      </c>
      <c r="E636" t="s">
        <v>2403</v>
      </c>
      <c r="F636" t="s">
        <v>2552</v>
      </c>
      <c r="G636" s="8" t="s">
        <v>1079</v>
      </c>
      <c r="H636" t="str">
        <f t="shared" si="19"/>
        <v>mar</v>
      </c>
      <c r="I636">
        <v>1</v>
      </c>
    </row>
    <row r="637" spans="1:9" x14ac:dyDescent="0.4">
      <c r="A637" t="s">
        <v>2209</v>
      </c>
      <c r="B637" t="str">
        <f t="shared" si="18"/>
        <v>SYST-MOR-0007173.bam</v>
      </c>
      <c r="C637" t="s">
        <v>2210</v>
      </c>
      <c r="D637" t="s">
        <v>2463</v>
      </c>
      <c r="E637" t="s">
        <v>2403</v>
      </c>
      <c r="F637" t="s">
        <v>2552</v>
      </c>
      <c r="G637" t="s">
        <v>50</v>
      </c>
      <c r="H637" t="str">
        <f t="shared" si="19"/>
        <v>ste</v>
      </c>
      <c r="I637">
        <v>1</v>
      </c>
    </row>
    <row r="638" spans="1:9" x14ac:dyDescent="0.4">
      <c r="A638" t="s">
        <v>2212</v>
      </c>
      <c r="B638" t="str">
        <f t="shared" si="18"/>
        <v>SYST-MOR-0007174.bam</v>
      </c>
      <c r="C638" t="s">
        <v>2213</v>
      </c>
      <c r="D638" t="s">
        <v>2463</v>
      </c>
      <c r="E638" t="s">
        <v>2403</v>
      </c>
      <c r="F638" t="s">
        <v>2552</v>
      </c>
      <c r="G638" t="s">
        <v>45</v>
      </c>
      <c r="H638" t="str">
        <f t="shared" si="19"/>
        <v>mac</v>
      </c>
      <c r="I638">
        <v>1</v>
      </c>
    </row>
    <row r="639" spans="1:9" x14ac:dyDescent="0.4">
      <c r="A639" t="s">
        <v>2215</v>
      </c>
      <c r="B639" t="str">
        <f t="shared" si="18"/>
        <v>SYST-MOR-0007175.bam</v>
      </c>
      <c r="C639" t="s">
        <v>2216</v>
      </c>
      <c r="D639" t="s">
        <v>2463</v>
      </c>
      <c r="E639" t="s">
        <v>2403</v>
      </c>
      <c r="F639" t="s">
        <v>2552</v>
      </c>
      <c r="G639" s="8" t="s">
        <v>1079</v>
      </c>
      <c r="H639" t="str">
        <f t="shared" si="19"/>
        <v>mar</v>
      </c>
      <c r="I639">
        <v>1</v>
      </c>
    </row>
    <row r="640" spans="1:9" x14ac:dyDescent="0.4">
      <c r="A640" t="s">
        <v>2218</v>
      </c>
      <c r="B640" t="str">
        <f t="shared" si="18"/>
        <v>SYST-MOR-0007176.bam</v>
      </c>
      <c r="C640" t="s">
        <v>2219</v>
      </c>
      <c r="D640" t="s">
        <v>2463</v>
      </c>
      <c r="E640" t="s">
        <v>2403</v>
      </c>
      <c r="F640" t="s">
        <v>2552</v>
      </c>
      <c r="G640" t="s">
        <v>45</v>
      </c>
      <c r="H640" t="str">
        <f t="shared" si="19"/>
        <v>mac</v>
      </c>
      <c r="I640">
        <v>1</v>
      </c>
    </row>
    <row r="641" spans="1:9" x14ac:dyDescent="0.4">
      <c r="A641" t="s">
        <v>2221</v>
      </c>
      <c r="B641" t="str">
        <f t="shared" si="18"/>
        <v>SYST-MOR-0007177.bam</v>
      </c>
      <c r="C641" t="s">
        <v>2222</v>
      </c>
      <c r="D641" t="s">
        <v>2463</v>
      </c>
      <c r="E641" t="s">
        <v>2403</v>
      </c>
      <c r="F641" t="s">
        <v>2552</v>
      </c>
      <c r="G641" t="s">
        <v>45</v>
      </c>
      <c r="H641" t="str">
        <f t="shared" si="19"/>
        <v>mac</v>
      </c>
      <c r="I641">
        <v>1</v>
      </c>
    </row>
    <row r="642" spans="1:9" x14ac:dyDescent="0.4">
      <c r="A642" t="s">
        <v>2224</v>
      </c>
      <c r="B642" t="str">
        <f t="shared" ref="B642:B705" si="20">_xlfn.CONCAT(A642,".bam")</f>
        <v>SYST-MOR-0007178.bam</v>
      </c>
      <c r="C642" t="s">
        <v>2225</v>
      </c>
      <c r="D642" t="s">
        <v>2463</v>
      </c>
      <c r="E642" t="s">
        <v>2403</v>
      </c>
      <c r="F642" t="s">
        <v>2552</v>
      </c>
      <c r="G642" t="s">
        <v>2226</v>
      </c>
      <c r="H642" t="str">
        <f t="shared" si="19"/>
        <v>sin</v>
      </c>
      <c r="I642">
        <v>1</v>
      </c>
    </row>
    <row r="643" spans="1:9" x14ac:dyDescent="0.4">
      <c r="A643" t="s">
        <v>2229</v>
      </c>
      <c r="B643" t="str">
        <f t="shared" si="20"/>
        <v>SYST-MOR-0007179.bam</v>
      </c>
      <c r="C643" t="s">
        <v>2230</v>
      </c>
      <c r="D643" t="s">
        <v>2463</v>
      </c>
      <c r="E643" t="s">
        <v>2403</v>
      </c>
      <c r="F643" t="s">
        <v>2552</v>
      </c>
      <c r="G643" t="s">
        <v>45</v>
      </c>
      <c r="H643" t="str">
        <f t="shared" ref="H643:H706" si="21">IF(ISERROR(FIND("x",LEFT(G643,LEN(G643)-7),1)),RIGHT(LEFT(G643,11),3),G643)</f>
        <v>mac</v>
      </c>
      <c r="I643">
        <v>1</v>
      </c>
    </row>
    <row r="644" spans="1:9" x14ac:dyDescent="0.4">
      <c r="A644" t="s">
        <v>2232</v>
      </c>
      <c r="B644" t="str">
        <f t="shared" si="20"/>
        <v>SYST-MOR-0007158.bam</v>
      </c>
      <c r="C644" t="s">
        <v>2233</v>
      </c>
      <c r="D644" t="s">
        <v>2463</v>
      </c>
      <c r="E644" t="s">
        <v>2465</v>
      </c>
      <c r="F644" t="s">
        <v>2553</v>
      </c>
      <c r="G644" t="s">
        <v>1079</v>
      </c>
      <c r="H644" t="str">
        <f t="shared" si="21"/>
        <v>mar</v>
      </c>
      <c r="I644">
        <v>1</v>
      </c>
    </row>
    <row r="645" spans="1:9" x14ac:dyDescent="0.4">
      <c r="A645" t="s">
        <v>2236</v>
      </c>
      <c r="B645" t="str">
        <f t="shared" si="20"/>
        <v>SYST-MOR-0007159.bam</v>
      </c>
      <c r="C645" t="s">
        <v>2237</v>
      </c>
      <c r="D645" t="s">
        <v>2463</v>
      </c>
      <c r="E645" t="s">
        <v>2465</v>
      </c>
      <c r="F645" t="s">
        <v>2553</v>
      </c>
      <c r="G645" t="s">
        <v>45</v>
      </c>
      <c r="H645" t="str">
        <f t="shared" si="21"/>
        <v>mac</v>
      </c>
      <c r="I645">
        <v>1</v>
      </c>
    </row>
    <row r="646" spans="1:9" x14ac:dyDescent="0.4">
      <c r="A646" t="s">
        <v>2239</v>
      </c>
      <c r="B646" t="str">
        <f t="shared" si="20"/>
        <v>SYST-MOR-0007160.bam</v>
      </c>
      <c r="C646" t="s">
        <v>2240</v>
      </c>
      <c r="D646" t="s">
        <v>2463</v>
      </c>
      <c r="E646" t="s">
        <v>2465</v>
      </c>
      <c r="F646" t="s">
        <v>2553</v>
      </c>
      <c r="G646" t="s">
        <v>2226</v>
      </c>
      <c r="H646" t="str">
        <f t="shared" si="21"/>
        <v>sin</v>
      </c>
      <c r="I646">
        <v>1</v>
      </c>
    </row>
    <row r="647" spans="1:9" x14ac:dyDescent="0.4">
      <c r="A647" t="s">
        <v>2242</v>
      </c>
      <c r="B647" t="str">
        <f t="shared" si="20"/>
        <v>SYST-MOR-0007161.bam</v>
      </c>
      <c r="C647" t="s">
        <v>2243</v>
      </c>
      <c r="D647" t="s">
        <v>2463</v>
      </c>
      <c r="E647" t="s">
        <v>2465</v>
      </c>
      <c r="F647" t="s">
        <v>2553</v>
      </c>
      <c r="G647" t="s">
        <v>45</v>
      </c>
      <c r="H647" t="str">
        <f t="shared" si="21"/>
        <v>mac</v>
      </c>
      <c r="I647">
        <v>1</v>
      </c>
    </row>
    <row r="648" spans="1:9" x14ac:dyDescent="0.4">
      <c r="A648" t="s">
        <v>2245</v>
      </c>
      <c r="B648" t="str">
        <f t="shared" si="20"/>
        <v>SYST-MOR-0007162.bam</v>
      </c>
      <c r="C648" t="s">
        <v>2246</v>
      </c>
      <c r="D648" t="s">
        <v>2463</v>
      </c>
      <c r="E648" t="s">
        <v>2465</v>
      </c>
      <c r="F648" t="s">
        <v>2553</v>
      </c>
      <c r="G648" t="s">
        <v>2226</v>
      </c>
      <c r="H648" t="str">
        <f t="shared" si="21"/>
        <v>sin</v>
      </c>
      <c r="I648">
        <v>1</v>
      </c>
    </row>
    <row r="649" spans="1:9" x14ac:dyDescent="0.4">
      <c r="A649" t="s">
        <v>2248</v>
      </c>
      <c r="B649" t="str">
        <f t="shared" si="20"/>
        <v>SYST-MOR-0007163.bam</v>
      </c>
      <c r="C649" t="s">
        <v>2249</v>
      </c>
      <c r="D649" t="s">
        <v>2463</v>
      </c>
      <c r="E649" t="s">
        <v>2465</v>
      </c>
      <c r="F649" t="s">
        <v>2553</v>
      </c>
      <c r="G649" t="s">
        <v>45</v>
      </c>
      <c r="H649" t="str">
        <f t="shared" si="21"/>
        <v>mac</v>
      </c>
      <c r="I649">
        <v>1</v>
      </c>
    </row>
    <row r="650" spans="1:9" x14ac:dyDescent="0.4">
      <c r="A650" t="s">
        <v>2251</v>
      </c>
      <c r="B650" t="str">
        <f t="shared" si="20"/>
        <v>SYST-MOR-0007164.bam</v>
      </c>
      <c r="C650" t="s">
        <v>2252</v>
      </c>
      <c r="D650" t="s">
        <v>2463</v>
      </c>
      <c r="E650" t="s">
        <v>2465</v>
      </c>
      <c r="F650" t="s">
        <v>2553</v>
      </c>
      <c r="G650" t="s">
        <v>45</v>
      </c>
      <c r="H650" t="str">
        <f t="shared" si="21"/>
        <v>mac</v>
      </c>
      <c r="I650">
        <v>1</v>
      </c>
    </row>
    <row r="651" spans="1:9" x14ac:dyDescent="0.4">
      <c r="A651" t="s">
        <v>2254</v>
      </c>
      <c r="B651" t="str">
        <f t="shared" si="20"/>
        <v>SYST-MOR-0007165.bam</v>
      </c>
      <c r="C651" t="s">
        <v>2255</v>
      </c>
      <c r="D651" t="s">
        <v>2463</v>
      </c>
      <c r="E651" t="s">
        <v>2465</v>
      </c>
      <c r="F651" t="s">
        <v>2553</v>
      </c>
      <c r="G651" t="s">
        <v>2226</v>
      </c>
      <c r="H651" t="str">
        <f t="shared" si="21"/>
        <v>sin</v>
      </c>
      <c r="I651">
        <v>1</v>
      </c>
    </row>
    <row r="652" spans="1:9" x14ac:dyDescent="0.4">
      <c r="A652" t="s">
        <v>2257</v>
      </c>
      <c r="B652" t="str">
        <f t="shared" si="20"/>
        <v>SYST-MOR-0007166.bam</v>
      </c>
      <c r="C652" t="s">
        <v>2258</v>
      </c>
      <c r="D652" t="s">
        <v>2463</v>
      </c>
      <c r="E652" t="s">
        <v>2465</v>
      </c>
      <c r="F652" t="s">
        <v>2553</v>
      </c>
      <c r="G652" t="s">
        <v>2226</v>
      </c>
      <c r="H652" t="str">
        <f t="shared" si="21"/>
        <v>sin</v>
      </c>
      <c r="I652">
        <v>1</v>
      </c>
    </row>
    <row r="653" spans="1:9" x14ac:dyDescent="0.4">
      <c r="A653" t="s">
        <v>2260</v>
      </c>
      <c r="B653" t="str">
        <f t="shared" si="20"/>
        <v>SYST-MOR-0007167.bam</v>
      </c>
      <c r="C653" t="s">
        <v>2261</v>
      </c>
      <c r="D653" t="s">
        <v>2463</v>
      </c>
      <c r="E653" t="s">
        <v>2465</v>
      </c>
      <c r="F653" t="s">
        <v>2553</v>
      </c>
      <c r="G653" t="s">
        <v>2226</v>
      </c>
      <c r="H653" t="str">
        <f t="shared" si="21"/>
        <v>sin</v>
      </c>
      <c r="I653">
        <v>1</v>
      </c>
    </row>
    <row r="654" spans="1:9" x14ac:dyDescent="0.4">
      <c r="A654" t="s">
        <v>2263</v>
      </c>
      <c r="B654" t="str">
        <f t="shared" si="20"/>
        <v>SYST-MOR-0007168.bam</v>
      </c>
      <c r="C654" t="s">
        <v>2264</v>
      </c>
      <c r="D654" t="s">
        <v>2463</v>
      </c>
      <c r="E654" t="s">
        <v>2465</v>
      </c>
      <c r="F654" t="s">
        <v>2553</v>
      </c>
      <c r="G654" t="s">
        <v>45</v>
      </c>
      <c r="H654" t="str">
        <f t="shared" si="21"/>
        <v>mac</v>
      </c>
      <c r="I654">
        <v>1</v>
      </c>
    </row>
    <row r="655" spans="1:9" x14ac:dyDescent="0.4">
      <c r="A655" t="s">
        <v>2266</v>
      </c>
      <c r="B655" t="str">
        <f t="shared" si="20"/>
        <v>SYST-MOR-0007081.bam</v>
      </c>
      <c r="C655" t="s">
        <v>2267</v>
      </c>
      <c r="D655" t="s">
        <v>2466</v>
      </c>
      <c r="E655" t="s">
        <v>2467</v>
      </c>
      <c r="F655" t="s">
        <v>2554</v>
      </c>
      <c r="G655" t="s">
        <v>64</v>
      </c>
      <c r="H655" t="str">
        <f t="shared" si="21"/>
        <v>alb</v>
      </c>
      <c r="I655">
        <v>1</v>
      </c>
    </row>
    <row r="656" spans="1:9" x14ac:dyDescent="0.4">
      <c r="A656" t="s">
        <v>2272</v>
      </c>
      <c r="B656" t="str">
        <f t="shared" si="20"/>
        <v>SYST-MOR-0007082.bam</v>
      </c>
      <c r="C656" t="s">
        <v>2273</v>
      </c>
      <c r="D656" t="s">
        <v>2466</v>
      </c>
      <c r="E656" t="s">
        <v>2467</v>
      </c>
      <c r="F656" t="s">
        <v>2554</v>
      </c>
      <c r="G656" t="s">
        <v>45</v>
      </c>
      <c r="H656" t="str">
        <f t="shared" si="21"/>
        <v>mac</v>
      </c>
      <c r="I656">
        <v>1</v>
      </c>
    </row>
    <row r="657" spans="1:9" x14ac:dyDescent="0.4">
      <c r="A657" t="s">
        <v>2275</v>
      </c>
      <c r="B657" t="str">
        <f t="shared" si="20"/>
        <v>SYST-MOR-0007083.bam</v>
      </c>
      <c r="C657" t="s">
        <v>2276</v>
      </c>
      <c r="D657" t="s">
        <v>2466</v>
      </c>
      <c r="E657" t="s">
        <v>2467</v>
      </c>
      <c r="F657" t="s">
        <v>2554</v>
      </c>
      <c r="G657" t="s">
        <v>45</v>
      </c>
      <c r="H657" t="str">
        <f t="shared" si="21"/>
        <v>mac</v>
      </c>
      <c r="I657">
        <v>1</v>
      </c>
    </row>
    <row r="658" spans="1:9" x14ac:dyDescent="0.4">
      <c r="A658" t="s">
        <v>2278</v>
      </c>
      <c r="B658" t="str">
        <f t="shared" si="20"/>
        <v>SYST-MOR-0007084.bam</v>
      </c>
      <c r="C658" t="s">
        <v>2279</v>
      </c>
      <c r="D658" t="s">
        <v>2466</v>
      </c>
      <c r="E658" t="s">
        <v>2467</v>
      </c>
      <c r="F658" t="s">
        <v>2554</v>
      </c>
      <c r="G658" t="s">
        <v>64</v>
      </c>
      <c r="H658" t="str">
        <f t="shared" si="21"/>
        <v>alb</v>
      </c>
      <c r="I658">
        <v>1</v>
      </c>
    </row>
    <row r="659" spans="1:9" x14ac:dyDescent="0.4">
      <c r="A659" t="s">
        <v>2281</v>
      </c>
      <c r="B659" t="str">
        <f t="shared" si="20"/>
        <v>SYST-MOR-0007085.bam</v>
      </c>
      <c r="C659" t="s">
        <v>2282</v>
      </c>
      <c r="D659" t="s">
        <v>2466</v>
      </c>
      <c r="E659" t="s">
        <v>2467</v>
      </c>
      <c r="F659" t="s">
        <v>2554</v>
      </c>
      <c r="G659" t="s">
        <v>45</v>
      </c>
      <c r="H659" t="str">
        <f t="shared" si="21"/>
        <v>mac</v>
      </c>
      <c r="I659">
        <v>1</v>
      </c>
    </row>
    <row r="660" spans="1:9" x14ac:dyDescent="0.4">
      <c r="A660" t="s">
        <v>2284</v>
      </c>
      <c r="B660" t="str">
        <f t="shared" si="20"/>
        <v>SYST-MOR-0007086.bam</v>
      </c>
      <c r="C660" t="s">
        <v>2285</v>
      </c>
      <c r="D660" t="s">
        <v>2466</v>
      </c>
      <c r="E660" t="s">
        <v>2467</v>
      </c>
      <c r="F660" t="s">
        <v>2554</v>
      </c>
      <c r="G660" t="s">
        <v>45</v>
      </c>
      <c r="H660" t="str">
        <f t="shared" si="21"/>
        <v>mac</v>
      </c>
      <c r="I660">
        <v>1</v>
      </c>
    </row>
    <row r="661" spans="1:9" x14ac:dyDescent="0.4">
      <c r="A661" t="s">
        <v>2287</v>
      </c>
      <c r="B661" t="str">
        <f t="shared" si="20"/>
        <v>SYST-MOR-0007087.bam</v>
      </c>
      <c r="C661" t="s">
        <v>2288</v>
      </c>
      <c r="D661" t="s">
        <v>2466</v>
      </c>
      <c r="E661" t="s">
        <v>2467</v>
      </c>
      <c r="F661" t="s">
        <v>2554</v>
      </c>
      <c r="G661" t="s">
        <v>64</v>
      </c>
      <c r="H661" t="str">
        <f t="shared" si="21"/>
        <v>alb</v>
      </c>
      <c r="I661">
        <v>1</v>
      </c>
    </row>
    <row r="662" spans="1:9" x14ac:dyDescent="0.4">
      <c r="A662" t="s">
        <v>2290</v>
      </c>
      <c r="B662" t="str">
        <f t="shared" si="20"/>
        <v>SYST-MOR-0007088.bam</v>
      </c>
      <c r="C662" t="s">
        <v>2291</v>
      </c>
      <c r="D662" t="s">
        <v>2466</v>
      </c>
      <c r="E662" t="s">
        <v>2467</v>
      </c>
      <c r="F662" t="s">
        <v>2554</v>
      </c>
      <c r="G662" t="s">
        <v>45</v>
      </c>
      <c r="H662" t="str">
        <f t="shared" si="21"/>
        <v>mac</v>
      </c>
      <c r="I662">
        <v>1</v>
      </c>
    </row>
    <row r="663" spans="1:9" x14ac:dyDescent="0.4">
      <c r="A663" t="s">
        <v>2293</v>
      </c>
      <c r="B663" t="str">
        <f t="shared" si="20"/>
        <v>SYST-MOR-0007089.bam</v>
      </c>
      <c r="C663" t="s">
        <v>2294</v>
      </c>
      <c r="D663" t="s">
        <v>2466</v>
      </c>
      <c r="E663" t="s">
        <v>2467</v>
      </c>
      <c r="F663" t="s">
        <v>2554</v>
      </c>
      <c r="G663" t="s">
        <v>64</v>
      </c>
      <c r="H663" t="str">
        <f t="shared" si="21"/>
        <v>alb</v>
      </c>
      <c r="I663">
        <v>1</v>
      </c>
    </row>
    <row r="664" spans="1:9" x14ac:dyDescent="0.4">
      <c r="A664" t="s">
        <v>2296</v>
      </c>
      <c r="B664" t="str">
        <f t="shared" si="20"/>
        <v>SYST-MOR-0006951.bam</v>
      </c>
      <c r="C664" t="s">
        <v>2297</v>
      </c>
      <c r="D664" t="s">
        <v>2468</v>
      </c>
      <c r="E664" t="s">
        <v>2469</v>
      </c>
      <c r="F664" t="s">
        <v>2555</v>
      </c>
      <c r="G664" t="s">
        <v>2626</v>
      </c>
      <c r="H664" t="s">
        <v>2633</v>
      </c>
      <c r="I664">
        <v>1</v>
      </c>
    </row>
    <row r="665" spans="1:9" x14ac:dyDescent="0.4">
      <c r="A665" t="s">
        <v>2302</v>
      </c>
      <c r="B665" t="str">
        <f t="shared" si="20"/>
        <v>SYST-MOR-0006952.bam</v>
      </c>
      <c r="C665" t="s">
        <v>2303</v>
      </c>
      <c r="D665" t="s">
        <v>2468</v>
      </c>
      <c r="E665" t="s">
        <v>2469</v>
      </c>
      <c r="F665" t="s">
        <v>2555</v>
      </c>
      <c r="G665" t="s">
        <v>2626</v>
      </c>
      <c r="H665" t="s">
        <v>2633</v>
      </c>
      <c r="I665">
        <v>1</v>
      </c>
    </row>
    <row r="666" spans="1:9" x14ac:dyDescent="0.4">
      <c r="A666" t="s">
        <v>2305</v>
      </c>
      <c r="B666" t="str">
        <f t="shared" si="20"/>
        <v>SYST-MOR-0006953.bam</v>
      </c>
      <c r="C666" t="s">
        <v>2306</v>
      </c>
      <c r="D666" t="s">
        <v>2468</v>
      </c>
      <c r="E666" t="s">
        <v>2469</v>
      </c>
      <c r="F666" t="s">
        <v>2555</v>
      </c>
      <c r="G666" t="s">
        <v>64</v>
      </c>
      <c r="H666" t="str">
        <f t="shared" si="21"/>
        <v>alb</v>
      </c>
      <c r="I666">
        <v>1</v>
      </c>
    </row>
    <row r="667" spans="1:9" x14ac:dyDescent="0.4">
      <c r="A667" t="s">
        <v>2308</v>
      </c>
      <c r="B667" t="str">
        <f t="shared" si="20"/>
        <v>SYST-MOR-0006954.bam</v>
      </c>
      <c r="C667" t="s">
        <v>2309</v>
      </c>
      <c r="D667" t="s">
        <v>2468</v>
      </c>
      <c r="E667" t="s">
        <v>2469</v>
      </c>
      <c r="F667" t="s">
        <v>2555</v>
      </c>
      <c r="G667" t="s">
        <v>45</v>
      </c>
      <c r="H667" t="str">
        <f t="shared" si="21"/>
        <v>mac</v>
      </c>
      <c r="I667">
        <v>1</v>
      </c>
    </row>
    <row r="668" spans="1:9" x14ac:dyDescent="0.4">
      <c r="A668" t="s">
        <v>2311</v>
      </c>
      <c r="B668" t="str">
        <f t="shared" si="20"/>
        <v>SYST-MOR-0006955.bam</v>
      </c>
      <c r="C668" t="s">
        <v>2312</v>
      </c>
      <c r="D668" t="s">
        <v>2468</v>
      </c>
      <c r="E668" t="s">
        <v>2469</v>
      </c>
      <c r="F668" t="s">
        <v>2555</v>
      </c>
      <c r="G668" t="s">
        <v>45</v>
      </c>
      <c r="H668" t="str">
        <f t="shared" si="21"/>
        <v>mac</v>
      </c>
      <c r="I668">
        <v>1</v>
      </c>
    </row>
    <row r="669" spans="1:9" x14ac:dyDescent="0.4">
      <c r="A669" t="s">
        <v>2314</v>
      </c>
      <c r="B669" t="str">
        <f t="shared" si="20"/>
        <v>SYST-MOR-0006956.bam</v>
      </c>
      <c r="C669" t="s">
        <v>2315</v>
      </c>
      <c r="D669" t="s">
        <v>2468</v>
      </c>
      <c r="E669" t="s">
        <v>2469</v>
      </c>
      <c r="F669" t="s">
        <v>2555</v>
      </c>
      <c r="G669" t="s">
        <v>45</v>
      </c>
      <c r="H669" t="str">
        <f t="shared" si="21"/>
        <v>mac</v>
      </c>
      <c r="I669">
        <v>1</v>
      </c>
    </row>
    <row r="670" spans="1:9" x14ac:dyDescent="0.4">
      <c r="A670" t="s">
        <v>2317</v>
      </c>
      <c r="B670" t="str">
        <f t="shared" si="20"/>
        <v>SYST-MOR-0006957.bam</v>
      </c>
      <c r="C670" t="s">
        <v>2318</v>
      </c>
      <c r="D670" t="s">
        <v>2468</v>
      </c>
      <c r="E670" t="s">
        <v>2469</v>
      </c>
      <c r="F670" t="s">
        <v>2555</v>
      </c>
      <c r="G670" t="s">
        <v>45</v>
      </c>
      <c r="H670" t="str">
        <f t="shared" si="21"/>
        <v>mac</v>
      </c>
      <c r="I670">
        <v>1</v>
      </c>
    </row>
    <row r="671" spans="1:9" x14ac:dyDescent="0.4">
      <c r="A671" t="s">
        <v>2320</v>
      </c>
      <c r="B671" t="str">
        <f t="shared" si="20"/>
        <v>SYST-MOR-0006958.bam</v>
      </c>
      <c r="C671" t="s">
        <v>2321</v>
      </c>
      <c r="D671" t="s">
        <v>2468</v>
      </c>
      <c r="E671" t="s">
        <v>2469</v>
      </c>
      <c r="F671" t="s">
        <v>2555</v>
      </c>
      <c r="G671" t="s">
        <v>45</v>
      </c>
      <c r="H671" t="str">
        <f t="shared" si="21"/>
        <v>mac</v>
      </c>
      <c r="I671">
        <v>1</v>
      </c>
    </row>
    <row r="672" spans="1:9" x14ac:dyDescent="0.4">
      <c r="A672" t="s">
        <v>2323</v>
      </c>
      <c r="B672" t="str">
        <f t="shared" si="20"/>
        <v>SYST-MOR-0006959.bam</v>
      </c>
      <c r="C672" t="s">
        <v>2324</v>
      </c>
      <c r="D672" t="s">
        <v>2468</v>
      </c>
      <c r="E672" t="s">
        <v>2469</v>
      </c>
      <c r="F672" t="s">
        <v>2555</v>
      </c>
      <c r="G672" t="s">
        <v>45</v>
      </c>
      <c r="H672" t="str">
        <f t="shared" si="21"/>
        <v>mac</v>
      </c>
      <c r="I672">
        <v>1</v>
      </c>
    </row>
    <row r="673" spans="1:9" x14ac:dyDescent="0.4">
      <c r="A673" t="s">
        <v>2326</v>
      </c>
      <c r="B673" t="str">
        <f t="shared" si="20"/>
        <v>SYST-MOR-0006937.bam</v>
      </c>
      <c r="C673" t="s">
        <v>2327</v>
      </c>
      <c r="D673" t="s">
        <v>2468</v>
      </c>
      <c r="E673" t="s">
        <v>2470</v>
      </c>
      <c r="F673" t="s">
        <v>2556</v>
      </c>
      <c r="G673" t="s">
        <v>45</v>
      </c>
      <c r="H673" t="str">
        <f t="shared" si="21"/>
        <v>mac</v>
      </c>
      <c r="I673">
        <v>1</v>
      </c>
    </row>
    <row r="674" spans="1:9" x14ac:dyDescent="0.4">
      <c r="A674" t="s">
        <v>2330</v>
      </c>
      <c r="B674" t="str">
        <f t="shared" si="20"/>
        <v>SYST-MOR-0006938.bam</v>
      </c>
      <c r="C674" t="s">
        <v>2331</v>
      </c>
      <c r="D674" t="s">
        <v>2468</v>
      </c>
      <c r="E674" t="s">
        <v>2470</v>
      </c>
      <c r="F674" t="s">
        <v>2556</v>
      </c>
      <c r="G674" t="s">
        <v>64</v>
      </c>
      <c r="H674" t="str">
        <f t="shared" si="21"/>
        <v>alb</v>
      </c>
      <c r="I674">
        <v>1</v>
      </c>
    </row>
    <row r="675" spans="1:9" x14ac:dyDescent="0.4">
      <c r="A675" t="s">
        <v>2333</v>
      </c>
      <c r="B675" t="str">
        <f t="shared" si="20"/>
        <v>SYST-MOR-0006939.bam</v>
      </c>
      <c r="C675" t="s">
        <v>2334</v>
      </c>
      <c r="D675" t="s">
        <v>2468</v>
      </c>
      <c r="E675" t="s">
        <v>2470</v>
      </c>
      <c r="F675" t="s">
        <v>2556</v>
      </c>
      <c r="G675" t="s">
        <v>64</v>
      </c>
      <c r="H675" t="str">
        <f t="shared" si="21"/>
        <v>alb</v>
      </c>
      <c r="I675">
        <v>1</v>
      </c>
    </row>
    <row r="676" spans="1:9" x14ac:dyDescent="0.4">
      <c r="A676" t="s">
        <v>2336</v>
      </c>
      <c r="B676" t="str">
        <f t="shared" si="20"/>
        <v>SYST-MOR-0006940.bam</v>
      </c>
      <c r="C676" t="s">
        <v>2337</v>
      </c>
      <c r="D676" t="s">
        <v>2468</v>
      </c>
      <c r="E676" t="s">
        <v>2470</v>
      </c>
      <c r="F676" t="s">
        <v>2556</v>
      </c>
      <c r="G676" t="s">
        <v>64</v>
      </c>
      <c r="H676" t="str">
        <f t="shared" si="21"/>
        <v>alb</v>
      </c>
      <c r="I676">
        <v>1</v>
      </c>
    </row>
    <row r="677" spans="1:9" x14ac:dyDescent="0.4">
      <c r="A677" t="s">
        <v>2339</v>
      </c>
      <c r="B677" t="str">
        <f t="shared" si="20"/>
        <v>SYST-MOR-0006941.bam</v>
      </c>
      <c r="C677" t="s">
        <v>2340</v>
      </c>
      <c r="D677" t="s">
        <v>2468</v>
      </c>
      <c r="E677" t="s">
        <v>2470</v>
      </c>
      <c r="F677" t="s">
        <v>2556</v>
      </c>
      <c r="G677" t="s">
        <v>64</v>
      </c>
      <c r="H677" t="str">
        <f t="shared" si="21"/>
        <v>alb</v>
      </c>
      <c r="I677">
        <v>1</v>
      </c>
    </row>
    <row r="678" spans="1:9" x14ac:dyDescent="0.4">
      <c r="A678" t="s">
        <v>2342</v>
      </c>
      <c r="B678" t="str">
        <f t="shared" si="20"/>
        <v>SYST-MOR-0006942.bam</v>
      </c>
      <c r="C678" t="s">
        <v>2343</v>
      </c>
      <c r="D678" t="s">
        <v>2468</v>
      </c>
      <c r="E678" t="s">
        <v>2470</v>
      </c>
      <c r="F678" t="s">
        <v>2556</v>
      </c>
      <c r="G678" t="s">
        <v>45</v>
      </c>
      <c r="H678" t="str">
        <f t="shared" si="21"/>
        <v>mac</v>
      </c>
      <c r="I678">
        <v>1</v>
      </c>
    </row>
    <row r="679" spans="1:9" x14ac:dyDescent="0.4">
      <c r="A679" t="s">
        <v>2345</v>
      </c>
      <c r="B679" t="str">
        <f t="shared" si="20"/>
        <v>SYST-MOR-0006960.bam</v>
      </c>
      <c r="C679" t="s">
        <v>2346</v>
      </c>
      <c r="D679" t="s">
        <v>2468</v>
      </c>
      <c r="E679" t="s">
        <v>2471</v>
      </c>
      <c r="F679" t="s">
        <v>2557</v>
      </c>
      <c r="G679" t="s">
        <v>45</v>
      </c>
      <c r="H679" t="str">
        <f t="shared" si="21"/>
        <v>mac</v>
      </c>
      <c r="I679">
        <v>1</v>
      </c>
    </row>
    <row r="680" spans="1:9" x14ac:dyDescent="0.4">
      <c r="A680" t="s">
        <v>2350</v>
      </c>
      <c r="B680" t="str">
        <f t="shared" si="20"/>
        <v>SYST-MOR-0006961.bam</v>
      </c>
      <c r="C680" t="s">
        <v>2351</v>
      </c>
      <c r="D680" t="s">
        <v>2468</v>
      </c>
      <c r="E680" t="s">
        <v>2471</v>
      </c>
      <c r="F680" t="s">
        <v>2557</v>
      </c>
      <c r="G680" t="s">
        <v>45</v>
      </c>
      <c r="H680" t="str">
        <f t="shared" si="21"/>
        <v>mac</v>
      </c>
      <c r="I680">
        <v>1</v>
      </c>
    </row>
    <row r="681" spans="1:9" x14ac:dyDescent="0.4">
      <c r="A681" t="s">
        <v>2353</v>
      </c>
      <c r="B681" t="str">
        <f t="shared" si="20"/>
        <v>SYST-MOR-0006962.bam</v>
      </c>
      <c r="C681" t="s">
        <v>2354</v>
      </c>
      <c r="D681" t="s">
        <v>2468</v>
      </c>
      <c r="E681" t="s">
        <v>2471</v>
      </c>
      <c r="F681" t="s">
        <v>2557</v>
      </c>
      <c r="G681" t="s">
        <v>45</v>
      </c>
      <c r="H681" t="str">
        <f t="shared" si="21"/>
        <v>mac</v>
      </c>
      <c r="I681">
        <v>1</v>
      </c>
    </row>
    <row r="682" spans="1:9" x14ac:dyDescent="0.4">
      <c r="A682" t="s">
        <v>2356</v>
      </c>
      <c r="B682" t="str">
        <f t="shared" si="20"/>
        <v>SYST-MOR-0006963.bam</v>
      </c>
      <c r="C682" t="s">
        <v>2357</v>
      </c>
      <c r="D682" t="s">
        <v>2468</v>
      </c>
      <c r="E682" t="s">
        <v>2471</v>
      </c>
      <c r="F682" t="s">
        <v>2557</v>
      </c>
      <c r="G682" t="s">
        <v>45</v>
      </c>
      <c r="H682" t="str">
        <f t="shared" si="21"/>
        <v>mac</v>
      </c>
      <c r="I682">
        <v>1</v>
      </c>
    </row>
    <row r="683" spans="1:9" x14ac:dyDescent="0.4">
      <c r="A683" t="s">
        <v>2359</v>
      </c>
      <c r="B683" t="str">
        <f t="shared" si="20"/>
        <v>SYST-MOR-0006964.bam</v>
      </c>
      <c r="C683" t="s">
        <v>2360</v>
      </c>
      <c r="D683" t="s">
        <v>2468</v>
      </c>
      <c r="E683" t="s">
        <v>2471</v>
      </c>
      <c r="F683" t="s">
        <v>2557</v>
      </c>
      <c r="G683" t="s">
        <v>64</v>
      </c>
      <c r="H683" t="str">
        <f t="shared" si="21"/>
        <v>alb</v>
      </c>
      <c r="I683">
        <v>1</v>
      </c>
    </row>
    <row r="684" spans="1:9" x14ac:dyDescent="0.4">
      <c r="A684" t="s">
        <v>2362</v>
      </c>
      <c r="B684" t="str">
        <f t="shared" si="20"/>
        <v>SYST-MOR-0006965.bam</v>
      </c>
      <c r="C684" t="s">
        <v>2363</v>
      </c>
      <c r="D684" t="s">
        <v>2468</v>
      </c>
      <c r="E684" t="s">
        <v>2471</v>
      </c>
      <c r="F684" t="s">
        <v>2557</v>
      </c>
      <c r="G684" t="s">
        <v>64</v>
      </c>
      <c r="H684" t="str">
        <f t="shared" si="21"/>
        <v>alb</v>
      </c>
      <c r="I684">
        <v>1</v>
      </c>
    </row>
    <row r="685" spans="1:9" x14ac:dyDescent="0.4">
      <c r="A685" t="s">
        <v>2365</v>
      </c>
      <c r="B685" t="str">
        <f t="shared" si="20"/>
        <v>SYST-MOR-0006966.bam</v>
      </c>
      <c r="C685" t="s">
        <v>2366</v>
      </c>
      <c r="D685" t="s">
        <v>2468</v>
      </c>
      <c r="E685" t="s">
        <v>2471</v>
      </c>
      <c r="F685" t="s">
        <v>2557</v>
      </c>
      <c r="G685" t="s">
        <v>64</v>
      </c>
      <c r="H685" t="str">
        <f t="shared" si="21"/>
        <v>alb</v>
      </c>
      <c r="I685">
        <v>1</v>
      </c>
    </row>
    <row r="686" spans="1:9" x14ac:dyDescent="0.4">
      <c r="A686" t="s">
        <v>2368</v>
      </c>
      <c r="B686" t="str">
        <f t="shared" si="20"/>
        <v>SYST-MOR-0006967.bam</v>
      </c>
      <c r="C686" t="s">
        <v>2369</v>
      </c>
      <c r="D686" t="s">
        <v>2468</v>
      </c>
      <c r="E686" t="s">
        <v>2471</v>
      </c>
      <c r="F686" t="s">
        <v>2557</v>
      </c>
      <c r="G686" t="s">
        <v>64</v>
      </c>
      <c r="H686" t="str">
        <f t="shared" si="21"/>
        <v>alb</v>
      </c>
      <c r="I686">
        <v>1</v>
      </c>
    </row>
    <row r="687" spans="1:9" x14ac:dyDescent="0.4">
      <c r="A687" t="s">
        <v>2371</v>
      </c>
      <c r="B687" t="str">
        <f t="shared" si="20"/>
        <v>SYST-MOR-0006968.bam</v>
      </c>
      <c r="C687" t="s">
        <v>2372</v>
      </c>
      <c r="D687" t="s">
        <v>2468</v>
      </c>
      <c r="E687" t="s">
        <v>2471</v>
      </c>
      <c r="F687" t="s">
        <v>2557</v>
      </c>
      <c r="G687" t="s">
        <v>45</v>
      </c>
      <c r="H687" t="str">
        <f t="shared" si="21"/>
        <v>mac</v>
      </c>
      <c r="I687">
        <v>1</v>
      </c>
    </row>
    <row r="688" spans="1:9" x14ac:dyDescent="0.4">
      <c r="A688" t="s">
        <v>2374</v>
      </c>
      <c r="B688" t="str">
        <f t="shared" si="20"/>
        <v>SYST-MOR-0006969.bam</v>
      </c>
      <c r="C688" t="s">
        <v>2375</v>
      </c>
      <c r="D688" t="s">
        <v>2468</v>
      </c>
      <c r="E688" t="s">
        <v>2471</v>
      </c>
      <c r="F688" t="s">
        <v>2557</v>
      </c>
      <c r="G688" t="s">
        <v>64</v>
      </c>
      <c r="H688" t="str">
        <f t="shared" si="21"/>
        <v>alb</v>
      </c>
      <c r="I688">
        <v>1</v>
      </c>
    </row>
    <row r="689" spans="1:9" x14ac:dyDescent="0.4">
      <c r="A689" t="s">
        <v>2377</v>
      </c>
      <c r="B689" t="str">
        <f t="shared" si="20"/>
        <v>SYST-MOR-0007387.bam</v>
      </c>
      <c r="C689" t="s">
        <v>2378</v>
      </c>
      <c r="D689" t="s">
        <v>2468</v>
      </c>
      <c r="E689" t="s">
        <v>2486</v>
      </c>
      <c r="F689" t="s">
        <v>2558</v>
      </c>
      <c r="G689" t="s">
        <v>45</v>
      </c>
      <c r="H689" t="str">
        <f t="shared" si="21"/>
        <v>mac</v>
      </c>
      <c r="I689">
        <v>1</v>
      </c>
    </row>
    <row r="690" spans="1:9" x14ac:dyDescent="0.4">
      <c r="A690" t="s">
        <v>2383</v>
      </c>
      <c r="B690" t="str">
        <f t="shared" si="20"/>
        <v>SYST-MOR-0007388.bam</v>
      </c>
      <c r="C690" t="s">
        <v>2384</v>
      </c>
      <c r="D690" t="s">
        <v>2468</v>
      </c>
      <c r="E690" t="s">
        <v>2486</v>
      </c>
      <c r="F690" t="s">
        <v>2558</v>
      </c>
      <c r="G690" t="s">
        <v>45</v>
      </c>
      <c r="H690" t="str">
        <f t="shared" si="21"/>
        <v>mac</v>
      </c>
      <c r="I690">
        <v>1</v>
      </c>
    </row>
    <row r="691" spans="1:9" x14ac:dyDescent="0.4">
      <c r="A691" t="s">
        <v>2387</v>
      </c>
      <c r="B691" t="str">
        <f t="shared" si="20"/>
        <v>SYST-MOR-0007389.bam</v>
      </c>
      <c r="C691" t="s">
        <v>2388</v>
      </c>
      <c r="D691" t="s">
        <v>2468</v>
      </c>
      <c r="E691" t="s">
        <v>2486</v>
      </c>
      <c r="F691" t="s">
        <v>2558</v>
      </c>
      <c r="G691" t="s">
        <v>45</v>
      </c>
      <c r="H691" t="str">
        <f t="shared" si="21"/>
        <v>mac</v>
      </c>
      <c r="I691">
        <v>1</v>
      </c>
    </row>
    <row r="692" spans="1:9" x14ac:dyDescent="0.4">
      <c r="A692" t="s">
        <v>2391</v>
      </c>
      <c r="B692" t="str">
        <f t="shared" si="20"/>
        <v>SYST-MOR-0007390.bam</v>
      </c>
      <c r="C692" t="s">
        <v>2392</v>
      </c>
      <c r="D692" t="s">
        <v>2468</v>
      </c>
      <c r="E692" t="s">
        <v>2486</v>
      </c>
      <c r="F692" t="s">
        <v>2558</v>
      </c>
      <c r="G692" t="s">
        <v>45</v>
      </c>
      <c r="H692" t="str">
        <f t="shared" si="21"/>
        <v>mac</v>
      </c>
      <c r="I692">
        <v>1</v>
      </c>
    </row>
    <row r="693" spans="1:9" x14ac:dyDescent="0.4">
      <c r="A693" t="s">
        <v>2394</v>
      </c>
      <c r="B693" t="str">
        <f t="shared" si="20"/>
        <v>SYST-MOR-0007391.bam</v>
      </c>
      <c r="C693" t="s">
        <v>2395</v>
      </c>
      <c r="D693" t="s">
        <v>2468</v>
      </c>
      <c r="E693" t="s">
        <v>2486</v>
      </c>
      <c r="F693" t="s">
        <v>2558</v>
      </c>
      <c r="G693" t="s">
        <v>45</v>
      </c>
      <c r="H693" t="str">
        <f t="shared" si="21"/>
        <v>mac</v>
      </c>
      <c r="I693">
        <v>1</v>
      </c>
    </row>
    <row r="694" spans="1:9" x14ac:dyDescent="0.4">
      <c r="A694" t="s">
        <v>2398</v>
      </c>
      <c r="B694" t="str">
        <f t="shared" si="20"/>
        <v>SYST-MOR-0007392.bam</v>
      </c>
      <c r="C694" t="s">
        <v>2399</v>
      </c>
      <c r="D694" t="s">
        <v>2468</v>
      </c>
      <c r="E694" t="s">
        <v>2486</v>
      </c>
      <c r="F694" t="s">
        <v>2558</v>
      </c>
      <c r="G694" t="s">
        <v>45</v>
      </c>
      <c r="H694" t="str">
        <f t="shared" si="21"/>
        <v>mac</v>
      </c>
      <c r="I694">
        <v>1</v>
      </c>
    </row>
    <row r="695" spans="1:9" x14ac:dyDescent="0.4">
      <c r="A695" t="s">
        <v>2562</v>
      </c>
      <c r="B695" t="str">
        <f t="shared" si="20"/>
        <v>SRR14632920.bam</v>
      </c>
      <c r="E695" t="s">
        <v>2570</v>
      </c>
      <c r="G695" t="s">
        <v>2563</v>
      </c>
      <c r="H695" t="str">
        <f t="shared" si="21"/>
        <v>lob</v>
      </c>
      <c r="I695">
        <v>1</v>
      </c>
    </row>
    <row r="696" spans="1:9" x14ac:dyDescent="0.4">
      <c r="A696" t="s">
        <v>2565</v>
      </c>
      <c r="B696" t="str">
        <f t="shared" si="20"/>
        <v>SRR14632922.bam</v>
      </c>
      <c r="E696" t="s">
        <v>2570</v>
      </c>
      <c r="G696" t="s">
        <v>2563</v>
      </c>
      <c r="H696" t="str">
        <f t="shared" si="21"/>
        <v>lob</v>
      </c>
      <c r="I696">
        <v>1</v>
      </c>
    </row>
    <row r="697" spans="1:9" x14ac:dyDescent="0.4">
      <c r="A697" t="s">
        <v>2566</v>
      </c>
      <c r="B697" t="str">
        <f t="shared" si="20"/>
        <v>SRR14632924.bam</v>
      </c>
      <c r="E697" t="s">
        <v>2570</v>
      </c>
      <c r="G697" t="s">
        <v>2563</v>
      </c>
      <c r="H697" t="str">
        <f t="shared" si="21"/>
        <v>lob</v>
      </c>
      <c r="I697">
        <v>1</v>
      </c>
    </row>
    <row r="698" spans="1:9" x14ac:dyDescent="0.4">
      <c r="A698" t="s">
        <v>2567</v>
      </c>
      <c r="B698" t="str">
        <f t="shared" si="20"/>
        <v>SRR14632927.bam</v>
      </c>
      <c r="E698" t="s">
        <v>2570</v>
      </c>
      <c r="G698" t="s">
        <v>2563</v>
      </c>
      <c r="H698" t="str">
        <f t="shared" si="21"/>
        <v>lob</v>
      </c>
      <c r="I698">
        <v>1</v>
      </c>
    </row>
    <row r="699" spans="1:9" x14ac:dyDescent="0.4">
      <c r="A699" t="s">
        <v>2568</v>
      </c>
      <c r="B699" t="str">
        <f t="shared" si="20"/>
        <v>SRR14632928.bam</v>
      </c>
      <c r="E699" t="s">
        <v>2570</v>
      </c>
      <c r="G699" t="s">
        <v>2563</v>
      </c>
      <c r="H699" t="str">
        <f t="shared" si="21"/>
        <v>lob</v>
      </c>
      <c r="I699">
        <v>1</v>
      </c>
    </row>
    <row r="700" spans="1:9" x14ac:dyDescent="0.4">
      <c r="A700" t="s">
        <v>2569</v>
      </c>
      <c r="B700" t="str">
        <f t="shared" si="20"/>
        <v>SRR14632929.bam</v>
      </c>
      <c r="E700" t="s">
        <v>2570</v>
      </c>
      <c r="G700" t="s">
        <v>2563</v>
      </c>
      <c r="H700" t="str">
        <f t="shared" si="21"/>
        <v>lob</v>
      </c>
      <c r="I700">
        <v>1</v>
      </c>
    </row>
    <row r="701" spans="1:9" x14ac:dyDescent="0.4">
      <c r="A701" t="s">
        <v>2571</v>
      </c>
      <c r="B701" t="str">
        <f t="shared" si="20"/>
        <v>SRR14632932.bam</v>
      </c>
      <c r="E701" t="s">
        <v>2570</v>
      </c>
      <c r="G701" t="s">
        <v>2563</v>
      </c>
      <c r="H701" t="str">
        <f t="shared" si="21"/>
        <v>lob</v>
      </c>
      <c r="I701">
        <v>1</v>
      </c>
    </row>
    <row r="702" spans="1:9" x14ac:dyDescent="0.4">
      <c r="A702" t="s">
        <v>2572</v>
      </c>
      <c r="B702" t="str">
        <f t="shared" si="20"/>
        <v>SRR14632934.bam</v>
      </c>
      <c r="E702" t="s">
        <v>2570</v>
      </c>
      <c r="G702" t="s">
        <v>2563</v>
      </c>
      <c r="H702" t="str">
        <f t="shared" si="21"/>
        <v>lob</v>
      </c>
      <c r="I702">
        <v>1</v>
      </c>
    </row>
    <row r="703" spans="1:9" x14ac:dyDescent="0.4">
      <c r="A703" t="s">
        <v>2573</v>
      </c>
      <c r="B703" t="str">
        <f t="shared" si="20"/>
        <v>SRR14632950.bam</v>
      </c>
      <c r="E703" t="s">
        <v>2570</v>
      </c>
      <c r="G703" t="s">
        <v>2563</v>
      </c>
      <c r="H703" t="str">
        <f t="shared" si="21"/>
        <v>lob</v>
      </c>
      <c r="I703">
        <v>1</v>
      </c>
    </row>
    <row r="704" spans="1:9" x14ac:dyDescent="0.4">
      <c r="A704" t="s">
        <v>2574</v>
      </c>
      <c r="B704" t="str">
        <f t="shared" si="20"/>
        <v>SRR14632955.bam</v>
      </c>
      <c r="E704" t="s">
        <v>2570</v>
      </c>
      <c r="G704" t="s">
        <v>2563</v>
      </c>
      <c r="H704" t="str">
        <f t="shared" si="21"/>
        <v>lob</v>
      </c>
      <c r="I704">
        <v>1</v>
      </c>
    </row>
    <row r="705" spans="1:9" x14ac:dyDescent="0.4">
      <c r="A705" t="s">
        <v>2575</v>
      </c>
      <c r="B705" t="str">
        <f t="shared" si="20"/>
        <v>SRR14632961.bam</v>
      </c>
      <c r="E705" t="s">
        <v>2570</v>
      </c>
      <c r="G705" t="s">
        <v>2563</v>
      </c>
      <c r="H705" t="str">
        <f t="shared" si="21"/>
        <v>lob</v>
      </c>
      <c r="I705">
        <v>1</v>
      </c>
    </row>
    <row r="706" spans="1:9" x14ac:dyDescent="0.4">
      <c r="A706" t="s">
        <v>2576</v>
      </c>
      <c r="B706" t="str">
        <f t="shared" ref="B706:B721" si="22">_xlfn.CONCAT(A706,".bam")</f>
        <v>SRR14632964.bam</v>
      </c>
      <c r="E706" t="s">
        <v>2570</v>
      </c>
      <c r="G706" t="s">
        <v>2563</v>
      </c>
      <c r="H706" t="str">
        <f t="shared" si="21"/>
        <v>lob</v>
      </c>
      <c r="I706">
        <v>1</v>
      </c>
    </row>
    <row r="707" spans="1:9" x14ac:dyDescent="0.4">
      <c r="A707" t="s">
        <v>2577</v>
      </c>
      <c r="B707" t="str">
        <f t="shared" si="22"/>
        <v>SRR14632967.bam</v>
      </c>
      <c r="E707" t="s">
        <v>2570</v>
      </c>
      <c r="G707" t="s">
        <v>2563</v>
      </c>
      <c r="H707" t="str">
        <f t="shared" ref="H707:H721" si="23">IF(ISERROR(FIND("x",LEFT(G707,LEN(G707)-7),1)),RIGHT(LEFT(G707,11),3),G707)</f>
        <v>lob</v>
      </c>
      <c r="I707">
        <v>1</v>
      </c>
    </row>
    <row r="708" spans="1:9" x14ac:dyDescent="0.4">
      <c r="A708" t="s">
        <v>2578</v>
      </c>
      <c r="B708" t="str">
        <f t="shared" si="22"/>
        <v>SRR14632968.bam</v>
      </c>
      <c r="E708" t="s">
        <v>2570</v>
      </c>
      <c r="G708" t="s">
        <v>2563</v>
      </c>
      <c r="H708" t="str">
        <f t="shared" si="23"/>
        <v>lob</v>
      </c>
      <c r="I708">
        <v>1</v>
      </c>
    </row>
    <row r="709" spans="1:9" x14ac:dyDescent="0.4">
      <c r="A709" t="s">
        <v>2579</v>
      </c>
      <c r="B709" t="str">
        <f t="shared" si="22"/>
        <v>SRR14632969.bam</v>
      </c>
      <c r="E709" t="s">
        <v>2570</v>
      </c>
      <c r="G709" t="s">
        <v>2563</v>
      </c>
      <c r="H709" t="str">
        <f t="shared" si="23"/>
        <v>lob</v>
      </c>
      <c r="I709">
        <v>1</v>
      </c>
    </row>
    <row r="710" spans="1:9" x14ac:dyDescent="0.4">
      <c r="A710" t="s">
        <v>2580</v>
      </c>
      <c r="B710" t="str">
        <f t="shared" si="22"/>
        <v>SRR14632970.bam</v>
      </c>
      <c r="E710" t="s">
        <v>2570</v>
      </c>
      <c r="G710" t="s">
        <v>2563</v>
      </c>
      <c r="H710" t="str">
        <f t="shared" si="23"/>
        <v>lob</v>
      </c>
      <c r="I710">
        <v>1</v>
      </c>
    </row>
    <row r="711" spans="1:9" x14ac:dyDescent="0.4">
      <c r="A711" t="s">
        <v>2581</v>
      </c>
      <c r="B711" t="str">
        <f t="shared" si="22"/>
        <v>SRR23696575.bam</v>
      </c>
      <c r="E711" t="s">
        <v>2584</v>
      </c>
      <c r="G711" t="s">
        <v>2582</v>
      </c>
      <c r="H711" t="str">
        <f t="shared" si="23"/>
        <v>rub</v>
      </c>
      <c r="I711">
        <v>1</v>
      </c>
    </row>
    <row r="712" spans="1:9" x14ac:dyDescent="0.4">
      <c r="A712" t="s">
        <v>2585</v>
      </c>
      <c r="B712" t="str">
        <f t="shared" si="22"/>
        <v>SRR24768713.bam</v>
      </c>
      <c r="E712" t="s">
        <v>2584</v>
      </c>
      <c r="G712" t="s">
        <v>2582</v>
      </c>
      <c r="H712" t="str">
        <f t="shared" si="23"/>
        <v>rub</v>
      </c>
      <c r="I712">
        <v>1</v>
      </c>
    </row>
    <row r="713" spans="1:9" x14ac:dyDescent="0.4">
      <c r="A713" t="s">
        <v>2586</v>
      </c>
      <c r="B713" t="str">
        <f t="shared" si="22"/>
        <v>SRR24768716.bam</v>
      </c>
      <c r="E713" t="s">
        <v>2584</v>
      </c>
      <c r="G713" t="s">
        <v>2582</v>
      </c>
      <c r="H713" t="str">
        <f t="shared" si="23"/>
        <v>rub</v>
      </c>
      <c r="I713">
        <v>1</v>
      </c>
    </row>
    <row r="714" spans="1:9" x14ac:dyDescent="0.4">
      <c r="A714" t="s">
        <v>2587</v>
      </c>
      <c r="B714" t="str">
        <f t="shared" si="22"/>
        <v>SRR24768719.bam</v>
      </c>
      <c r="E714" t="s">
        <v>2584</v>
      </c>
      <c r="G714" t="s">
        <v>2582</v>
      </c>
      <c r="H714" t="str">
        <f t="shared" si="23"/>
        <v>rub</v>
      </c>
      <c r="I714">
        <v>1</v>
      </c>
    </row>
    <row r="715" spans="1:9" x14ac:dyDescent="0.4">
      <c r="A715" t="s">
        <v>2588</v>
      </c>
      <c r="B715" t="str">
        <f t="shared" si="22"/>
        <v>SRR24768723.bam</v>
      </c>
      <c r="E715" t="s">
        <v>2584</v>
      </c>
      <c r="G715" t="s">
        <v>2582</v>
      </c>
      <c r="H715" t="str">
        <f t="shared" si="23"/>
        <v>rub</v>
      </c>
      <c r="I715">
        <v>1</v>
      </c>
    </row>
    <row r="716" spans="1:9" x14ac:dyDescent="0.4">
      <c r="A716" t="s">
        <v>2589</v>
      </c>
      <c r="B716" t="str">
        <f t="shared" si="22"/>
        <v>SRR24768728.bam</v>
      </c>
      <c r="E716" t="s">
        <v>2584</v>
      </c>
      <c r="G716" t="s">
        <v>2582</v>
      </c>
      <c r="H716" t="str">
        <f t="shared" si="23"/>
        <v>rub</v>
      </c>
      <c r="I716">
        <v>1</v>
      </c>
    </row>
    <row r="717" spans="1:9" x14ac:dyDescent="0.4">
      <c r="A717" t="s">
        <v>2590</v>
      </c>
      <c r="B717" t="str">
        <f t="shared" si="22"/>
        <v>SRR24768736.bam</v>
      </c>
      <c r="E717" t="s">
        <v>2584</v>
      </c>
      <c r="G717" t="s">
        <v>2582</v>
      </c>
      <c r="H717" t="str">
        <f t="shared" si="23"/>
        <v>rub</v>
      </c>
      <c r="I717">
        <v>1</v>
      </c>
    </row>
    <row r="718" spans="1:9" x14ac:dyDescent="0.4">
      <c r="A718" t="s">
        <v>2591</v>
      </c>
      <c r="B718" t="str">
        <f t="shared" si="22"/>
        <v>SRR24768744.bam</v>
      </c>
      <c r="E718" t="s">
        <v>2584</v>
      </c>
      <c r="G718" t="s">
        <v>2582</v>
      </c>
      <c r="H718" t="str">
        <f t="shared" si="23"/>
        <v>rub</v>
      </c>
      <c r="I718">
        <v>1</v>
      </c>
    </row>
    <row r="719" spans="1:9" x14ac:dyDescent="0.4">
      <c r="A719" t="s">
        <v>2592</v>
      </c>
      <c r="B719" t="str">
        <f t="shared" si="22"/>
        <v>SRR24768754.bam</v>
      </c>
      <c r="E719" t="s">
        <v>2584</v>
      </c>
      <c r="G719" t="s">
        <v>2582</v>
      </c>
      <c r="H719" t="str">
        <f t="shared" si="23"/>
        <v>rub</v>
      </c>
      <c r="I719">
        <v>1</v>
      </c>
    </row>
    <row r="720" spans="1:9" x14ac:dyDescent="0.4">
      <c r="A720" t="s">
        <v>2593</v>
      </c>
      <c r="B720" t="str">
        <f t="shared" si="22"/>
        <v>SRR24768763.bam</v>
      </c>
      <c r="E720" t="s">
        <v>2584</v>
      </c>
      <c r="G720" t="s">
        <v>2582</v>
      </c>
      <c r="H720" t="str">
        <f t="shared" si="23"/>
        <v>rub</v>
      </c>
      <c r="I720">
        <v>1</v>
      </c>
    </row>
    <row r="721" spans="1:9" x14ac:dyDescent="0.4">
      <c r="A721" t="s">
        <v>2594</v>
      </c>
      <c r="B721" t="str">
        <f t="shared" si="22"/>
        <v>SRR3244044.bam</v>
      </c>
      <c r="E721" t="s">
        <v>2584</v>
      </c>
      <c r="G721" t="s">
        <v>2563</v>
      </c>
      <c r="H721" t="str">
        <f t="shared" si="23"/>
        <v>lob</v>
      </c>
      <c r="I72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E8C7E-CDF0-434D-9188-828B77B3D358}">
  <dimension ref="A1:W76"/>
  <sheetViews>
    <sheetView topLeftCell="G2" workbookViewId="0">
      <pane ySplit="1" topLeftCell="A6" activePane="bottomLeft" state="frozen"/>
      <selection activeCell="A2" sqref="A2"/>
      <selection pane="bottomLeft" activeCell="O3" sqref="O3:O74"/>
    </sheetView>
  </sheetViews>
  <sheetFormatPr defaultRowHeight="14.6" x14ac:dyDescent="0.4"/>
  <sheetData>
    <row r="1" spans="1:23" x14ac:dyDescent="0.4">
      <c r="A1" s="4" t="s">
        <v>2619</v>
      </c>
      <c r="B1" s="4" t="s">
        <v>2617</v>
      </c>
      <c r="C1" s="5"/>
      <c r="D1" s="5"/>
      <c r="E1" s="5"/>
      <c r="F1" s="5"/>
      <c r="G1" s="5"/>
      <c r="H1" s="5"/>
      <c r="I1" s="5"/>
      <c r="J1" s="5"/>
      <c r="K1" s="5"/>
      <c r="L1" s="5"/>
      <c r="M1" s="5"/>
      <c r="N1" s="5"/>
      <c r="O1" s="5"/>
      <c r="P1" s="5"/>
      <c r="Q1" s="5"/>
      <c r="R1" s="5"/>
      <c r="S1" s="5"/>
      <c r="T1" s="5"/>
      <c r="U1" s="5"/>
      <c r="V1" s="5"/>
      <c r="W1" s="5"/>
    </row>
    <row r="2" spans="1:23" x14ac:dyDescent="0.4">
      <c r="A2" s="4" t="s">
        <v>2614</v>
      </c>
      <c r="B2" s="5" t="s">
        <v>2604</v>
      </c>
      <c r="C2" s="5" t="s">
        <v>2621</v>
      </c>
      <c r="D2" s="5" t="s">
        <v>2599</v>
      </c>
      <c r="E2" s="5" t="s">
        <v>2633</v>
      </c>
      <c r="F2" s="5" t="s">
        <v>2620</v>
      </c>
      <c r="G2" s="5" t="s">
        <v>2631</v>
      </c>
      <c r="H2" s="5" t="s">
        <v>2601</v>
      </c>
      <c r="I2" s="5" t="s">
        <v>2630</v>
      </c>
      <c r="J2" s="5" t="s">
        <v>2606</v>
      </c>
      <c r="K2" s="5" t="s">
        <v>2596</v>
      </c>
      <c r="L2" s="5" t="s">
        <v>2629</v>
      </c>
      <c r="M2" s="5" t="s">
        <v>2632</v>
      </c>
      <c r="N2" s="5" t="s">
        <v>2597</v>
      </c>
      <c r="O2" s="5" t="s">
        <v>2634</v>
      </c>
      <c r="P2" s="5" t="s">
        <v>2602</v>
      </c>
      <c r="Q2" s="5" t="s">
        <v>2600</v>
      </c>
      <c r="R2" s="5" t="s">
        <v>2603</v>
      </c>
      <c r="S2" s="5" t="s">
        <v>2607</v>
      </c>
      <c r="T2" s="5" t="s">
        <v>2605</v>
      </c>
      <c r="U2" s="5" t="s">
        <v>2598</v>
      </c>
      <c r="V2" s="5" t="s">
        <v>2615</v>
      </c>
      <c r="W2" s="5" t="s">
        <v>2616</v>
      </c>
    </row>
    <row r="3" spans="1:23" x14ac:dyDescent="0.4">
      <c r="A3" s="6" t="s">
        <v>2488</v>
      </c>
      <c r="B3" s="7"/>
      <c r="C3" s="7"/>
      <c r="D3" s="7">
        <v>5</v>
      </c>
      <c r="E3" s="7"/>
      <c r="F3" s="7"/>
      <c r="G3" s="7"/>
      <c r="H3" s="7"/>
      <c r="I3" s="7"/>
      <c r="J3" s="7"/>
      <c r="K3" s="7">
        <v>4</v>
      </c>
      <c r="L3" s="7"/>
      <c r="M3" s="7"/>
      <c r="N3" s="7">
        <v>5</v>
      </c>
      <c r="O3" s="7"/>
      <c r="P3" s="7"/>
      <c r="Q3" s="7">
        <v>2</v>
      </c>
      <c r="R3" s="7"/>
      <c r="S3" s="7"/>
      <c r="T3" s="7"/>
      <c r="U3" s="7">
        <v>5</v>
      </c>
      <c r="V3" s="7"/>
      <c r="W3" s="7">
        <v>21</v>
      </c>
    </row>
    <row r="4" spans="1:23" x14ac:dyDescent="0.4">
      <c r="A4" s="6" t="s">
        <v>2489</v>
      </c>
      <c r="B4" s="7"/>
      <c r="C4" s="7"/>
      <c r="D4" s="7"/>
      <c r="E4" s="7"/>
      <c r="F4" s="7"/>
      <c r="G4" s="7"/>
      <c r="H4" s="7"/>
      <c r="I4" s="7"/>
      <c r="J4" s="7"/>
      <c r="K4" s="7"/>
      <c r="L4" s="7"/>
      <c r="M4" s="7"/>
      <c r="N4" s="7">
        <v>5</v>
      </c>
      <c r="O4" s="7"/>
      <c r="P4" s="7"/>
      <c r="Q4" s="7"/>
      <c r="R4" s="7"/>
      <c r="S4" s="7"/>
      <c r="T4" s="7"/>
      <c r="U4" s="7"/>
      <c r="V4" s="7"/>
      <c r="W4" s="7">
        <v>5</v>
      </c>
    </row>
    <row r="5" spans="1:23" x14ac:dyDescent="0.4">
      <c r="A5" s="6" t="s">
        <v>2490</v>
      </c>
      <c r="B5" s="7"/>
      <c r="C5" s="7"/>
      <c r="D5" s="7"/>
      <c r="E5" s="7"/>
      <c r="F5" s="7"/>
      <c r="G5" s="7"/>
      <c r="H5" s="7">
        <v>1</v>
      </c>
      <c r="I5" s="7"/>
      <c r="J5" s="7"/>
      <c r="K5" s="7"/>
      <c r="L5" s="7"/>
      <c r="M5" s="7"/>
      <c r="N5" s="7">
        <v>4</v>
      </c>
      <c r="O5" s="7"/>
      <c r="P5" s="7"/>
      <c r="Q5" s="7"/>
      <c r="R5" s="7"/>
      <c r="S5" s="7"/>
      <c r="T5" s="7"/>
      <c r="U5" s="7"/>
      <c r="V5" s="7"/>
      <c r="W5" s="7">
        <v>5</v>
      </c>
    </row>
    <row r="6" spans="1:23" x14ac:dyDescent="0.4">
      <c r="A6" s="6" t="s">
        <v>2491</v>
      </c>
      <c r="B6" s="7"/>
      <c r="C6" s="7"/>
      <c r="D6" s="7">
        <v>5</v>
      </c>
      <c r="E6" s="7"/>
      <c r="F6" s="7"/>
      <c r="G6" s="7"/>
      <c r="H6" s="7">
        <v>2</v>
      </c>
      <c r="I6" s="7"/>
      <c r="J6" s="7"/>
      <c r="K6" s="7"/>
      <c r="L6" s="7"/>
      <c r="M6" s="7"/>
      <c r="N6" s="7">
        <v>2</v>
      </c>
      <c r="O6" s="7"/>
      <c r="P6" s="7"/>
      <c r="Q6" s="7">
        <v>6</v>
      </c>
      <c r="R6" s="7"/>
      <c r="S6" s="7"/>
      <c r="T6" s="7"/>
      <c r="U6" s="7"/>
      <c r="V6" s="7"/>
      <c r="W6" s="7">
        <v>15</v>
      </c>
    </row>
    <row r="7" spans="1:23" x14ac:dyDescent="0.4">
      <c r="A7" s="6" t="s">
        <v>2492</v>
      </c>
      <c r="B7" s="7"/>
      <c r="C7" s="7"/>
      <c r="D7" s="7">
        <v>5</v>
      </c>
      <c r="E7" s="7"/>
      <c r="F7" s="7"/>
      <c r="G7" s="7"/>
      <c r="H7" s="7"/>
      <c r="I7" s="7"/>
      <c r="J7" s="7"/>
      <c r="K7" s="7"/>
      <c r="L7" s="7"/>
      <c r="M7" s="7"/>
      <c r="N7" s="7">
        <v>5</v>
      </c>
      <c r="O7" s="7"/>
      <c r="P7" s="7"/>
      <c r="Q7" s="7"/>
      <c r="R7" s="7"/>
      <c r="S7" s="7"/>
      <c r="T7" s="7"/>
      <c r="U7" s="7"/>
      <c r="V7" s="7"/>
      <c r="W7" s="7">
        <v>10</v>
      </c>
    </row>
    <row r="8" spans="1:23" x14ac:dyDescent="0.4">
      <c r="A8" s="6" t="s">
        <v>2493</v>
      </c>
      <c r="B8" s="7"/>
      <c r="C8" s="7"/>
      <c r="D8" s="7"/>
      <c r="E8" s="7"/>
      <c r="F8" s="7"/>
      <c r="G8" s="7"/>
      <c r="H8" s="7"/>
      <c r="I8" s="7"/>
      <c r="J8" s="7"/>
      <c r="K8" s="7"/>
      <c r="L8" s="7"/>
      <c r="M8" s="7"/>
      <c r="N8" s="7"/>
      <c r="O8" s="7"/>
      <c r="P8" s="7">
        <v>3</v>
      </c>
      <c r="Q8" s="7"/>
      <c r="R8" s="7"/>
      <c r="S8" s="7"/>
      <c r="T8" s="7"/>
      <c r="U8" s="7"/>
      <c r="V8" s="7"/>
      <c r="W8" s="7">
        <v>3</v>
      </c>
    </row>
    <row r="9" spans="1:23" x14ac:dyDescent="0.4">
      <c r="A9" s="6" t="s">
        <v>2494</v>
      </c>
      <c r="B9" s="7"/>
      <c r="C9" s="7"/>
      <c r="D9" s="7">
        <v>6</v>
      </c>
      <c r="E9" s="7"/>
      <c r="F9" s="7"/>
      <c r="G9" s="7"/>
      <c r="H9" s="7">
        <v>1</v>
      </c>
      <c r="I9" s="7"/>
      <c r="J9" s="7"/>
      <c r="K9" s="7"/>
      <c r="L9" s="7"/>
      <c r="M9" s="7"/>
      <c r="N9" s="7">
        <v>6</v>
      </c>
      <c r="O9" s="7"/>
      <c r="P9" s="7"/>
      <c r="Q9" s="7"/>
      <c r="R9" s="7"/>
      <c r="S9" s="7"/>
      <c r="T9" s="7"/>
      <c r="U9" s="7"/>
      <c r="V9" s="7"/>
      <c r="W9" s="7">
        <v>13</v>
      </c>
    </row>
    <row r="10" spans="1:23" x14ac:dyDescent="0.4">
      <c r="A10" s="6" t="s">
        <v>2495</v>
      </c>
      <c r="B10" s="7"/>
      <c r="C10" s="7"/>
      <c r="D10" s="7"/>
      <c r="E10" s="7"/>
      <c r="F10" s="7"/>
      <c r="G10" s="7"/>
      <c r="H10" s="7"/>
      <c r="I10" s="7"/>
      <c r="J10" s="7"/>
      <c r="K10" s="7">
        <v>4</v>
      </c>
      <c r="L10" s="7">
        <v>1</v>
      </c>
      <c r="M10" s="7"/>
      <c r="N10" s="7">
        <v>5</v>
      </c>
      <c r="O10" s="7"/>
      <c r="P10" s="7"/>
      <c r="Q10" s="7"/>
      <c r="R10" s="7"/>
      <c r="S10" s="7"/>
      <c r="T10" s="7"/>
      <c r="U10" s="7"/>
      <c r="V10" s="7"/>
      <c r="W10" s="7">
        <v>10</v>
      </c>
    </row>
    <row r="11" spans="1:23" x14ac:dyDescent="0.4">
      <c r="A11" s="6" t="s">
        <v>2496</v>
      </c>
      <c r="B11" s="7"/>
      <c r="C11" s="7"/>
      <c r="D11" s="7">
        <v>5</v>
      </c>
      <c r="E11" s="7"/>
      <c r="F11" s="7"/>
      <c r="G11" s="7"/>
      <c r="H11" s="7">
        <v>4</v>
      </c>
      <c r="I11" s="7">
        <v>1</v>
      </c>
      <c r="J11" s="7"/>
      <c r="K11" s="7"/>
      <c r="L11" s="7"/>
      <c r="M11" s="7"/>
      <c r="N11" s="7">
        <v>5</v>
      </c>
      <c r="O11" s="7"/>
      <c r="P11" s="7"/>
      <c r="Q11" s="7"/>
      <c r="R11" s="7"/>
      <c r="S11" s="7"/>
      <c r="T11" s="7"/>
      <c r="U11" s="7"/>
      <c r="V11" s="7"/>
      <c r="W11" s="7">
        <v>15</v>
      </c>
    </row>
    <row r="12" spans="1:23" x14ac:dyDescent="0.4">
      <c r="A12" s="6" t="s">
        <v>2497</v>
      </c>
      <c r="B12" s="7"/>
      <c r="C12" s="7"/>
      <c r="D12" s="7"/>
      <c r="E12" s="7"/>
      <c r="F12" s="7"/>
      <c r="G12" s="7"/>
      <c r="H12" s="7"/>
      <c r="I12" s="7"/>
      <c r="J12" s="7"/>
      <c r="K12" s="7"/>
      <c r="L12" s="7"/>
      <c r="M12" s="7"/>
      <c r="N12" s="7">
        <v>2</v>
      </c>
      <c r="O12" s="7"/>
      <c r="P12" s="7"/>
      <c r="Q12" s="7"/>
      <c r="R12" s="7"/>
      <c r="S12" s="7"/>
      <c r="T12" s="7"/>
      <c r="U12" s="7"/>
      <c r="V12" s="7"/>
      <c r="W12" s="7">
        <v>2</v>
      </c>
    </row>
    <row r="13" spans="1:23" x14ac:dyDescent="0.4">
      <c r="A13" s="6" t="s">
        <v>2503</v>
      </c>
      <c r="B13" s="7"/>
      <c r="C13" s="7"/>
      <c r="D13" s="7"/>
      <c r="E13" s="7"/>
      <c r="F13" s="7"/>
      <c r="G13" s="7"/>
      <c r="H13" s="7"/>
      <c r="I13" s="7"/>
      <c r="J13" s="7"/>
      <c r="K13" s="7"/>
      <c r="L13" s="7"/>
      <c r="M13" s="7"/>
      <c r="N13" s="7">
        <v>10</v>
      </c>
      <c r="O13" s="7"/>
      <c r="P13" s="7"/>
      <c r="Q13" s="7"/>
      <c r="R13" s="7"/>
      <c r="S13" s="7"/>
      <c r="T13" s="7"/>
      <c r="U13" s="7"/>
      <c r="V13" s="7"/>
      <c r="W13" s="7">
        <v>10</v>
      </c>
    </row>
    <row r="14" spans="1:23" x14ac:dyDescent="0.4">
      <c r="A14" s="6" t="s">
        <v>2498</v>
      </c>
      <c r="B14" s="7"/>
      <c r="C14" s="7"/>
      <c r="D14" s="7">
        <v>5</v>
      </c>
      <c r="E14" s="7"/>
      <c r="F14" s="7"/>
      <c r="G14" s="7"/>
      <c r="H14" s="7"/>
      <c r="I14" s="7"/>
      <c r="J14" s="7"/>
      <c r="K14" s="7"/>
      <c r="L14" s="7"/>
      <c r="M14" s="7"/>
      <c r="N14" s="7"/>
      <c r="O14" s="7"/>
      <c r="P14" s="7"/>
      <c r="Q14" s="7"/>
      <c r="R14" s="7"/>
      <c r="S14" s="7"/>
      <c r="T14" s="7"/>
      <c r="U14" s="7"/>
      <c r="V14" s="7"/>
      <c r="W14" s="7">
        <v>5</v>
      </c>
    </row>
    <row r="15" spans="1:23" x14ac:dyDescent="0.4">
      <c r="A15" s="6" t="s">
        <v>2499</v>
      </c>
      <c r="B15" s="7"/>
      <c r="C15" s="7"/>
      <c r="D15" s="7"/>
      <c r="E15" s="7"/>
      <c r="F15" s="7"/>
      <c r="G15" s="7"/>
      <c r="H15" s="7"/>
      <c r="I15" s="7"/>
      <c r="J15" s="7"/>
      <c r="K15" s="7"/>
      <c r="L15" s="7"/>
      <c r="M15" s="7"/>
      <c r="N15" s="7">
        <v>1</v>
      </c>
      <c r="O15" s="7"/>
      <c r="P15" s="7"/>
      <c r="Q15" s="7"/>
      <c r="R15" s="7"/>
      <c r="S15" s="7"/>
      <c r="T15" s="7"/>
      <c r="U15" s="7"/>
      <c r="V15" s="7"/>
      <c r="W15" s="7">
        <v>1</v>
      </c>
    </row>
    <row r="16" spans="1:23" x14ac:dyDescent="0.4">
      <c r="A16" s="6" t="s">
        <v>2500</v>
      </c>
      <c r="B16" s="7"/>
      <c r="C16" s="7"/>
      <c r="D16" s="7"/>
      <c r="E16" s="7"/>
      <c r="F16" s="7"/>
      <c r="G16" s="7"/>
      <c r="H16" s="7"/>
      <c r="I16" s="7"/>
      <c r="J16" s="7"/>
      <c r="K16" s="7"/>
      <c r="L16" s="7"/>
      <c r="M16" s="7"/>
      <c r="N16" s="7">
        <v>2</v>
      </c>
      <c r="O16" s="7"/>
      <c r="P16" s="7"/>
      <c r="Q16" s="7">
        <v>5</v>
      </c>
      <c r="R16" s="7"/>
      <c r="S16" s="7"/>
      <c r="T16" s="7"/>
      <c r="U16" s="7"/>
      <c r="V16" s="7"/>
      <c r="W16" s="7">
        <v>7</v>
      </c>
    </row>
    <row r="17" spans="1:23" x14ac:dyDescent="0.4">
      <c r="A17" s="6" t="s">
        <v>2501</v>
      </c>
      <c r="B17" s="7"/>
      <c r="C17" s="7"/>
      <c r="D17" s="7">
        <v>4</v>
      </c>
      <c r="E17" s="7"/>
      <c r="F17" s="7"/>
      <c r="G17" s="7"/>
      <c r="H17" s="7">
        <v>2</v>
      </c>
      <c r="I17" s="7"/>
      <c r="J17" s="7"/>
      <c r="K17" s="7"/>
      <c r="L17" s="7"/>
      <c r="M17" s="7"/>
      <c r="N17" s="7">
        <v>1</v>
      </c>
      <c r="O17" s="7"/>
      <c r="P17" s="7"/>
      <c r="Q17" s="7">
        <v>3</v>
      </c>
      <c r="R17" s="7"/>
      <c r="S17" s="7"/>
      <c r="T17" s="7"/>
      <c r="U17" s="7"/>
      <c r="V17" s="7"/>
      <c r="W17" s="7">
        <v>10</v>
      </c>
    </row>
    <row r="18" spans="1:23" x14ac:dyDescent="0.4">
      <c r="A18" s="6" t="s">
        <v>2502</v>
      </c>
      <c r="B18" s="7"/>
      <c r="C18" s="7"/>
      <c r="D18" s="7">
        <v>3</v>
      </c>
      <c r="E18" s="7"/>
      <c r="F18" s="7"/>
      <c r="G18" s="7">
        <v>1</v>
      </c>
      <c r="H18" s="7">
        <v>3</v>
      </c>
      <c r="I18" s="7"/>
      <c r="J18" s="7"/>
      <c r="K18" s="7"/>
      <c r="L18" s="7"/>
      <c r="M18" s="7"/>
      <c r="N18" s="7">
        <v>3</v>
      </c>
      <c r="O18" s="7"/>
      <c r="P18" s="7"/>
      <c r="Q18" s="7">
        <v>4</v>
      </c>
      <c r="R18" s="7"/>
      <c r="S18" s="7"/>
      <c r="T18" s="7"/>
      <c r="U18" s="7"/>
      <c r="V18" s="7"/>
      <c r="W18" s="7">
        <v>14</v>
      </c>
    </row>
    <row r="19" spans="1:23" x14ac:dyDescent="0.4">
      <c r="A19" s="6" t="s">
        <v>2506</v>
      </c>
      <c r="B19" s="7"/>
      <c r="C19" s="7"/>
      <c r="D19" s="7"/>
      <c r="E19" s="7"/>
      <c r="F19" s="7"/>
      <c r="G19" s="7"/>
      <c r="H19" s="7"/>
      <c r="I19" s="7"/>
      <c r="J19" s="7"/>
      <c r="K19" s="7"/>
      <c r="L19" s="7"/>
      <c r="M19" s="7"/>
      <c r="N19" s="7"/>
      <c r="O19" s="7"/>
      <c r="P19" s="7"/>
      <c r="Q19" s="7"/>
      <c r="R19" s="7">
        <v>2</v>
      </c>
      <c r="S19" s="7"/>
      <c r="T19" s="7"/>
      <c r="U19" s="7"/>
      <c r="V19" s="7"/>
      <c r="W19" s="7">
        <v>2</v>
      </c>
    </row>
    <row r="20" spans="1:23" x14ac:dyDescent="0.4">
      <c r="A20" s="6" t="s">
        <v>2507</v>
      </c>
      <c r="B20" s="7"/>
      <c r="C20" s="7"/>
      <c r="D20" s="7"/>
      <c r="E20" s="7"/>
      <c r="F20" s="7"/>
      <c r="G20" s="7"/>
      <c r="H20" s="7"/>
      <c r="I20" s="7"/>
      <c r="J20" s="7"/>
      <c r="K20" s="7"/>
      <c r="L20" s="7"/>
      <c r="M20" s="7"/>
      <c r="N20" s="7">
        <v>5</v>
      </c>
      <c r="O20" s="7"/>
      <c r="P20" s="7"/>
      <c r="Q20" s="7">
        <v>5</v>
      </c>
      <c r="R20" s="7"/>
      <c r="S20" s="7"/>
      <c r="T20" s="7"/>
      <c r="U20" s="7"/>
      <c r="V20" s="7"/>
      <c r="W20" s="7">
        <v>10</v>
      </c>
    </row>
    <row r="21" spans="1:23" x14ac:dyDescent="0.4">
      <c r="A21" s="6" t="s">
        <v>2548</v>
      </c>
      <c r="B21" s="7"/>
      <c r="C21" s="7"/>
      <c r="D21" s="7"/>
      <c r="E21" s="7"/>
      <c r="F21" s="7"/>
      <c r="G21" s="7"/>
      <c r="H21" s="7"/>
      <c r="I21" s="7"/>
      <c r="J21" s="7"/>
      <c r="K21" s="7"/>
      <c r="L21" s="7"/>
      <c r="M21" s="7"/>
      <c r="N21" s="7">
        <v>6</v>
      </c>
      <c r="O21" s="7"/>
      <c r="P21" s="7"/>
      <c r="Q21" s="7"/>
      <c r="R21" s="7"/>
      <c r="S21" s="7"/>
      <c r="T21" s="7"/>
      <c r="U21" s="7"/>
      <c r="V21" s="7"/>
      <c r="W21" s="7">
        <v>6</v>
      </c>
    </row>
    <row r="22" spans="1:23" x14ac:dyDescent="0.4">
      <c r="A22" s="6" t="s">
        <v>2526</v>
      </c>
      <c r="B22" s="7"/>
      <c r="C22" s="7"/>
      <c r="D22" s="7"/>
      <c r="E22" s="7"/>
      <c r="F22" s="7"/>
      <c r="G22" s="7"/>
      <c r="H22" s="7"/>
      <c r="I22" s="7"/>
      <c r="J22" s="7"/>
      <c r="K22" s="7"/>
      <c r="L22" s="7"/>
      <c r="M22" s="7"/>
      <c r="N22" s="7">
        <v>10</v>
      </c>
      <c r="O22" s="7"/>
      <c r="P22" s="7"/>
      <c r="Q22" s="7"/>
      <c r="R22" s="7"/>
      <c r="S22" s="7"/>
      <c r="T22" s="7"/>
      <c r="U22" s="7"/>
      <c r="V22" s="7"/>
      <c r="W22" s="7">
        <v>10</v>
      </c>
    </row>
    <row r="23" spans="1:23" x14ac:dyDescent="0.4">
      <c r="A23" s="6" t="s">
        <v>2508</v>
      </c>
      <c r="B23" s="7"/>
      <c r="C23" s="7"/>
      <c r="D23" s="7">
        <v>5</v>
      </c>
      <c r="E23" s="7"/>
      <c r="F23" s="7"/>
      <c r="G23" s="7"/>
      <c r="H23" s="7"/>
      <c r="I23" s="7"/>
      <c r="J23" s="7"/>
      <c r="K23" s="7"/>
      <c r="L23" s="7"/>
      <c r="M23" s="7"/>
      <c r="N23" s="7">
        <v>5</v>
      </c>
      <c r="O23" s="7"/>
      <c r="P23" s="7"/>
      <c r="Q23" s="7">
        <v>5</v>
      </c>
      <c r="R23" s="7"/>
      <c r="S23" s="7"/>
      <c r="T23" s="7"/>
      <c r="U23" s="7">
        <v>5</v>
      </c>
      <c r="V23" s="7"/>
      <c r="W23" s="7">
        <v>20</v>
      </c>
    </row>
    <row r="24" spans="1:23" x14ac:dyDescent="0.4">
      <c r="A24" s="6" t="s">
        <v>2509</v>
      </c>
      <c r="B24" s="7"/>
      <c r="C24" s="7"/>
      <c r="D24" s="7"/>
      <c r="E24" s="7"/>
      <c r="F24" s="7"/>
      <c r="G24" s="7"/>
      <c r="H24" s="7"/>
      <c r="I24" s="7"/>
      <c r="J24" s="7"/>
      <c r="K24" s="7"/>
      <c r="L24" s="7"/>
      <c r="M24" s="7"/>
      <c r="N24" s="7">
        <v>5</v>
      </c>
      <c r="O24" s="7"/>
      <c r="P24" s="7"/>
      <c r="Q24" s="7">
        <v>5</v>
      </c>
      <c r="R24" s="7"/>
      <c r="S24" s="7"/>
      <c r="T24" s="7"/>
      <c r="U24" s="7"/>
      <c r="V24" s="7"/>
      <c r="W24" s="7">
        <v>10</v>
      </c>
    </row>
    <row r="25" spans="1:23" x14ac:dyDescent="0.4">
      <c r="A25" s="6" t="s">
        <v>2510</v>
      </c>
      <c r="B25" s="7"/>
      <c r="C25" s="7"/>
      <c r="D25" s="7"/>
      <c r="E25" s="7"/>
      <c r="F25" s="7"/>
      <c r="G25" s="7"/>
      <c r="H25" s="7"/>
      <c r="I25" s="7"/>
      <c r="J25" s="7"/>
      <c r="K25" s="7"/>
      <c r="L25" s="7"/>
      <c r="M25" s="7"/>
      <c r="N25" s="7">
        <v>5</v>
      </c>
      <c r="O25" s="7"/>
      <c r="P25" s="7"/>
      <c r="Q25" s="7">
        <v>5</v>
      </c>
      <c r="R25" s="7"/>
      <c r="S25" s="7"/>
      <c r="T25" s="7"/>
      <c r="U25" s="7"/>
      <c r="V25" s="7"/>
      <c r="W25" s="7">
        <v>10</v>
      </c>
    </row>
    <row r="26" spans="1:23" x14ac:dyDescent="0.4">
      <c r="A26" s="6" t="s">
        <v>2511</v>
      </c>
      <c r="B26" s="7"/>
      <c r="C26" s="7"/>
      <c r="D26" s="7"/>
      <c r="E26" s="7"/>
      <c r="F26" s="7"/>
      <c r="G26" s="7"/>
      <c r="H26" s="7"/>
      <c r="I26" s="7"/>
      <c r="J26" s="7"/>
      <c r="K26" s="7"/>
      <c r="L26" s="7"/>
      <c r="M26" s="7"/>
      <c r="N26" s="7">
        <v>1</v>
      </c>
      <c r="O26" s="7"/>
      <c r="P26" s="7"/>
      <c r="Q26" s="7">
        <v>2</v>
      </c>
      <c r="R26" s="7"/>
      <c r="S26" s="7"/>
      <c r="T26" s="7"/>
      <c r="U26" s="7"/>
      <c r="V26" s="7"/>
      <c r="W26" s="7">
        <v>3</v>
      </c>
    </row>
    <row r="27" spans="1:23" x14ac:dyDescent="0.4">
      <c r="A27" s="6" t="s">
        <v>2512</v>
      </c>
      <c r="B27" s="7"/>
      <c r="C27" s="7"/>
      <c r="D27" s="7"/>
      <c r="E27" s="7"/>
      <c r="F27" s="7"/>
      <c r="G27" s="7"/>
      <c r="H27" s="7"/>
      <c r="I27" s="7"/>
      <c r="J27" s="7"/>
      <c r="K27" s="7"/>
      <c r="L27" s="7"/>
      <c r="M27" s="7"/>
      <c r="N27" s="7">
        <v>5</v>
      </c>
      <c r="O27" s="7"/>
      <c r="P27" s="7"/>
      <c r="Q27" s="7"/>
      <c r="R27" s="7"/>
      <c r="S27" s="7"/>
      <c r="T27" s="7"/>
      <c r="U27" s="7"/>
      <c r="V27" s="7"/>
      <c r="W27" s="7">
        <v>5</v>
      </c>
    </row>
    <row r="28" spans="1:23" x14ac:dyDescent="0.4">
      <c r="A28" s="6" t="s">
        <v>2513</v>
      </c>
      <c r="B28" s="7"/>
      <c r="C28" s="7"/>
      <c r="D28" s="7">
        <v>3</v>
      </c>
      <c r="E28" s="7"/>
      <c r="F28" s="7">
        <v>1</v>
      </c>
      <c r="G28" s="7"/>
      <c r="H28" s="7"/>
      <c r="I28" s="7"/>
      <c r="J28" s="7"/>
      <c r="K28" s="7">
        <v>4</v>
      </c>
      <c r="L28" s="7"/>
      <c r="M28" s="7">
        <v>1</v>
      </c>
      <c r="N28" s="7"/>
      <c r="O28" s="7"/>
      <c r="P28" s="7">
        <v>3</v>
      </c>
      <c r="Q28" s="7">
        <v>3</v>
      </c>
      <c r="R28" s="7"/>
      <c r="S28" s="7"/>
      <c r="T28" s="7"/>
      <c r="U28" s="7"/>
      <c r="V28" s="7"/>
      <c r="W28" s="7">
        <v>15</v>
      </c>
    </row>
    <row r="29" spans="1:23" x14ac:dyDescent="0.4">
      <c r="A29" s="6" t="s">
        <v>2514</v>
      </c>
      <c r="B29" s="7"/>
      <c r="C29" s="7"/>
      <c r="D29" s="7"/>
      <c r="E29" s="7"/>
      <c r="F29" s="7"/>
      <c r="G29" s="7"/>
      <c r="H29" s="7"/>
      <c r="I29" s="7"/>
      <c r="J29" s="7"/>
      <c r="K29" s="7"/>
      <c r="L29" s="7"/>
      <c r="M29" s="7"/>
      <c r="N29" s="7">
        <v>4</v>
      </c>
      <c r="O29" s="7"/>
      <c r="P29" s="7"/>
      <c r="Q29" s="7"/>
      <c r="R29" s="7"/>
      <c r="S29" s="7"/>
      <c r="T29" s="7"/>
      <c r="U29" s="7"/>
      <c r="V29" s="7"/>
      <c r="W29" s="7">
        <v>4</v>
      </c>
    </row>
    <row r="30" spans="1:23" x14ac:dyDescent="0.4">
      <c r="A30" s="6" t="s">
        <v>2515</v>
      </c>
      <c r="B30" s="7"/>
      <c r="C30" s="7"/>
      <c r="D30" s="7">
        <v>2</v>
      </c>
      <c r="E30" s="7"/>
      <c r="F30" s="7"/>
      <c r="G30" s="7"/>
      <c r="H30" s="7"/>
      <c r="I30" s="7"/>
      <c r="J30" s="7"/>
      <c r="K30" s="7"/>
      <c r="L30" s="7"/>
      <c r="M30" s="7"/>
      <c r="N30" s="7">
        <v>1</v>
      </c>
      <c r="O30" s="7"/>
      <c r="P30" s="7"/>
      <c r="Q30" s="7">
        <v>5</v>
      </c>
      <c r="R30" s="7"/>
      <c r="S30" s="7"/>
      <c r="T30" s="7"/>
      <c r="U30" s="7"/>
      <c r="V30" s="7"/>
      <c r="W30" s="7">
        <v>8</v>
      </c>
    </row>
    <row r="31" spans="1:23" x14ac:dyDescent="0.4">
      <c r="A31" s="6" t="s">
        <v>2516</v>
      </c>
      <c r="B31" s="7"/>
      <c r="C31" s="7"/>
      <c r="D31" s="7">
        <v>3</v>
      </c>
      <c r="E31" s="7"/>
      <c r="F31" s="7"/>
      <c r="G31" s="7"/>
      <c r="H31" s="7"/>
      <c r="I31" s="7"/>
      <c r="J31" s="7"/>
      <c r="K31" s="7"/>
      <c r="L31" s="7"/>
      <c r="M31" s="7"/>
      <c r="N31" s="7">
        <v>1</v>
      </c>
      <c r="O31" s="7"/>
      <c r="P31" s="7"/>
      <c r="Q31" s="7"/>
      <c r="R31" s="7"/>
      <c r="S31" s="7"/>
      <c r="T31" s="7"/>
      <c r="U31" s="7"/>
      <c r="V31" s="7"/>
      <c r="W31" s="7">
        <v>4</v>
      </c>
    </row>
    <row r="32" spans="1:23" x14ac:dyDescent="0.4">
      <c r="A32" s="6" t="s">
        <v>2517</v>
      </c>
      <c r="B32" s="7"/>
      <c r="C32" s="7"/>
      <c r="D32" s="7"/>
      <c r="E32" s="7"/>
      <c r="F32" s="7"/>
      <c r="G32" s="7"/>
      <c r="H32" s="7"/>
      <c r="I32" s="7"/>
      <c r="J32" s="7"/>
      <c r="K32" s="7"/>
      <c r="L32" s="7"/>
      <c r="M32" s="7"/>
      <c r="N32" s="7">
        <v>5</v>
      </c>
      <c r="O32" s="7"/>
      <c r="P32" s="7"/>
      <c r="Q32" s="7"/>
      <c r="R32" s="7"/>
      <c r="S32" s="7"/>
      <c r="T32" s="7"/>
      <c r="U32" s="7"/>
      <c r="V32" s="7"/>
      <c r="W32" s="7">
        <v>5</v>
      </c>
    </row>
    <row r="33" spans="1:23" x14ac:dyDescent="0.4">
      <c r="A33" s="6" t="s">
        <v>2518</v>
      </c>
      <c r="B33" s="7"/>
      <c r="C33" s="7"/>
      <c r="D33" s="7">
        <v>2</v>
      </c>
      <c r="E33" s="7"/>
      <c r="F33" s="7"/>
      <c r="G33" s="7"/>
      <c r="H33" s="7"/>
      <c r="I33" s="7"/>
      <c r="J33" s="7"/>
      <c r="K33" s="7"/>
      <c r="L33" s="7"/>
      <c r="M33" s="7"/>
      <c r="N33" s="7">
        <v>4</v>
      </c>
      <c r="O33" s="7"/>
      <c r="P33" s="7"/>
      <c r="Q33" s="7"/>
      <c r="R33" s="7"/>
      <c r="S33" s="7"/>
      <c r="T33" s="7"/>
      <c r="U33" s="7"/>
      <c r="V33" s="7"/>
      <c r="W33" s="7">
        <v>6</v>
      </c>
    </row>
    <row r="34" spans="1:23" x14ac:dyDescent="0.4">
      <c r="A34" s="6" t="s">
        <v>2521</v>
      </c>
      <c r="B34" s="7"/>
      <c r="C34" s="7"/>
      <c r="D34" s="7"/>
      <c r="E34" s="7"/>
      <c r="F34" s="7"/>
      <c r="G34" s="7"/>
      <c r="H34" s="7"/>
      <c r="I34" s="7"/>
      <c r="J34" s="7"/>
      <c r="K34" s="7"/>
      <c r="L34" s="7"/>
      <c r="M34" s="7"/>
      <c r="N34" s="7">
        <v>10</v>
      </c>
      <c r="O34" s="7"/>
      <c r="P34" s="7"/>
      <c r="Q34" s="7"/>
      <c r="R34" s="7"/>
      <c r="S34" s="7"/>
      <c r="T34" s="7"/>
      <c r="U34" s="7"/>
      <c r="V34" s="7"/>
      <c r="W34" s="7">
        <v>10</v>
      </c>
    </row>
    <row r="35" spans="1:23" x14ac:dyDescent="0.4">
      <c r="A35" s="6" t="s">
        <v>2520</v>
      </c>
      <c r="B35" s="7"/>
      <c r="C35" s="7"/>
      <c r="D35" s="7"/>
      <c r="E35" s="7"/>
      <c r="F35" s="7"/>
      <c r="G35" s="7"/>
      <c r="H35" s="7"/>
      <c r="I35" s="7"/>
      <c r="J35" s="7"/>
      <c r="K35" s="7"/>
      <c r="L35" s="7"/>
      <c r="M35" s="7"/>
      <c r="N35" s="7">
        <v>10</v>
      </c>
      <c r="O35" s="7"/>
      <c r="P35" s="7"/>
      <c r="Q35" s="7"/>
      <c r="R35" s="7"/>
      <c r="S35" s="7"/>
      <c r="T35" s="7"/>
      <c r="U35" s="7"/>
      <c r="V35" s="7"/>
      <c r="W35" s="7">
        <v>10</v>
      </c>
    </row>
    <row r="36" spans="1:23" x14ac:dyDescent="0.4">
      <c r="A36" s="6" t="s">
        <v>2519</v>
      </c>
      <c r="B36" s="7"/>
      <c r="C36" s="7"/>
      <c r="D36" s="7"/>
      <c r="E36" s="7"/>
      <c r="F36" s="7"/>
      <c r="G36" s="7"/>
      <c r="H36" s="7"/>
      <c r="I36" s="7"/>
      <c r="J36" s="7"/>
      <c r="K36" s="7"/>
      <c r="L36" s="7"/>
      <c r="M36" s="7"/>
      <c r="N36" s="7">
        <v>10</v>
      </c>
      <c r="O36" s="7"/>
      <c r="P36" s="7"/>
      <c r="Q36" s="7"/>
      <c r="R36" s="7"/>
      <c r="S36" s="7"/>
      <c r="T36" s="7"/>
      <c r="U36" s="7"/>
      <c r="V36" s="7"/>
      <c r="W36" s="7">
        <v>10</v>
      </c>
    </row>
    <row r="37" spans="1:23" x14ac:dyDescent="0.4">
      <c r="A37" s="6" t="s">
        <v>2523</v>
      </c>
      <c r="B37" s="7"/>
      <c r="C37" s="7"/>
      <c r="D37" s="7">
        <v>5</v>
      </c>
      <c r="E37" s="7"/>
      <c r="F37" s="7"/>
      <c r="G37" s="7"/>
      <c r="H37" s="7">
        <v>5</v>
      </c>
      <c r="I37" s="7"/>
      <c r="J37" s="7"/>
      <c r="K37" s="7"/>
      <c r="L37" s="7"/>
      <c r="M37" s="7"/>
      <c r="N37" s="7">
        <v>1</v>
      </c>
      <c r="O37" s="7"/>
      <c r="P37" s="7"/>
      <c r="Q37" s="7"/>
      <c r="R37" s="7"/>
      <c r="S37" s="7"/>
      <c r="T37" s="7"/>
      <c r="U37" s="7"/>
      <c r="V37" s="7"/>
      <c r="W37" s="7">
        <v>11</v>
      </c>
    </row>
    <row r="38" spans="1:23" x14ac:dyDescent="0.4">
      <c r="A38" s="6" t="s">
        <v>2525</v>
      </c>
      <c r="B38" s="7"/>
      <c r="C38" s="7"/>
      <c r="D38" s="7"/>
      <c r="E38" s="7"/>
      <c r="F38" s="7"/>
      <c r="G38" s="7"/>
      <c r="H38" s="7"/>
      <c r="I38" s="7">
        <v>2</v>
      </c>
      <c r="J38" s="7"/>
      <c r="K38" s="7"/>
      <c r="L38" s="7"/>
      <c r="M38" s="7"/>
      <c r="N38" s="7">
        <v>9</v>
      </c>
      <c r="O38" s="7"/>
      <c r="P38" s="7"/>
      <c r="Q38" s="7"/>
      <c r="R38" s="7"/>
      <c r="S38" s="7"/>
      <c r="T38" s="7"/>
      <c r="U38" s="7"/>
      <c r="V38" s="7"/>
      <c r="W38" s="7">
        <v>11</v>
      </c>
    </row>
    <row r="39" spans="1:23" x14ac:dyDescent="0.4">
      <c r="A39" s="6" t="s">
        <v>2524</v>
      </c>
      <c r="B39" s="7"/>
      <c r="C39" s="7"/>
      <c r="D39" s="7">
        <v>5</v>
      </c>
      <c r="E39" s="7">
        <v>1</v>
      </c>
      <c r="F39" s="7"/>
      <c r="G39" s="7"/>
      <c r="H39" s="7">
        <v>4</v>
      </c>
      <c r="I39" s="7"/>
      <c r="J39" s="7"/>
      <c r="K39" s="7"/>
      <c r="L39" s="7"/>
      <c r="M39" s="7"/>
      <c r="N39" s="7">
        <v>4</v>
      </c>
      <c r="O39" s="7"/>
      <c r="P39" s="7"/>
      <c r="Q39" s="7"/>
      <c r="R39" s="7">
        <v>5</v>
      </c>
      <c r="S39" s="7"/>
      <c r="T39" s="7"/>
      <c r="U39" s="7"/>
      <c r="V39" s="7"/>
      <c r="W39" s="7">
        <v>19</v>
      </c>
    </row>
    <row r="40" spans="1:23" x14ac:dyDescent="0.4">
      <c r="A40" s="6" t="s">
        <v>2527</v>
      </c>
      <c r="B40" s="7"/>
      <c r="C40" s="7"/>
      <c r="D40" s="7">
        <v>5</v>
      </c>
      <c r="E40" s="7"/>
      <c r="F40" s="7"/>
      <c r="G40" s="7"/>
      <c r="H40" s="7"/>
      <c r="I40" s="7"/>
      <c r="J40" s="7"/>
      <c r="K40" s="7"/>
      <c r="L40" s="7"/>
      <c r="M40" s="7"/>
      <c r="N40" s="7">
        <v>5</v>
      </c>
      <c r="O40" s="7"/>
      <c r="P40" s="7"/>
      <c r="Q40" s="7"/>
      <c r="R40" s="7"/>
      <c r="S40" s="7"/>
      <c r="T40" s="7"/>
      <c r="U40" s="7"/>
      <c r="V40" s="7"/>
      <c r="W40" s="7">
        <v>10</v>
      </c>
    </row>
    <row r="41" spans="1:23" x14ac:dyDescent="0.4">
      <c r="A41" s="6" t="s">
        <v>2529</v>
      </c>
      <c r="B41" s="7"/>
      <c r="C41" s="7"/>
      <c r="D41" s="7"/>
      <c r="E41" s="7"/>
      <c r="F41" s="7"/>
      <c r="G41" s="7"/>
      <c r="H41" s="7"/>
      <c r="I41" s="7"/>
      <c r="J41" s="7"/>
      <c r="K41" s="7"/>
      <c r="L41" s="7"/>
      <c r="M41" s="7"/>
      <c r="N41" s="7">
        <v>9</v>
      </c>
      <c r="O41" s="7"/>
      <c r="P41" s="7"/>
      <c r="Q41" s="7"/>
      <c r="R41" s="7"/>
      <c r="S41" s="7"/>
      <c r="T41" s="7"/>
      <c r="U41" s="7"/>
      <c r="V41" s="7"/>
      <c r="W41" s="7">
        <v>9</v>
      </c>
    </row>
    <row r="42" spans="1:23" x14ac:dyDescent="0.4">
      <c r="A42" s="6" t="s">
        <v>2528</v>
      </c>
      <c r="B42" s="7"/>
      <c r="C42" s="7"/>
      <c r="D42" s="7">
        <v>3</v>
      </c>
      <c r="E42" s="7">
        <v>1</v>
      </c>
      <c r="F42" s="7"/>
      <c r="G42" s="7"/>
      <c r="H42" s="7"/>
      <c r="I42" s="7"/>
      <c r="J42" s="7"/>
      <c r="K42" s="7"/>
      <c r="L42" s="7"/>
      <c r="M42" s="7"/>
      <c r="N42" s="7">
        <v>4</v>
      </c>
      <c r="O42" s="7"/>
      <c r="P42" s="7"/>
      <c r="Q42" s="7"/>
      <c r="R42" s="7"/>
      <c r="S42" s="7"/>
      <c r="T42" s="7"/>
      <c r="U42" s="7"/>
      <c r="V42" s="7"/>
      <c r="W42" s="7">
        <v>8</v>
      </c>
    </row>
    <row r="43" spans="1:23" x14ac:dyDescent="0.4">
      <c r="A43" s="6" t="s">
        <v>2610</v>
      </c>
      <c r="B43" s="7"/>
      <c r="C43" s="7"/>
      <c r="D43" s="7"/>
      <c r="E43" s="7"/>
      <c r="F43" s="7"/>
      <c r="G43" s="7"/>
      <c r="H43" s="7"/>
      <c r="I43" s="7"/>
      <c r="J43" s="7"/>
      <c r="K43" s="7"/>
      <c r="L43" s="7"/>
      <c r="M43" s="7"/>
      <c r="N43" s="7">
        <v>11</v>
      </c>
      <c r="O43" s="7"/>
      <c r="P43" s="7"/>
      <c r="Q43" s="7"/>
      <c r="R43" s="7"/>
      <c r="S43" s="7"/>
      <c r="T43" s="7"/>
      <c r="U43" s="7"/>
      <c r="V43" s="7"/>
      <c r="W43" s="7">
        <v>11</v>
      </c>
    </row>
    <row r="44" spans="1:23" x14ac:dyDescent="0.4">
      <c r="A44" s="6" t="s">
        <v>2530</v>
      </c>
      <c r="B44" s="7"/>
      <c r="C44" s="7"/>
      <c r="D44" s="7"/>
      <c r="E44" s="7"/>
      <c r="F44" s="7"/>
      <c r="G44" s="7"/>
      <c r="H44" s="7"/>
      <c r="I44" s="7"/>
      <c r="J44" s="7"/>
      <c r="K44" s="7">
        <v>3</v>
      </c>
      <c r="L44" s="7"/>
      <c r="M44" s="7"/>
      <c r="N44" s="7">
        <v>9</v>
      </c>
      <c r="O44" s="7"/>
      <c r="P44" s="7">
        <v>3</v>
      </c>
      <c r="Q44" s="7"/>
      <c r="R44" s="7"/>
      <c r="S44" s="7"/>
      <c r="T44" s="7"/>
      <c r="U44" s="7"/>
      <c r="V44" s="7"/>
      <c r="W44" s="7">
        <v>15</v>
      </c>
    </row>
    <row r="45" spans="1:23" x14ac:dyDescent="0.4">
      <c r="A45" s="6" t="s">
        <v>2536</v>
      </c>
      <c r="B45" s="7"/>
      <c r="C45" s="7"/>
      <c r="D45" s="7"/>
      <c r="E45" s="7"/>
      <c r="F45" s="7"/>
      <c r="G45" s="7"/>
      <c r="H45" s="7"/>
      <c r="I45" s="7"/>
      <c r="J45" s="7"/>
      <c r="K45" s="7"/>
      <c r="L45" s="7"/>
      <c r="M45" s="7"/>
      <c r="N45" s="7">
        <v>6</v>
      </c>
      <c r="O45" s="7"/>
      <c r="P45" s="7"/>
      <c r="Q45" s="7"/>
      <c r="R45" s="7"/>
      <c r="S45" s="7"/>
      <c r="T45" s="7"/>
      <c r="U45" s="7"/>
      <c r="V45" s="7"/>
      <c r="W45" s="7">
        <v>6</v>
      </c>
    </row>
    <row r="46" spans="1:23" x14ac:dyDescent="0.4">
      <c r="A46" s="6" t="s">
        <v>2531</v>
      </c>
      <c r="B46" s="7"/>
      <c r="C46" s="7"/>
      <c r="D46" s="7"/>
      <c r="E46" s="7"/>
      <c r="F46" s="7"/>
      <c r="G46" s="7"/>
      <c r="H46" s="7"/>
      <c r="I46" s="7"/>
      <c r="J46" s="7"/>
      <c r="K46" s="7"/>
      <c r="L46" s="7"/>
      <c r="M46" s="7"/>
      <c r="N46" s="7">
        <v>3</v>
      </c>
      <c r="O46" s="7"/>
      <c r="P46" s="7"/>
      <c r="Q46" s="7"/>
      <c r="R46" s="7"/>
      <c r="S46" s="7"/>
      <c r="T46" s="7"/>
      <c r="U46" s="7"/>
      <c r="V46" s="7"/>
      <c r="W46" s="7">
        <v>3</v>
      </c>
    </row>
    <row r="47" spans="1:23" x14ac:dyDescent="0.4">
      <c r="A47" s="6" t="s">
        <v>2532</v>
      </c>
      <c r="B47" s="7"/>
      <c r="C47" s="7"/>
      <c r="D47" s="7">
        <v>4</v>
      </c>
      <c r="E47" s="7"/>
      <c r="F47" s="7"/>
      <c r="G47" s="7"/>
      <c r="H47" s="7"/>
      <c r="I47" s="7"/>
      <c r="J47" s="7"/>
      <c r="K47" s="7"/>
      <c r="L47" s="7"/>
      <c r="M47" s="7"/>
      <c r="N47" s="7">
        <v>1</v>
      </c>
      <c r="O47" s="7"/>
      <c r="P47" s="7"/>
      <c r="Q47" s="7">
        <v>4</v>
      </c>
      <c r="R47" s="7"/>
      <c r="S47" s="7"/>
      <c r="T47" s="7"/>
      <c r="U47" s="7">
        <v>4</v>
      </c>
      <c r="V47" s="7"/>
      <c r="W47" s="7">
        <v>13</v>
      </c>
    </row>
    <row r="48" spans="1:23" x14ac:dyDescent="0.4">
      <c r="A48" s="6" t="s">
        <v>2533</v>
      </c>
      <c r="B48" s="7"/>
      <c r="C48" s="7"/>
      <c r="D48" s="7"/>
      <c r="E48" s="7"/>
      <c r="F48" s="7"/>
      <c r="G48" s="7"/>
      <c r="H48" s="7"/>
      <c r="I48" s="7"/>
      <c r="J48" s="7"/>
      <c r="K48" s="7"/>
      <c r="L48" s="7"/>
      <c r="M48" s="7"/>
      <c r="N48" s="7"/>
      <c r="O48" s="7"/>
      <c r="P48" s="7"/>
      <c r="Q48" s="7"/>
      <c r="R48" s="7">
        <v>4</v>
      </c>
      <c r="S48" s="7"/>
      <c r="T48" s="7"/>
      <c r="U48" s="7">
        <v>2</v>
      </c>
      <c r="V48" s="7"/>
      <c r="W48" s="7">
        <v>6</v>
      </c>
    </row>
    <row r="49" spans="1:23" x14ac:dyDescent="0.4">
      <c r="A49" s="6" t="s">
        <v>2534</v>
      </c>
      <c r="B49" s="7"/>
      <c r="C49" s="7"/>
      <c r="D49" s="7">
        <v>5</v>
      </c>
      <c r="E49" s="7"/>
      <c r="F49" s="7"/>
      <c r="G49" s="7"/>
      <c r="H49" s="7"/>
      <c r="I49" s="7"/>
      <c r="J49" s="7"/>
      <c r="K49" s="7"/>
      <c r="L49" s="7"/>
      <c r="M49" s="7"/>
      <c r="N49" s="7">
        <v>5</v>
      </c>
      <c r="O49" s="7"/>
      <c r="P49" s="7"/>
      <c r="Q49" s="7">
        <v>5</v>
      </c>
      <c r="R49" s="7"/>
      <c r="S49" s="7"/>
      <c r="T49" s="7"/>
      <c r="U49" s="7">
        <v>5</v>
      </c>
      <c r="V49" s="7"/>
      <c r="W49" s="7">
        <v>20</v>
      </c>
    </row>
    <row r="50" spans="1:23" x14ac:dyDescent="0.4">
      <c r="A50" s="6" t="s">
        <v>2535</v>
      </c>
      <c r="B50" s="7"/>
      <c r="C50" s="7"/>
      <c r="D50" s="7">
        <v>5</v>
      </c>
      <c r="E50" s="7"/>
      <c r="F50" s="7"/>
      <c r="G50" s="7"/>
      <c r="H50" s="7"/>
      <c r="I50" s="7"/>
      <c r="J50" s="7"/>
      <c r="K50" s="7"/>
      <c r="L50" s="7"/>
      <c r="M50" s="7"/>
      <c r="N50" s="7"/>
      <c r="O50" s="7"/>
      <c r="P50" s="7"/>
      <c r="Q50" s="7">
        <v>5</v>
      </c>
      <c r="R50" s="7"/>
      <c r="S50" s="7"/>
      <c r="T50" s="7"/>
      <c r="U50" s="7">
        <v>5</v>
      </c>
      <c r="V50" s="7"/>
      <c r="W50" s="7">
        <v>15</v>
      </c>
    </row>
    <row r="51" spans="1:23" x14ac:dyDescent="0.4">
      <c r="A51" s="6" t="s">
        <v>2537</v>
      </c>
      <c r="B51" s="7"/>
      <c r="C51" s="7"/>
      <c r="D51" s="7">
        <v>4</v>
      </c>
      <c r="E51" s="7"/>
      <c r="F51" s="7"/>
      <c r="G51" s="7"/>
      <c r="H51" s="7"/>
      <c r="I51" s="7"/>
      <c r="J51" s="7"/>
      <c r="K51" s="7"/>
      <c r="L51" s="7"/>
      <c r="M51" s="7"/>
      <c r="N51" s="7"/>
      <c r="O51" s="7"/>
      <c r="P51" s="7"/>
      <c r="Q51" s="7"/>
      <c r="R51" s="7">
        <v>5</v>
      </c>
      <c r="S51" s="7"/>
      <c r="T51" s="7"/>
      <c r="U51" s="7"/>
      <c r="V51" s="7"/>
      <c r="W51" s="7">
        <v>9</v>
      </c>
    </row>
    <row r="52" spans="1:23" x14ac:dyDescent="0.4">
      <c r="A52" s="6" t="s">
        <v>2538</v>
      </c>
      <c r="B52" s="7"/>
      <c r="C52" s="7"/>
      <c r="D52" s="7">
        <v>3</v>
      </c>
      <c r="E52" s="7">
        <v>1</v>
      </c>
      <c r="F52" s="7"/>
      <c r="G52" s="7"/>
      <c r="H52" s="7">
        <v>5</v>
      </c>
      <c r="I52" s="7">
        <v>2</v>
      </c>
      <c r="J52" s="7"/>
      <c r="K52" s="7"/>
      <c r="L52" s="7"/>
      <c r="M52" s="7"/>
      <c r="N52" s="7">
        <v>3</v>
      </c>
      <c r="O52" s="7"/>
      <c r="P52" s="7"/>
      <c r="Q52" s="7"/>
      <c r="R52" s="7"/>
      <c r="S52" s="7"/>
      <c r="T52" s="7"/>
      <c r="U52" s="7"/>
      <c r="V52" s="7"/>
      <c r="W52" s="7">
        <v>14</v>
      </c>
    </row>
    <row r="53" spans="1:23" x14ac:dyDescent="0.4">
      <c r="A53" s="6" t="s">
        <v>2539</v>
      </c>
      <c r="B53" s="7">
        <v>5</v>
      </c>
      <c r="C53" s="7"/>
      <c r="D53" s="7">
        <v>2</v>
      </c>
      <c r="E53" s="7"/>
      <c r="F53" s="7"/>
      <c r="G53" s="7"/>
      <c r="H53" s="7"/>
      <c r="I53" s="7"/>
      <c r="J53" s="7"/>
      <c r="K53" s="7"/>
      <c r="L53" s="7"/>
      <c r="M53" s="7"/>
      <c r="N53" s="7"/>
      <c r="O53" s="7"/>
      <c r="P53" s="7"/>
      <c r="Q53" s="7"/>
      <c r="R53" s="7"/>
      <c r="S53" s="7"/>
      <c r="T53" s="7"/>
      <c r="U53" s="7"/>
      <c r="V53" s="7"/>
      <c r="W53" s="7">
        <v>7</v>
      </c>
    </row>
    <row r="54" spans="1:23" x14ac:dyDescent="0.4">
      <c r="A54" s="6" t="s">
        <v>2540</v>
      </c>
      <c r="B54" s="7"/>
      <c r="C54" s="7"/>
      <c r="D54" s="7">
        <v>4</v>
      </c>
      <c r="E54" s="7">
        <v>1</v>
      </c>
      <c r="F54" s="7"/>
      <c r="G54" s="7"/>
      <c r="H54" s="7"/>
      <c r="I54" s="7"/>
      <c r="J54" s="7"/>
      <c r="K54" s="7"/>
      <c r="L54" s="7"/>
      <c r="M54" s="7"/>
      <c r="N54" s="7">
        <v>5</v>
      </c>
      <c r="O54" s="7"/>
      <c r="P54" s="7"/>
      <c r="Q54" s="7"/>
      <c r="R54" s="7"/>
      <c r="S54" s="7"/>
      <c r="T54" s="7"/>
      <c r="U54" s="7"/>
      <c r="V54" s="7"/>
      <c r="W54" s="7">
        <v>10</v>
      </c>
    </row>
    <row r="55" spans="1:23" x14ac:dyDescent="0.4">
      <c r="A55" s="6" t="s">
        <v>2541</v>
      </c>
      <c r="B55" s="7"/>
      <c r="C55" s="7"/>
      <c r="D55" s="7">
        <v>5</v>
      </c>
      <c r="E55" s="7"/>
      <c r="F55" s="7"/>
      <c r="G55" s="7"/>
      <c r="H55" s="7"/>
      <c r="I55" s="7"/>
      <c r="J55" s="7"/>
      <c r="K55" s="7"/>
      <c r="L55" s="7"/>
      <c r="M55" s="7"/>
      <c r="N55" s="7">
        <v>5</v>
      </c>
      <c r="O55" s="7"/>
      <c r="P55" s="7"/>
      <c r="Q55" s="7"/>
      <c r="R55" s="7"/>
      <c r="S55" s="7"/>
      <c r="T55" s="7"/>
      <c r="U55" s="7"/>
      <c r="V55" s="7"/>
      <c r="W55" s="7">
        <v>10</v>
      </c>
    </row>
    <row r="56" spans="1:23" x14ac:dyDescent="0.4">
      <c r="A56" s="6" t="s">
        <v>2545</v>
      </c>
      <c r="B56" s="7"/>
      <c r="C56" s="7"/>
      <c r="D56" s="7"/>
      <c r="E56" s="7"/>
      <c r="F56" s="7"/>
      <c r="G56" s="7"/>
      <c r="H56" s="7"/>
      <c r="I56" s="7"/>
      <c r="J56" s="7"/>
      <c r="K56" s="7"/>
      <c r="L56" s="7"/>
      <c r="M56" s="7"/>
      <c r="N56" s="7">
        <v>10</v>
      </c>
      <c r="O56" s="7"/>
      <c r="P56" s="7"/>
      <c r="Q56" s="7"/>
      <c r="R56" s="7"/>
      <c r="S56" s="7"/>
      <c r="T56" s="7"/>
      <c r="U56" s="7"/>
      <c r="V56" s="7"/>
      <c r="W56" s="7">
        <v>10</v>
      </c>
    </row>
    <row r="57" spans="1:23" x14ac:dyDescent="0.4">
      <c r="A57" s="6" t="s">
        <v>2542</v>
      </c>
      <c r="B57" s="7"/>
      <c r="C57" s="7"/>
      <c r="D57" s="7">
        <v>4</v>
      </c>
      <c r="E57" s="7"/>
      <c r="F57" s="7"/>
      <c r="G57" s="7"/>
      <c r="H57" s="7">
        <v>2</v>
      </c>
      <c r="I57" s="7"/>
      <c r="J57" s="7"/>
      <c r="K57" s="7"/>
      <c r="L57" s="7"/>
      <c r="M57" s="7"/>
      <c r="N57" s="7">
        <v>5</v>
      </c>
      <c r="O57" s="7"/>
      <c r="P57" s="7"/>
      <c r="Q57" s="7">
        <v>4</v>
      </c>
      <c r="R57" s="7"/>
      <c r="S57" s="7"/>
      <c r="T57" s="7"/>
      <c r="U57" s="7"/>
      <c r="V57" s="7"/>
      <c r="W57" s="7">
        <v>15</v>
      </c>
    </row>
    <row r="58" spans="1:23" x14ac:dyDescent="0.4">
      <c r="A58" s="6" t="s">
        <v>2544</v>
      </c>
      <c r="B58" s="7"/>
      <c r="C58" s="7"/>
      <c r="D58" s="7"/>
      <c r="E58" s="7"/>
      <c r="F58" s="7"/>
      <c r="G58" s="7"/>
      <c r="H58" s="7"/>
      <c r="I58" s="7"/>
      <c r="J58" s="7"/>
      <c r="K58" s="7"/>
      <c r="L58" s="7"/>
      <c r="M58" s="7"/>
      <c r="N58" s="7">
        <v>9</v>
      </c>
      <c r="O58" s="7"/>
      <c r="P58" s="7"/>
      <c r="Q58" s="7"/>
      <c r="R58" s="7"/>
      <c r="S58" s="7"/>
      <c r="T58" s="7"/>
      <c r="U58" s="7">
        <v>1</v>
      </c>
      <c r="V58" s="7"/>
      <c r="W58" s="7">
        <v>10</v>
      </c>
    </row>
    <row r="59" spans="1:23" x14ac:dyDescent="0.4">
      <c r="A59" s="6" t="s">
        <v>2543</v>
      </c>
      <c r="B59" s="7">
        <v>3</v>
      </c>
      <c r="C59" s="7"/>
      <c r="D59" s="7">
        <v>2</v>
      </c>
      <c r="E59" s="7"/>
      <c r="F59" s="7"/>
      <c r="G59" s="7"/>
      <c r="H59" s="7"/>
      <c r="I59" s="7"/>
      <c r="J59" s="7"/>
      <c r="K59" s="7"/>
      <c r="L59" s="7"/>
      <c r="M59" s="7"/>
      <c r="N59" s="7"/>
      <c r="O59" s="7"/>
      <c r="P59" s="7"/>
      <c r="Q59" s="7">
        <v>2</v>
      </c>
      <c r="R59" s="7"/>
      <c r="S59" s="7"/>
      <c r="T59" s="7"/>
      <c r="U59" s="7"/>
      <c r="V59" s="7"/>
      <c r="W59" s="7">
        <v>7</v>
      </c>
    </row>
    <row r="60" spans="1:23" x14ac:dyDescent="0.4">
      <c r="A60" s="6" t="s">
        <v>2547</v>
      </c>
      <c r="B60" s="7"/>
      <c r="C60" s="7"/>
      <c r="D60" s="7"/>
      <c r="E60" s="7"/>
      <c r="F60" s="7"/>
      <c r="G60" s="7"/>
      <c r="H60" s="7"/>
      <c r="I60" s="7"/>
      <c r="J60" s="7"/>
      <c r="K60" s="7"/>
      <c r="L60" s="7"/>
      <c r="M60" s="7"/>
      <c r="N60" s="7">
        <v>10</v>
      </c>
      <c r="O60" s="7"/>
      <c r="P60" s="7"/>
      <c r="Q60" s="7"/>
      <c r="R60" s="7"/>
      <c r="S60" s="7"/>
      <c r="T60" s="7"/>
      <c r="U60" s="7"/>
      <c r="V60" s="7"/>
      <c r="W60" s="7">
        <v>10</v>
      </c>
    </row>
    <row r="61" spans="1:23" x14ac:dyDescent="0.4">
      <c r="A61" s="6" t="s">
        <v>2522</v>
      </c>
      <c r="B61" s="7"/>
      <c r="C61" s="7">
        <v>7</v>
      </c>
      <c r="D61" s="7"/>
      <c r="E61" s="7"/>
      <c r="F61" s="7"/>
      <c r="G61" s="7"/>
      <c r="H61" s="7"/>
      <c r="I61" s="7"/>
      <c r="J61" s="7"/>
      <c r="K61" s="7"/>
      <c r="L61" s="7"/>
      <c r="M61" s="7"/>
      <c r="N61" s="7">
        <v>4</v>
      </c>
      <c r="O61" s="7">
        <v>1</v>
      </c>
      <c r="P61" s="7"/>
      <c r="Q61" s="7">
        <v>5</v>
      </c>
      <c r="R61" s="7"/>
      <c r="S61" s="7"/>
      <c r="T61" s="7"/>
      <c r="U61" s="7"/>
      <c r="V61" s="7"/>
      <c r="W61" s="7">
        <v>17</v>
      </c>
    </row>
    <row r="62" spans="1:23" x14ac:dyDescent="0.4">
      <c r="A62" s="6" t="s">
        <v>2546</v>
      </c>
      <c r="B62" s="7"/>
      <c r="C62" s="7"/>
      <c r="D62" s="7"/>
      <c r="E62" s="7"/>
      <c r="F62" s="7"/>
      <c r="G62" s="7"/>
      <c r="H62" s="7"/>
      <c r="I62" s="7"/>
      <c r="J62" s="7"/>
      <c r="K62" s="7"/>
      <c r="L62" s="7"/>
      <c r="M62" s="7"/>
      <c r="N62" s="7">
        <v>5</v>
      </c>
      <c r="O62" s="7"/>
      <c r="P62" s="7"/>
      <c r="Q62" s="7">
        <v>3</v>
      </c>
      <c r="R62" s="7"/>
      <c r="S62" s="7"/>
      <c r="T62" s="7"/>
      <c r="U62" s="7">
        <v>5</v>
      </c>
      <c r="V62" s="7"/>
      <c r="W62" s="7">
        <v>13</v>
      </c>
    </row>
    <row r="63" spans="1:23" x14ac:dyDescent="0.4">
      <c r="A63" s="6" t="s">
        <v>2504</v>
      </c>
      <c r="B63" s="7"/>
      <c r="C63" s="7"/>
      <c r="D63" s="7"/>
      <c r="E63" s="7"/>
      <c r="F63" s="7"/>
      <c r="G63" s="7"/>
      <c r="H63" s="7"/>
      <c r="I63" s="7"/>
      <c r="J63" s="7"/>
      <c r="K63" s="7"/>
      <c r="L63" s="7"/>
      <c r="M63" s="7"/>
      <c r="N63" s="7">
        <v>10</v>
      </c>
      <c r="O63" s="7"/>
      <c r="P63" s="7"/>
      <c r="Q63" s="7"/>
      <c r="R63" s="7"/>
      <c r="S63" s="7"/>
      <c r="T63" s="7"/>
      <c r="U63" s="7"/>
      <c r="V63" s="7"/>
      <c r="W63" s="7">
        <v>10</v>
      </c>
    </row>
    <row r="64" spans="1:23" x14ac:dyDescent="0.4">
      <c r="A64" s="6" t="s">
        <v>2505</v>
      </c>
      <c r="B64" s="7"/>
      <c r="C64" s="7"/>
      <c r="D64" s="7"/>
      <c r="E64" s="7"/>
      <c r="F64" s="7"/>
      <c r="G64" s="7"/>
      <c r="H64" s="7"/>
      <c r="I64" s="7"/>
      <c r="J64" s="7"/>
      <c r="K64" s="7"/>
      <c r="L64" s="7"/>
      <c r="M64" s="7"/>
      <c r="N64" s="7">
        <v>10</v>
      </c>
      <c r="O64" s="7"/>
      <c r="P64" s="7"/>
      <c r="Q64" s="7"/>
      <c r="R64" s="7"/>
      <c r="S64" s="7"/>
      <c r="T64" s="7"/>
      <c r="U64" s="7"/>
      <c r="V64" s="7"/>
      <c r="W64" s="7">
        <v>10</v>
      </c>
    </row>
    <row r="65" spans="1:23" x14ac:dyDescent="0.4">
      <c r="A65" s="6" t="s">
        <v>2549</v>
      </c>
      <c r="B65" s="7"/>
      <c r="C65" s="7"/>
      <c r="D65" s="7">
        <v>5</v>
      </c>
      <c r="E65" s="7"/>
      <c r="F65" s="7"/>
      <c r="G65" s="7"/>
      <c r="H65" s="7"/>
      <c r="I65" s="7"/>
      <c r="J65" s="7"/>
      <c r="K65" s="7"/>
      <c r="L65" s="7"/>
      <c r="M65" s="7"/>
      <c r="N65" s="7">
        <v>5</v>
      </c>
      <c r="O65" s="7"/>
      <c r="P65" s="7"/>
      <c r="Q65" s="7">
        <v>5</v>
      </c>
      <c r="R65" s="7"/>
      <c r="S65" s="7"/>
      <c r="T65" s="7"/>
      <c r="U65" s="7"/>
      <c r="V65" s="7"/>
      <c r="W65" s="7">
        <v>15</v>
      </c>
    </row>
    <row r="66" spans="1:23" x14ac:dyDescent="0.4">
      <c r="A66" s="6" t="s">
        <v>2550</v>
      </c>
      <c r="B66" s="7"/>
      <c r="C66" s="7"/>
      <c r="D66" s="7">
        <v>1</v>
      </c>
      <c r="E66" s="7"/>
      <c r="F66" s="7"/>
      <c r="G66" s="7"/>
      <c r="H66" s="7"/>
      <c r="I66" s="7"/>
      <c r="J66" s="7"/>
      <c r="K66" s="7"/>
      <c r="L66" s="7"/>
      <c r="M66" s="7"/>
      <c r="N66" s="7"/>
      <c r="O66" s="7"/>
      <c r="P66" s="7"/>
      <c r="Q66" s="7">
        <v>2</v>
      </c>
      <c r="R66" s="7"/>
      <c r="S66" s="7"/>
      <c r="T66" s="7"/>
      <c r="U66" s="7">
        <v>2</v>
      </c>
      <c r="V66" s="7"/>
      <c r="W66" s="7">
        <v>5</v>
      </c>
    </row>
    <row r="67" spans="1:23" x14ac:dyDescent="0.4">
      <c r="A67" s="6" t="s">
        <v>2551</v>
      </c>
      <c r="B67" s="7"/>
      <c r="C67" s="7"/>
      <c r="D67" s="7"/>
      <c r="E67" s="7"/>
      <c r="F67" s="7"/>
      <c r="G67" s="7"/>
      <c r="H67" s="7"/>
      <c r="I67" s="7"/>
      <c r="J67" s="7"/>
      <c r="K67" s="7">
        <v>1</v>
      </c>
      <c r="L67" s="7"/>
      <c r="M67" s="7"/>
      <c r="N67" s="7">
        <v>5</v>
      </c>
      <c r="O67" s="7"/>
      <c r="P67" s="7">
        <v>2</v>
      </c>
      <c r="Q67" s="7"/>
      <c r="R67" s="7"/>
      <c r="S67" s="7"/>
      <c r="T67" s="7"/>
      <c r="U67" s="7"/>
      <c r="V67" s="7"/>
      <c r="W67" s="7">
        <v>8</v>
      </c>
    </row>
    <row r="68" spans="1:23" x14ac:dyDescent="0.4">
      <c r="A68" s="6" t="s">
        <v>2552</v>
      </c>
      <c r="B68" s="7"/>
      <c r="C68" s="7"/>
      <c r="D68" s="7"/>
      <c r="E68" s="7"/>
      <c r="F68" s="7"/>
      <c r="G68" s="7"/>
      <c r="H68" s="7"/>
      <c r="I68" s="7"/>
      <c r="J68" s="7"/>
      <c r="K68" s="7"/>
      <c r="L68" s="7"/>
      <c r="M68" s="7"/>
      <c r="N68" s="7">
        <v>5</v>
      </c>
      <c r="O68" s="7"/>
      <c r="P68" s="7"/>
      <c r="Q68" s="7"/>
      <c r="R68" s="7"/>
      <c r="S68" s="7"/>
      <c r="T68" s="7">
        <v>1</v>
      </c>
      <c r="U68" s="7">
        <v>5</v>
      </c>
      <c r="V68" s="7"/>
      <c r="W68" s="7">
        <v>11</v>
      </c>
    </row>
    <row r="69" spans="1:23" x14ac:dyDescent="0.4">
      <c r="A69" s="6" t="s">
        <v>2553</v>
      </c>
      <c r="B69" s="7"/>
      <c r="C69" s="7">
        <v>1</v>
      </c>
      <c r="D69" s="7"/>
      <c r="E69" s="7"/>
      <c r="F69" s="7"/>
      <c r="G69" s="7"/>
      <c r="H69" s="7"/>
      <c r="I69" s="7"/>
      <c r="J69" s="7"/>
      <c r="K69" s="7"/>
      <c r="L69" s="7"/>
      <c r="M69" s="7"/>
      <c r="N69" s="7">
        <v>5</v>
      </c>
      <c r="O69" s="7"/>
      <c r="P69" s="7"/>
      <c r="Q69" s="7"/>
      <c r="R69" s="7"/>
      <c r="S69" s="7"/>
      <c r="T69" s="7">
        <v>5</v>
      </c>
      <c r="U69" s="7"/>
      <c r="V69" s="7"/>
      <c r="W69" s="7">
        <v>11</v>
      </c>
    </row>
    <row r="70" spans="1:23" x14ac:dyDescent="0.4">
      <c r="A70" s="6" t="s">
        <v>2554</v>
      </c>
      <c r="B70" s="7"/>
      <c r="C70" s="7"/>
      <c r="D70" s="7">
        <v>4</v>
      </c>
      <c r="E70" s="7"/>
      <c r="F70" s="7"/>
      <c r="G70" s="7"/>
      <c r="H70" s="7"/>
      <c r="I70" s="7"/>
      <c r="J70" s="7"/>
      <c r="K70" s="7"/>
      <c r="L70" s="7"/>
      <c r="M70" s="7"/>
      <c r="N70" s="7">
        <v>5</v>
      </c>
      <c r="O70" s="7"/>
      <c r="P70" s="7"/>
      <c r="Q70" s="7"/>
      <c r="R70" s="7"/>
      <c r="S70" s="7"/>
      <c r="T70" s="7"/>
      <c r="U70" s="7"/>
      <c r="V70" s="7"/>
      <c r="W70" s="7">
        <v>9</v>
      </c>
    </row>
    <row r="71" spans="1:23" x14ac:dyDescent="0.4">
      <c r="A71" s="6" t="s">
        <v>2555</v>
      </c>
      <c r="B71" s="7"/>
      <c r="C71" s="7"/>
      <c r="D71" s="7">
        <v>1</v>
      </c>
      <c r="E71" s="7">
        <v>2</v>
      </c>
      <c r="F71" s="7"/>
      <c r="G71" s="7"/>
      <c r="H71" s="7"/>
      <c r="I71" s="7"/>
      <c r="J71" s="7"/>
      <c r="K71" s="7"/>
      <c r="L71" s="7"/>
      <c r="M71" s="7"/>
      <c r="N71" s="7">
        <v>6</v>
      </c>
      <c r="O71" s="7"/>
      <c r="P71" s="7"/>
      <c r="Q71" s="7"/>
      <c r="R71" s="7"/>
      <c r="S71" s="7"/>
      <c r="T71" s="7"/>
      <c r="U71" s="7"/>
      <c r="V71" s="7"/>
      <c r="W71" s="7">
        <v>9</v>
      </c>
    </row>
    <row r="72" spans="1:23" x14ac:dyDescent="0.4">
      <c r="A72" s="6" t="s">
        <v>2558</v>
      </c>
      <c r="B72" s="7"/>
      <c r="C72" s="7"/>
      <c r="D72" s="7"/>
      <c r="E72" s="7"/>
      <c r="F72" s="7"/>
      <c r="G72" s="7"/>
      <c r="H72" s="7"/>
      <c r="I72" s="7"/>
      <c r="J72" s="7"/>
      <c r="K72" s="7"/>
      <c r="L72" s="7"/>
      <c r="M72" s="7"/>
      <c r="N72" s="7">
        <v>6</v>
      </c>
      <c r="O72" s="7"/>
      <c r="P72" s="7"/>
      <c r="Q72" s="7"/>
      <c r="R72" s="7"/>
      <c r="S72" s="7"/>
      <c r="T72" s="7"/>
      <c r="U72" s="7"/>
      <c r="V72" s="7"/>
      <c r="W72" s="7">
        <v>6</v>
      </c>
    </row>
    <row r="73" spans="1:23" x14ac:dyDescent="0.4">
      <c r="A73" s="6" t="s">
        <v>2556</v>
      </c>
      <c r="B73" s="7"/>
      <c r="C73" s="7"/>
      <c r="D73" s="7">
        <v>4</v>
      </c>
      <c r="E73" s="7"/>
      <c r="F73" s="7"/>
      <c r="G73" s="7"/>
      <c r="H73" s="7"/>
      <c r="I73" s="7"/>
      <c r="J73" s="7"/>
      <c r="K73" s="7"/>
      <c r="L73" s="7"/>
      <c r="M73" s="7"/>
      <c r="N73" s="7">
        <v>2</v>
      </c>
      <c r="O73" s="7"/>
      <c r="P73" s="7"/>
      <c r="Q73" s="7"/>
      <c r="R73" s="7"/>
      <c r="S73" s="7"/>
      <c r="T73" s="7"/>
      <c r="U73" s="7"/>
      <c r="V73" s="7"/>
      <c r="W73" s="7">
        <v>6</v>
      </c>
    </row>
    <row r="74" spans="1:23" x14ac:dyDescent="0.4">
      <c r="A74" s="6" t="s">
        <v>2557</v>
      </c>
      <c r="B74" s="7"/>
      <c r="C74" s="7"/>
      <c r="D74" s="7">
        <v>5</v>
      </c>
      <c r="E74" s="7"/>
      <c r="F74" s="7"/>
      <c r="G74" s="7"/>
      <c r="H74" s="7"/>
      <c r="I74" s="7"/>
      <c r="J74" s="7"/>
      <c r="K74" s="7"/>
      <c r="L74" s="7"/>
      <c r="M74" s="7"/>
      <c r="N74" s="7">
        <v>5</v>
      </c>
      <c r="O74" s="7"/>
      <c r="P74" s="7"/>
      <c r="Q74" s="7"/>
      <c r="R74" s="7"/>
      <c r="S74" s="7"/>
      <c r="T74" s="7"/>
      <c r="U74" s="7"/>
      <c r="V74" s="7"/>
      <c r="W74" s="7">
        <v>10</v>
      </c>
    </row>
    <row r="75" spans="1:23" x14ac:dyDescent="0.4">
      <c r="A75" s="6" t="s">
        <v>2615</v>
      </c>
      <c r="B75" s="7"/>
      <c r="C75" s="7"/>
      <c r="D75" s="7"/>
      <c r="E75" s="7"/>
      <c r="F75" s="7"/>
      <c r="G75" s="7"/>
      <c r="H75" s="7"/>
      <c r="I75" s="7"/>
      <c r="J75" s="7">
        <v>17</v>
      </c>
      <c r="K75" s="7"/>
      <c r="L75" s="7"/>
      <c r="M75" s="7"/>
      <c r="N75" s="7"/>
      <c r="O75" s="7"/>
      <c r="P75" s="7"/>
      <c r="Q75" s="7"/>
      <c r="R75" s="7"/>
      <c r="S75" s="7">
        <v>10</v>
      </c>
      <c r="T75" s="7"/>
      <c r="U75" s="7"/>
      <c r="V75" s="7"/>
      <c r="W75" s="7">
        <v>27</v>
      </c>
    </row>
    <row r="76" spans="1:23" x14ac:dyDescent="0.4">
      <c r="A76" s="6" t="s">
        <v>2616</v>
      </c>
      <c r="B76" s="7">
        <v>8</v>
      </c>
      <c r="C76" s="7">
        <v>8</v>
      </c>
      <c r="D76" s="7">
        <v>129</v>
      </c>
      <c r="E76" s="7">
        <v>6</v>
      </c>
      <c r="F76" s="7">
        <v>1</v>
      </c>
      <c r="G76" s="7">
        <v>1</v>
      </c>
      <c r="H76" s="7">
        <v>29</v>
      </c>
      <c r="I76" s="7">
        <v>5</v>
      </c>
      <c r="J76" s="7">
        <v>17</v>
      </c>
      <c r="K76" s="7">
        <v>16</v>
      </c>
      <c r="L76" s="7">
        <v>1</v>
      </c>
      <c r="M76" s="7">
        <v>1</v>
      </c>
      <c r="N76" s="7">
        <v>330</v>
      </c>
      <c r="O76" s="7">
        <v>1</v>
      </c>
      <c r="P76" s="7">
        <v>11</v>
      </c>
      <c r="Q76" s="7">
        <v>85</v>
      </c>
      <c r="R76" s="7">
        <v>16</v>
      </c>
      <c r="S76" s="7">
        <v>10</v>
      </c>
      <c r="T76" s="7">
        <v>6</v>
      </c>
      <c r="U76" s="7">
        <v>39</v>
      </c>
      <c r="V76" s="7"/>
      <c r="W76" s="7">
        <v>720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721"/>
  <sheetViews>
    <sheetView tabSelected="1" topLeftCell="AJ553" zoomScale="80" zoomScaleNormal="80" workbookViewId="0">
      <selection activeCell="A568" sqref="A568:XFD568"/>
    </sheetView>
  </sheetViews>
  <sheetFormatPr defaultColWidth="6.53515625" defaultRowHeight="14.6" x14ac:dyDescent="0.4"/>
  <cols>
    <col min="1" max="2" width="6.53515625" style="18"/>
    <col min="3" max="3" width="17.23046875" style="18" bestFit="1" customWidth="1"/>
    <col min="4" max="4" width="21.61328125" style="18" bestFit="1" customWidth="1"/>
    <col min="5" max="5" width="19" style="18" bestFit="1" customWidth="1"/>
    <col min="6" max="7" width="6.53515625" style="18"/>
    <col min="8" max="8" width="8.84375" style="18" bestFit="1" customWidth="1"/>
    <col min="9" max="9" width="67.921875" style="18" bestFit="1" customWidth="1"/>
    <col min="10" max="10" width="6.53515625" style="18"/>
    <col min="11" max="11" width="30" style="18" bestFit="1" customWidth="1"/>
    <col min="12" max="18" width="6.53515625" style="18"/>
    <col min="19" max="19" width="13.3828125" style="18" bestFit="1" customWidth="1"/>
    <col min="20" max="21" width="6.53515625" style="18"/>
    <col min="22" max="22" width="15.84375" style="18" bestFit="1" customWidth="1"/>
    <col min="23" max="29" width="6.53515625" style="18"/>
    <col min="30" max="30" width="26" style="18" customWidth="1"/>
    <col min="31" max="31" width="13.15234375" style="18" bestFit="1" customWidth="1"/>
    <col min="32" max="32" width="14.61328125" style="18" bestFit="1" customWidth="1"/>
    <col min="33" max="33" width="16" style="18" customWidth="1"/>
    <col min="34" max="34" width="6.53515625" style="18"/>
    <col min="35" max="35" width="11.84375" style="18" bestFit="1" customWidth="1"/>
    <col min="36" max="36" width="17" style="18" customWidth="1"/>
    <col min="37" max="37" width="12.4609375" style="18" bestFit="1" customWidth="1"/>
    <col min="38" max="38" width="13.84375" style="18" bestFit="1" customWidth="1"/>
    <col min="39" max="39" width="13.53515625" style="18" bestFit="1" customWidth="1"/>
    <col min="40" max="40" width="9.3828125" style="18" bestFit="1" customWidth="1"/>
    <col min="41" max="41" width="12.765625" style="18" bestFit="1" customWidth="1"/>
    <col min="42" max="42" width="11.15234375" style="18" bestFit="1" customWidth="1"/>
    <col min="43" max="43" width="10.921875" style="18" bestFit="1" customWidth="1"/>
    <col min="44" max="44" width="6.921875" style="18" customWidth="1"/>
    <col min="45" max="45" width="13.3046875" style="18" bestFit="1" customWidth="1"/>
    <col min="46" max="46" width="16.07421875" style="18" customWidth="1"/>
    <col min="47" max="47" width="13.53515625" style="18" bestFit="1" customWidth="1"/>
    <col min="48" max="48" width="17.4609375" style="18" customWidth="1"/>
    <col min="49" max="16384" width="6.53515625" style="18"/>
  </cols>
  <sheetData>
    <row r="1" spans="1:49" x14ac:dyDescent="0.4">
      <c r="A1" s="18" t="s">
        <v>0</v>
      </c>
      <c r="B1" s="18" t="s">
        <v>1</v>
      </c>
      <c r="C1" s="18" t="s">
        <v>2</v>
      </c>
      <c r="D1" s="18" t="s">
        <v>2561</v>
      </c>
      <c r="E1" s="18" t="s">
        <v>3</v>
      </c>
      <c r="F1" s="18" t="s">
        <v>2613</v>
      </c>
      <c r="G1" s="18" t="s">
        <v>2560</v>
      </c>
      <c r="H1" s="18" t="s">
        <v>2559</v>
      </c>
      <c r="I1" s="18" t="s">
        <v>19</v>
      </c>
      <c r="J1" s="18" t="s">
        <v>4</v>
      </c>
      <c r="K1" s="18" t="s">
        <v>5</v>
      </c>
      <c r="L1" s="18" t="s">
        <v>5</v>
      </c>
      <c r="M1" s="18" t="s">
        <v>6</v>
      </c>
      <c r="N1" s="18" t="s">
        <v>7</v>
      </c>
      <c r="O1" s="18" t="s">
        <v>8</v>
      </c>
      <c r="P1" s="18" t="s">
        <v>9</v>
      </c>
      <c r="Q1" s="18" t="s">
        <v>10</v>
      </c>
      <c r="R1" s="18" t="s">
        <v>2608</v>
      </c>
      <c r="S1" s="18" t="s">
        <v>11</v>
      </c>
      <c r="T1" s="18" t="s">
        <v>12</v>
      </c>
      <c r="U1" s="18" t="s">
        <v>13</v>
      </c>
      <c r="V1" s="18" t="s">
        <v>14</v>
      </c>
      <c r="W1" s="18" t="s">
        <v>15</v>
      </c>
      <c r="X1" s="18" t="s">
        <v>16</v>
      </c>
      <c r="Y1" s="18" t="s">
        <v>17</v>
      </c>
      <c r="Z1" s="18" t="s">
        <v>18</v>
      </c>
      <c r="AA1" s="18" t="s">
        <v>19</v>
      </c>
      <c r="AB1" s="18" t="s">
        <v>20</v>
      </c>
      <c r="AC1" s="18" t="s">
        <v>21</v>
      </c>
      <c r="AD1" s="18" t="s">
        <v>22</v>
      </c>
      <c r="AE1" s="18" t="s">
        <v>23</v>
      </c>
      <c r="AF1" s="18" t="s">
        <v>24</v>
      </c>
      <c r="AG1" s="18" t="s">
        <v>25</v>
      </c>
      <c r="AH1" s="18" t="s">
        <v>26</v>
      </c>
      <c r="AI1" s="18" t="s">
        <v>8548</v>
      </c>
      <c r="AJ1" s="18" t="s">
        <v>8549</v>
      </c>
      <c r="AK1" s="18" t="s">
        <v>8551</v>
      </c>
      <c r="AL1" s="18" t="s">
        <v>8550</v>
      </c>
      <c r="AM1" s="18" t="s">
        <v>8561</v>
      </c>
      <c r="AN1" s="18" t="s">
        <v>8560</v>
      </c>
      <c r="AO1" s="18" t="s">
        <v>8562</v>
      </c>
      <c r="AP1" s="18" t="s">
        <v>8563</v>
      </c>
      <c r="AQ1" s="18" t="s">
        <v>8564</v>
      </c>
      <c r="AR1" s="18" t="s">
        <v>8565</v>
      </c>
      <c r="AS1" s="18" t="s">
        <v>9051</v>
      </c>
      <c r="AT1" s="18" t="s">
        <v>9052</v>
      </c>
      <c r="AU1" s="18" t="s">
        <v>9183</v>
      </c>
      <c r="AV1" s="18" t="s">
        <v>9191</v>
      </c>
      <c r="AW1" s="18" t="s">
        <v>9192</v>
      </c>
    </row>
    <row r="2" spans="1:49" customFormat="1" x14ac:dyDescent="0.4">
      <c r="C2" t="s">
        <v>2562</v>
      </c>
      <c r="D2" t="str">
        <f>_xlfn.CONCAT(C2,".bam")</f>
        <v>SRR14632920.bam</v>
      </c>
      <c r="G2" t="s">
        <v>2570</v>
      </c>
      <c r="K2" t="s">
        <v>2563</v>
      </c>
      <c r="L2" t="s">
        <v>2563</v>
      </c>
      <c r="Q2" t="s">
        <v>2564</v>
      </c>
      <c r="R2" t="s">
        <v>2606</v>
      </c>
      <c r="AM2" t="str">
        <f>_xlfn.IFNA(VLOOKUP(Sheet1!$C2,ADMIX_ALL!A:B,2,FALSE),"none")</f>
        <v>K6-18</v>
      </c>
      <c r="AN2" t="str">
        <f>_xlfn.IFNA(VLOOKUP(Sheet1!C2,ADMIX_SS!A:B,2,FALSE),"none")</f>
        <v>SubSample</v>
      </c>
      <c r="AO2" t="str">
        <f>_xlfn.IFNA(VLOOKUP(Sheet1!$C2,MONG_PHYLO!A:C,3,FALSE),"-")</f>
        <v>-</v>
      </c>
      <c r="AP2" t="str">
        <f>_xlfn.IFNA(VLOOKUP(Sheet1!$C2,MAC_PHYLO!A:C,3,FALSE),"-")</f>
        <v>lob</v>
      </c>
      <c r="AQ2" t="str">
        <f>_xlfn.IFNA(VLOOKUP(Sheet1!$C2,ConStruct!A:C,3,FALSE),"-")</f>
        <v>-</v>
      </c>
      <c r="AR2" t="str">
        <f>_xlfn.IFNA(VLOOKUP(Sheet1!$C2,GEA!A:C,3,FALSE),"-")</f>
        <v>-</v>
      </c>
      <c r="AS2" t="str">
        <f>_xlfn.IFNA(VLOOKUP(Sheet1!$C2,MAC_DSUITE!A:D,3,FALSE),"-")</f>
        <v>lob</v>
      </c>
      <c r="AT2" t="str">
        <f>_xlfn.IFNA(VLOOKUP(Sheet1!$C2,MONG_DSUITE!A:E,2,FALSE),"-")</f>
        <v>xxx</v>
      </c>
      <c r="AU2" t="str">
        <f>_xlfn.IFNA(VLOOKUP(Sheet1!$C2,MAC_PAINT2!A:D,4,FALSE),"-")</f>
        <v>lob-macpaint</v>
      </c>
    </row>
    <row r="3" spans="1:49" customFormat="1" x14ac:dyDescent="0.4">
      <c r="C3" t="s">
        <v>2565</v>
      </c>
      <c r="D3" t="str">
        <f>_xlfn.CONCAT(C3,".bam")</f>
        <v>SRR14632922.bam</v>
      </c>
      <c r="G3" t="s">
        <v>2570</v>
      </c>
      <c r="K3" t="s">
        <v>2563</v>
      </c>
      <c r="L3" t="s">
        <v>2563</v>
      </c>
      <c r="Q3" t="s">
        <v>2564</v>
      </c>
      <c r="R3" t="s">
        <v>2606</v>
      </c>
      <c r="AM3" t="str">
        <f>_xlfn.IFNA(VLOOKUP(Sheet1!$C3,ADMIX_ALL!A:B,2,FALSE),"none")</f>
        <v>K6-18</v>
      </c>
      <c r="AN3" t="str">
        <f>_xlfn.IFNA(VLOOKUP(Sheet1!C3,ADMIX_SS!A:B,2,FALSE),"none")</f>
        <v>SubSample</v>
      </c>
      <c r="AO3" t="str">
        <f>_xlfn.IFNA(VLOOKUP(Sheet1!$C3,MONG_PHYLO!A:C,3,FALSE),"-")</f>
        <v>-</v>
      </c>
      <c r="AP3" t="str">
        <f>_xlfn.IFNA(VLOOKUP(Sheet1!$C3,MAC_PHYLO!A:C,3,FALSE),"-")</f>
        <v>-</v>
      </c>
      <c r="AQ3" t="str">
        <f>_xlfn.IFNA(VLOOKUP(Sheet1!$C3,ConStruct!A:C,3,FALSE),"-")</f>
        <v>-</v>
      </c>
      <c r="AR3" t="str">
        <f>_xlfn.IFNA(VLOOKUP(Sheet1!$C3,GEA!A:C,3,FALSE),"-")</f>
        <v>-</v>
      </c>
      <c r="AS3" t="str">
        <f>_xlfn.IFNA(VLOOKUP(Sheet1!$C3,MAC_DSUITE!A:D,3,FALSE),"-")</f>
        <v>-</v>
      </c>
      <c r="AT3" t="str">
        <f>_xlfn.IFNA(VLOOKUP(Sheet1!$C3,MONG_DSUITE!A:E,2,FALSE),"-")</f>
        <v>xxx</v>
      </c>
      <c r="AU3" t="str">
        <f>_xlfn.IFNA(VLOOKUP(Sheet1!$C3,MAC_PAINT2!A:D,4,FALSE),"-")</f>
        <v>-</v>
      </c>
    </row>
    <row r="4" spans="1:49" customFormat="1" x14ac:dyDescent="0.4">
      <c r="C4" t="s">
        <v>2566</v>
      </c>
      <c r="D4" t="str">
        <f>_xlfn.CONCAT(C4,".bam")</f>
        <v>SRR14632924.bam</v>
      </c>
      <c r="G4" t="s">
        <v>2570</v>
      </c>
      <c r="K4" t="s">
        <v>2563</v>
      </c>
      <c r="L4" t="s">
        <v>2563</v>
      </c>
      <c r="Q4" t="s">
        <v>2564</v>
      </c>
      <c r="R4" t="s">
        <v>2606</v>
      </c>
      <c r="AM4" t="str">
        <f>_xlfn.IFNA(VLOOKUP(Sheet1!$C4,ADMIX_ALL!A:B,2,FALSE),"none")</f>
        <v>K6-18</v>
      </c>
      <c r="AN4" t="str">
        <f>_xlfn.IFNA(VLOOKUP(Sheet1!C4,ADMIX_SS!A:B,2,FALSE),"none")</f>
        <v>SubSample</v>
      </c>
      <c r="AO4" t="str">
        <f>_xlfn.IFNA(VLOOKUP(Sheet1!$C4,MONG_PHYLO!A:C,3,FALSE),"-")</f>
        <v>-</v>
      </c>
      <c r="AP4" t="str">
        <f>_xlfn.IFNA(VLOOKUP(Sheet1!$C4,MAC_PHYLO!A:C,3,FALSE),"-")</f>
        <v>-</v>
      </c>
      <c r="AQ4" t="str">
        <f>_xlfn.IFNA(VLOOKUP(Sheet1!$C4,ConStruct!A:C,3,FALSE),"-")</f>
        <v>-</v>
      </c>
      <c r="AR4" t="str">
        <f>_xlfn.IFNA(VLOOKUP(Sheet1!$C4,GEA!A:C,3,FALSE),"-")</f>
        <v>-</v>
      </c>
      <c r="AS4" t="str">
        <f>_xlfn.IFNA(VLOOKUP(Sheet1!$C4,MAC_DSUITE!A:D,3,FALSE),"-")</f>
        <v>-</v>
      </c>
      <c r="AT4" t="str">
        <f>_xlfn.IFNA(VLOOKUP(Sheet1!$C4,MONG_DSUITE!A:E,2,FALSE),"-")</f>
        <v>xxx</v>
      </c>
      <c r="AU4" t="str">
        <f>_xlfn.IFNA(VLOOKUP(Sheet1!$C4,MAC_PAINT2!A:D,4,FALSE),"-")</f>
        <v>-</v>
      </c>
    </row>
    <row r="5" spans="1:49" customFormat="1" x14ac:dyDescent="0.4">
      <c r="C5" t="s">
        <v>2567</v>
      </c>
      <c r="D5" t="str">
        <f>_xlfn.CONCAT(C5,".bam")</f>
        <v>SRR14632927.bam</v>
      </c>
      <c r="G5" t="s">
        <v>2570</v>
      </c>
      <c r="K5" t="s">
        <v>2563</v>
      </c>
      <c r="L5" t="s">
        <v>2563</v>
      </c>
      <c r="Q5" t="s">
        <v>2564</v>
      </c>
      <c r="R5" t="s">
        <v>2606</v>
      </c>
      <c r="AM5" t="str">
        <f>_xlfn.IFNA(VLOOKUP(Sheet1!$C5,ADMIX_ALL!A:B,2,FALSE),"none")</f>
        <v>K6-18</v>
      </c>
      <c r="AN5" t="str">
        <f>_xlfn.IFNA(VLOOKUP(Sheet1!C5,ADMIX_SS!A:B,2,FALSE),"none")</f>
        <v>SubSample</v>
      </c>
      <c r="AO5" t="str">
        <f>_xlfn.IFNA(VLOOKUP(Sheet1!$C5,MONG_PHYLO!A:C,3,FALSE),"-")</f>
        <v>-</v>
      </c>
      <c r="AP5" t="str">
        <f>_xlfn.IFNA(VLOOKUP(Sheet1!$C5,MAC_PHYLO!A:C,3,FALSE),"-")</f>
        <v>-</v>
      </c>
      <c r="AQ5" t="str">
        <f>_xlfn.IFNA(VLOOKUP(Sheet1!$C5,ConStruct!A:C,3,FALSE),"-")</f>
        <v>-</v>
      </c>
      <c r="AR5" t="str">
        <f>_xlfn.IFNA(VLOOKUP(Sheet1!$C5,GEA!A:C,3,FALSE),"-")</f>
        <v>-</v>
      </c>
      <c r="AS5" t="str">
        <f>_xlfn.IFNA(VLOOKUP(Sheet1!$C5,MAC_DSUITE!A:D,3,FALSE),"-")</f>
        <v>-</v>
      </c>
      <c r="AT5" t="str">
        <f>_xlfn.IFNA(VLOOKUP(Sheet1!$C5,MONG_DSUITE!A:E,2,FALSE),"-")</f>
        <v>xxx</v>
      </c>
      <c r="AU5" t="str">
        <f>_xlfn.IFNA(VLOOKUP(Sheet1!$C5,MAC_PAINT2!A:D,4,FALSE),"-")</f>
        <v>-</v>
      </c>
    </row>
    <row r="6" spans="1:49" customFormat="1" x14ac:dyDescent="0.4">
      <c r="C6" t="s">
        <v>2568</v>
      </c>
      <c r="D6" t="str">
        <f>_xlfn.CONCAT(C6,".bam")</f>
        <v>SRR14632928.bam</v>
      </c>
      <c r="G6" t="s">
        <v>2570</v>
      </c>
      <c r="K6" t="s">
        <v>2563</v>
      </c>
      <c r="L6" t="s">
        <v>2563</v>
      </c>
      <c r="Q6" t="s">
        <v>2564</v>
      </c>
      <c r="R6" t="s">
        <v>2606</v>
      </c>
      <c r="AM6" t="str">
        <f>_xlfn.IFNA(VLOOKUP(Sheet1!$C6,ADMIX_ALL!A:B,2,FALSE),"none")</f>
        <v>K6-18</v>
      </c>
      <c r="AN6" t="str">
        <f>_xlfn.IFNA(VLOOKUP(Sheet1!C6,ADMIX_SS!A:B,2,FALSE),"none")</f>
        <v>Constant</v>
      </c>
      <c r="AO6" t="str">
        <f>_xlfn.IFNA(VLOOKUP(Sheet1!$C6,MONG_PHYLO!A:C,3,FALSE),"-")</f>
        <v>lob</v>
      </c>
      <c r="AP6" t="str">
        <f>_xlfn.IFNA(VLOOKUP(Sheet1!$C6,MAC_PHYLO!A:C,3,FALSE),"-")</f>
        <v>lob</v>
      </c>
      <c r="AQ6" t="str">
        <f>_xlfn.IFNA(VLOOKUP(Sheet1!$C6,ConStruct!A:C,3,FALSE),"-")</f>
        <v>-</v>
      </c>
      <c r="AR6" t="str">
        <f>_xlfn.IFNA(VLOOKUP(Sheet1!$C6,GEA!A:C,3,FALSE),"-")</f>
        <v>-</v>
      </c>
      <c r="AS6" t="str">
        <f>_xlfn.IFNA(VLOOKUP(Sheet1!$C6,MAC_DSUITE!A:D,3,FALSE),"-")</f>
        <v>lob</v>
      </c>
      <c r="AT6" t="str">
        <f>_xlfn.IFNA(VLOOKUP(Sheet1!$C6,MONG_DSUITE!A:E,2,FALSE),"-")</f>
        <v>lobata</v>
      </c>
      <c r="AU6" t="str">
        <f>_xlfn.IFNA(VLOOKUP(Sheet1!$C6,MAC_PAINT2!A:D,4,FALSE),"-")</f>
        <v>lob-macpaint</v>
      </c>
    </row>
    <row r="7" spans="1:49" customFormat="1" x14ac:dyDescent="0.4">
      <c r="C7" t="s">
        <v>2569</v>
      </c>
      <c r="D7" t="str">
        <f>_xlfn.CONCAT(C7,".bam")</f>
        <v>SRR14632929.bam</v>
      </c>
      <c r="G7" t="s">
        <v>2570</v>
      </c>
      <c r="K7" t="s">
        <v>2563</v>
      </c>
      <c r="L7" t="s">
        <v>2563</v>
      </c>
      <c r="Q7" t="s">
        <v>2564</v>
      </c>
      <c r="R7" t="s">
        <v>2606</v>
      </c>
      <c r="AM7" t="str">
        <f>_xlfn.IFNA(VLOOKUP(Sheet1!$C7,ADMIX_ALL!A:B,2,FALSE),"none")</f>
        <v>K6-18</v>
      </c>
      <c r="AN7" t="str">
        <f>_xlfn.IFNA(VLOOKUP(Sheet1!C7,ADMIX_SS!A:B,2,FALSE),"none")</f>
        <v>SubSample</v>
      </c>
      <c r="AO7" t="str">
        <f>_xlfn.IFNA(VLOOKUP(Sheet1!$C7,MONG_PHYLO!A:C,3,FALSE),"-")</f>
        <v>-</v>
      </c>
      <c r="AP7" t="str">
        <f>_xlfn.IFNA(VLOOKUP(Sheet1!$C7,MAC_PHYLO!A:C,3,FALSE),"-")</f>
        <v>-</v>
      </c>
      <c r="AQ7" t="str">
        <f>_xlfn.IFNA(VLOOKUP(Sheet1!$C7,ConStruct!A:C,3,FALSE),"-")</f>
        <v>-</v>
      </c>
      <c r="AR7" t="str">
        <f>_xlfn.IFNA(VLOOKUP(Sheet1!$C7,GEA!A:C,3,FALSE),"-")</f>
        <v>-</v>
      </c>
      <c r="AS7" t="str">
        <f>_xlfn.IFNA(VLOOKUP(Sheet1!$C7,MAC_DSUITE!A:D,3,FALSE),"-")</f>
        <v>-</v>
      </c>
      <c r="AT7" t="str">
        <f>_xlfn.IFNA(VLOOKUP(Sheet1!$C7,MONG_DSUITE!A:E,2,FALSE),"-")</f>
        <v>xxx</v>
      </c>
      <c r="AU7" t="str">
        <f>_xlfn.IFNA(VLOOKUP(Sheet1!$C7,MAC_PAINT2!A:D,4,FALSE),"-")</f>
        <v>-</v>
      </c>
    </row>
    <row r="8" spans="1:49" customFormat="1" x14ac:dyDescent="0.4">
      <c r="C8" t="s">
        <v>2571</v>
      </c>
      <c r="D8" t="str">
        <f>_xlfn.CONCAT(C8,".bam")</f>
        <v>SRR14632932.bam</v>
      </c>
      <c r="G8" t="s">
        <v>2570</v>
      </c>
      <c r="K8" t="s">
        <v>2563</v>
      </c>
      <c r="L8" t="s">
        <v>2563</v>
      </c>
      <c r="Q8" t="s">
        <v>2564</v>
      </c>
      <c r="R8" t="s">
        <v>2606</v>
      </c>
      <c r="AM8" t="str">
        <f>_xlfn.IFNA(VLOOKUP(Sheet1!$C8,ADMIX_ALL!A:B,2,FALSE),"none")</f>
        <v>K6-18</v>
      </c>
      <c r="AN8" t="str">
        <f>_xlfn.IFNA(VLOOKUP(Sheet1!C8,ADMIX_SS!A:B,2,FALSE),"none")</f>
        <v>Constant</v>
      </c>
      <c r="AO8" t="str">
        <f>_xlfn.IFNA(VLOOKUP(Sheet1!$C8,MONG_PHYLO!A:C,3,FALSE),"-")</f>
        <v>lob</v>
      </c>
      <c r="AP8" t="str">
        <f>_xlfn.IFNA(VLOOKUP(Sheet1!$C8,MAC_PHYLO!A:C,3,FALSE),"-")</f>
        <v>lob</v>
      </c>
      <c r="AQ8" t="str">
        <f>_xlfn.IFNA(VLOOKUP(Sheet1!$C8,ConStruct!A:C,3,FALSE),"-")</f>
        <v>-</v>
      </c>
      <c r="AR8" t="str">
        <f>_xlfn.IFNA(VLOOKUP(Sheet1!$C8,GEA!A:C,3,FALSE),"-")</f>
        <v>-</v>
      </c>
      <c r="AS8" t="str">
        <f>_xlfn.IFNA(VLOOKUP(Sheet1!$C8,MAC_DSUITE!A:D,3,FALSE),"-")</f>
        <v>lob</v>
      </c>
      <c r="AT8" t="str">
        <f>_xlfn.IFNA(VLOOKUP(Sheet1!$C8,MONG_DSUITE!A:E,2,FALSE),"-")</f>
        <v>lobata</v>
      </c>
      <c r="AU8" t="str">
        <f>_xlfn.IFNA(VLOOKUP(Sheet1!$C8,MAC_PAINT2!A:D,4,FALSE),"-")</f>
        <v>lob-macpaint</v>
      </c>
    </row>
    <row r="9" spans="1:49" customFormat="1" x14ac:dyDescent="0.4">
      <c r="C9" t="s">
        <v>2572</v>
      </c>
      <c r="D9" t="str">
        <f>_xlfn.CONCAT(C9,".bam")</f>
        <v>SRR14632934.bam</v>
      </c>
      <c r="G9" t="s">
        <v>2570</v>
      </c>
      <c r="K9" t="s">
        <v>2563</v>
      </c>
      <c r="L9" t="s">
        <v>2563</v>
      </c>
      <c r="Q9" t="s">
        <v>2564</v>
      </c>
      <c r="R9" t="s">
        <v>2606</v>
      </c>
      <c r="AM9" t="str">
        <f>_xlfn.IFNA(VLOOKUP(Sheet1!$C9,ADMIX_ALL!A:B,2,FALSE),"none")</f>
        <v>K6-18</v>
      </c>
      <c r="AN9" t="str">
        <f>_xlfn.IFNA(VLOOKUP(Sheet1!C9,ADMIX_SS!A:B,2,FALSE),"none")</f>
        <v>SubSample</v>
      </c>
      <c r="AO9" t="str">
        <f>_xlfn.IFNA(VLOOKUP(Sheet1!$C9,MONG_PHYLO!A:C,3,FALSE),"-")</f>
        <v>-</v>
      </c>
      <c r="AP9" t="str">
        <f>_xlfn.IFNA(VLOOKUP(Sheet1!$C9,MAC_PHYLO!A:C,3,FALSE),"-")</f>
        <v>-</v>
      </c>
      <c r="AQ9" t="str">
        <f>_xlfn.IFNA(VLOOKUP(Sheet1!$C9,ConStruct!A:C,3,FALSE),"-")</f>
        <v>-</v>
      </c>
      <c r="AR9" t="str">
        <f>_xlfn.IFNA(VLOOKUP(Sheet1!$C9,GEA!A:C,3,FALSE),"-")</f>
        <v>-</v>
      </c>
      <c r="AS9" t="str">
        <f>_xlfn.IFNA(VLOOKUP(Sheet1!$C9,MAC_DSUITE!A:D,3,FALSE),"-")</f>
        <v>-</v>
      </c>
      <c r="AT9" t="str">
        <f>_xlfn.IFNA(VLOOKUP(Sheet1!$C9,MONG_DSUITE!A:E,2,FALSE),"-")</f>
        <v>xxx</v>
      </c>
      <c r="AU9" t="str">
        <f>_xlfn.IFNA(VLOOKUP(Sheet1!$C9,MAC_PAINT2!A:D,4,FALSE),"-")</f>
        <v>-</v>
      </c>
    </row>
    <row r="10" spans="1:49" customFormat="1" x14ac:dyDescent="0.4">
      <c r="C10" t="s">
        <v>2573</v>
      </c>
      <c r="D10" t="str">
        <f>_xlfn.CONCAT(C10,".bam")</f>
        <v>SRR14632950.bam</v>
      </c>
      <c r="G10" t="s">
        <v>2570</v>
      </c>
      <c r="K10" t="s">
        <v>2563</v>
      </c>
      <c r="L10" t="s">
        <v>2563</v>
      </c>
      <c r="Q10" t="s">
        <v>2564</v>
      </c>
      <c r="R10" t="s">
        <v>2606</v>
      </c>
      <c r="AM10" t="str">
        <f>_xlfn.IFNA(VLOOKUP(Sheet1!$C10,ADMIX_ALL!A:B,2,FALSE),"none")</f>
        <v>K6-18</v>
      </c>
      <c r="AN10" t="str">
        <f>_xlfn.IFNA(VLOOKUP(Sheet1!C10,ADMIX_SS!A:B,2,FALSE),"none")</f>
        <v>Constant</v>
      </c>
      <c r="AO10" t="str">
        <f>_xlfn.IFNA(VLOOKUP(Sheet1!$C10,MONG_PHYLO!A:C,3,FALSE),"-")</f>
        <v>lob</v>
      </c>
      <c r="AP10" t="str">
        <f>_xlfn.IFNA(VLOOKUP(Sheet1!$C10,MAC_PHYLO!A:C,3,FALSE),"-")</f>
        <v>lob</v>
      </c>
      <c r="AQ10" t="str">
        <f>_xlfn.IFNA(VLOOKUP(Sheet1!$C10,ConStruct!A:C,3,FALSE),"-")</f>
        <v>-</v>
      </c>
      <c r="AR10" t="str">
        <f>_xlfn.IFNA(VLOOKUP(Sheet1!$C10,GEA!A:C,3,FALSE),"-")</f>
        <v>-</v>
      </c>
      <c r="AS10" t="str">
        <f>_xlfn.IFNA(VLOOKUP(Sheet1!$C10,MAC_DSUITE!A:D,3,FALSE),"-")</f>
        <v>lob</v>
      </c>
      <c r="AT10" t="str">
        <f>_xlfn.IFNA(VLOOKUP(Sheet1!$C10,MONG_DSUITE!A:E,2,FALSE),"-")</f>
        <v>lobata</v>
      </c>
      <c r="AU10" t="str">
        <f>_xlfn.IFNA(VLOOKUP(Sheet1!$C10,MAC_PAINT2!A:D,4,FALSE),"-")</f>
        <v>lob-macpaint</v>
      </c>
    </row>
    <row r="11" spans="1:49" customFormat="1" x14ac:dyDescent="0.4">
      <c r="C11" t="s">
        <v>2574</v>
      </c>
      <c r="D11" t="str">
        <f>_xlfn.CONCAT(C11,".bam")</f>
        <v>SRR14632955.bam</v>
      </c>
      <c r="G11" t="s">
        <v>2570</v>
      </c>
      <c r="K11" t="s">
        <v>2563</v>
      </c>
      <c r="L11" t="s">
        <v>2563</v>
      </c>
      <c r="Q11" t="s">
        <v>2564</v>
      </c>
      <c r="R11" t="s">
        <v>2606</v>
      </c>
      <c r="AM11" t="str">
        <f>_xlfn.IFNA(VLOOKUP(Sheet1!$C11,ADMIX_ALL!A:B,2,FALSE),"none")</f>
        <v>K6-18</v>
      </c>
      <c r="AN11" t="str">
        <f>_xlfn.IFNA(VLOOKUP(Sheet1!C11,ADMIX_SS!A:B,2,FALSE),"none")</f>
        <v>SubSample</v>
      </c>
      <c r="AO11" t="str">
        <f>_xlfn.IFNA(VLOOKUP(Sheet1!$C11,MONG_PHYLO!A:C,3,FALSE),"-")</f>
        <v>-</v>
      </c>
      <c r="AP11" t="str">
        <f>_xlfn.IFNA(VLOOKUP(Sheet1!$C11,MAC_PHYLO!A:C,3,FALSE),"-")</f>
        <v>-</v>
      </c>
      <c r="AQ11" t="str">
        <f>_xlfn.IFNA(VLOOKUP(Sheet1!$C11,ConStruct!A:C,3,FALSE),"-")</f>
        <v>-</v>
      </c>
      <c r="AR11" t="str">
        <f>_xlfn.IFNA(VLOOKUP(Sheet1!$C11,GEA!A:C,3,FALSE),"-")</f>
        <v>-</v>
      </c>
      <c r="AS11" t="str">
        <f>_xlfn.IFNA(VLOOKUP(Sheet1!$C11,MAC_DSUITE!A:D,3,FALSE),"-")</f>
        <v>-</v>
      </c>
      <c r="AT11" t="str">
        <f>_xlfn.IFNA(VLOOKUP(Sheet1!$C11,MONG_DSUITE!A:E,2,FALSE),"-")</f>
        <v>xxx</v>
      </c>
      <c r="AU11" t="str">
        <f>_xlfn.IFNA(VLOOKUP(Sheet1!$C11,MAC_PAINT2!A:D,4,FALSE),"-")</f>
        <v>-</v>
      </c>
    </row>
    <row r="12" spans="1:49" customFormat="1" x14ac:dyDescent="0.4">
      <c r="C12" t="s">
        <v>2575</v>
      </c>
      <c r="D12" t="str">
        <f>_xlfn.CONCAT(C12,".bam")</f>
        <v>SRR14632961.bam</v>
      </c>
      <c r="G12" t="s">
        <v>2570</v>
      </c>
      <c r="K12" t="s">
        <v>2563</v>
      </c>
      <c r="L12" t="s">
        <v>2563</v>
      </c>
      <c r="Q12" t="s">
        <v>2564</v>
      </c>
      <c r="R12" t="s">
        <v>2606</v>
      </c>
      <c r="AM12" t="str">
        <f>_xlfn.IFNA(VLOOKUP(Sheet1!$C12,ADMIX_ALL!A:B,2,FALSE),"none")</f>
        <v>K6-18</v>
      </c>
      <c r="AN12" t="str">
        <f>_xlfn.IFNA(VLOOKUP(Sheet1!C12,ADMIX_SS!A:B,2,FALSE),"none")</f>
        <v>Constant</v>
      </c>
      <c r="AO12" t="str">
        <f>_xlfn.IFNA(VLOOKUP(Sheet1!$C12,MONG_PHYLO!A:C,3,FALSE),"-")</f>
        <v>lob</v>
      </c>
      <c r="AP12" t="str">
        <f>_xlfn.IFNA(VLOOKUP(Sheet1!$C12,MAC_PHYLO!A:C,3,FALSE),"-")</f>
        <v>lob</v>
      </c>
      <c r="AQ12" t="str">
        <f>_xlfn.IFNA(VLOOKUP(Sheet1!$C12,ConStruct!A:C,3,FALSE),"-")</f>
        <v>-</v>
      </c>
      <c r="AR12" t="str">
        <f>_xlfn.IFNA(VLOOKUP(Sheet1!$C12,GEA!A:C,3,FALSE),"-")</f>
        <v>-</v>
      </c>
      <c r="AS12" t="str">
        <f>_xlfn.IFNA(VLOOKUP(Sheet1!$C12,MAC_DSUITE!A:D,3,FALSE),"-")</f>
        <v>lob</v>
      </c>
      <c r="AT12" t="str">
        <f>_xlfn.IFNA(VLOOKUP(Sheet1!$C12,MONG_DSUITE!A:E,2,FALSE),"-")</f>
        <v>lobata</v>
      </c>
      <c r="AU12" t="str">
        <f>_xlfn.IFNA(VLOOKUP(Sheet1!$C12,MAC_PAINT2!A:D,4,FALSE),"-")</f>
        <v>lob-macpaint</v>
      </c>
    </row>
    <row r="13" spans="1:49" customFormat="1" x14ac:dyDescent="0.4">
      <c r="C13" t="s">
        <v>2576</v>
      </c>
      <c r="D13" t="str">
        <f>_xlfn.CONCAT(C13,".bam")</f>
        <v>SRR14632964.bam</v>
      </c>
      <c r="G13" t="s">
        <v>2570</v>
      </c>
      <c r="K13" t="s">
        <v>2563</v>
      </c>
      <c r="L13" t="s">
        <v>2563</v>
      </c>
      <c r="Q13" t="s">
        <v>2564</v>
      </c>
      <c r="R13" t="s">
        <v>2606</v>
      </c>
      <c r="AM13" t="str">
        <f>_xlfn.IFNA(VLOOKUP(Sheet1!$C13,ADMIX_ALL!A:B,2,FALSE),"none")</f>
        <v>K6-18</v>
      </c>
      <c r="AN13" t="str">
        <f>_xlfn.IFNA(VLOOKUP(Sheet1!C13,ADMIX_SS!A:B,2,FALSE),"none")</f>
        <v>SubSample</v>
      </c>
      <c r="AO13" t="str">
        <f>_xlfn.IFNA(VLOOKUP(Sheet1!$C13,MONG_PHYLO!A:C,3,FALSE),"-")</f>
        <v>-</v>
      </c>
      <c r="AP13" t="str">
        <f>_xlfn.IFNA(VLOOKUP(Sheet1!$C13,MAC_PHYLO!A:C,3,FALSE),"-")</f>
        <v>-</v>
      </c>
      <c r="AQ13" t="str">
        <f>_xlfn.IFNA(VLOOKUP(Sheet1!$C13,ConStruct!A:C,3,FALSE),"-")</f>
        <v>-</v>
      </c>
      <c r="AR13" t="str">
        <f>_xlfn.IFNA(VLOOKUP(Sheet1!$C13,GEA!A:C,3,FALSE),"-")</f>
        <v>-</v>
      </c>
      <c r="AS13" t="str">
        <f>_xlfn.IFNA(VLOOKUP(Sheet1!$C13,MAC_DSUITE!A:D,3,FALSE),"-")</f>
        <v>-</v>
      </c>
      <c r="AT13" t="str">
        <f>_xlfn.IFNA(VLOOKUP(Sheet1!$C13,MONG_DSUITE!A:E,2,FALSE),"-")</f>
        <v>xxx</v>
      </c>
      <c r="AU13" t="str">
        <f>_xlfn.IFNA(VLOOKUP(Sheet1!$C13,MAC_PAINT2!A:D,4,FALSE),"-")</f>
        <v>-</v>
      </c>
    </row>
    <row r="14" spans="1:49" customFormat="1" x14ac:dyDescent="0.4">
      <c r="C14" t="s">
        <v>2577</v>
      </c>
      <c r="D14" t="str">
        <f>_xlfn.CONCAT(C14,".bam")</f>
        <v>SRR14632967.bam</v>
      </c>
      <c r="G14" t="s">
        <v>2570</v>
      </c>
      <c r="K14" t="s">
        <v>2563</v>
      </c>
      <c r="L14" t="s">
        <v>2563</v>
      </c>
      <c r="Q14" t="s">
        <v>2564</v>
      </c>
      <c r="R14" t="s">
        <v>2606</v>
      </c>
      <c r="AM14" t="str">
        <f>_xlfn.IFNA(VLOOKUP(Sheet1!$C14,ADMIX_ALL!A:B,2,FALSE),"none")</f>
        <v>K6-18</v>
      </c>
      <c r="AN14" t="str">
        <f>_xlfn.IFNA(VLOOKUP(Sheet1!C14,ADMIX_SS!A:B,2,FALSE),"none")</f>
        <v>SubSample</v>
      </c>
      <c r="AO14" t="str">
        <f>_xlfn.IFNA(VLOOKUP(Sheet1!$C14,MONG_PHYLO!A:C,3,FALSE),"-")</f>
        <v>-</v>
      </c>
      <c r="AP14" t="str">
        <f>_xlfn.IFNA(VLOOKUP(Sheet1!$C14,MAC_PHYLO!A:C,3,FALSE),"-")</f>
        <v>-</v>
      </c>
      <c r="AQ14" t="str">
        <f>_xlfn.IFNA(VLOOKUP(Sheet1!$C14,ConStruct!A:C,3,FALSE),"-")</f>
        <v>-</v>
      </c>
      <c r="AR14" t="str">
        <f>_xlfn.IFNA(VLOOKUP(Sheet1!$C14,GEA!A:C,3,FALSE),"-")</f>
        <v>-</v>
      </c>
      <c r="AS14" t="str">
        <f>_xlfn.IFNA(VLOOKUP(Sheet1!$C14,MAC_DSUITE!A:D,3,FALSE),"-")</f>
        <v>-</v>
      </c>
      <c r="AT14" t="str">
        <f>_xlfn.IFNA(VLOOKUP(Sheet1!$C14,MONG_DSUITE!A:E,2,FALSE),"-")</f>
        <v>xxx</v>
      </c>
      <c r="AU14" t="str">
        <f>_xlfn.IFNA(VLOOKUP(Sheet1!$C14,MAC_PAINT2!A:D,4,FALSE),"-")</f>
        <v>-</v>
      </c>
    </row>
    <row r="15" spans="1:49" customFormat="1" x14ac:dyDescent="0.4">
      <c r="C15" t="s">
        <v>2578</v>
      </c>
      <c r="D15" t="str">
        <f>_xlfn.CONCAT(C15,".bam")</f>
        <v>SRR14632968.bam</v>
      </c>
      <c r="G15" t="s">
        <v>2570</v>
      </c>
      <c r="K15" t="s">
        <v>2563</v>
      </c>
      <c r="L15" t="s">
        <v>2563</v>
      </c>
      <c r="Q15" t="s">
        <v>2564</v>
      </c>
      <c r="R15" t="s">
        <v>2606</v>
      </c>
      <c r="AM15" t="str">
        <f>_xlfn.IFNA(VLOOKUP(Sheet1!$C15,ADMIX_ALL!A:B,2,FALSE),"none")</f>
        <v>K6-18</v>
      </c>
      <c r="AN15" t="str">
        <f>_xlfn.IFNA(VLOOKUP(Sheet1!C15,ADMIX_SS!A:B,2,FALSE),"none")</f>
        <v>Constant</v>
      </c>
      <c r="AO15" t="str">
        <f>_xlfn.IFNA(VLOOKUP(Sheet1!$C15,MONG_PHYLO!A:C,3,FALSE),"-")</f>
        <v>lob</v>
      </c>
      <c r="AP15" t="str">
        <f>_xlfn.IFNA(VLOOKUP(Sheet1!$C15,MAC_PHYLO!A:C,3,FALSE),"-")</f>
        <v>-</v>
      </c>
      <c r="AQ15" t="str">
        <f>_xlfn.IFNA(VLOOKUP(Sheet1!$C15,ConStruct!A:C,3,FALSE),"-")</f>
        <v>-</v>
      </c>
      <c r="AR15" t="str">
        <f>_xlfn.IFNA(VLOOKUP(Sheet1!$C15,GEA!A:C,3,FALSE),"-")</f>
        <v>-</v>
      </c>
      <c r="AS15" t="str">
        <f>_xlfn.IFNA(VLOOKUP(Sheet1!$C15,MAC_DSUITE!A:D,3,FALSE),"-")</f>
        <v>-</v>
      </c>
      <c r="AT15" t="str">
        <f>_xlfn.IFNA(VLOOKUP(Sheet1!$C15,MONG_DSUITE!A:E,2,FALSE),"-")</f>
        <v>lobata</v>
      </c>
      <c r="AU15" t="str">
        <f>_xlfn.IFNA(VLOOKUP(Sheet1!$C15,MAC_PAINT2!A:D,4,FALSE),"-")</f>
        <v>-</v>
      </c>
    </row>
    <row r="16" spans="1:49" customFormat="1" x14ac:dyDescent="0.4">
      <c r="C16" t="s">
        <v>2579</v>
      </c>
      <c r="D16" t="str">
        <f>_xlfn.CONCAT(C16,".bam")</f>
        <v>SRR14632969.bam</v>
      </c>
      <c r="G16" t="s">
        <v>2570</v>
      </c>
      <c r="K16" t="s">
        <v>2563</v>
      </c>
      <c r="L16" t="s">
        <v>2563</v>
      </c>
      <c r="Q16" t="s">
        <v>2564</v>
      </c>
      <c r="R16" t="s">
        <v>2606</v>
      </c>
      <c r="AM16" t="str">
        <f>_xlfn.IFNA(VLOOKUP(Sheet1!$C16,ADMIX_ALL!A:B,2,FALSE),"none")</f>
        <v>K6-18</v>
      </c>
      <c r="AN16" t="str">
        <f>_xlfn.IFNA(VLOOKUP(Sheet1!C16,ADMIX_SS!A:B,2,FALSE),"none")</f>
        <v>SubSample</v>
      </c>
      <c r="AO16" t="str">
        <f>_xlfn.IFNA(VLOOKUP(Sheet1!$C16,MONG_PHYLO!A:C,3,FALSE),"-")</f>
        <v>-</v>
      </c>
      <c r="AP16" t="str">
        <f>_xlfn.IFNA(VLOOKUP(Sheet1!$C16,MAC_PHYLO!A:C,3,FALSE),"-")</f>
        <v>-</v>
      </c>
      <c r="AQ16" t="str">
        <f>_xlfn.IFNA(VLOOKUP(Sheet1!$C16,ConStruct!A:C,3,FALSE),"-")</f>
        <v>-</v>
      </c>
      <c r="AR16" t="str">
        <f>_xlfn.IFNA(VLOOKUP(Sheet1!$C16,GEA!A:C,3,FALSE),"-")</f>
        <v>-</v>
      </c>
      <c r="AS16" t="str">
        <f>_xlfn.IFNA(VLOOKUP(Sheet1!$C16,MAC_DSUITE!A:D,3,FALSE),"-")</f>
        <v>-</v>
      </c>
      <c r="AT16" t="str">
        <f>_xlfn.IFNA(VLOOKUP(Sheet1!$C16,MONG_DSUITE!A:E,2,FALSE),"-")</f>
        <v>xxx</v>
      </c>
      <c r="AU16" t="str">
        <f>_xlfn.IFNA(VLOOKUP(Sheet1!$C16,MAC_PAINT2!A:D,4,FALSE),"-")</f>
        <v>-</v>
      </c>
    </row>
    <row r="17" spans="1:47" customFormat="1" x14ac:dyDescent="0.4">
      <c r="C17" t="s">
        <v>2580</v>
      </c>
      <c r="D17" t="str">
        <f>_xlfn.CONCAT(C17,".bam")</f>
        <v>SRR14632970.bam</v>
      </c>
      <c r="G17" t="s">
        <v>2570</v>
      </c>
      <c r="K17" t="s">
        <v>2563</v>
      </c>
      <c r="L17" t="s">
        <v>2563</v>
      </c>
      <c r="Q17" t="s">
        <v>2564</v>
      </c>
      <c r="R17" t="s">
        <v>2606</v>
      </c>
      <c r="AM17" t="str">
        <f>_xlfn.IFNA(VLOOKUP(Sheet1!$C17,ADMIX_ALL!A:B,2,FALSE),"none")</f>
        <v>K6-18</v>
      </c>
      <c r="AN17" t="str">
        <f>_xlfn.IFNA(VLOOKUP(Sheet1!C17,ADMIX_SS!A:B,2,FALSE),"none")</f>
        <v>SubSample</v>
      </c>
      <c r="AO17" t="str">
        <f>_xlfn.IFNA(VLOOKUP(Sheet1!$C17,MONG_PHYLO!A:C,3,FALSE),"-")</f>
        <v>-</v>
      </c>
      <c r="AP17" t="str">
        <f>_xlfn.IFNA(VLOOKUP(Sheet1!$C17,MAC_PHYLO!A:C,3,FALSE),"-")</f>
        <v>-</v>
      </c>
      <c r="AQ17" t="str">
        <f>_xlfn.IFNA(VLOOKUP(Sheet1!$C17,ConStruct!A:C,3,FALSE),"-")</f>
        <v>-</v>
      </c>
      <c r="AR17" t="str">
        <f>_xlfn.IFNA(VLOOKUP(Sheet1!$C17,GEA!A:C,3,FALSE),"-")</f>
        <v>-</v>
      </c>
      <c r="AS17" t="str">
        <f>_xlfn.IFNA(VLOOKUP(Sheet1!$C17,MAC_DSUITE!A:D,3,FALSE),"-")</f>
        <v>-</v>
      </c>
      <c r="AT17" t="str">
        <f>_xlfn.IFNA(VLOOKUP(Sheet1!$C17,MONG_DSUITE!A:E,2,FALSE),"-")</f>
        <v>xxx</v>
      </c>
      <c r="AU17" t="str">
        <f>_xlfn.IFNA(VLOOKUP(Sheet1!$C17,MAC_PAINT2!A:D,4,FALSE),"-")</f>
        <v>-</v>
      </c>
    </row>
    <row r="18" spans="1:47" customFormat="1" x14ac:dyDescent="0.4">
      <c r="C18" t="s">
        <v>2581</v>
      </c>
      <c r="D18" t="str">
        <f>_xlfn.CONCAT(C18,".bam")</f>
        <v>SRR23696575.bam</v>
      </c>
      <c r="G18" t="s">
        <v>2584</v>
      </c>
      <c r="K18" t="s">
        <v>2582</v>
      </c>
      <c r="L18" t="s">
        <v>2582</v>
      </c>
      <c r="Q18" t="s">
        <v>2583</v>
      </c>
      <c r="R18" t="s">
        <v>2607</v>
      </c>
      <c r="AM18" t="str">
        <f>_xlfn.IFNA(VLOOKUP(Sheet1!$C18,ADMIX_ALL!A:B,2,FALSE),"none")</f>
        <v>none</v>
      </c>
      <c r="AN18" t="str">
        <f>_xlfn.IFNA(VLOOKUP(Sheet1!C18,ADMIX_SS!A:B,2,FALSE),"none")</f>
        <v>none</v>
      </c>
      <c r="AO18" t="str">
        <f>_xlfn.IFNA(VLOOKUP(Sheet1!$C18,MONG_PHYLO!A:C,3,FALSE),"-")</f>
        <v>-</v>
      </c>
      <c r="AP18" t="str">
        <f>_xlfn.IFNA(VLOOKUP(Sheet1!$C18,MAC_PHYLO!A:C,3,FALSE),"-")</f>
        <v>-</v>
      </c>
      <c r="AQ18" t="str">
        <f>_xlfn.IFNA(VLOOKUP(Sheet1!$C18,ConStruct!A:C,3,FALSE),"-")</f>
        <v>-</v>
      </c>
      <c r="AR18" t="str">
        <f>_xlfn.IFNA(VLOOKUP(Sheet1!$C18,GEA!A:C,3,FALSE),"-")</f>
        <v>-</v>
      </c>
      <c r="AS18" t="str">
        <f>_xlfn.IFNA(VLOOKUP(Sheet1!$C18,MAC_DSUITE!A:D,3,FALSE),"-")</f>
        <v>-</v>
      </c>
      <c r="AT18" t="str">
        <f>_xlfn.IFNA(VLOOKUP(Sheet1!$C18,MONG_DSUITE!A:E,2,FALSE),"-")</f>
        <v>xxx</v>
      </c>
      <c r="AU18" t="str">
        <f>_xlfn.IFNA(VLOOKUP(Sheet1!$C18,MAC_PAINT2!A:D,4,FALSE),"-")</f>
        <v>-</v>
      </c>
    </row>
    <row r="19" spans="1:47" customFormat="1" x14ac:dyDescent="0.4">
      <c r="C19" t="s">
        <v>2585</v>
      </c>
      <c r="D19" t="str">
        <f>_xlfn.CONCAT(C19,".bam")</f>
        <v>SRR24768713.bam</v>
      </c>
      <c r="G19" t="s">
        <v>2584</v>
      </c>
      <c r="K19" t="s">
        <v>2582</v>
      </c>
      <c r="L19" t="s">
        <v>2582</v>
      </c>
      <c r="Q19" t="s">
        <v>2583</v>
      </c>
      <c r="R19" t="s">
        <v>2607</v>
      </c>
      <c r="AM19" t="str">
        <f>_xlfn.IFNA(VLOOKUP(Sheet1!$C19,ADMIX_ALL!A:B,2,FALSE),"none")</f>
        <v>none</v>
      </c>
      <c r="AN19" t="str">
        <f>_xlfn.IFNA(VLOOKUP(Sheet1!C19,ADMIX_SS!A:B,2,FALSE),"none")</f>
        <v>none</v>
      </c>
      <c r="AO19" t="str">
        <f>_xlfn.IFNA(VLOOKUP(Sheet1!$C19,MONG_PHYLO!A:C,3,FALSE),"-")</f>
        <v>-</v>
      </c>
      <c r="AP19" t="str">
        <f>_xlfn.IFNA(VLOOKUP(Sheet1!$C19,MAC_PHYLO!A:C,3,FALSE),"-")</f>
        <v>-</v>
      </c>
      <c r="AQ19" t="str">
        <f>_xlfn.IFNA(VLOOKUP(Sheet1!$C19,ConStruct!A:C,3,FALSE),"-")</f>
        <v>-</v>
      </c>
      <c r="AR19" t="str">
        <f>_xlfn.IFNA(VLOOKUP(Sheet1!$C19,GEA!A:C,3,FALSE),"-")</f>
        <v>-</v>
      </c>
      <c r="AS19" t="str">
        <f>_xlfn.IFNA(VLOOKUP(Sheet1!$C19,MAC_DSUITE!A:D,3,FALSE),"-")</f>
        <v>-</v>
      </c>
      <c r="AT19" t="str">
        <f>_xlfn.IFNA(VLOOKUP(Sheet1!$C19,MONG_DSUITE!A:E,2,FALSE),"-")</f>
        <v>xxx</v>
      </c>
      <c r="AU19" t="str">
        <f>_xlfn.IFNA(VLOOKUP(Sheet1!$C19,MAC_PAINT2!A:D,4,FALSE),"-")</f>
        <v>-</v>
      </c>
    </row>
    <row r="20" spans="1:47" customFormat="1" x14ac:dyDescent="0.4">
      <c r="C20" t="s">
        <v>2586</v>
      </c>
      <c r="D20" t="str">
        <f>_xlfn.CONCAT(C20,".bam")</f>
        <v>SRR24768716.bam</v>
      </c>
      <c r="G20" t="s">
        <v>2584</v>
      </c>
      <c r="K20" t="s">
        <v>2582</v>
      </c>
      <c r="L20" t="s">
        <v>2582</v>
      </c>
      <c r="Q20" t="s">
        <v>2583</v>
      </c>
      <c r="R20" t="s">
        <v>2607</v>
      </c>
      <c r="AM20" t="str">
        <f>_xlfn.IFNA(VLOOKUP(Sheet1!$C20,ADMIX_ALL!A:B,2,FALSE),"none")</f>
        <v>none</v>
      </c>
      <c r="AN20" t="str">
        <f>_xlfn.IFNA(VLOOKUP(Sheet1!C20,ADMIX_SS!A:B,2,FALSE),"none")</f>
        <v>none</v>
      </c>
      <c r="AO20" t="str">
        <f>_xlfn.IFNA(VLOOKUP(Sheet1!$C20,MONG_PHYLO!A:C,3,FALSE),"-")</f>
        <v>-</v>
      </c>
      <c r="AP20" t="str">
        <f>_xlfn.IFNA(VLOOKUP(Sheet1!$C20,MAC_PHYLO!A:C,3,FALSE),"-")</f>
        <v>rub</v>
      </c>
      <c r="AQ20" t="str">
        <f>_xlfn.IFNA(VLOOKUP(Sheet1!$C20,ConStruct!A:C,3,FALSE),"-")</f>
        <v>-</v>
      </c>
      <c r="AR20" t="str">
        <f>_xlfn.IFNA(VLOOKUP(Sheet1!$C20,GEA!A:C,3,FALSE),"-")</f>
        <v>-</v>
      </c>
      <c r="AS20" t="str">
        <f>_xlfn.IFNA(VLOOKUP(Sheet1!$C20,MAC_DSUITE!A:D,3,FALSE),"-")</f>
        <v>Outgroup</v>
      </c>
      <c r="AT20" t="str">
        <f>_xlfn.IFNA(VLOOKUP(Sheet1!$C20,MONG_DSUITE!A:E,2,FALSE),"-")</f>
        <v>Outgroup</v>
      </c>
      <c r="AU20" t="str">
        <f>_xlfn.IFNA(VLOOKUP(Sheet1!$C20,MAC_PAINT2!A:D,4,FALSE),"-")</f>
        <v>-</v>
      </c>
    </row>
    <row r="21" spans="1:47" customFormat="1" x14ac:dyDescent="0.4">
      <c r="C21" t="s">
        <v>2587</v>
      </c>
      <c r="D21" t="str">
        <f>_xlfn.CONCAT(C21,".bam")</f>
        <v>SRR24768719.bam</v>
      </c>
      <c r="G21" t="s">
        <v>2584</v>
      </c>
      <c r="K21" t="s">
        <v>2582</v>
      </c>
      <c r="L21" t="s">
        <v>2582</v>
      </c>
      <c r="Q21" t="s">
        <v>2583</v>
      </c>
      <c r="R21" t="s">
        <v>2607</v>
      </c>
      <c r="AM21" t="str">
        <f>_xlfn.IFNA(VLOOKUP(Sheet1!$C21,ADMIX_ALL!A:B,2,FALSE),"none")</f>
        <v>none</v>
      </c>
      <c r="AN21" t="str">
        <f>_xlfn.IFNA(VLOOKUP(Sheet1!C21,ADMIX_SS!A:B,2,FALSE),"none")</f>
        <v>none</v>
      </c>
      <c r="AO21" t="str">
        <f>_xlfn.IFNA(VLOOKUP(Sheet1!$C21,MONG_PHYLO!A:C,3,FALSE),"-")</f>
        <v>-</v>
      </c>
      <c r="AP21" t="str">
        <f>_xlfn.IFNA(VLOOKUP(Sheet1!$C21,MAC_PHYLO!A:C,3,FALSE),"-")</f>
        <v>-</v>
      </c>
      <c r="AQ21" t="str">
        <f>_xlfn.IFNA(VLOOKUP(Sheet1!$C21,ConStruct!A:C,3,FALSE),"-")</f>
        <v>-</v>
      </c>
      <c r="AR21" t="str">
        <f>_xlfn.IFNA(VLOOKUP(Sheet1!$C21,GEA!A:C,3,FALSE),"-")</f>
        <v>-</v>
      </c>
      <c r="AS21" t="str">
        <f>_xlfn.IFNA(VLOOKUP(Sheet1!$C21,MAC_DSUITE!A:D,3,FALSE),"-")</f>
        <v>-</v>
      </c>
      <c r="AT21" t="str">
        <f>_xlfn.IFNA(VLOOKUP(Sheet1!$C21,MONG_DSUITE!A:E,2,FALSE),"-")</f>
        <v>xxx</v>
      </c>
      <c r="AU21" t="str">
        <f>_xlfn.IFNA(VLOOKUP(Sheet1!$C21,MAC_PAINT2!A:D,4,FALSE),"-")</f>
        <v>-</v>
      </c>
    </row>
    <row r="22" spans="1:47" customFormat="1" x14ac:dyDescent="0.4">
      <c r="C22" t="s">
        <v>2588</v>
      </c>
      <c r="D22" t="str">
        <f>_xlfn.CONCAT(C22,".bam")</f>
        <v>SRR24768723.bam</v>
      </c>
      <c r="G22" t="s">
        <v>2584</v>
      </c>
      <c r="K22" t="s">
        <v>2582</v>
      </c>
      <c r="L22" t="s">
        <v>2582</v>
      </c>
      <c r="Q22" t="s">
        <v>2583</v>
      </c>
      <c r="R22" t="s">
        <v>2607</v>
      </c>
      <c r="AM22" t="str">
        <f>_xlfn.IFNA(VLOOKUP(Sheet1!$C22,ADMIX_ALL!A:B,2,FALSE),"none")</f>
        <v>none</v>
      </c>
      <c r="AN22" t="str">
        <f>_xlfn.IFNA(VLOOKUP(Sheet1!C22,ADMIX_SS!A:B,2,FALSE),"none")</f>
        <v>none</v>
      </c>
      <c r="AO22" t="str">
        <f>_xlfn.IFNA(VLOOKUP(Sheet1!$C22,MONG_PHYLO!A:C,3,FALSE),"-")</f>
        <v>-</v>
      </c>
      <c r="AP22" t="str">
        <f>_xlfn.IFNA(VLOOKUP(Sheet1!$C22,MAC_PHYLO!A:C,3,FALSE),"-")</f>
        <v>rub</v>
      </c>
      <c r="AQ22" t="str">
        <f>_xlfn.IFNA(VLOOKUP(Sheet1!$C22,ConStruct!A:C,3,FALSE),"-")</f>
        <v>-</v>
      </c>
      <c r="AR22" t="str">
        <f>_xlfn.IFNA(VLOOKUP(Sheet1!$C22,GEA!A:C,3,FALSE),"-")</f>
        <v>-</v>
      </c>
      <c r="AS22" t="str">
        <f>_xlfn.IFNA(VLOOKUP(Sheet1!$C22,MAC_DSUITE!A:D,3,FALSE),"-")</f>
        <v>Outgroup</v>
      </c>
      <c r="AT22" t="str">
        <f>_xlfn.IFNA(VLOOKUP(Sheet1!$C22,MONG_DSUITE!A:E,2,FALSE),"-")</f>
        <v>Outgroup</v>
      </c>
      <c r="AU22" t="str">
        <f>_xlfn.IFNA(VLOOKUP(Sheet1!$C22,MAC_PAINT2!A:D,4,FALSE),"-")</f>
        <v>-</v>
      </c>
    </row>
    <row r="23" spans="1:47" customFormat="1" x14ac:dyDescent="0.4">
      <c r="C23" t="s">
        <v>2589</v>
      </c>
      <c r="D23" t="str">
        <f>_xlfn.CONCAT(C23,".bam")</f>
        <v>SRR24768728.bam</v>
      </c>
      <c r="G23" t="s">
        <v>2584</v>
      </c>
      <c r="K23" t="s">
        <v>2582</v>
      </c>
      <c r="L23" t="s">
        <v>2582</v>
      </c>
      <c r="Q23" t="s">
        <v>2583</v>
      </c>
      <c r="R23" t="s">
        <v>2607</v>
      </c>
      <c r="AM23" t="str">
        <f>_xlfn.IFNA(VLOOKUP(Sheet1!$C23,ADMIX_ALL!A:B,2,FALSE),"none")</f>
        <v>none</v>
      </c>
      <c r="AN23" t="str">
        <f>_xlfn.IFNA(VLOOKUP(Sheet1!C23,ADMIX_SS!A:B,2,FALSE),"none")</f>
        <v>none</v>
      </c>
      <c r="AO23" t="str">
        <f>_xlfn.IFNA(VLOOKUP(Sheet1!$C23,MONG_PHYLO!A:C,3,FALSE),"-")</f>
        <v>-</v>
      </c>
      <c r="AP23" t="str">
        <f>_xlfn.IFNA(VLOOKUP(Sheet1!$C23,MAC_PHYLO!A:C,3,FALSE),"-")</f>
        <v>-</v>
      </c>
      <c r="AQ23" t="str">
        <f>_xlfn.IFNA(VLOOKUP(Sheet1!$C23,ConStruct!A:C,3,FALSE),"-")</f>
        <v>-</v>
      </c>
      <c r="AR23" t="str">
        <f>_xlfn.IFNA(VLOOKUP(Sheet1!$C23,GEA!A:C,3,FALSE),"-")</f>
        <v>-</v>
      </c>
      <c r="AS23" t="str">
        <f>_xlfn.IFNA(VLOOKUP(Sheet1!$C23,MAC_DSUITE!A:D,3,FALSE),"-")</f>
        <v>-</v>
      </c>
      <c r="AT23" t="str">
        <f>_xlfn.IFNA(VLOOKUP(Sheet1!$C23,MONG_DSUITE!A:E,2,FALSE),"-")</f>
        <v>xxx</v>
      </c>
      <c r="AU23" t="str">
        <f>_xlfn.IFNA(VLOOKUP(Sheet1!$C23,MAC_PAINT2!A:D,4,FALSE),"-")</f>
        <v>-</v>
      </c>
    </row>
    <row r="24" spans="1:47" customFormat="1" x14ac:dyDescent="0.4">
      <c r="C24" t="s">
        <v>2590</v>
      </c>
      <c r="D24" t="str">
        <f>_xlfn.CONCAT(C24,".bam")</f>
        <v>SRR24768736.bam</v>
      </c>
      <c r="G24" t="s">
        <v>2584</v>
      </c>
      <c r="K24" t="s">
        <v>2582</v>
      </c>
      <c r="L24" t="s">
        <v>2582</v>
      </c>
      <c r="Q24" t="s">
        <v>2583</v>
      </c>
      <c r="R24" t="s">
        <v>2607</v>
      </c>
      <c r="AM24" t="str">
        <f>_xlfn.IFNA(VLOOKUP(Sheet1!$C24,ADMIX_ALL!A:B,2,FALSE),"none")</f>
        <v>none</v>
      </c>
      <c r="AN24" t="str">
        <f>_xlfn.IFNA(VLOOKUP(Sheet1!C24,ADMIX_SS!A:B,2,FALSE),"none")</f>
        <v>none</v>
      </c>
      <c r="AO24" t="str">
        <f>_xlfn.IFNA(VLOOKUP(Sheet1!$C24,MONG_PHYLO!A:C,3,FALSE),"-")</f>
        <v>-</v>
      </c>
      <c r="AP24" t="str">
        <f>_xlfn.IFNA(VLOOKUP(Sheet1!$C24,MAC_PHYLO!A:C,3,FALSE),"-")</f>
        <v>rub</v>
      </c>
      <c r="AQ24" t="str">
        <f>_xlfn.IFNA(VLOOKUP(Sheet1!$C24,ConStruct!A:C,3,FALSE),"-")</f>
        <v>-</v>
      </c>
      <c r="AR24" t="str">
        <f>_xlfn.IFNA(VLOOKUP(Sheet1!$C24,GEA!A:C,3,FALSE),"-")</f>
        <v>-</v>
      </c>
      <c r="AS24" t="str">
        <f>_xlfn.IFNA(VLOOKUP(Sheet1!$C24,MAC_DSUITE!A:D,3,FALSE),"-")</f>
        <v>Outgroup</v>
      </c>
      <c r="AT24" t="str">
        <f>_xlfn.IFNA(VLOOKUP(Sheet1!$C24,MONG_DSUITE!A:E,2,FALSE),"-")</f>
        <v>Outgroup</v>
      </c>
      <c r="AU24" t="str">
        <f>_xlfn.IFNA(VLOOKUP(Sheet1!$C24,MAC_PAINT2!A:D,4,FALSE),"-")</f>
        <v>-</v>
      </c>
    </row>
    <row r="25" spans="1:47" customFormat="1" x14ac:dyDescent="0.4">
      <c r="C25" t="s">
        <v>2591</v>
      </c>
      <c r="D25" t="str">
        <f>_xlfn.CONCAT(C25,".bam")</f>
        <v>SRR24768744.bam</v>
      </c>
      <c r="G25" t="s">
        <v>2584</v>
      </c>
      <c r="K25" t="s">
        <v>2582</v>
      </c>
      <c r="L25" t="s">
        <v>2582</v>
      </c>
      <c r="Q25" t="s">
        <v>2583</v>
      </c>
      <c r="R25" t="s">
        <v>2607</v>
      </c>
      <c r="AM25" t="str">
        <f>_xlfn.IFNA(VLOOKUP(Sheet1!$C25,ADMIX_ALL!A:B,2,FALSE),"none")</f>
        <v>none</v>
      </c>
      <c r="AN25" t="str">
        <f>_xlfn.IFNA(VLOOKUP(Sheet1!C25,ADMIX_SS!A:B,2,FALSE),"none")</f>
        <v>none</v>
      </c>
      <c r="AO25" t="str">
        <f>_xlfn.IFNA(VLOOKUP(Sheet1!$C25,MONG_PHYLO!A:C,3,FALSE),"-")</f>
        <v>-</v>
      </c>
      <c r="AP25" t="str">
        <f>_xlfn.IFNA(VLOOKUP(Sheet1!$C25,MAC_PHYLO!A:C,3,FALSE),"-")</f>
        <v>-</v>
      </c>
      <c r="AQ25" t="str">
        <f>_xlfn.IFNA(VLOOKUP(Sheet1!$C25,ConStruct!A:C,3,FALSE),"-")</f>
        <v>-</v>
      </c>
      <c r="AR25" t="str">
        <f>_xlfn.IFNA(VLOOKUP(Sheet1!$C25,GEA!A:C,3,FALSE),"-")</f>
        <v>-</v>
      </c>
      <c r="AS25" t="str">
        <f>_xlfn.IFNA(VLOOKUP(Sheet1!$C25,MAC_DSUITE!A:D,3,FALSE),"-")</f>
        <v>-</v>
      </c>
      <c r="AT25" t="str">
        <f>_xlfn.IFNA(VLOOKUP(Sheet1!$C25,MONG_DSUITE!A:E,2,FALSE),"-")</f>
        <v>xxx</v>
      </c>
      <c r="AU25" t="str">
        <f>_xlfn.IFNA(VLOOKUP(Sheet1!$C25,MAC_PAINT2!A:D,4,FALSE),"-")</f>
        <v>-</v>
      </c>
    </row>
    <row r="26" spans="1:47" customFormat="1" x14ac:dyDescent="0.4">
      <c r="C26" t="s">
        <v>2592</v>
      </c>
      <c r="D26" t="str">
        <f>_xlfn.CONCAT(C26,".bam")</f>
        <v>SRR24768754.bam</v>
      </c>
      <c r="G26" t="s">
        <v>2584</v>
      </c>
      <c r="K26" t="s">
        <v>2582</v>
      </c>
      <c r="L26" t="s">
        <v>2582</v>
      </c>
      <c r="Q26" t="s">
        <v>2583</v>
      </c>
      <c r="R26" t="s">
        <v>2607</v>
      </c>
      <c r="AM26" t="str">
        <f>_xlfn.IFNA(VLOOKUP(Sheet1!$C26,ADMIX_ALL!A:B,2,FALSE),"none")</f>
        <v>none</v>
      </c>
      <c r="AN26" t="str">
        <f>_xlfn.IFNA(VLOOKUP(Sheet1!C26,ADMIX_SS!A:B,2,FALSE),"none")</f>
        <v>none</v>
      </c>
      <c r="AO26" t="str">
        <f>_xlfn.IFNA(VLOOKUP(Sheet1!$C26,MONG_PHYLO!A:C,3,FALSE),"-")</f>
        <v>-</v>
      </c>
      <c r="AP26" t="str">
        <f>_xlfn.IFNA(VLOOKUP(Sheet1!$C26,MAC_PHYLO!A:C,3,FALSE),"-")</f>
        <v>rub</v>
      </c>
      <c r="AQ26" t="str">
        <f>_xlfn.IFNA(VLOOKUP(Sheet1!$C26,ConStruct!A:C,3,FALSE),"-")</f>
        <v>-</v>
      </c>
      <c r="AR26" t="str">
        <f>_xlfn.IFNA(VLOOKUP(Sheet1!$C26,GEA!A:C,3,FALSE),"-")</f>
        <v>-</v>
      </c>
      <c r="AS26" t="str">
        <f>_xlfn.IFNA(VLOOKUP(Sheet1!$C26,MAC_DSUITE!A:D,3,FALSE),"-")</f>
        <v>Outgroup</v>
      </c>
      <c r="AT26" t="str">
        <f>_xlfn.IFNA(VLOOKUP(Sheet1!$C26,MONG_DSUITE!A:E,2,FALSE),"-")</f>
        <v>Outgroup</v>
      </c>
      <c r="AU26" t="str">
        <f>_xlfn.IFNA(VLOOKUP(Sheet1!$C26,MAC_PAINT2!A:D,4,FALSE),"-")</f>
        <v>-</v>
      </c>
    </row>
    <row r="27" spans="1:47" customFormat="1" x14ac:dyDescent="0.4">
      <c r="C27" t="s">
        <v>2593</v>
      </c>
      <c r="D27" t="str">
        <f>_xlfn.CONCAT(C27,".bam")</f>
        <v>SRR24768763.bam</v>
      </c>
      <c r="G27" t="s">
        <v>2584</v>
      </c>
      <c r="K27" t="s">
        <v>2582</v>
      </c>
      <c r="L27" t="s">
        <v>2582</v>
      </c>
      <c r="Q27" t="s">
        <v>2583</v>
      </c>
      <c r="R27" t="s">
        <v>2607</v>
      </c>
      <c r="AM27" t="str">
        <f>_xlfn.IFNA(VLOOKUP(Sheet1!$C27,ADMIX_ALL!A:B,2,FALSE),"none")</f>
        <v>none</v>
      </c>
      <c r="AN27" t="str">
        <f>_xlfn.IFNA(VLOOKUP(Sheet1!C27,ADMIX_SS!A:B,2,FALSE),"none")</f>
        <v>none</v>
      </c>
      <c r="AO27" t="str">
        <f>_xlfn.IFNA(VLOOKUP(Sheet1!$C27,MONG_PHYLO!A:C,3,FALSE),"-")</f>
        <v>-</v>
      </c>
      <c r="AP27" t="str">
        <f>_xlfn.IFNA(VLOOKUP(Sheet1!$C27,MAC_PHYLO!A:C,3,FALSE),"-")</f>
        <v>rub</v>
      </c>
      <c r="AQ27" t="str">
        <f>_xlfn.IFNA(VLOOKUP(Sheet1!$C27,ConStruct!A:C,3,FALSE),"-")</f>
        <v>-</v>
      </c>
      <c r="AR27" t="str">
        <f>_xlfn.IFNA(VLOOKUP(Sheet1!$C27,GEA!A:C,3,FALSE),"-")</f>
        <v>-</v>
      </c>
      <c r="AS27" t="str">
        <f>_xlfn.IFNA(VLOOKUP(Sheet1!$C27,MAC_DSUITE!A:D,3,FALSE),"-")</f>
        <v>Outgroup</v>
      </c>
      <c r="AT27" t="str">
        <f>_xlfn.IFNA(VLOOKUP(Sheet1!$C27,MONG_DSUITE!A:E,2,FALSE),"-")</f>
        <v>Outgroup</v>
      </c>
      <c r="AU27" t="str">
        <f>_xlfn.IFNA(VLOOKUP(Sheet1!$C27,MAC_PAINT2!A:D,4,FALSE),"-")</f>
        <v>-</v>
      </c>
    </row>
    <row r="28" spans="1:47" customFormat="1" x14ac:dyDescent="0.4">
      <c r="C28" t="s">
        <v>2594</v>
      </c>
      <c r="D28" t="str">
        <f>_xlfn.CONCAT(C28,".bam")</f>
        <v>SRR3244044.bam</v>
      </c>
      <c r="G28" t="s">
        <v>2584</v>
      </c>
      <c r="K28" t="s">
        <v>2563</v>
      </c>
      <c r="L28" t="s">
        <v>2563</v>
      </c>
      <c r="Q28" t="s">
        <v>2564</v>
      </c>
      <c r="R28" t="s">
        <v>2606</v>
      </c>
      <c r="AM28" t="str">
        <f>_xlfn.IFNA(VLOOKUP(Sheet1!$C28,ADMIX_ALL!A:B,2,FALSE),"none")</f>
        <v>K6-18</v>
      </c>
      <c r="AN28" t="str">
        <f>_xlfn.IFNA(VLOOKUP(Sheet1!C28,ADMIX_SS!A:B,2,FALSE),"none")</f>
        <v>SubSample</v>
      </c>
      <c r="AO28" t="str">
        <f>_xlfn.IFNA(VLOOKUP(Sheet1!$C28,MONG_PHYLO!A:C,3,FALSE),"-")</f>
        <v>-</v>
      </c>
      <c r="AP28" t="str">
        <f>_xlfn.IFNA(VLOOKUP(Sheet1!$C28,MAC_PHYLO!A:C,3,FALSE),"-")</f>
        <v>-</v>
      </c>
      <c r="AQ28" t="str">
        <f>_xlfn.IFNA(VLOOKUP(Sheet1!$C28,ConStruct!A:C,3,FALSE),"-")</f>
        <v>-</v>
      </c>
      <c r="AR28" t="str">
        <f>_xlfn.IFNA(VLOOKUP(Sheet1!$C28,GEA!A:C,3,FALSE),"-")</f>
        <v>-</v>
      </c>
      <c r="AS28" t="str">
        <f>_xlfn.IFNA(VLOOKUP(Sheet1!$C28,MAC_DSUITE!A:D,3,FALSE),"-")</f>
        <v>-</v>
      </c>
      <c r="AT28" t="str">
        <f>_xlfn.IFNA(VLOOKUP(Sheet1!$C28,MONG_DSUITE!A:E,2,FALSE),"-")</f>
        <v>xxx</v>
      </c>
      <c r="AU28" t="str">
        <f>_xlfn.IFNA(VLOOKUP(Sheet1!$C28,MAC_PAINT2!A:D,4,FALSE),"-")</f>
        <v>-</v>
      </c>
    </row>
    <row r="29" spans="1:47" customFormat="1" x14ac:dyDescent="0.4">
      <c r="A29">
        <v>3287</v>
      </c>
      <c r="B29" t="s">
        <v>235</v>
      </c>
      <c r="C29" t="s">
        <v>236</v>
      </c>
      <c r="D29" t="str">
        <f>_xlfn.CONCAT(C29,".bam")</f>
        <v>SYST-MOR-0006717.bam</v>
      </c>
      <c r="E29" t="s">
        <v>237</v>
      </c>
      <c r="F29" t="s">
        <v>2407</v>
      </c>
      <c r="G29" t="s">
        <v>2409</v>
      </c>
      <c r="H29" t="s">
        <v>2493</v>
      </c>
      <c r="I29" t="s">
        <v>243</v>
      </c>
      <c r="J29" t="s">
        <v>238</v>
      </c>
      <c r="K29" t="s">
        <v>239</v>
      </c>
      <c r="L29" t="s">
        <v>239</v>
      </c>
      <c r="N29" t="s">
        <v>239</v>
      </c>
      <c r="P29" t="s">
        <v>113</v>
      </c>
      <c r="Q29" t="s">
        <v>240</v>
      </c>
      <c r="R29" t="s">
        <v>2602</v>
      </c>
      <c r="S29" s="1">
        <v>44715</v>
      </c>
      <c r="T29" t="s">
        <v>241</v>
      </c>
      <c r="U29" t="s">
        <v>34</v>
      </c>
      <c r="V29" s="1">
        <v>44716</v>
      </c>
      <c r="W29" t="s">
        <v>35</v>
      </c>
      <c r="X29" t="s">
        <v>204</v>
      </c>
      <c r="Y29" t="s">
        <v>242</v>
      </c>
      <c r="Z29" t="s">
        <v>38</v>
      </c>
      <c r="AA29" t="s">
        <v>243</v>
      </c>
      <c r="AD29" t="s">
        <v>244</v>
      </c>
      <c r="AE29">
        <v>37.359717000000003</v>
      </c>
      <c r="AF29">
        <v>-88.917519999999996</v>
      </c>
      <c r="AG29" t="s">
        <v>40</v>
      </c>
      <c r="AH29" t="s">
        <v>41</v>
      </c>
      <c r="AI29">
        <v>37.359872259699998</v>
      </c>
      <c r="AJ29">
        <v>-88.917491315700005</v>
      </c>
      <c r="AK29">
        <v>1.5525969999430345E-4</v>
      </c>
      <c r="AL29">
        <v>2.8684299991255102E-5</v>
      </c>
      <c r="AM29" t="str">
        <f>_xlfn.IFNA(VLOOKUP(Sheet1!$C29,ADMIX_ALL!A:B,2,FALSE),"none")</f>
        <v>K6-18</v>
      </c>
      <c r="AN29" t="str">
        <f>_xlfn.IFNA(VLOOKUP(Sheet1!C29,ADMIX_SS!A:B,2,FALSE),"none")</f>
        <v>Constant</v>
      </c>
      <c r="AO29" t="str">
        <f>_xlfn.IFNA(VLOOKUP(Sheet1!$C29,MONG_PHYLO!A:C,3,FALSE),"-")</f>
        <v>mic</v>
      </c>
      <c r="AP29" t="str">
        <f>_xlfn.IFNA(VLOOKUP(Sheet1!$C29,MAC_PHYLO!A:C,3,FALSE),"-")</f>
        <v>mic</v>
      </c>
      <c r="AQ29" t="str">
        <f>_xlfn.IFNA(VLOOKUP(Sheet1!$C29,ConStruct!A:C,3,FALSE),"-")</f>
        <v>-</v>
      </c>
      <c r="AR29" t="str">
        <f>_xlfn.IFNA(VLOOKUP(Sheet1!$C29,GEA!A:C,3,FALSE),"-")</f>
        <v>-</v>
      </c>
      <c r="AS29" t="str">
        <f>_xlfn.IFNA(VLOOKUP(Sheet1!$C29,MAC_DSUITE!A:D,3,FALSE),"-")</f>
        <v>xxx</v>
      </c>
      <c r="AT29" t="str">
        <f>_xlfn.IFNA(VLOOKUP(Sheet1!$C29,MONG_DSUITE!A:E,2,FALSE),"-")</f>
        <v>michauxii</v>
      </c>
      <c r="AU29" t="str">
        <f>_xlfn.IFNA(VLOOKUP(Sheet1!$C29,MAC_PAINT2!A:D,4,FALSE),"-")</f>
        <v>-</v>
      </c>
    </row>
    <row r="30" spans="1:47" customFormat="1" x14ac:dyDescent="0.4">
      <c r="A30">
        <v>3288</v>
      </c>
      <c r="B30" t="s">
        <v>245</v>
      </c>
      <c r="C30" t="s">
        <v>246</v>
      </c>
      <c r="D30" t="str">
        <f>_xlfn.CONCAT(C30,".bam")</f>
        <v>SYST-MOR-0006718.bam</v>
      </c>
      <c r="E30" t="s">
        <v>247</v>
      </c>
      <c r="F30" t="s">
        <v>2407</v>
      </c>
      <c r="G30" t="s">
        <v>2409</v>
      </c>
      <c r="H30" t="s">
        <v>2493</v>
      </c>
      <c r="I30" t="s">
        <v>243</v>
      </c>
      <c r="J30" t="s">
        <v>248</v>
      </c>
      <c r="K30" t="s">
        <v>239</v>
      </c>
      <c r="L30" t="s">
        <v>239</v>
      </c>
      <c r="N30" t="s">
        <v>239</v>
      </c>
      <c r="P30" t="s">
        <v>113</v>
      </c>
      <c r="Q30" t="s">
        <v>240</v>
      </c>
      <c r="R30" t="s">
        <v>2602</v>
      </c>
      <c r="S30" s="1">
        <v>44715</v>
      </c>
      <c r="T30" t="s">
        <v>241</v>
      </c>
      <c r="U30" t="s">
        <v>34</v>
      </c>
      <c r="V30" s="1">
        <v>44716</v>
      </c>
      <c r="W30" t="s">
        <v>35</v>
      </c>
      <c r="X30" t="s">
        <v>204</v>
      </c>
      <c r="Y30" t="s">
        <v>242</v>
      </c>
      <c r="Z30" t="s">
        <v>38</v>
      </c>
      <c r="AA30" t="s">
        <v>243</v>
      </c>
      <c r="AD30" t="s">
        <v>244</v>
      </c>
      <c r="AE30">
        <v>37.358862000000002</v>
      </c>
      <c r="AF30">
        <v>-88.917535000000001</v>
      </c>
      <c r="AG30" t="s">
        <v>40</v>
      </c>
      <c r="AH30" t="s">
        <v>41</v>
      </c>
      <c r="AI30">
        <v>37.3586727</v>
      </c>
      <c r="AJ30">
        <v>-88.917395499999998</v>
      </c>
      <c r="AK30">
        <v>-1.8930000000239033E-4</v>
      </c>
      <c r="AL30">
        <v>1.3950000000306773E-4</v>
      </c>
      <c r="AM30" t="str">
        <f>_xlfn.IFNA(VLOOKUP(Sheet1!$C30,ADMIX_ALL!A:B,2,FALSE),"none")</f>
        <v>K6-18</v>
      </c>
      <c r="AN30" t="str">
        <f>_xlfn.IFNA(VLOOKUP(Sheet1!C30,ADMIX_SS!A:B,2,FALSE),"none")</f>
        <v>Constant</v>
      </c>
      <c r="AO30" t="str">
        <f>_xlfn.IFNA(VLOOKUP(Sheet1!$C30,MONG_PHYLO!A:C,3,FALSE),"-")</f>
        <v>mic</v>
      </c>
      <c r="AP30" t="str">
        <f>_xlfn.IFNA(VLOOKUP(Sheet1!$C30,MAC_PHYLO!A:C,3,FALSE),"-")</f>
        <v>-</v>
      </c>
      <c r="AQ30" t="str">
        <f>_xlfn.IFNA(VLOOKUP(Sheet1!$C30,ConStruct!A:C,3,FALSE),"-")</f>
        <v>-</v>
      </c>
      <c r="AR30" t="str">
        <f>_xlfn.IFNA(VLOOKUP(Sheet1!$C30,GEA!A:C,3,FALSE),"-")</f>
        <v>-</v>
      </c>
      <c r="AS30" t="str">
        <f>_xlfn.IFNA(VLOOKUP(Sheet1!$C30,MAC_DSUITE!A:D,3,FALSE),"-")</f>
        <v>-</v>
      </c>
      <c r="AT30" t="str">
        <f>_xlfn.IFNA(VLOOKUP(Sheet1!$C30,MONG_DSUITE!A:E,2,FALSE),"-")</f>
        <v>michauxii</v>
      </c>
      <c r="AU30" t="str">
        <f>_xlfn.IFNA(VLOOKUP(Sheet1!$C30,MAC_PAINT2!A:D,4,FALSE),"-")</f>
        <v>-</v>
      </c>
    </row>
    <row r="31" spans="1:47" customFormat="1" x14ac:dyDescent="0.4">
      <c r="A31">
        <v>3289</v>
      </c>
      <c r="B31" t="s">
        <v>249</v>
      </c>
      <c r="C31" t="s">
        <v>250</v>
      </c>
      <c r="D31" t="str">
        <f>_xlfn.CONCAT(C31,".bam")</f>
        <v>SYST-MOR-0006719.bam</v>
      </c>
      <c r="E31" t="s">
        <v>251</v>
      </c>
      <c r="F31" t="s">
        <v>2407</v>
      </c>
      <c r="G31" t="s">
        <v>2409</v>
      </c>
      <c r="H31" t="s">
        <v>2493</v>
      </c>
      <c r="I31" t="s">
        <v>243</v>
      </c>
      <c r="J31" t="s">
        <v>252</v>
      </c>
      <c r="K31" t="s">
        <v>239</v>
      </c>
      <c r="L31" t="s">
        <v>239</v>
      </c>
      <c r="N31" t="s">
        <v>239</v>
      </c>
      <c r="P31" t="s">
        <v>113</v>
      </c>
      <c r="Q31" t="s">
        <v>240</v>
      </c>
      <c r="R31" t="s">
        <v>2602</v>
      </c>
      <c r="S31" s="1">
        <v>44715</v>
      </c>
      <c r="T31" t="s">
        <v>241</v>
      </c>
      <c r="U31" t="s">
        <v>34</v>
      </c>
      <c r="V31" s="1">
        <v>44716</v>
      </c>
      <c r="W31" t="s">
        <v>35</v>
      </c>
      <c r="X31" t="s">
        <v>204</v>
      </c>
      <c r="Y31" t="s">
        <v>242</v>
      </c>
      <c r="Z31" t="s">
        <v>38</v>
      </c>
      <c r="AA31" t="s">
        <v>243</v>
      </c>
      <c r="AD31" t="s">
        <v>244</v>
      </c>
      <c r="AE31">
        <v>37.357104999999997</v>
      </c>
      <c r="AF31">
        <v>-88.916939999999997</v>
      </c>
      <c r="AG31" t="s">
        <v>40</v>
      </c>
      <c r="AH31" t="s">
        <v>41</v>
      </c>
      <c r="AI31">
        <v>37.357143689899999</v>
      </c>
      <c r="AJ31">
        <v>-88.917055176700003</v>
      </c>
      <c r="AK31">
        <v>3.8689900001998012E-5</v>
      </c>
      <c r="AL31">
        <v>-1.1517670000671387E-4</v>
      </c>
      <c r="AM31" t="str">
        <f>_xlfn.IFNA(VLOOKUP(Sheet1!$C31,ADMIX_ALL!A:B,2,FALSE),"none")</f>
        <v>K6-18</v>
      </c>
      <c r="AN31" t="str">
        <f>_xlfn.IFNA(VLOOKUP(Sheet1!C31,ADMIX_SS!A:B,2,FALSE),"none")</f>
        <v>SubSample</v>
      </c>
      <c r="AO31" t="str">
        <f>_xlfn.IFNA(VLOOKUP(Sheet1!$C31,MONG_PHYLO!A:C,3,FALSE),"-")</f>
        <v>-</v>
      </c>
      <c r="AP31" t="str">
        <f>_xlfn.IFNA(VLOOKUP(Sheet1!$C31,MAC_PHYLO!A:C,3,FALSE),"-")</f>
        <v>mic</v>
      </c>
      <c r="AQ31" t="str">
        <f>_xlfn.IFNA(VLOOKUP(Sheet1!$C31,ConStruct!A:C,3,FALSE),"-")</f>
        <v>-</v>
      </c>
      <c r="AR31" t="str">
        <f>_xlfn.IFNA(VLOOKUP(Sheet1!$C31,GEA!A:C,3,FALSE),"-")</f>
        <v>-</v>
      </c>
      <c r="AS31" t="str">
        <f>_xlfn.IFNA(VLOOKUP(Sheet1!$C31,MAC_DSUITE!A:D,3,FALSE),"-")</f>
        <v>xxx</v>
      </c>
      <c r="AT31" t="str">
        <f>_xlfn.IFNA(VLOOKUP(Sheet1!$C31,MONG_DSUITE!A:E,2,FALSE),"-")</f>
        <v>xxx</v>
      </c>
      <c r="AU31" t="str">
        <f>_xlfn.IFNA(VLOOKUP(Sheet1!$C31,MAC_PAINT2!A:D,4,FALSE),"-")</f>
        <v>-</v>
      </c>
    </row>
    <row r="32" spans="1:47" customFormat="1" x14ac:dyDescent="0.4">
      <c r="A32">
        <v>3290</v>
      </c>
      <c r="B32" t="s">
        <v>1518</v>
      </c>
      <c r="C32" t="s">
        <v>1519</v>
      </c>
      <c r="D32" t="str">
        <f>_xlfn.CONCAT(C32,".bam")</f>
        <v>SYST-MOR-0006720.bam</v>
      </c>
      <c r="E32" t="s">
        <v>1520</v>
      </c>
      <c r="F32" t="s">
        <v>2442</v>
      </c>
      <c r="G32" t="s">
        <v>2446</v>
      </c>
      <c r="H32" t="s">
        <v>2534</v>
      </c>
      <c r="I32" t="s">
        <v>1523</v>
      </c>
      <c r="K32" t="s">
        <v>50</v>
      </c>
      <c r="L32" t="s">
        <v>50</v>
      </c>
      <c r="N32" t="s">
        <v>50</v>
      </c>
      <c r="P32" t="s">
        <v>113</v>
      </c>
      <c r="Q32" t="s">
        <v>51</v>
      </c>
      <c r="R32" t="s">
        <v>2598</v>
      </c>
      <c r="S32" s="1">
        <v>44713</v>
      </c>
      <c r="T32" t="s">
        <v>1521</v>
      </c>
      <c r="U32" t="s">
        <v>34</v>
      </c>
      <c r="V32" s="1">
        <v>44716</v>
      </c>
      <c r="W32" t="s">
        <v>35</v>
      </c>
      <c r="X32" t="s">
        <v>1387</v>
      </c>
      <c r="Y32" t="s">
        <v>1522</v>
      </c>
      <c r="Z32" t="s">
        <v>38</v>
      </c>
      <c r="AA32" t="s">
        <v>1523</v>
      </c>
      <c r="AD32" t="s">
        <v>50</v>
      </c>
      <c r="AE32">
        <v>38.467143</v>
      </c>
      <c r="AF32">
        <v>-90.820221000000004</v>
      </c>
      <c r="AG32" t="s">
        <v>40</v>
      </c>
      <c r="AH32" t="s">
        <v>41</v>
      </c>
      <c r="AI32">
        <v>38.467176603200002</v>
      </c>
      <c r="AJ32">
        <v>-90.820321440800001</v>
      </c>
      <c r="AK32">
        <v>3.3603200002119138E-5</v>
      </c>
      <c r="AL32">
        <v>-1.0044079999715905E-4</v>
      </c>
      <c r="AM32" t="str">
        <f>_xlfn.IFNA(VLOOKUP(Sheet1!$C32,ADMIX_ALL!A:B,2,FALSE),"none")</f>
        <v>K6-18</v>
      </c>
      <c r="AN32" t="str">
        <f>_xlfn.IFNA(VLOOKUP(Sheet1!C32,ADMIX_SS!A:B,2,FALSE),"none")</f>
        <v>SubSample</v>
      </c>
      <c r="AO32" t="str">
        <f>_xlfn.IFNA(VLOOKUP(Sheet1!$C32,MONG_PHYLO!A:C,3,FALSE),"-")</f>
        <v>-</v>
      </c>
      <c r="AP32" t="str">
        <f>_xlfn.IFNA(VLOOKUP(Sheet1!$C32,MAC_PHYLO!A:C,3,FALSE),"-")</f>
        <v>-</v>
      </c>
      <c r="AQ32" t="str">
        <f>_xlfn.IFNA(VLOOKUP(Sheet1!$C32,ConStruct!A:C,3,FALSE),"-")</f>
        <v>-</v>
      </c>
      <c r="AR32" t="str">
        <f>_xlfn.IFNA(VLOOKUP(Sheet1!$C32,GEA!A:C,3,FALSE),"-")</f>
        <v>-</v>
      </c>
      <c r="AS32" t="str">
        <f>_xlfn.IFNA(VLOOKUP(Sheet1!$C32,MAC_DSUITE!A:D,3,FALSE),"-")</f>
        <v>-</v>
      </c>
      <c r="AT32" t="str">
        <f>_xlfn.IFNA(VLOOKUP(Sheet1!$C32,MONG_DSUITE!A:E,2,FALSE),"-")</f>
        <v>xxx</v>
      </c>
      <c r="AU32" t="str">
        <f>_xlfn.IFNA(VLOOKUP(Sheet1!$C32,MAC_PAINT2!A:D,4,FALSE),"-")</f>
        <v>-</v>
      </c>
    </row>
    <row r="33" spans="1:49" customFormat="1" x14ac:dyDescent="0.4">
      <c r="A33">
        <v>3291</v>
      </c>
      <c r="B33" t="s">
        <v>1524</v>
      </c>
      <c r="C33" t="s">
        <v>1525</v>
      </c>
      <c r="D33" t="str">
        <f>_xlfn.CONCAT(C33,".bam")</f>
        <v>SYST-MOR-0006721.bam</v>
      </c>
      <c r="E33" t="s">
        <v>1526</v>
      </c>
      <c r="F33" t="s">
        <v>2442</v>
      </c>
      <c r="G33" t="s">
        <v>2446</v>
      </c>
      <c r="H33" t="s">
        <v>2534</v>
      </c>
      <c r="I33" t="s">
        <v>1523</v>
      </c>
      <c r="K33" t="s">
        <v>45</v>
      </c>
      <c r="L33" t="s">
        <v>45</v>
      </c>
      <c r="N33" t="s">
        <v>45</v>
      </c>
      <c r="P33" t="s">
        <v>113</v>
      </c>
      <c r="Q33" t="s">
        <v>114</v>
      </c>
      <c r="R33" t="s">
        <v>2597</v>
      </c>
      <c r="S33" s="1">
        <v>44713</v>
      </c>
      <c r="T33" t="s">
        <v>1521</v>
      </c>
      <c r="U33" t="s">
        <v>34</v>
      </c>
      <c r="V33" s="1">
        <v>44716</v>
      </c>
      <c r="W33" t="s">
        <v>35</v>
      </c>
      <c r="X33" t="s">
        <v>1387</v>
      </c>
      <c r="Y33" t="s">
        <v>1522</v>
      </c>
      <c r="Z33" t="s">
        <v>38</v>
      </c>
      <c r="AA33" t="s">
        <v>1523</v>
      </c>
      <c r="AD33" t="s">
        <v>45</v>
      </c>
      <c r="AE33">
        <v>38.461995999999999</v>
      </c>
      <c r="AF33">
        <v>-90.814959000000002</v>
      </c>
      <c r="AG33" t="s">
        <v>40</v>
      </c>
      <c r="AH33" t="s">
        <v>41</v>
      </c>
      <c r="AI33">
        <v>38.461751062499999</v>
      </c>
      <c r="AJ33">
        <v>-90.814749539100006</v>
      </c>
      <c r="AK33">
        <v>-2.4493749999976444E-4</v>
      </c>
      <c r="AL33">
        <v>2.0946089999540618E-4</v>
      </c>
      <c r="AM33" t="str">
        <f>_xlfn.IFNA(VLOOKUP(Sheet1!$C33,ADMIX_ALL!A:B,2,FALSE),"none")</f>
        <v>K6-18</v>
      </c>
      <c r="AN33" t="str">
        <f>_xlfn.IFNA(VLOOKUP(Sheet1!C33,ADMIX_SS!A:B,2,FALSE),"none")</f>
        <v>SubSample</v>
      </c>
      <c r="AO33" t="str">
        <f>_xlfn.IFNA(VLOOKUP(Sheet1!$C33,MONG_PHYLO!A:C,3,FALSE),"-")</f>
        <v>-</v>
      </c>
      <c r="AP33" t="str">
        <f>_xlfn.IFNA(VLOOKUP(Sheet1!$C33,MAC_PHYLO!A:C,3,FALSE),"-")</f>
        <v>-</v>
      </c>
      <c r="AQ33" t="str">
        <f>_xlfn.IFNA(VLOOKUP(Sheet1!$C33,ConStruct!A:C,3,FALSE),"-")</f>
        <v>ConStruct</v>
      </c>
      <c r="AR33" t="str">
        <f>_xlfn.IFNA(VLOOKUP(Sheet1!$C33,GEA!A:C,3,FALSE),"-")</f>
        <v>GEA</v>
      </c>
      <c r="AS33" t="str">
        <f>_xlfn.IFNA(VLOOKUP(Sheet1!$C33,MAC_DSUITE!A:D,3,FALSE),"-")</f>
        <v>mac_MO_SH</v>
      </c>
      <c r="AT33" t="str">
        <f>_xlfn.IFNA(VLOOKUP(Sheet1!$C33,MONG_DSUITE!A:E,2,FALSE),"-")</f>
        <v>macrocarpa_SH</v>
      </c>
      <c r="AU33" t="str">
        <f>_xlfn.IFNA(VLOOKUP(Sheet1!$C33,MAC_PAINT2!A:D,4,FALSE),"-")</f>
        <v>macpaint</v>
      </c>
      <c r="AV33" t="s">
        <v>9193</v>
      </c>
      <c r="AW33" t="s">
        <v>9193</v>
      </c>
    </row>
    <row r="34" spans="1:49" customFormat="1" x14ac:dyDescent="0.4">
      <c r="A34">
        <v>3292</v>
      </c>
      <c r="B34" t="s">
        <v>1527</v>
      </c>
      <c r="C34" t="s">
        <v>1528</v>
      </c>
      <c r="D34" t="str">
        <f>_xlfn.CONCAT(C34,".bam")</f>
        <v>SYST-MOR-0006722.bam</v>
      </c>
      <c r="E34" t="s">
        <v>1529</v>
      </c>
      <c r="F34" t="s">
        <v>2442</v>
      </c>
      <c r="G34" t="s">
        <v>2446</v>
      </c>
      <c r="H34" t="s">
        <v>2534</v>
      </c>
      <c r="I34" t="s">
        <v>1523</v>
      </c>
      <c r="K34" t="s">
        <v>45</v>
      </c>
      <c r="L34" t="s">
        <v>45</v>
      </c>
      <c r="N34" t="s">
        <v>45</v>
      </c>
      <c r="P34" t="s">
        <v>113</v>
      </c>
      <c r="Q34" t="s">
        <v>114</v>
      </c>
      <c r="R34" t="s">
        <v>2597</v>
      </c>
      <c r="S34" s="1">
        <v>44713</v>
      </c>
      <c r="T34" t="s">
        <v>1521</v>
      </c>
      <c r="U34" t="s">
        <v>34</v>
      </c>
      <c r="V34" s="1">
        <v>44716</v>
      </c>
      <c r="W34" t="s">
        <v>35</v>
      </c>
      <c r="X34" t="s">
        <v>1387</v>
      </c>
      <c r="Y34" t="s">
        <v>1522</v>
      </c>
      <c r="Z34" t="s">
        <v>38</v>
      </c>
      <c r="AA34" t="s">
        <v>1523</v>
      </c>
      <c r="AD34" t="s">
        <v>45</v>
      </c>
      <c r="AE34">
        <v>38.461908999999999</v>
      </c>
      <c r="AF34">
        <v>-90.814651999999995</v>
      </c>
      <c r="AG34" t="s">
        <v>40</v>
      </c>
      <c r="AH34" t="s">
        <v>41</v>
      </c>
      <c r="AI34">
        <v>38.462060584</v>
      </c>
      <c r="AJ34">
        <v>-90.814594277899999</v>
      </c>
      <c r="AK34">
        <v>1.5158400000103711E-4</v>
      </c>
      <c r="AL34">
        <v>5.7722099995771714E-5</v>
      </c>
      <c r="AM34" t="str">
        <f>_xlfn.IFNA(VLOOKUP(Sheet1!$C34,ADMIX_ALL!A:B,2,FALSE),"none")</f>
        <v>K6-18</v>
      </c>
      <c r="AN34" t="str">
        <f>_xlfn.IFNA(VLOOKUP(Sheet1!C34,ADMIX_SS!A:B,2,FALSE),"none")</f>
        <v>SubSample</v>
      </c>
      <c r="AO34" t="str">
        <f>_xlfn.IFNA(VLOOKUP(Sheet1!$C34,MONG_PHYLO!A:C,3,FALSE),"-")</f>
        <v>-</v>
      </c>
      <c r="AP34" t="str">
        <f>_xlfn.IFNA(VLOOKUP(Sheet1!$C34,MAC_PHYLO!A:C,3,FALSE),"-")</f>
        <v>-</v>
      </c>
      <c r="AQ34" t="str">
        <f>_xlfn.IFNA(VLOOKUP(Sheet1!$C34,ConStruct!A:C,3,FALSE),"-")</f>
        <v>ConStruct</v>
      </c>
      <c r="AR34" t="str">
        <f>_xlfn.IFNA(VLOOKUP(Sheet1!$C34,GEA!A:C,3,FALSE),"-")</f>
        <v>GEA</v>
      </c>
      <c r="AS34" t="str">
        <f>_xlfn.IFNA(VLOOKUP(Sheet1!$C34,MAC_DSUITE!A:D,3,FALSE),"-")</f>
        <v>mac_MO_SH</v>
      </c>
      <c r="AT34" t="str">
        <f>_xlfn.IFNA(VLOOKUP(Sheet1!$C34,MONG_DSUITE!A:E,2,FALSE),"-")</f>
        <v>macrocarpa_SH</v>
      </c>
      <c r="AU34" t="str">
        <f>_xlfn.IFNA(VLOOKUP(Sheet1!$C34,MAC_PAINT2!A:D,4,FALSE),"-")</f>
        <v>macpaint</v>
      </c>
      <c r="AV34" t="s">
        <v>9193</v>
      </c>
      <c r="AW34" t="s">
        <v>9193</v>
      </c>
    </row>
    <row r="35" spans="1:49" customFormat="1" x14ac:dyDescent="0.4">
      <c r="A35">
        <v>3293</v>
      </c>
      <c r="B35" t="s">
        <v>1530</v>
      </c>
      <c r="C35" t="s">
        <v>1531</v>
      </c>
      <c r="D35" t="str">
        <f>_xlfn.CONCAT(C35,".bam")</f>
        <v>SYST-MOR-0006723.bam</v>
      </c>
      <c r="E35" t="s">
        <v>1532</v>
      </c>
      <c r="F35" t="s">
        <v>2442</v>
      </c>
      <c r="G35" t="s">
        <v>2446</v>
      </c>
      <c r="H35" t="s">
        <v>2534</v>
      </c>
      <c r="I35" t="s">
        <v>1523</v>
      </c>
      <c r="K35" t="s">
        <v>45</v>
      </c>
      <c r="L35" t="s">
        <v>45</v>
      </c>
      <c r="N35" t="s">
        <v>45</v>
      </c>
      <c r="P35" t="s">
        <v>113</v>
      </c>
      <c r="Q35" t="s">
        <v>114</v>
      </c>
      <c r="R35" t="s">
        <v>2597</v>
      </c>
      <c r="S35" s="1">
        <v>44713</v>
      </c>
      <c r="T35" t="s">
        <v>1521</v>
      </c>
      <c r="U35" t="s">
        <v>34</v>
      </c>
      <c r="V35" s="1">
        <v>44716</v>
      </c>
      <c r="W35" t="s">
        <v>35</v>
      </c>
      <c r="X35" t="s">
        <v>1387</v>
      </c>
      <c r="Y35" t="s">
        <v>1522</v>
      </c>
      <c r="Z35" t="s">
        <v>38</v>
      </c>
      <c r="AA35" t="s">
        <v>1523</v>
      </c>
      <c r="AD35" t="s">
        <v>45</v>
      </c>
      <c r="AE35">
        <v>38.461961000000002</v>
      </c>
      <c r="AF35">
        <v>-90.814369999999997</v>
      </c>
      <c r="AG35" t="s">
        <v>40</v>
      </c>
      <c r="AH35" t="s">
        <v>41</v>
      </c>
      <c r="AI35">
        <v>38.461993439300002</v>
      </c>
      <c r="AJ35">
        <v>-90.814358731699997</v>
      </c>
      <c r="AK35">
        <v>3.2439299999964533E-5</v>
      </c>
      <c r="AL35">
        <v>1.1268299999755982E-5</v>
      </c>
      <c r="AM35" t="str">
        <f>_xlfn.IFNA(VLOOKUP(Sheet1!$C35,ADMIX_ALL!A:B,2,FALSE),"none")</f>
        <v>K6-18</v>
      </c>
      <c r="AN35" t="str">
        <f>_xlfn.IFNA(VLOOKUP(Sheet1!C35,ADMIX_SS!A:B,2,FALSE),"none")</f>
        <v>SubSample</v>
      </c>
      <c r="AO35" t="str">
        <f>_xlfn.IFNA(VLOOKUP(Sheet1!$C35,MONG_PHYLO!A:C,3,FALSE),"-")</f>
        <v>-</v>
      </c>
      <c r="AP35" t="str">
        <f>_xlfn.IFNA(VLOOKUP(Sheet1!$C35,MAC_PHYLO!A:C,3,FALSE),"-")</f>
        <v>-</v>
      </c>
      <c r="AQ35" t="str">
        <f>_xlfn.IFNA(VLOOKUP(Sheet1!$C35,ConStruct!A:C,3,FALSE),"-")</f>
        <v>ConStruct</v>
      </c>
      <c r="AR35" t="str">
        <f>_xlfn.IFNA(VLOOKUP(Sheet1!$C35,GEA!A:C,3,FALSE),"-")</f>
        <v>GEA</v>
      </c>
      <c r="AS35" t="str">
        <f>_xlfn.IFNA(VLOOKUP(Sheet1!$C35,MAC_DSUITE!A:D,3,FALSE),"-")</f>
        <v>mac_MO_SH</v>
      </c>
      <c r="AT35" t="str">
        <f>_xlfn.IFNA(VLOOKUP(Sheet1!$C35,MONG_DSUITE!A:E,2,FALSE),"-")</f>
        <v>macrocarpa_SH</v>
      </c>
      <c r="AU35" t="str">
        <f>_xlfn.IFNA(VLOOKUP(Sheet1!$C35,MAC_PAINT2!A:D,4,FALSE),"-")</f>
        <v>macpaint</v>
      </c>
      <c r="AV35" t="s">
        <v>9193</v>
      </c>
      <c r="AW35" t="s">
        <v>9193</v>
      </c>
    </row>
    <row r="36" spans="1:49" customFormat="1" x14ac:dyDescent="0.4">
      <c r="A36">
        <v>3294</v>
      </c>
      <c r="B36" t="s">
        <v>1533</v>
      </c>
      <c r="C36" t="s">
        <v>1534</v>
      </c>
      <c r="D36" t="str">
        <f>_xlfn.CONCAT(C36,".bam")</f>
        <v>SYST-MOR-0006724.bam</v>
      </c>
      <c r="E36" t="s">
        <v>1535</v>
      </c>
      <c r="F36" t="s">
        <v>2442</v>
      </c>
      <c r="G36" t="s">
        <v>2446</v>
      </c>
      <c r="H36" t="s">
        <v>2534</v>
      </c>
      <c r="I36" t="s">
        <v>1523</v>
      </c>
      <c r="K36" t="s">
        <v>45</v>
      </c>
      <c r="L36" t="s">
        <v>45</v>
      </c>
      <c r="N36" t="s">
        <v>45</v>
      </c>
      <c r="P36" t="s">
        <v>113</v>
      </c>
      <c r="Q36" t="s">
        <v>114</v>
      </c>
      <c r="R36" t="s">
        <v>2597</v>
      </c>
      <c r="S36" s="1">
        <v>44713</v>
      </c>
      <c r="T36" t="s">
        <v>1521</v>
      </c>
      <c r="U36" t="s">
        <v>34</v>
      </c>
      <c r="V36" s="1">
        <v>44716</v>
      </c>
      <c r="W36" t="s">
        <v>35</v>
      </c>
      <c r="X36" t="s">
        <v>1387</v>
      </c>
      <c r="Y36" t="s">
        <v>1522</v>
      </c>
      <c r="Z36" t="s">
        <v>38</v>
      </c>
      <c r="AA36" t="s">
        <v>1523</v>
      </c>
      <c r="AD36" t="s">
        <v>139</v>
      </c>
      <c r="AE36">
        <v>38.462113000000002</v>
      </c>
      <c r="AF36">
        <v>-90.814155</v>
      </c>
      <c r="AG36" t="s">
        <v>40</v>
      </c>
      <c r="AH36" t="s">
        <v>41</v>
      </c>
      <c r="AI36">
        <v>38.461984989999998</v>
      </c>
      <c r="AJ36">
        <v>-90.814027716599995</v>
      </c>
      <c r="AK36">
        <v>-1.2801000000450813E-4</v>
      </c>
      <c r="AL36">
        <v>1.2728340000478511E-4</v>
      </c>
      <c r="AM36" t="str">
        <f>_xlfn.IFNA(VLOOKUP(Sheet1!$C36,ADMIX_ALL!A:B,2,FALSE),"none")</f>
        <v>K6-18</v>
      </c>
      <c r="AN36" t="str">
        <f>_xlfn.IFNA(VLOOKUP(Sheet1!C36,ADMIX_SS!A:B,2,FALSE),"none")</f>
        <v>SubSample</v>
      </c>
      <c r="AO36" t="str">
        <f>_xlfn.IFNA(VLOOKUP(Sheet1!$C36,MONG_PHYLO!A:C,3,FALSE),"-")</f>
        <v>-</v>
      </c>
      <c r="AP36" t="str">
        <f>_xlfn.IFNA(VLOOKUP(Sheet1!$C36,MAC_PHYLO!A:C,3,FALSE),"-")</f>
        <v>-</v>
      </c>
      <c r="AQ36" t="str">
        <f>_xlfn.IFNA(VLOOKUP(Sheet1!$C36,ConStruct!A:C,3,FALSE),"-")</f>
        <v>ConStruct</v>
      </c>
      <c r="AR36" t="str">
        <f>_xlfn.IFNA(VLOOKUP(Sheet1!$C36,GEA!A:C,3,FALSE),"-")</f>
        <v>GEA</v>
      </c>
      <c r="AS36" t="str">
        <f>_xlfn.IFNA(VLOOKUP(Sheet1!$C36,MAC_DSUITE!A:D,3,FALSE),"-")</f>
        <v>mac_MO_SH</v>
      </c>
      <c r="AT36" t="str">
        <f>_xlfn.IFNA(VLOOKUP(Sheet1!$C36,MONG_DSUITE!A:E,2,FALSE),"-")</f>
        <v>macrocarpa_SH</v>
      </c>
      <c r="AU36" t="str">
        <f>_xlfn.IFNA(VLOOKUP(Sheet1!$C36,MAC_PAINT2!A:D,4,FALSE),"-")</f>
        <v>macpaint</v>
      </c>
      <c r="AV36" t="s">
        <v>9193</v>
      </c>
      <c r="AW36" t="s">
        <v>9193</v>
      </c>
    </row>
    <row r="37" spans="1:49" customFormat="1" x14ac:dyDescent="0.4">
      <c r="A37">
        <v>3295</v>
      </c>
      <c r="B37" t="s">
        <v>1536</v>
      </c>
      <c r="C37" t="s">
        <v>1537</v>
      </c>
      <c r="D37" t="str">
        <f>_xlfn.CONCAT(C37,".bam")</f>
        <v>SYST-MOR-0006725.bam</v>
      </c>
      <c r="E37" t="s">
        <v>1538</v>
      </c>
      <c r="F37" t="s">
        <v>2442</v>
      </c>
      <c r="G37" t="s">
        <v>2446</v>
      </c>
      <c r="H37" t="s">
        <v>2534</v>
      </c>
      <c r="I37" t="s">
        <v>1523</v>
      </c>
      <c r="K37" t="s">
        <v>45</v>
      </c>
      <c r="L37" t="s">
        <v>45</v>
      </c>
      <c r="N37" t="s">
        <v>45</v>
      </c>
      <c r="P37" t="s">
        <v>113</v>
      </c>
      <c r="Q37" t="s">
        <v>46</v>
      </c>
      <c r="R37" t="s">
        <v>2597</v>
      </c>
      <c r="S37" s="1">
        <v>44713</v>
      </c>
      <c r="T37" t="s">
        <v>1521</v>
      </c>
      <c r="U37" t="s">
        <v>34</v>
      </c>
      <c r="V37" s="1">
        <v>44716</v>
      </c>
      <c r="W37" t="s">
        <v>35</v>
      </c>
      <c r="X37" t="s">
        <v>1387</v>
      </c>
      <c r="Y37" t="s">
        <v>1522</v>
      </c>
      <c r="Z37" t="s">
        <v>38</v>
      </c>
      <c r="AA37" t="s">
        <v>1523</v>
      </c>
      <c r="AD37" t="s">
        <v>139</v>
      </c>
      <c r="AE37">
        <v>38.462273000000003</v>
      </c>
      <c r="AF37">
        <v>-90.813528000000005</v>
      </c>
      <c r="AG37" t="s">
        <v>40</v>
      </c>
      <c r="AH37" t="s">
        <v>41</v>
      </c>
      <c r="AI37">
        <v>38.462082668299999</v>
      </c>
      <c r="AJ37">
        <v>-90.813959955000001</v>
      </c>
      <c r="AK37">
        <v>-1.903317000042648E-4</v>
      </c>
      <c r="AL37">
        <v>-4.3195499999626463E-4</v>
      </c>
      <c r="AM37" t="str">
        <f>_xlfn.IFNA(VLOOKUP(Sheet1!$C37,ADMIX_ALL!A:B,2,FALSE),"none")</f>
        <v>K6-18</v>
      </c>
      <c r="AN37" t="str">
        <f>_xlfn.IFNA(VLOOKUP(Sheet1!C37,ADMIX_SS!A:B,2,FALSE),"none")</f>
        <v>SubSample</v>
      </c>
      <c r="AO37" t="str">
        <f>_xlfn.IFNA(VLOOKUP(Sheet1!$C37,MONG_PHYLO!A:C,3,FALSE),"-")</f>
        <v>-</v>
      </c>
      <c r="AP37" t="str">
        <f>_xlfn.IFNA(VLOOKUP(Sheet1!$C37,MAC_PHYLO!A:C,3,FALSE),"-")</f>
        <v>-</v>
      </c>
      <c r="AQ37" t="str">
        <f>_xlfn.IFNA(VLOOKUP(Sheet1!$C37,ConStruct!A:C,3,FALSE),"-")</f>
        <v>ConStruct</v>
      </c>
      <c r="AR37" t="str">
        <f>_xlfn.IFNA(VLOOKUP(Sheet1!$C37,GEA!A:C,3,FALSE),"-")</f>
        <v>GEA</v>
      </c>
      <c r="AS37" t="str">
        <f>_xlfn.IFNA(VLOOKUP(Sheet1!$C37,MAC_DSUITE!A:D,3,FALSE),"-")</f>
        <v>mac_MO_SH</v>
      </c>
      <c r="AT37" t="str">
        <f>_xlfn.IFNA(VLOOKUP(Sheet1!$C37,MONG_DSUITE!A:E,2,FALSE),"-")</f>
        <v>macrocarpa_SH</v>
      </c>
      <c r="AU37" t="str">
        <f>_xlfn.IFNA(VLOOKUP(Sheet1!$C37,MAC_PAINT2!A:D,4,FALSE),"-")</f>
        <v>macpaint</v>
      </c>
      <c r="AV37" t="s">
        <v>9193</v>
      </c>
      <c r="AW37" t="s">
        <v>9193</v>
      </c>
    </row>
    <row r="38" spans="1:49" customFormat="1" x14ac:dyDescent="0.4">
      <c r="A38">
        <v>3296</v>
      </c>
      <c r="B38" t="s">
        <v>1539</v>
      </c>
      <c r="C38" t="s">
        <v>1540</v>
      </c>
      <c r="D38" t="str">
        <f>_xlfn.CONCAT(C38,".bam")</f>
        <v>SYST-MOR-0006726.bam</v>
      </c>
      <c r="E38" t="s">
        <v>1541</v>
      </c>
      <c r="F38" t="s">
        <v>2442</v>
      </c>
      <c r="G38" t="s">
        <v>2446</v>
      </c>
      <c r="H38" t="s">
        <v>2534</v>
      </c>
      <c r="I38" t="s">
        <v>1523</v>
      </c>
      <c r="K38" t="s">
        <v>84</v>
      </c>
      <c r="L38" t="s">
        <v>84</v>
      </c>
      <c r="N38" t="s">
        <v>84</v>
      </c>
      <c r="P38" t="s">
        <v>113</v>
      </c>
      <c r="Q38" t="s">
        <v>85</v>
      </c>
      <c r="R38" t="s">
        <v>2600</v>
      </c>
      <c r="S38" s="1">
        <v>44713</v>
      </c>
      <c r="T38" t="s">
        <v>1521</v>
      </c>
      <c r="U38" t="s">
        <v>34</v>
      </c>
      <c r="V38" s="1">
        <v>44716</v>
      </c>
      <c r="W38" t="s">
        <v>35</v>
      </c>
      <c r="X38" t="s">
        <v>1387</v>
      </c>
      <c r="Y38" t="s">
        <v>1522</v>
      </c>
      <c r="Z38" t="s">
        <v>38</v>
      </c>
      <c r="AA38" t="s">
        <v>1523</v>
      </c>
      <c r="AD38" t="s">
        <v>84</v>
      </c>
      <c r="AE38">
        <v>38.461575000000003</v>
      </c>
      <c r="AF38">
        <v>-90.818702999999999</v>
      </c>
      <c r="AG38" t="s">
        <v>40</v>
      </c>
      <c r="AH38" t="s">
        <v>41</v>
      </c>
      <c r="AI38">
        <v>38.461104518200003</v>
      </c>
      <c r="AJ38">
        <v>-90.819040536100005</v>
      </c>
      <c r="AK38">
        <v>-4.704818000007549E-4</v>
      </c>
      <c r="AL38">
        <v>-3.3753610000530898E-4</v>
      </c>
      <c r="AM38" t="str">
        <f>_xlfn.IFNA(VLOOKUP(Sheet1!$C38,ADMIX_ALL!A:B,2,FALSE),"none")</f>
        <v>K6-18</v>
      </c>
      <c r="AN38" t="str">
        <f>_xlfn.IFNA(VLOOKUP(Sheet1!C38,ADMIX_SS!A:B,2,FALSE),"none")</f>
        <v>SubSample</v>
      </c>
      <c r="AO38" t="str">
        <f>_xlfn.IFNA(VLOOKUP(Sheet1!$C38,MONG_PHYLO!A:C,3,FALSE),"-")</f>
        <v>-</v>
      </c>
      <c r="AP38" t="str">
        <f>_xlfn.IFNA(VLOOKUP(Sheet1!$C38,MAC_PHYLO!A:C,3,FALSE),"-")</f>
        <v>-</v>
      </c>
      <c r="AQ38" t="str">
        <f>_xlfn.IFNA(VLOOKUP(Sheet1!$C38,ConStruct!A:C,3,FALSE),"-")</f>
        <v>-</v>
      </c>
      <c r="AR38" t="str">
        <f>_xlfn.IFNA(VLOOKUP(Sheet1!$C38,GEA!A:C,3,FALSE),"-")</f>
        <v>-</v>
      </c>
      <c r="AS38" t="str">
        <f>_xlfn.IFNA(VLOOKUP(Sheet1!$C38,MAC_DSUITE!A:D,3,FALSE),"-")</f>
        <v>-</v>
      </c>
      <c r="AT38" t="str">
        <f>_xlfn.IFNA(VLOOKUP(Sheet1!$C38,MONG_DSUITE!A:E,2,FALSE),"-")</f>
        <v>xxx</v>
      </c>
      <c r="AU38" t="str">
        <f>_xlfn.IFNA(VLOOKUP(Sheet1!$C38,MAC_PAINT2!A:D,4,FALSE),"-")</f>
        <v>-</v>
      </c>
    </row>
    <row r="39" spans="1:49" customFormat="1" x14ac:dyDescent="0.4">
      <c r="A39">
        <v>3297</v>
      </c>
      <c r="B39" t="s">
        <v>1542</v>
      </c>
      <c r="C39" t="s">
        <v>1543</v>
      </c>
      <c r="D39" t="str">
        <f>_xlfn.CONCAT(C39,".bam")</f>
        <v>SYST-MOR-0006727.bam</v>
      </c>
      <c r="E39" t="s">
        <v>1544</v>
      </c>
      <c r="F39" t="s">
        <v>2442</v>
      </c>
      <c r="G39" t="s">
        <v>2446</v>
      </c>
      <c r="H39" t="s">
        <v>2534</v>
      </c>
      <c r="I39" t="s">
        <v>1523</v>
      </c>
      <c r="K39" t="s">
        <v>84</v>
      </c>
      <c r="L39" t="s">
        <v>84</v>
      </c>
      <c r="N39" t="s">
        <v>84</v>
      </c>
      <c r="P39" t="s">
        <v>113</v>
      </c>
      <c r="Q39" t="s">
        <v>85</v>
      </c>
      <c r="R39" t="s">
        <v>2600</v>
      </c>
      <c r="S39" s="1">
        <v>44713</v>
      </c>
      <c r="T39" t="s">
        <v>1521</v>
      </c>
      <c r="U39" t="s">
        <v>34</v>
      </c>
      <c r="V39" s="1">
        <v>44716</v>
      </c>
      <c r="W39" t="s">
        <v>35</v>
      </c>
      <c r="X39" t="s">
        <v>1387</v>
      </c>
      <c r="Y39" t="s">
        <v>1522</v>
      </c>
      <c r="Z39" t="s">
        <v>38</v>
      </c>
      <c r="AA39" t="s">
        <v>1523</v>
      </c>
      <c r="AD39" t="s">
        <v>84</v>
      </c>
      <c r="AE39">
        <v>38.461624</v>
      </c>
      <c r="AF39">
        <v>-90.818267000000006</v>
      </c>
      <c r="AG39" t="s">
        <v>40</v>
      </c>
      <c r="AH39" t="s">
        <v>41</v>
      </c>
      <c r="AI39">
        <v>38.461654275000001</v>
      </c>
      <c r="AJ39">
        <v>-90.818233113800005</v>
      </c>
      <c r="AK39">
        <v>3.0275000000301588E-5</v>
      </c>
      <c r="AL39">
        <v>3.3886200000665667E-5</v>
      </c>
      <c r="AM39" t="str">
        <f>_xlfn.IFNA(VLOOKUP(Sheet1!$C39,ADMIX_ALL!A:B,2,FALSE),"none")</f>
        <v>K6-18</v>
      </c>
      <c r="AN39" t="str">
        <f>_xlfn.IFNA(VLOOKUP(Sheet1!C39,ADMIX_SS!A:B,2,FALSE),"none")</f>
        <v>SubSample</v>
      </c>
      <c r="AO39" t="str">
        <f>_xlfn.IFNA(VLOOKUP(Sheet1!$C39,MONG_PHYLO!A:C,3,FALSE),"-")</f>
        <v>-</v>
      </c>
      <c r="AP39" t="str">
        <f>_xlfn.IFNA(VLOOKUP(Sheet1!$C39,MAC_PHYLO!A:C,3,FALSE),"-")</f>
        <v>-</v>
      </c>
      <c r="AQ39" t="str">
        <f>_xlfn.IFNA(VLOOKUP(Sheet1!$C39,ConStruct!A:C,3,FALSE),"-")</f>
        <v>-</v>
      </c>
      <c r="AR39" t="str">
        <f>_xlfn.IFNA(VLOOKUP(Sheet1!$C39,GEA!A:C,3,FALSE),"-")</f>
        <v>-</v>
      </c>
      <c r="AS39" t="str">
        <f>_xlfn.IFNA(VLOOKUP(Sheet1!$C39,MAC_DSUITE!A:D,3,FALSE),"-")</f>
        <v>-</v>
      </c>
      <c r="AT39" t="str">
        <f>_xlfn.IFNA(VLOOKUP(Sheet1!$C39,MONG_DSUITE!A:E,2,FALSE),"-")</f>
        <v>xxx</v>
      </c>
      <c r="AU39" t="str">
        <f>_xlfn.IFNA(VLOOKUP(Sheet1!$C39,MAC_PAINT2!A:D,4,FALSE),"-")</f>
        <v>-</v>
      </c>
    </row>
    <row r="40" spans="1:49" customFormat="1" x14ac:dyDescent="0.4">
      <c r="A40">
        <v>3298</v>
      </c>
      <c r="B40" t="s">
        <v>1545</v>
      </c>
      <c r="C40" t="s">
        <v>1546</v>
      </c>
      <c r="D40" t="str">
        <f>_xlfn.CONCAT(C40,".bam")</f>
        <v>SYST-MOR-0006728.bam</v>
      </c>
      <c r="E40" t="s">
        <v>1547</v>
      </c>
      <c r="F40" t="s">
        <v>2442</v>
      </c>
      <c r="G40" t="s">
        <v>2446</v>
      </c>
      <c r="H40" t="s">
        <v>2534</v>
      </c>
      <c r="I40" t="s">
        <v>1523</v>
      </c>
      <c r="K40" t="s">
        <v>84</v>
      </c>
      <c r="L40" t="s">
        <v>84</v>
      </c>
      <c r="N40" t="s">
        <v>84</v>
      </c>
      <c r="P40" t="s">
        <v>113</v>
      </c>
      <c r="Q40" t="s">
        <v>85</v>
      </c>
      <c r="R40" t="s">
        <v>2600</v>
      </c>
      <c r="S40" s="1">
        <v>44713</v>
      </c>
      <c r="T40" t="s">
        <v>1521</v>
      </c>
      <c r="U40" t="s">
        <v>34</v>
      </c>
      <c r="V40" s="1">
        <v>44716</v>
      </c>
      <c r="W40" t="s">
        <v>35</v>
      </c>
      <c r="X40" t="s">
        <v>1387</v>
      </c>
      <c r="Y40" t="s">
        <v>1522</v>
      </c>
      <c r="Z40" t="s">
        <v>38</v>
      </c>
      <c r="AA40" t="s">
        <v>1523</v>
      </c>
      <c r="AD40" t="s">
        <v>84</v>
      </c>
      <c r="AE40">
        <v>38.462029000000001</v>
      </c>
      <c r="AF40">
        <v>-90.818313000000003</v>
      </c>
      <c r="AG40" t="s">
        <v>40</v>
      </c>
      <c r="AH40" t="s">
        <v>41</v>
      </c>
      <c r="AI40">
        <v>38.462095127200001</v>
      </c>
      <c r="AJ40">
        <v>-90.818370473200005</v>
      </c>
      <c r="AK40">
        <v>6.6127200000209996E-5</v>
      </c>
      <c r="AL40">
        <v>-5.7473200001822988E-5</v>
      </c>
      <c r="AM40" t="str">
        <f>_xlfn.IFNA(VLOOKUP(Sheet1!$C40,ADMIX_ALL!A:B,2,FALSE),"none")</f>
        <v>K6-18</v>
      </c>
      <c r="AN40" t="str">
        <f>_xlfn.IFNA(VLOOKUP(Sheet1!C40,ADMIX_SS!A:B,2,FALSE),"none")</f>
        <v>SubSample</v>
      </c>
      <c r="AO40" t="str">
        <f>_xlfn.IFNA(VLOOKUP(Sheet1!$C40,MONG_PHYLO!A:C,3,FALSE),"-")</f>
        <v>-</v>
      </c>
      <c r="AP40" t="str">
        <f>_xlfn.IFNA(VLOOKUP(Sheet1!$C40,MAC_PHYLO!A:C,3,FALSE),"-")</f>
        <v>-</v>
      </c>
      <c r="AQ40" t="str">
        <f>_xlfn.IFNA(VLOOKUP(Sheet1!$C40,ConStruct!A:C,3,FALSE),"-")</f>
        <v>-</v>
      </c>
      <c r="AR40" t="str">
        <f>_xlfn.IFNA(VLOOKUP(Sheet1!$C40,GEA!A:C,3,FALSE),"-")</f>
        <v>-</v>
      </c>
      <c r="AS40" t="str">
        <f>_xlfn.IFNA(VLOOKUP(Sheet1!$C40,MAC_DSUITE!A:D,3,FALSE),"-")</f>
        <v>-</v>
      </c>
      <c r="AT40" t="str">
        <f>_xlfn.IFNA(VLOOKUP(Sheet1!$C40,MONG_DSUITE!A:E,2,FALSE),"-")</f>
        <v>xxx</v>
      </c>
      <c r="AU40" t="str">
        <f>_xlfn.IFNA(VLOOKUP(Sheet1!$C40,MAC_PAINT2!A:D,4,FALSE),"-")</f>
        <v>-</v>
      </c>
    </row>
    <row r="41" spans="1:49" customFormat="1" x14ac:dyDescent="0.4">
      <c r="A41">
        <v>3528</v>
      </c>
      <c r="B41" t="s">
        <v>253</v>
      </c>
      <c r="C41" t="s">
        <v>254</v>
      </c>
      <c r="D41" t="str">
        <f>_xlfn.CONCAT(C41,".bam")</f>
        <v>SYST-MOR-0006729.bam</v>
      </c>
      <c r="E41" t="s">
        <v>255</v>
      </c>
      <c r="F41" t="s">
        <v>2407</v>
      </c>
      <c r="G41" t="s">
        <v>2410</v>
      </c>
      <c r="H41" t="s">
        <v>2494</v>
      </c>
      <c r="I41" t="s">
        <v>259</v>
      </c>
      <c r="J41" t="s">
        <v>256</v>
      </c>
      <c r="K41" t="s">
        <v>45</v>
      </c>
      <c r="L41" t="s">
        <v>45</v>
      </c>
      <c r="N41" t="s">
        <v>45</v>
      </c>
      <c r="P41" t="s">
        <v>113</v>
      </c>
      <c r="Q41" t="s">
        <v>114</v>
      </c>
      <c r="R41" t="s">
        <v>2597</v>
      </c>
      <c r="S41" s="1">
        <v>44705</v>
      </c>
      <c r="T41" t="s">
        <v>257</v>
      </c>
      <c r="U41" t="s">
        <v>34</v>
      </c>
      <c r="V41" s="1">
        <v>44705</v>
      </c>
      <c r="W41" t="s">
        <v>35</v>
      </c>
      <c r="X41" t="s">
        <v>204</v>
      </c>
      <c r="Y41" t="s">
        <v>258</v>
      </c>
      <c r="Z41" t="s">
        <v>38</v>
      </c>
      <c r="AA41" t="s">
        <v>259</v>
      </c>
      <c r="AD41" t="s">
        <v>45</v>
      </c>
      <c r="AE41">
        <v>41.813830000000003</v>
      </c>
      <c r="AF41">
        <v>-88.062933000000001</v>
      </c>
      <c r="AG41" t="s">
        <v>40</v>
      </c>
      <c r="AH41" t="s">
        <v>41</v>
      </c>
      <c r="AI41">
        <v>41.813670513300004</v>
      </c>
      <c r="AJ41">
        <v>-88.062919629800007</v>
      </c>
      <c r="AK41">
        <v>-1.5948669999943377E-4</v>
      </c>
      <c r="AL41">
        <v>1.3370199994255927E-5</v>
      </c>
      <c r="AM41" t="str">
        <f>_xlfn.IFNA(VLOOKUP(Sheet1!$C41,ADMIX_ALL!A:B,2,FALSE),"none")</f>
        <v>K6-18</v>
      </c>
      <c r="AN41" t="str">
        <f>_xlfn.IFNA(VLOOKUP(Sheet1!C41,ADMIX_SS!A:B,2,FALSE),"none")</f>
        <v>SubSample</v>
      </c>
      <c r="AO41" t="str">
        <f>_xlfn.IFNA(VLOOKUP(Sheet1!$C41,MONG_PHYLO!A:C,3,FALSE),"-")</f>
        <v>-</v>
      </c>
      <c r="AP41" t="str">
        <f>_xlfn.IFNA(VLOOKUP(Sheet1!$C41,MAC_PHYLO!A:C,3,FALSE),"-")</f>
        <v>-</v>
      </c>
      <c r="AQ41" t="str">
        <f>_xlfn.IFNA(VLOOKUP(Sheet1!$C41,ConStruct!A:C,3,FALSE),"-")</f>
        <v>ConStruct</v>
      </c>
      <c r="AR41" t="str">
        <f>_xlfn.IFNA(VLOOKUP(Sheet1!$C41,GEA!A:C,3,FALSE),"-")</f>
        <v>GEA</v>
      </c>
      <c r="AS41" t="str">
        <f>_xlfn.IFNA(VLOOKUP(Sheet1!$C41,MAC_DSUITE!A:D,3,FALSE),"-")</f>
        <v>mac_IL_MOR</v>
      </c>
      <c r="AT41" t="str">
        <f>_xlfn.IFNA(VLOOKUP(Sheet1!$C41,MONG_DSUITE!A:E,2,FALSE),"-")</f>
        <v>macrocarpa_MOR</v>
      </c>
      <c r="AU41" t="str">
        <f>_xlfn.IFNA(VLOOKUP(Sheet1!$C41,MAC_PAINT2!A:D,4,FALSE),"-")</f>
        <v>macpaint</v>
      </c>
      <c r="AV41" t="s">
        <v>9193</v>
      </c>
      <c r="AW41" t="s">
        <v>9193</v>
      </c>
    </row>
    <row r="42" spans="1:49" customFormat="1" x14ac:dyDescent="0.4">
      <c r="A42">
        <v>3529</v>
      </c>
      <c r="B42" t="s">
        <v>268</v>
      </c>
      <c r="C42" t="s">
        <v>269</v>
      </c>
      <c r="D42" t="str">
        <f>_xlfn.CONCAT(C42,".bam")</f>
        <v>SYST-MOR-0006730.bam</v>
      </c>
      <c r="E42" t="s">
        <v>270</v>
      </c>
      <c r="F42" t="s">
        <v>2407</v>
      </c>
      <c r="G42" t="s">
        <v>2410</v>
      </c>
      <c r="H42" t="s">
        <v>2494</v>
      </c>
      <c r="I42" t="s">
        <v>259</v>
      </c>
      <c r="J42" t="s">
        <v>271</v>
      </c>
      <c r="K42" t="s">
        <v>64</v>
      </c>
      <c r="L42" t="s">
        <v>64</v>
      </c>
      <c r="N42" t="s">
        <v>64</v>
      </c>
      <c r="P42" t="s">
        <v>113</v>
      </c>
      <c r="Q42" t="s">
        <v>155</v>
      </c>
      <c r="R42" t="s">
        <v>2599</v>
      </c>
      <c r="S42" s="1">
        <v>44705</v>
      </c>
      <c r="T42" t="s">
        <v>257</v>
      </c>
      <c r="U42" t="s">
        <v>34</v>
      </c>
      <c r="V42" s="1">
        <v>44705</v>
      </c>
      <c r="W42" t="s">
        <v>35</v>
      </c>
      <c r="X42" t="s">
        <v>204</v>
      </c>
      <c r="Y42" t="s">
        <v>258</v>
      </c>
      <c r="Z42" t="s">
        <v>38</v>
      </c>
      <c r="AA42" t="s">
        <v>259</v>
      </c>
      <c r="AD42" t="s">
        <v>64</v>
      </c>
      <c r="AE42">
        <v>41.813921999999998</v>
      </c>
      <c r="AF42">
        <v>-88.062901999999994</v>
      </c>
      <c r="AG42" t="s">
        <v>40</v>
      </c>
      <c r="AH42" t="s">
        <v>41</v>
      </c>
      <c r="AI42">
        <v>41.813858351699999</v>
      </c>
      <c r="AJ42">
        <v>-88.062836062200006</v>
      </c>
      <c r="AK42">
        <v>-6.3648299999385927E-5</v>
      </c>
      <c r="AL42">
        <v>6.5937799988091683E-5</v>
      </c>
      <c r="AM42" t="str">
        <f>_xlfn.IFNA(VLOOKUP(Sheet1!$C42,ADMIX_ALL!A:B,2,FALSE),"none")</f>
        <v>K6-18</v>
      </c>
      <c r="AN42" t="str">
        <f>_xlfn.IFNA(VLOOKUP(Sheet1!C42,ADMIX_SS!A:B,2,FALSE),"none")</f>
        <v>SubSample</v>
      </c>
      <c r="AO42" t="str">
        <f>_xlfn.IFNA(VLOOKUP(Sheet1!$C42,MONG_PHYLO!A:C,3,FALSE),"-")</f>
        <v>-</v>
      </c>
      <c r="AP42" t="str">
        <f>_xlfn.IFNA(VLOOKUP(Sheet1!$C42,MAC_PHYLO!A:C,3,FALSE),"-")</f>
        <v>-</v>
      </c>
      <c r="AQ42" t="str">
        <f>_xlfn.IFNA(VLOOKUP(Sheet1!$C42,ConStruct!A:C,3,FALSE),"-")</f>
        <v>-</v>
      </c>
      <c r="AR42" t="str">
        <f>_xlfn.IFNA(VLOOKUP(Sheet1!$C42,GEA!A:C,3,FALSE),"-")</f>
        <v>-</v>
      </c>
      <c r="AS42" t="str">
        <f>_xlfn.IFNA(VLOOKUP(Sheet1!$C42,MAC_DSUITE!A:D,3,FALSE),"-")</f>
        <v>-</v>
      </c>
      <c r="AT42" t="str">
        <f>_xlfn.IFNA(VLOOKUP(Sheet1!$C42,MONG_DSUITE!A:E,2,FALSE),"-")</f>
        <v>xxx</v>
      </c>
      <c r="AU42" t="str">
        <f>_xlfn.IFNA(VLOOKUP(Sheet1!$C42,MAC_PAINT2!A:D,4,FALSE),"-")</f>
        <v>-</v>
      </c>
    </row>
    <row r="43" spans="1:49" customFormat="1" x14ac:dyDescent="0.4">
      <c r="A43">
        <v>3530</v>
      </c>
      <c r="B43" t="s">
        <v>264</v>
      </c>
      <c r="C43" t="s">
        <v>265</v>
      </c>
      <c r="D43" t="str">
        <f>_xlfn.CONCAT(C43,".bam")</f>
        <v>SYST-MOR-0006731.bam</v>
      </c>
      <c r="E43" t="s">
        <v>266</v>
      </c>
      <c r="F43" t="s">
        <v>2407</v>
      </c>
      <c r="G43" t="s">
        <v>2410</v>
      </c>
      <c r="H43" t="s">
        <v>2494</v>
      </c>
      <c r="I43" t="s">
        <v>259</v>
      </c>
      <c r="J43" t="s">
        <v>267</v>
      </c>
      <c r="K43" t="s">
        <v>45</v>
      </c>
      <c r="L43" t="s">
        <v>45</v>
      </c>
      <c r="N43" t="s">
        <v>45</v>
      </c>
      <c r="P43" t="s">
        <v>113</v>
      </c>
      <c r="Q43" t="s">
        <v>114</v>
      </c>
      <c r="R43" t="s">
        <v>2597</v>
      </c>
      <c r="S43" s="1">
        <v>44705</v>
      </c>
      <c r="T43" t="s">
        <v>257</v>
      </c>
      <c r="U43" t="s">
        <v>34</v>
      </c>
      <c r="V43" s="1">
        <v>44705</v>
      </c>
      <c r="W43" t="s">
        <v>35</v>
      </c>
      <c r="X43" t="s">
        <v>204</v>
      </c>
      <c r="Y43" t="s">
        <v>258</v>
      </c>
      <c r="Z43" t="s">
        <v>38</v>
      </c>
      <c r="AA43" t="s">
        <v>259</v>
      </c>
      <c r="AD43" t="s">
        <v>45</v>
      </c>
      <c r="AE43">
        <v>41.813960999999999</v>
      </c>
      <c r="AF43">
        <v>-88.063804000000005</v>
      </c>
      <c r="AG43" t="s">
        <v>40</v>
      </c>
      <c r="AH43" t="s">
        <v>41</v>
      </c>
      <c r="AI43">
        <v>41.8137772416</v>
      </c>
      <c r="AJ43">
        <v>-88.062842088799997</v>
      </c>
      <c r="AK43">
        <v>-1.8375839999862364E-4</v>
      </c>
      <c r="AL43">
        <v>9.6191120000810315E-4</v>
      </c>
      <c r="AM43" t="str">
        <f>_xlfn.IFNA(VLOOKUP(Sheet1!$C43,ADMIX_ALL!A:B,2,FALSE),"none")</f>
        <v>K6-18</v>
      </c>
      <c r="AN43" t="str">
        <f>_xlfn.IFNA(VLOOKUP(Sheet1!C43,ADMIX_SS!A:B,2,FALSE),"none")</f>
        <v>SubSample</v>
      </c>
      <c r="AO43" t="str">
        <f>_xlfn.IFNA(VLOOKUP(Sheet1!$C43,MONG_PHYLO!A:C,3,FALSE),"-")</f>
        <v>-</v>
      </c>
      <c r="AP43" t="str">
        <f>_xlfn.IFNA(VLOOKUP(Sheet1!$C43,MAC_PHYLO!A:C,3,FALSE),"-")</f>
        <v>-</v>
      </c>
      <c r="AQ43" t="str">
        <f>_xlfn.IFNA(VLOOKUP(Sheet1!$C43,ConStruct!A:C,3,FALSE),"-")</f>
        <v>ConStruct</v>
      </c>
      <c r="AR43" t="str">
        <f>_xlfn.IFNA(VLOOKUP(Sheet1!$C43,GEA!A:C,3,FALSE),"-")</f>
        <v>GEA</v>
      </c>
      <c r="AS43" t="str">
        <f>_xlfn.IFNA(VLOOKUP(Sheet1!$C43,MAC_DSUITE!A:D,3,FALSE),"-")</f>
        <v>mac_IL_MOR</v>
      </c>
      <c r="AT43" t="str">
        <f>_xlfn.IFNA(VLOOKUP(Sheet1!$C43,MONG_DSUITE!A:E,2,FALSE),"-")</f>
        <v>macrocarpa_MOR</v>
      </c>
      <c r="AU43" t="str">
        <f>_xlfn.IFNA(VLOOKUP(Sheet1!$C43,MAC_PAINT2!A:D,4,FALSE),"-")</f>
        <v>macpaint</v>
      </c>
      <c r="AV43" t="s">
        <v>9193</v>
      </c>
      <c r="AW43" t="s">
        <v>9193</v>
      </c>
    </row>
    <row r="44" spans="1:49" customFormat="1" x14ac:dyDescent="0.4">
      <c r="A44">
        <v>3531</v>
      </c>
      <c r="B44" t="s">
        <v>260</v>
      </c>
      <c r="C44" t="s">
        <v>261</v>
      </c>
      <c r="D44" t="str">
        <f>_xlfn.CONCAT(C44,".bam")</f>
        <v>SYST-MOR-0006732.bam</v>
      </c>
      <c r="E44" t="s">
        <v>262</v>
      </c>
      <c r="F44" t="s">
        <v>2407</v>
      </c>
      <c r="G44" t="s">
        <v>2410</v>
      </c>
      <c r="H44" t="s">
        <v>2494</v>
      </c>
      <c r="I44" t="s">
        <v>259</v>
      </c>
      <c r="J44" t="s">
        <v>263</v>
      </c>
      <c r="K44" t="s">
        <v>64</v>
      </c>
      <c r="L44" t="s">
        <v>64</v>
      </c>
      <c r="N44" t="s">
        <v>64</v>
      </c>
      <c r="P44" t="s">
        <v>113</v>
      </c>
      <c r="Q44" t="s">
        <v>155</v>
      </c>
      <c r="R44" t="s">
        <v>2599</v>
      </c>
      <c r="S44" s="1">
        <v>44705</v>
      </c>
      <c r="T44" t="s">
        <v>257</v>
      </c>
      <c r="U44" t="s">
        <v>34</v>
      </c>
      <c r="V44" s="1">
        <v>44705</v>
      </c>
      <c r="W44" t="s">
        <v>35</v>
      </c>
      <c r="X44" t="s">
        <v>204</v>
      </c>
      <c r="Y44" t="s">
        <v>258</v>
      </c>
      <c r="Z44" t="s">
        <v>38</v>
      </c>
      <c r="AA44" t="s">
        <v>259</v>
      </c>
      <c r="AD44" t="s">
        <v>64</v>
      </c>
      <c r="AE44">
        <v>41.813845999999998</v>
      </c>
      <c r="AF44">
        <v>-88.063775000000007</v>
      </c>
      <c r="AG44" t="s">
        <v>40</v>
      </c>
      <c r="AH44" t="s">
        <v>41</v>
      </c>
      <c r="AI44">
        <v>41.8137215012</v>
      </c>
      <c r="AJ44">
        <v>-88.063304275299998</v>
      </c>
      <c r="AK44">
        <v>-1.2449879999820723E-4</v>
      </c>
      <c r="AL44">
        <v>4.7072470000841804E-4</v>
      </c>
      <c r="AM44" t="str">
        <f>_xlfn.IFNA(VLOOKUP(Sheet1!$C44,ADMIX_ALL!A:B,2,FALSE),"none")</f>
        <v>K6-18</v>
      </c>
      <c r="AN44" t="str">
        <f>_xlfn.IFNA(VLOOKUP(Sheet1!C44,ADMIX_SS!A:B,2,FALSE),"none")</f>
        <v>SubSample</v>
      </c>
      <c r="AO44" t="str">
        <f>_xlfn.IFNA(VLOOKUP(Sheet1!$C44,MONG_PHYLO!A:C,3,FALSE),"-")</f>
        <v>-</v>
      </c>
      <c r="AP44" t="str">
        <f>_xlfn.IFNA(VLOOKUP(Sheet1!$C44,MAC_PHYLO!A:C,3,FALSE),"-")</f>
        <v>-</v>
      </c>
      <c r="AQ44" t="str">
        <f>_xlfn.IFNA(VLOOKUP(Sheet1!$C44,ConStruct!A:C,3,FALSE),"-")</f>
        <v>-</v>
      </c>
      <c r="AR44" t="str">
        <f>_xlfn.IFNA(VLOOKUP(Sheet1!$C44,GEA!A:C,3,FALSE),"-")</f>
        <v>-</v>
      </c>
      <c r="AS44" t="str">
        <f>_xlfn.IFNA(VLOOKUP(Sheet1!$C44,MAC_DSUITE!A:D,3,FALSE),"-")</f>
        <v>-</v>
      </c>
      <c r="AT44" t="str">
        <f>_xlfn.IFNA(VLOOKUP(Sheet1!$C44,MONG_DSUITE!A:E,2,FALSE),"-")</f>
        <v>xxx</v>
      </c>
      <c r="AU44" t="str">
        <f>_xlfn.IFNA(VLOOKUP(Sheet1!$C44,MAC_PAINT2!A:D,4,FALSE),"-")</f>
        <v>-</v>
      </c>
    </row>
    <row r="45" spans="1:49" customFormat="1" x14ac:dyDescent="0.4">
      <c r="A45">
        <v>3532</v>
      </c>
      <c r="B45" t="s">
        <v>272</v>
      </c>
      <c r="C45" t="s">
        <v>273</v>
      </c>
      <c r="D45" t="str">
        <f>_xlfn.CONCAT(C45,".bam")</f>
        <v>SYST-MOR-0006733.bam</v>
      </c>
      <c r="E45" t="s">
        <v>274</v>
      </c>
      <c r="F45" t="s">
        <v>2407</v>
      </c>
      <c r="G45" t="s">
        <v>2410</v>
      </c>
      <c r="H45" t="s">
        <v>2494</v>
      </c>
      <c r="I45" t="s">
        <v>259</v>
      </c>
      <c r="J45" t="s">
        <v>275</v>
      </c>
      <c r="K45" t="s">
        <v>143</v>
      </c>
      <c r="L45" t="s">
        <v>143</v>
      </c>
      <c r="M45" t="s">
        <v>143</v>
      </c>
      <c r="N45" t="s">
        <v>276</v>
      </c>
      <c r="P45" t="s">
        <v>113</v>
      </c>
      <c r="Q45" t="s">
        <v>114</v>
      </c>
      <c r="R45" t="s">
        <v>2597</v>
      </c>
      <c r="S45" s="1">
        <v>44705</v>
      </c>
      <c r="T45" t="s">
        <v>257</v>
      </c>
      <c r="U45" t="s">
        <v>34</v>
      </c>
      <c r="V45" s="1">
        <v>44705</v>
      </c>
      <c r="W45" t="s">
        <v>35</v>
      </c>
      <c r="X45" t="s">
        <v>204</v>
      </c>
      <c r="Y45" t="s">
        <v>258</v>
      </c>
      <c r="Z45" t="s">
        <v>38</v>
      </c>
      <c r="AA45" t="s">
        <v>259</v>
      </c>
      <c r="AD45" t="s">
        <v>277</v>
      </c>
      <c r="AE45">
        <v>41.815708999999998</v>
      </c>
      <c r="AF45">
        <v>-88.061440000000005</v>
      </c>
      <c r="AG45" t="s">
        <v>40</v>
      </c>
      <c r="AH45" t="s">
        <v>41</v>
      </c>
      <c r="AI45">
        <v>41.815693024600002</v>
      </c>
      <c r="AJ45">
        <v>-88.061478110099998</v>
      </c>
      <c r="AK45">
        <v>-1.5975399996648321E-5</v>
      </c>
      <c r="AL45">
        <v>-3.8110099993104996E-5</v>
      </c>
      <c r="AM45" t="str">
        <f>_xlfn.IFNA(VLOOKUP(Sheet1!$C45,ADMIX_ALL!A:B,2,FALSE),"none")</f>
        <v>K6-18</v>
      </c>
      <c r="AN45" t="str">
        <f>_xlfn.IFNA(VLOOKUP(Sheet1!C45,ADMIX_SS!A:B,2,FALSE),"none")</f>
        <v>SubSample</v>
      </c>
      <c r="AO45" t="str">
        <f>_xlfn.IFNA(VLOOKUP(Sheet1!$C45,MONG_PHYLO!A:C,3,FALSE),"-")</f>
        <v>-</v>
      </c>
      <c r="AP45" t="str">
        <f>_xlfn.IFNA(VLOOKUP(Sheet1!$C45,MAC_PHYLO!A:C,3,FALSE),"-")</f>
        <v>-</v>
      </c>
      <c r="AQ45" t="str">
        <f>_xlfn.IFNA(VLOOKUP(Sheet1!$C45,ConStruct!A:C,3,FALSE),"-")</f>
        <v>-</v>
      </c>
      <c r="AR45" t="str">
        <f>_xlfn.IFNA(VLOOKUP(Sheet1!$C45,GEA!A:C,3,FALSE),"-")</f>
        <v>-</v>
      </c>
      <c r="AS45" t="str">
        <f>_xlfn.IFNA(VLOOKUP(Sheet1!$C45,MAC_DSUITE!A:D,3,FALSE),"-")</f>
        <v>-</v>
      </c>
      <c r="AT45" t="str">
        <f>_xlfn.IFNA(VLOOKUP(Sheet1!$C45,MONG_DSUITE!A:E,2,FALSE),"-")</f>
        <v>xxx</v>
      </c>
      <c r="AU45" t="str">
        <f>_xlfn.IFNA(VLOOKUP(Sheet1!$C45,MAC_PAINT2!A:D,4,FALSE),"-")</f>
        <v>-</v>
      </c>
    </row>
    <row r="46" spans="1:49" customFormat="1" x14ac:dyDescent="0.4">
      <c r="A46">
        <v>3533</v>
      </c>
      <c r="B46" t="s">
        <v>278</v>
      </c>
      <c r="C46" t="s">
        <v>279</v>
      </c>
      <c r="D46" t="str">
        <f>_xlfn.CONCAT(C46,".bam")</f>
        <v>SYST-MOR-0006734.bam</v>
      </c>
      <c r="E46" t="s">
        <v>280</v>
      </c>
      <c r="F46" t="s">
        <v>2407</v>
      </c>
      <c r="G46" t="s">
        <v>2410</v>
      </c>
      <c r="H46" t="s">
        <v>2494</v>
      </c>
      <c r="I46" t="s">
        <v>259</v>
      </c>
      <c r="J46" t="s">
        <v>281</v>
      </c>
      <c r="K46" t="s">
        <v>64</v>
      </c>
      <c r="L46" t="s">
        <v>64</v>
      </c>
      <c r="N46" t="s">
        <v>64</v>
      </c>
      <c r="P46" t="s">
        <v>113</v>
      </c>
      <c r="Q46" t="s">
        <v>155</v>
      </c>
      <c r="R46" t="s">
        <v>2599</v>
      </c>
      <c r="S46" s="1">
        <v>44705</v>
      </c>
      <c r="T46" t="s">
        <v>257</v>
      </c>
      <c r="U46" t="s">
        <v>34</v>
      </c>
      <c r="V46" s="1">
        <v>44705</v>
      </c>
      <c r="W46" t="s">
        <v>35</v>
      </c>
      <c r="X46" t="s">
        <v>204</v>
      </c>
      <c r="Y46" t="s">
        <v>258</v>
      </c>
      <c r="Z46" t="s">
        <v>38</v>
      </c>
      <c r="AA46" t="s">
        <v>259</v>
      </c>
      <c r="AD46" t="s">
        <v>64</v>
      </c>
      <c r="AE46">
        <v>41.815707000000003</v>
      </c>
      <c r="AF46">
        <v>-88.061199999999999</v>
      </c>
      <c r="AG46" t="s">
        <v>40</v>
      </c>
      <c r="AH46" t="s">
        <v>41</v>
      </c>
      <c r="AI46">
        <v>41.815712638199997</v>
      </c>
      <c r="AJ46">
        <v>-88.061205195300005</v>
      </c>
      <c r="AK46">
        <v>5.6381999939958405E-6</v>
      </c>
      <c r="AL46">
        <v>-5.1953000053117648E-6</v>
      </c>
      <c r="AM46" t="str">
        <f>_xlfn.IFNA(VLOOKUP(Sheet1!$C46,ADMIX_ALL!A:B,2,FALSE),"none")</f>
        <v>K6-18</v>
      </c>
      <c r="AN46" t="str">
        <f>_xlfn.IFNA(VLOOKUP(Sheet1!C46,ADMIX_SS!A:B,2,FALSE),"none")</f>
        <v>SubSample</v>
      </c>
      <c r="AO46" t="str">
        <f>_xlfn.IFNA(VLOOKUP(Sheet1!$C46,MONG_PHYLO!A:C,3,FALSE),"-")</f>
        <v>-</v>
      </c>
      <c r="AP46" t="str">
        <f>_xlfn.IFNA(VLOOKUP(Sheet1!$C46,MAC_PHYLO!A:C,3,FALSE),"-")</f>
        <v>-</v>
      </c>
      <c r="AQ46" t="str">
        <f>_xlfn.IFNA(VLOOKUP(Sheet1!$C46,ConStruct!A:C,3,FALSE),"-")</f>
        <v>-</v>
      </c>
      <c r="AR46" t="str">
        <f>_xlfn.IFNA(VLOOKUP(Sheet1!$C46,GEA!A:C,3,FALSE),"-")</f>
        <v>-</v>
      </c>
      <c r="AS46" t="str">
        <f>_xlfn.IFNA(VLOOKUP(Sheet1!$C46,MAC_DSUITE!A:D,3,FALSE),"-")</f>
        <v>-</v>
      </c>
      <c r="AT46" t="str">
        <f>_xlfn.IFNA(VLOOKUP(Sheet1!$C46,MONG_DSUITE!A:E,2,FALSE),"-")</f>
        <v>xxx</v>
      </c>
      <c r="AU46" t="str">
        <f>_xlfn.IFNA(VLOOKUP(Sheet1!$C46,MAC_PAINT2!A:D,4,FALSE),"-")</f>
        <v>-</v>
      </c>
    </row>
    <row r="47" spans="1:49" customFormat="1" x14ac:dyDescent="0.4">
      <c r="A47">
        <v>3534</v>
      </c>
      <c r="B47" t="s">
        <v>286</v>
      </c>
      <c r="C47" t="s">
        <v>287</v>
      </c>
      <c r="D47" t="str">
        <f>_xlfn.CONCAT(C47,".bam")</f>
        <v>SYST-MOR-0006735.bam</v>
      </c>
      <c r="E47" t="s">
        <v>288</v>
      </c>
      <c r="F47" t="s">
        <v>2407</v>
      </c>
      <c r="G47" t="s">
        <v>2410</v>
      </c>
      <c r="H47" t="s">
        <v>2494</v>
      </c>
      <c r="I47" t="s">
        <v>259</v>
      </c>
      <c r="J47" t="s">
        <v>289</v>
      </c>
      <c r="K47" t="s">
        <v>45</v>
      </c>
      <c r="L47" t="s">
        <v>45</v>
      </c>
      <c r="N47" t="s">
        <v>45</v>
      </c>
      <c r="P47" t="s">
        <v>113</v>
      </c>
      <c r="Q47" t="s">
        <v>114</v>
      </c>
      <c r="R47" t="s">
        <v>2597</v>
      </c>
      <c r="S47" s="1">
        <v>44705</v>
      </c>
      <c r="T47" t="s">
        <v>257</v>
      </c>
      <c r="U47" t="s">
        <v>34</v>
      </c>
      <c r="V47" s="1">
        <v>44705</v>
      </c>
      <c r="W47" t="s">
        <v>35</v>
      </c>
      <c r="X47" t="s">
        <v>204</v>
      </c>
      <c r="Y47" t="s">
        <v>258</v>
      </c>
      <c r="Z47" t="s">
        <v>38</v>
      </c>
      <c r="AA47" t="s">
        <v>259</v>
      </c>
      <c r="AD47" t="s">
        <v>45</v>
      </c>
      <c r="AE47">
        <v>41.815863</v>
      </c>
      <c r="AF47">
        <v>-88.060169999999999</v>
      </c>
      <c r="AG47" t="s">
        <v>40</v>
      </c>
      <c r="AH47" t="s">
        <v>41</v>
      </c>
      <c r="AI47">
        <v>41.815849501599999</v>
      </c>
      <c r="AJ47">
        <v>-88.060122840099993</v>
      </c>
      <c r="AK47">
        <v>-1.3498400001310529E-5</v>
      </c>
      <c r="AL47">
        <v>4.7159900006477073E-5</v>
      </c>
      <c r="AM47" t="str">
        <f>_xlfn.IFNA(VLOOKUP(Sheet1!$C47,ADMIX_ALL!A:B,2,FALSE),"none")</f>
        <v>K6-18</v>
      </c>
      <c r="AN47" t="str">
        <f>_xlfn.IFNA(VLOOKUP(Sheet1!C47,ADMIX_SS!A:B,2,FALSE),"none")</f>
        <v>SubSample</v>
      </c>
      <c r="AO47" t="str">
        <f>_xlfn.IFNA(VLOOKUP(Sheet1!$C47,MONG_PHYLO!A:C,3,FALSE),"-")</f>
        <v>-</v>
      </c>
      <c r="AP47" t="str">
        <f>_xlfn.IFNA(VLOOKUP(Sheet1!$C47,MAC_PHYLO!A:C,3,FALSE),"-")</f>
        <v>-</v>
      </c>
      <c r="AQ47" t="str">
        <f>_xlfn.IFNA(VLOOKUP(Sheet1!$C47,ConStruct!A:C,3,FALSE),"-")</f>
        <v>ConStruct</v>
      </c>
      <c r="AR47" t="str">
        <f>_xlfn.IFNA(VLOOKUP(Sheet1!$C47,GEA!A:C,3,FALSE),"-")</f>
        <v>GEA</v>
      </c>
      <c r="AS47" t="str">
        <f>_xlfn.IFNA(VLOOKUP(Sheet1!$C47,MAC_DSUITE!A:D,3,FALSE),"-")</f>
        <v>mac_IL_MOR</v>
      </c>
      <c r="AT47" t="str">
        <f>_xlfn.IFNA(VLOOKUP(Sheet1!$C47,MONG_DSUITE!A:E,2,FALSE),"-")</f>
        <v>macrocarpa_MOR</v>
      </c>
      <c r="AU47" t="str">
        <f>_xlfn.IFNA(VLOOKUP(Sheet1!$C47,MAC_PAINT2!A:D,4,FALSE),"-")</f>
        <v>macpaint</v>
      </c>
      <c r="AV47" t="s">
        <v>9193</v>
      </c>
      <c r="AW47" t="s">
        <v>9193</v>
      </c>
    </row>
    <row r="48" spans="1:49" customFormat="1" x14ac:dyDescent="0.4">
      <c r="A48">
        <v>3535</v>
      </c>
      <c r="B48" t="s">
        <v>282</v>
      </c>
      <c r="C48" t="s">
        <v>283</v>
      </c>
      <c r="D48" t="str">
        <f>_xlfn.CONCAT(C48,".bam")</f>
        <v>SYST-MOR-0006736.bam</v>
      </c>
      <c r="E48" t="s">
        <v>284</v>
      </c>
      <c r="F48" t="s">
        <v>2407</v>
      </c>
      <c r="G48" t="s">
        <v>2410</v>
      </c>
      <c r="H48" t="s">
        <v>2494</v>
      </c>
      <c r="I48" t="s">
        <v>259</v>
      </c>
      <c r="J48" t="s">
        <v>285</v>
      </c>
      <c r="K48" t="s">
        <v>64</v>
      </c>
      <c r="L48" t="s">
        <v>64</v>
      </c>
      <c r="N48" t="s">
        <v>64</v>
      </c>
      <c r="P48" t="s">
        <v>113</v>
      </c>
      <c r="Q48" t="s">
        <v>155</v>
      </c>
      <c r="R48" t="s">
        <v>2599</v>
      </c>
      <c r="S48" s="1">
        <v>44705</v>
      </c>
      <c r="T48" t="s">
        <v>257</v>
      </c>
      <c r="U48" t="s">
        <v>34</v>
      </c>
      <c r="V48" s="1">
        <v>44705</v>
      </c>
      <c r="W48" t="s">
        <v>35</v>
      </c>
      <c r="X48" t="s">
        <v>204</v>
      </c>
      <c r="Y48" t="s">
        <v>258</v>
      </c>
      <c r="Z48" t="s">
        <v>38</v>
      </c>
      <c r="AA48" t="s">
        <v>259</v>
      </c>
      <c r="AD48" t="s">
        <v>64</v>
      </c>
      <c r="AE48">
        <v>41.815891999999998</v>
      </c>
      <c r="AF48">
        <v>-88.060242000000002</v>
      </c>
      <c r="AG48" t="s">
        <v>40</v>
      </c>
      <c r="AH48" t="s">
        <v>41</v>
      </c>
      <c r="AI48">
        <v>41.815895729099999</v>
      </c>
      <c r="AJ48">
        <v>-88.060211017699999</v>
      </c>
      <c r="AK48">
        <v>3.7291000012373843E-6</v>
      </c>
      <c r="AL48">
        <v>3.0982300003756791E-5</v>
      </c>
      <c r="AM48" t="str">
        <f>_xlfn.IFNA(VLOOKUP(Sheet1!$C48,ADMIX_ALL!A:B,2,FALSE),"none")</f>
        <v>K6-18</v>
      </c>
      <c r="AN48" t="str">
        <f>_xlfn.IFNA(VLOOKUP(Sheet1!C48,ADMIX_SS!A:B,2,FALSE),"none")</f>
        <v>SubSample</v>
      </c>
      <c r="AO48" t="str">
        <f>_xlfn.IFNA(VLOOKUP(Sheet1!$C48,MONG_PHYLO!A:C,3,FALSE),"-")</f>
        <v>-</v>
      </c>
      <c r="AP48" t="str">
        <f>_xlfn.IFNA(VLOOKUP(Sheet1!$C48,MAC_PHYLO!A:C,3,FALSE),"-")</f>
        <v>-</v>
      </c>
      <c r="AQ48" t="str">
        <f>_xlfn.IFNA(VLOOKUP(Sheet1!$C48,ConStruct!A:C,3,FALSE),"-")</f>
        <v>-</v>
      </c>
      <c r="AR48" t="str">
        <f>_xlfn.IFNA(VLOOKUP(Sheet1!$C48,GEA!A:C,3,FALSE),"-")</f>
        <v>-</v>
      </c>
      <c r="AS48" t="str">
        <f>_xlfn.IFNA(VLOOKUP(Sheet1!$C48,MAC_DSUITE!A:D,3,FALSE),"-")</f>
        <v>-</v>
      </c>
      <c r="AT48" t="str">
        <f>_xlfn.IFNA(VLOOKUP(Sheet1!$C48,MONG_DSUITE!A:E,2,FALSE),"-")</f>
        <v>xxx</v>
      </c>
      <c r="AU48" t="str">
        <f>_xlfn.IFNA(VLOOKUP(Sheet1!$C48,MAC_PAINT2!A:D,4,FALSE),"-")</f>
        <v>-</v>
      </c>
    </row>
    <row r="49" spans="1:49" customFormat="1" x14ac:dyDescent="0.4">
      <c r="A49">
        <v>3536</v>
      </c>
      <c r="B49" t="s">
        <v>290</v>
      </c>
      <c r="C49" t="s">
        <v>291</v>
      </c>
      <c r="D49" t="str">
        <f>_xlfn.CONCAT(C49,".bam")</f>
        <v>SYST-MOR-0006737.bam</v>
      </c>
      <c r="E49" t="s">
        <v>292</v>
      </c>
      <c r="F49" t="s">
        <v>2407</v>
      </c>
      <c r="G49" t="s">
        <v>2410</v>
      </c>
      <c r="H49" t="s">
        <v>2494</v>
      </c>
      <c r="I49" t="s">
        <v>259</v>
      </c>
      <c r="J49" t="s">
        <v>293</v>
      </c>
      <c r="K49" t="s">
        <v>45</v>
      </c>
      <c r="L49" t="s">
        <v>45</v>
      </c>
      <c r="N49" t="s">
        <v>45</v>
      </c>
      <c r="P49" t="s">
        <v>113</v>
      </c>
      <c r="Q49" t="s">
        <v>114</v>
      </c>
      <c r="R49" t="s">
        <v>2597</v>
      </c>
      <c r="S49" s="1">
        <v>44705</v>
      </c>
      <c r="T49" t="s">
        <v>257</v>
      </c>
      <c r="U49" t="s">
        <v>34</v>
      </c>
      <c r="V49" s="1">
        <v>44705</v>
      </c>
      <c r="W49" t="s">
        <v>35</v>
      </c>
      <c r="X49" t="s">
        <v>204</v>
      </c>
      <c r="Y49" t="s">
        <v>258</v>
      </c>
      <c r="Z49" t="s">
        <v>38</v>
      </c>
      <c r="AA49" t="s">
        <v>259</v>
      </c>
      <c r="AD49" t="s">
        <v>45</v>
      </c>
      <c r="AE49">
        <v>41.814978000000004</v>
      </c>
      <c r="AF49">
        <v>-88.061147000000005</v>
      </c>
      <c r="AG49" t="s">
        <v>40</v>
      </c>
      <c r="AH49" t="s">
        <v>41</v>
      </c>
      <c r="AI49">
        <v>41.814960320499999</v>
      </c>
      <c r="AJ49">
        <v>-88.061202597000005</v>
      </c>
      <c r="AK49">
        <v>-1.7679500004419424E-5</v>
      </c>
      <c r="AL49">
        <v>-5.5596999999352192E-5</v>
      </c>
      <c r="AM49" t="str">
        <f>_xlfn.IFNA(VLOOKUP(Sheet1!$C49,ADMIX_ALL!A:B,2,FALSE),"none")</f>
        <v>K6-18</v>
      </c>
      <c r="AN49" t="str">
        <f>_xlfn.IFNA(VLOOKUP(Sheet1!C49,ADMIX_SS!A:B,2,FALSE),"none")</f>
        <v>SubSample</v>
      </c>
      <c r="AO49" t="str">
        <f>_xlfn.IFNA(VLOOKUP(Sheet1!$C49,MONG_PHYLO!A:C,3,FALSE),"-")</f>
        <v>-</v>
      </c>
      <c r="AP49" t="str">
        <f>_xlfn.IFNA(VLOOKUP(Sheet1!$C49,MAC_PHYLO!A:C,3,FALSE),"-")</f>
        <v>-</v>
      </c>
      <c r="AQ49" t="str">
        <f>_xlfn.IFNA(VLOOKUP(Sheet1!$C49,ConStruct!A:C,3,FALSE),"-")</f>
        <v>ConStruct</v>
      </c>
      <c r="AR49" t="str">
        <f>_xlfn.IFNA(VLOOKUP(Sheet1!$C49,GEA!A:C,3,FALSE),"-")</f>
        <v>GEA</v>
      </c>
      <c r="AS49" t="str">
        <f>_xlfn.IFNA(VLOOKUP(Sheet1!$C49,MAC_DSUITE!A:D,3,FALSE),"-")</f>
        <v>mac_IL_MOR</v>
      </c>
      <c r="AT49" t="str">
        <f>_xlfn.IFNA(VLOOKUP(Sheet1!$C49,MONG_DSUITE!A:E,2,FALSE),"-")</f>
        <v>macrocarpa_MOR</v>
      </c>
      <c r="AU49" t="str">
        <f>_xlfn.IFNA(VLOOKUP(Sheet1!$C49,MAC_PAINT2!A:D,4,FALSE),"-")</f>
        <v>macpaint</v>
      </c>
      <c r="AV49" t="s">
        <v>9193</v>
      </c>
      <c r="AW49" t="s">
        <v>9193</v>
      </c>
    </row>
    <row r="50" spans="1:49" customFormat="1" x14ac:dyDescent="0.4">
      <c r="A50">
        <v>3537</v>
      </c>
      <c r="B50" t="s">
        <v>298</v>
      </c>
      <c r="C50" t="s">
        <v>299</v>
      </c>
      <c r="D50" t="str">
        <f>_xlfn.CONCAT(C50,".bam")</f>
        <v>SYST-MOR-0006738.bam</v>
      </c>
      <c r="E50" t="s">
        <v>300</v>
      </c>
      <c r="F50" t="s">
        <v>2407</v>
      </c>
      <c r="G50" t="s">
        <v>2410</v>
      </c>
      <c r="H50" t="s">
        <v>2494</v>
      </c>
      <c r="I50" t="s">
        <v>259</v>
      </c>
      <c r="J50" t="s">
        <v>301</v>
      </c>
      <c r="K50" t="s">
        <v>45</v>
      </c>
      <c r="L50" t="s">
        <v>45</v>
      </c>
      <c r="N50" t="s">
        <v>45</v>
      </c>
      <c r="P50" t="s">
        <v>113</v>
      </c>
      <c r="Q50" t="s">
        <v>114</v>
      </c>
      <c r="R50" t="s">
        <v>2597</v>
      </c>
      <c r="S50" s="1">
        <v>44705</v>
      </c>
      <c r="T50" t="s">
        <v>257</v>
      </c>
      <c r="U50" t="s">
        <v>34</v>
      </c>
      <c r="V50" s="1">
        <v>44705</v>
      </c>
      <c r="W50" t="s">
        <v>35</v>
      </c>
      <c r="X50" t="s">
        <v>204</v>
      </c>
      <c r="Y50" t="s">
        <v>258</v>
      </c>
      <c r="Z50" t="s">
        <v>38</v>
      </c>
      <c r="AA50" t="s">
        <v>259</v>
      </c>
      <c r="AD50" t="s">
        <v>45</v>
      </c>
      <c r="AE50">
        <v>41.819274999999998</v>
      </c>
      <c r="AF50">
        <v>-88.050901999999994</v>
      </c>
      <c r="AG50" t="s">
        <v>40</v>
      </c>
      <c r="AH50" t="s">
        <v>41</v>
      </c>
      <c r="AI50">
        <v>41.819379385600001</v>
      </c>
      <c r="AJ50">
        <v>-88.050938118299996</v>
      </c>
      <c r="AK50">
        <v>1.0438560000380903E-4</v>
      </c>
      <c r="AL50">
        <v>-3.6118300002385695E-5</v>
      </c>
      <c r="AM50" t="str">
        <f>_xlfn.IFNA(VLOOKUP(Sheet1!$C50,ADMIX_ALL!A:B,2,FALSE),"none")</f>
        <v>K6-18</v>
      </c>
      <c r="AN50" t="str">
        <f>_xlfn.IFNA(VLOOKUP(Sheet1!C50,ADMIX_SS!A:B,2,FALSE),"none")</f>
        <v>SubSample</v>
      </c>
      <c r="AO50" t="str">
        <f>_xlfn.IFNA(VLOOKUP(Sheet1!$C50,MONG_PHYLO!A:C,3,FALSE),"-")</f>
        <v>-</v>
      </c>
      <c r="AP50" t="str">
        <f>_xlfn.IFNA(VLOOKUP(Sheet1!$C50,MAC_PHYLO!A:C,3,FALSE),"-")</f>
        <v>-</v>
      </c>
      <c r="AQ50" t="str">
        <f>_xlfn.IFNA(VLOOKUP(Sheet1!$C50,ConStruct!A:C,3,FALSE),"-")</f>
        <v>ConStruct</v>
      </c>
      <c r="AR50" t="str">
        <f>_xlfn.IFNA(VLOOKUP(Sheet1!$C50,GEA!A:C,3,FALSE),"-")</f>
        <v>GEA</v>
      </c>
      <c r="AS50" t="str">
        <f>_xlfn.IFNA(VLOOKUP(Sheet1!$C50,MAC_DSUITE!A:D,3,FALSE),"-")</f>
        <v>mac_IL_MOR</v>
      </c>
      <c r="AT50" t="str">
        <f>_xlfn.IFNA(VLOOKUP(Sheet1!$C50,MONG_DSUITE!A:E,2,FALSE),"-")</f>
        <v>macrocarpa_MOR</v>
      </c>
      <c r="AU50" t="str">
        <f>_xlfn.IFNA(VLOOKUP(Sheet1!$C50,MAC_PAINT2!A:D,4,FALSE),"-")</f>
        <v>macpaint</v>
      </c>
      <c r="AV50" t="s">
        <v>9193</v>
      </c>
      <c r="AW50" t="s">
        <v>9193</v>
      </c>
    </row>
    <row r="51" spans="1:49" customFormat="1" x14ac:dyDescent="0.4">
      <c r="A51">
        <v>3538</v>
      </c>
      <c r="B51" t="s">
        <v>294</v>
      </c>
      <c r="C51" t="s">
        <v>295</v>
      </c>
      <c r="D51" t="str">
        <f>_xlfn.CONCAT(C51,".bam")</f>
        <v>SYST-MOR-0006739.bam</v>
      </c>
      <c r="E51" t="s">
        <v>296</v>
      </c>
      <c r="F51" t="s">
        <v>2407</v>
      </c>
      <c r="G51" t="s">
        <v>2410</v>
      </c>
      <c r="H51" t="s">
        <v>2494</v>
      </c>
      <c r="I51" t="s">
        <v>259</v>
      </c>
      <c r="J51" t="s">
        <v>297</v>
      </c>
      <c r="K51" t="s">
        <v>64</v>
      </c>
      <c r="L51" t="s">
        <v>64</v>
      </c>
      <c r="N51" t="s">
        <v>64</v>
      </c>
      <c r="P51" t="s">
        <v>113</v>
      </c>
      <c r="Q51" t="s">
        <v>155</v>
      </c>
      <c r="R51" t="s">
        <v>2599</v>
      </c>
      <c r="S51" s="1">
        <v>44705</v>
      </c>
      <c r="T51" t="s">
        <v>257</v>
      </c>
      <c r="U51" t="s">
        <v>34</v>
      </c>
      <c r="V51" s="1">
        <v>44705</v>
      </c>
      <c r="W51" t="s">
        <v>35</v>
      </c>
      <c r="X51" t="s">
        <v>204</v>
      </c>
      <c r="Y51" t="s">
        <v>258</v>
      </c>
      <c r="Z51" t="s">
        <v>38</v>
      </c>
      <c r="AA51" t="s">
        <v>259</v>
      </c>
      <c r="AD51" t="s">
        <v>64</v>
      </c>
      <c r="AE51">
        <v>41.819198</v>
      </c>
      <c r="AF51">
        <v>-88.051045999999999</v>
      </c>
      <c r="AG51" t="s">
        <v>40</v>
      </c>
      <c r="AH51" t="s">
        <v>41</v>
      </c>
      <c r="AI51">
        <v>41.819194019800001</v>
      </c>
      <c r="AJ51">
        <v>-88.051113886799996</v>
      </c>
      <c r="AK51">
        <v>-3.9801999989208525E-6</v>
      </c>
      <c r="AL51">
        <v>-6.7886799996585978E-5</v>
      </c>
      <c r="AM51" t="str">
        <f>_xlfn.IFNA(VLOOKUP(Sheet1!$C51,ADMIX_ALL!A:B,2,FALSE),"none")</f>
        <v>K6-18</v>
      </c>
      <c r="AN51" t="str">
        <f>_xlfn.IFNA(VLOOKUP(Sheet1!C51,ADMIX_SS!A:B,2,FALSE),"none")</f>
        <v>SubSample</v>
      </c>
      <c r="AO51" t="str">
        <f>_xlfn.IFNA(VLOOKUP(Sheet1!$C51,MONG_PHYLO!A:C,3,FALSE),"-")</f>
        <v>-</v>
      </c>
      <c r="AP51" t="str">
        <f>_xlfn.IFNA(VLOOKUP(Sheet1!$C51,MAC_PHYLO!A:C,3,FALSE),"-")</f>
        <v>-</v>
      </c>
      <c r="AQ51" t="str">
        <f>_xlfn.IFNA(VLOOKUP(Sheet1!$C51,ConStruct!A:C,3,FALSE),"-")</f>
        <v>-</v>
      </c>
      <c r="AR51" t="str">
        <f>_xlfn.IFNA(VLOOKUP(Sheet1!$C51,GEA!A:C,3,FALSE),"-")</f>
        <v>-</v>
      </c>
      <c r="AS51" t="str">
        <f>_xlfn.IFNA(VLOOKUP(Sheet1!$C51,MAC_DSUITE!A:D,3,FALSE),"-")</f>
        <v>-</v>
      </c>
      <c r="AT51" t="str">
        <f>_xlfn.IFNA(VLOOKUP(Sheet1!$C51,MONG_DSUITE!A:E,2,FALSE),"-")</f>
        <v>xxx</v>
      </c>
      <c r="AU51" t="str">
        <f>_xlfn.IFNA(VLOOKUP(Sheet1!$C51,MAC_PAINT2!A:D,4,FALSE),"-")</f>
        <v>-</v>
      </c>
    </row>
    <row r="52" spans="1:49" customFormat="1" x14ac:dyDescent="0.4">
      <c r="A52">
        <v>3539</v>
      </c>
      <c r="B52" t="s">
        <v>302</v>
      </c>
      <c r="C52" t="s">
        <v>303</v>
      </c>
      <c r="D52" t="str">
        <f>_xlfn.CONCAT(C52,".bam")</f>
        <v>SYST-MOR-0006740.bam</v>
      </c>
      <c r="E52" t="s">
        <v>304</v>
      </c>
      <c r="F52" t="s">
        <v>2407</v>
      </c>
      <c r="G52" t="s">
        <v>2410</v>
      </c>
      <c r="H52" t="s">
        <v>2494</v>
      </c>
      <c r="I52" t="s">
        <v>259</v>
      </c>
      <c r="J52" t="s">
        <v>305</v>
      </c>
      <c r="K52" t="s">
        <v>45</v>
      </c>
      <c r="L52" t="s">
        <v>45</v>
      </c>
      <c r="N52" t="s">
        <v>45</v>
      </c>
      <c r="P52" t="s">
        <v>113</v>
      </c>
      <c r="Q52" t="s">
        <v>114</v>
      </c>
      <c r="R52" t="s">
        <v>2597</v>
      </c>
      <c r="S52" s="1">
        <v>44705</v>
      </c>
      <c r="T52" t="s">
        <v>257</v>
      </c>
      <c r="U52" t="s">
        <v>34</v>
      </c>
      <c r="V52" s="1">
        <v>44705</v>
      </c>
      <c r="W52" t="s">
        <v>35</v>
      </c>
      <c r="X52" t="s">
        <v>204</v>
      </c>
      <c r="Y52" t="s">
        <v>258</v>
      </c>
      <c r="Z52" t="s">
        <v>38</v>
      </c>
      <c r="AA52" t="s">
        <v>259</v>
      </c>
      <c r="AD52" t="s">
        <v>45</v>
      </c>
      <c r="AE52">
        <v>41.820968000000001</v>
      </c>
      <c r="AF52">
        <v>-88.052361000000005</v>
      </c>
      <c r="AG52" t="s">
        <v>40</v>
      </c>
      <c r="AH52" t="s">
        <v>41</v>
      </c>
      <c r="AI52">
        <v>41.820909627799999</v>
      </c>
      <c r="AJ52">
        <v>-88.052419200599999</v>
      </c>
      <c r="AK52">
        <v>-5.8372200001599595E-5</v>
      </c>
      <c r="AL52">
        <v>-5.8200599994506774E-5</v>
      </c>
      <c r="AM52" t="str">
        <f>_xlfn.IFNA(VLOOKUP(Sheet1!$C52,ADMIX_ALL!A:B,2,FALSE),"none")</f>
        <v>K6-18</v>
      </c>
      <c r="AN52" t="str">
        <f>_xlfn.IFNA(VLOOKUP(Sheet1!C52,ADMIX_SS!A:B,2,FALSE),"none")</f>
        <v>SubSample</v>
      </c>
      <c r="AO52" t="str">
        <f>_xlfn.IFNA(VLOOKUP(Sheet1!$C52,MONG_PHYLO!A:C,3,FALSE),"-")</f>
        <v>-</v>
      </c>
      <c r="AP52" t="str">
        <f>_xlfn.IFNA(VLOOKUP(Sheet1!$C52,MAC_PHYLO!A:C,3,FALSE),"-")</f>
        <v>-</v>
      </c>
      <c r="AQ52" t="str">
        <f>_xlfn.IFNA(VLOOKUP(Sheet1!$C52,ConStruct!A:C,3,FALSE),"-")</f>
        <v>ConStruct</v>
      </c>
      <c r="AR52" t="str">
        <f>_xlfn.IFNA(VLOOKUP(Sheet1!$C52,GEA!A:C,3,FALSE),"-")</f>
        <v>GEA</v>
      </c>
      <c r="AS52" t="str">
        <f>_xlfn.IFNA(VLOOKUP(Sheet1!$C52,MAC_DSUITE!A:D,3,FALSE),"-")</f>
        <v>mac_IL_MOR</v>
      </c>
      <c r="AT52" t="str">
        <f>_xlfn.IFNA(VLOOKUP(Sheet1!$C52,MONG_DSUITE!A:E,2,FALSE),"-")</f>
        <v>macrocarpa_MOR</v>
      </c>
      <c r="AU52" t="str">
        <f>_xlfn.IFNA(VLOOKUP(Sheet1!$C52,MAC_PAINT2!A:D,4,FALSE),"-")</f>
        <v>macpaint</v>
      </c>
      <c r="AV52" t="s">
        <v>9193</v>
      </c>
      <c r="AW52" t="s">
        <v>9193</v>
      </c>
    </row>
    <row r="53" spans="1:49" customFormat="1" x14ac:dyDescent="0.4">
      <c r="A53">
        <v>3540</v>
      </c>
      <c r="B53" t="s">
        <v>306</v>
      </c>
      <c r="C53" t="s">
        <v>307</v>
      </c>
      <c r="D53" t="str">
        <f>_xlfn.CONCAT(C53,".bam")</f>
        <v>SYST-MOR-0006741.bam</v>
      </c>
      <c r="E53" t="s">
        <v>308</v>
      </c>
      <c r="F53" t="s">
        <v>2407</v>
      </c>
      <c r="G53" t="s">
        <v>2410</v>
      </c>
      <c r="H53" t="s">
        <v>2494</v>
      </c>
      <c r="I53" t="s">
        <v>259</v>
      </c>
      <c r="J53" t="s">
        <v>309</v>
      </c>
      <c r="K53" t="s">
        <v>64</v>
      </c>
      <c r="L53" t="s">
        <v>64</v>
      </c>
      <c r="N53" t="s">
        <v>64</v>
      </c>
      <c r="P53" t="s">
        <v>113</v>
      </c>
      <c r="Q53" t="s">
        <v>155</v>
      </c>
      <c r="R53" t="s">
        <v>2599</v>
      </c>
      <c r="S53" s="1">
        <v>44705</v>
      </c>
      <c r="T53" t="s">
        <v>257</v>
      </c>
      <c r="U53" t="s">
        <v>34</v>
      </c>
      <c r="V53" s="1">
        <v>44705</v>
      </c>
      <c r="W53" t="s">
        <v>35</v>
      </c>
      <c r="X53" t="s">
        <v>204</v>
      </c>
      <c r="Y53" t="s">
        <v>258</v>
      </c>
      <c r="Z53" t="s">
        <v>38</v>
      </c>
      <c r="AA53" t="s">
        <v>259</v>
      </c>
      <c r="AD53" t="s">
        <v>64</v>
      </c>
      <c r="AE53">
        <v>41.820900999999999</v>
      </c>
      <c r="AF53">
        <v>-88.052706999999998</v>
      </c>
      <c r="AG53" t="s">
        <v>40</v>
      </c>
      <c r="AH53" t="s">
        <v>41</v>
      </c>
      <c r="AI53">
        <v>41.821003287700002</v>
      </c>
      <c r="AJ53">
        <v>-88.052682056999998</v>
      </c>
      <c r="AK53">
        <v>1.0228770000253462E-4</v>
      </c>
      <c r="AL53">
        <v>2.4942999999666426E-5</v>
      </c>
      <c r="AM53" t="str">
        <f>_xlfn.IFNA(VLOOKUP(Sheet1!$C53,ADMIX_ALL!A:B,2,FALSE),"none")</f>
        <v>K6-18</v>
      </c>
      <c r="AN53" t="str">
        <f>_xlfn.IFNA(VLOOKUP(Sheet1!C53,ADMIX_SS!A:B,2,FALSE),"none")</f>
        <v>SubSample</v>
      </c>
      <c r="AO53" t="str">
        <f>_xlfn.IFNA(VLOOKUP(Sheet1!$C53,MONG_PHYLO!A:C,3,FALSE),"-")</f>
        <v>-</v>
      </c>
      <c r="AP53" t="str">
        <f>_xlfn.IFNA(VLOOKUP(Sheet1!$C53,MAC_PHYLO!A:C,3,FALSE),"-")</f>
        <v>-</v>
      </c>
      <c r="AQ53" t="str">
        <f>_xlfn.IFNA(VLOOKUP(Sheet1!$C53,ConStruct!A:C,3,FALSE),"-")</f>
        <v>-</v>
      </c>
      <c r="AR53" t="str">
        <f>_xlfn.IFNA(VLOOKUP(Sheet1!$C53,GEA!A:C,3,FALSE),"-")</f>
        <v>-</v>
      </c>
      <c r="AS53" t="str">
        <f>_xlfn.IFNA(VLOOKUP(Sheet1!$C53,MAC_DSUITE!A:D,3,FALSE),"-")</f>
        <v>-</v>
      </c>
      <c r="AT53" t="str">
        <f>_xlfn.IFNA(VLOOKUP(Sheet1!$C53,MONG_DSUITE!A:E,2,FALSE),"-")</f>
        <v>xxx</v>
      </c>
      <c r="AU53" t="str">
        <f>_xlfn.IFNA(VLOOKUP(Sheet1!$C53,MAC_PAINT2!A:D,4,FALSE),"-")</f>
        <v>-</v>
      </c>
    </row>
    <row r="54" spans="1:49" customFormat="1" x14ac:dyDescent="0.4">
      <c r="A54">
        <v>3299</v>
      </c>
      <c r="B54" t="s">
        <v>1548</v>
      </c>
      <c r="C54" t="s">
        <v>1549</v>
      </c>
      <c r="D54" t="str">
        <f>_xlfn.CONCAT(C54,".bam")</f>
        <v>SYST-MOR-0006742.bam</v>
      </c>
      <c r="E54" t="s">
        <v>1550</v>
      </c>
      <c r="F54" t="s">
        <v>2442</v>
      </c>
      <c r="G54" t="s">
        <v>2446</v>
      </c>
      <c r="H54" t="s">
        <v>2534</v>
      </c>
      <c r="I54" t="s">
        <v>1523</v>
      </c>
      <c r="K54" t="s">
        <v>50</v>
      </c>
      <c r="L54" t="s">
        <v>50</v>
      </c>
      <c r="N54" t="s">
        <v>50</v>
      </c>
      <c r="P54" t="s">
        <v>113</v>
      </c>
      <c r="Q54" t="s">
        <v>1457</v>
      </c>
      <c r="R54" t="s">
        <v>2598</v>
      </c>
      <c r="S54" s="1">
        <v>44713</v>
      </c>
      <c r="T54" t="s">
        <v>1521</v>
      </c>
      <c r="U54" t="s">
        <v>34</v>
      </c>
      <c r="V54" s="1">
        <v>44716</v>
      </c>
      <c r="W54" t="s">
        <v>35</v>
      </c>
      <c r="X54" t="s">
        <v>1387</v>
      </c>
      <c r="Y54" t="s">
        <v>1522</v>
      </c>
      <c r="Z54" t="s">
        <v>38</v>
      </c>
      <c r="AA54" t="s">
        <v>1523</v>
      </c>
      <c r="AD54" t="s">
        <v>50</v>
      </c>
      <c r="AE54">
        <v>38.46199</v>
      </c>
      <c r="AF54">
        <v>-90.818417999999994</v>
      </c>
      <c r="AG54" t="s">
        <v>40</v>
      </c>
      <c r="AH54" t="s">
        <v>41</v>
      </c>
      <c r="AI54">
        <v>38.461933199000001</v>
      </c>
      <c r="AJ54">
        <v>-90.818476187300007</v>
      </c>
      <c r="AK54">
        <v>-5.6800999999495616E-5</v>
      </c>
      <c r="AL54">
        <v>-5.8187300012946253E-5</v>
      </c>
      <c r="AM54" t="str">
        <f>_xlfn.IFNA(VLOOKUP(Sheet1!$C54,ADMIX_ALL!A:B,2,FALSE),"none")</f>
        <v>K6-18</v>
      </c>
      <c r="AN54" t="str">
        <f>_xlfn.IFNA(VLOOKUP(Sheet1!C54,ADMIX_SS!A:B,2,FALSE),"none")</f>
        <v>Constant</v>
      </c>
      <c r="AO54" t="str">
        <f>_xlfn.IFNA(VLOOKUP(Sheet1!$C54,MONG_PHYLO!A:C,3,FALSE),"-")</f>
        <v>ste</v>
      </c>
      <c r="AP54" t="str">
        <f>_xlfn.IFNA(VLOOKUP(Sheet1!$C54,MAC_PHYLO!A:C,3,FALSE),"-")</f>
        <v>-</v>
      </c>
      <c r="AQ54" t="str">
        <f>_xlfn.IFNA(VLOOKUP(Sheet1!$C54,ConStruct!A:C,3,FALSE),"-")</f>
        <v>-</v>
      </c>
      <c r="AR54" t="str">
        <f>_xlfn.IFNA(VLOOKUP(Sheet1!$C54,GEA!A:C,3,FALSE),"-")</f>
        <v>-</v>
      </c>
      <c r="AS54" t="str">
        <f>_xlfn.IFNA(VLOOKUP(Sheet1!$C54,MAC_DSUITE!A:D,3,FALSE),"-")</f>
        <v>-</v>
      </c>
      <c r="AT54" t="str">
        <f>_xlfn.IFNA(VLOOKUP(Sheet1!$C54,MONG_DSUITE!A:E,2,FALSE),"-")</f>
        <v>stellata</v>
      </c>
      <c r="AU54" t="str">
        <f>_xlfn.IFNA(VLOOKUP(Sheet1!$C54,MAC_PAINT2!A:D,4,FALSE),"-")</f>
        <v>-</v>
      </c>
    </row>
    <row r="55" spans="1:49" customFormat="1" x14ac:dyDescent="0.4">
      <c r="A55">
        <v>3300</v>
      </c>
      <c r="B55" t="s">
        <v>1551</v>
      </c>
      <c r="C55" t="s">
        <v>1552</v>
      </c>
      <c r="D55" t="str">
        <f>_xlfn.CONCAT(C55,".bam")</f>
        <v>SYST-MOR-0006743.bam</v>
      </c>
      <c r="E55" t="s">
        <v>1553</v>
      </c>
      <c r="F55" t="s">
        <v>2442</v>
      </c>
      <c r="G55" t="s">
        <v>2446</v>
      </c>
      <c r="H55" t="s">
        <v>2534</v>
      </c>
      <c r="I55" t="s">
        <v>1523</v>
      </c>
      <c r="K55" t="s">
        <v>64</v>
      </c>
      <c r="L55" t="s">
        <v>64</v>
      </c>
      <c r="N55" t="s">
        <v>64</v>
      </c>
      <c r="P55" t="s">
        <v>113</v>
      </c>
      <c r="Q55" t="s">
        <v>155</v>
      </c>
      <c r="R55" t="s">
        <v>2599</v>
      </c>
      <c r="S55" s="1">
        <v>44713</v>
      </c>
      <c r="T55" t="s">
        <v>1521</v>
      </c>
      <c r="U55" t="s">
        <v>34</v>
      </c>
      <c r="V55" s="1">
        <v>44716</v>
      </c>
      <c r="W55" t="s">
        <v>35</v>
      </c>
      <c r="X55" t="s">
        <v>1387</v>
      </c>
      <c r="Y55" t="s">
        <v>1522</v>
      </c>
      <c r="Z55" t="s">
        <v>38</v>
      </c>
      <c r="AA55" t="s">
        <v>1523</v>
      </c>
      <c r="AD55" t="s">
        <v>64</v>
      </c>
      <c r="AE55">
        <v>38.462390999999997</v>
      </c>
      <c r="AF55">
        <v>-90.817857000000004</v>
      </c>
      <c r="AG55" t="s">
        <v>40</v>
      </c>
      <c r="AH55" t="s">
        <v>41</v>
      </c>
      <c r="AI55">
        <v>38.462400458499999</v>
      </c>
      <c r="AJ55">
        <v>-90.817796975799993</v>
      </c>
      <c r="AK55">
        <v>9.4585000027791466E-6</v>
      </c>
      <c r="AL55">
        <v>6.0024200010388995E-5</v>
      </c>
      <c r="AM55" t="str">
        <f>_xlfn.IFNA(VLOOKUP(Sheet1!$C55,ADMIX_ALL!A:B,2,FALSE),"none")</f>
        <v>K6-18</v>
      </c>
      <c r="AN55" t="str">
        <f>_xlfn.IFNA(VLOOKUP(Sheet1!C55,ADMIX_SS!A:B,2,FALSE),"none")</f>
        <v>SubSample</v>
      </c>
      <c r="AO55" t="str">
        <f>_xlfn.IFNA(VLOOKUP(Sheet1!$C55,MONG_PHYLO!A:C,3,FALSE),"-")</f>
        <v>-</v>
      </c>
      <c r="AP55" t="str">
        <f>_xlfn.IFNA(VLOOKUP(Sheet1!$C55,MAC_PHYLO!A:C,3,FALSE),"-")</f>
        <v>-</v>
      </c>
      <c r="AQ55" t="str">
        <f>_xlfn.IFNA(VLOOKUP(Sheet1!$C55,ConStruct!A:C,3,FALSE),"-")</f>
        <v>-</v>
      </c>
      <c r="AR55" t="str">
        <f>_xlfn.IFNA(VLOOKUP(Sheet1!$C55,GEA!A:C,3,FALSE),"-")</f>
        <v>-</v>
      </c>
      <c r="AS55" t="str">
        <f>_xlfn.IFNA(VLOOKUP(Sheet1!$C55,MAC_DSUITE!A:D,3,FALSE),"-")</f>
        <v>-</v>
      </c>
      <c r="AT55" t="str">
        <f>_xlfn.IFNA(VLOOKUP(Sheet1!$C55,MONG_DSUITE!A:E,2,FALSE),"-")</f>
        <v>xxx</v>
      </c>
      <c r="AU55" t="str">
        <f>_xlfn.IFNA(VLOOKUP(Sheet1!$C55,MAC_PAINT2!A:D,4,FALSE),"-")</f>
        <v>-</v>
      </c>
    </row>
    <row r="56" spans="1:49" customFormat="1" x14ac:dyDescent="0.4">
      <c r="A56">
        <v>3301</v>
      </c>
      <c r="B56" t="s">
        <v>1554</v>
      </c>
      <c r="C56" t="s">
        <v>1555</v>
      </c>
      <c r="D56" t="str">
        <f>_xlfn.CONCAT(C56,".bam")</f>
        <v>SYST-MOR-0006744.bam</v>
      </c>
      <c r="E56" t="s">
        <v>1556</v>
      </c>
      <c r="F56" t="s">
        <v>2442</v>
      </c>
      <c r="G56" t="s">
        <v>2446</v>
      </c>
      <c r="H56" t="s">
        <v>2534</v>
      </c>
      <c r="I56" t="s">
        <v>1523</v>
      </c>
      <c r="K56" t="s">
        <v>84</v>
      </c>
      <c r="L56" t="s">
        <v>84</v>
      </c>
      <c r="N56" t="s">
        <v>84</v>
      </c>
      <c r="P56" t="s">
        <v>113</v>
      </c>
      <c r="Q56" t="s">
        <v>85</v>
      </c>
      <c r="R56" t="s">
        <v>2600</v>
      </c>
      <c r="S56" s="1">
        <v>44713</v>
      </c>
      <c r="T56" t="s">
        <v>1521</v>
      </c>
      <c r="U56" t="s">
        <v>34</v>
      </c>
      <c r="V56" s="1">
        <v>44716</v>
      </c>
      <c r="W56" t="s">
        <v>35</v>
      </c>
      <c r="X56" t="s">
        <v>1387</v>
      </c>
      <c r="Y56" t="s">
        <v>1522</v>
      </c>
      <c r="Z56" t="s">
        <v>38</v>
      </c>
      <c r="AA56" t="s">
        <v>1523</v>
      </c>
      <c r="AD56" t="s">
        <v>84</v>
      </c>
      <c r="AE56">
        <v>38.462949999999999</v>
      </c>
      <c r="AF56">
        <v>-90.817616000000001</v>
      </c>
      <c r="AG56" t="s">
        <v>40</v>
      </c>
      <c r="AH56" t="s">
        <v>41</v>
      </c>
      <c r="AI56">
        <v>38.462931100200002</v>
      </c>
      <c r="AJ56">
        <v>-90.817595638399993</v>
      </c>
      <c r="AK56">
        <v>-1.8899799997029731E-5</v>
      </c>
      <c r="AL56">
        <v>2.0361600007845482E-5</v>
      </c>
      <c r="AM56" t="str">
        <f>_xlfn.IFNA(VLOOKUP(Sheet1!$C56,ADMIX_ALL!A:B,2,FALSE),"none")</f>
        <v>K6-18</v>
      </c>
      <c r="AN56" t="str">
        <f>_xlfn.IFNA(VLOOKUP(Sheet1!C56,ADMIX_SS!A:B,2,FALSE),"none")</f>
        <v>SubSample</v>
      </c>
      <c r="AO56" t="str">
        <f>_xlfn.IFNA(VLOOKUP(Sheet1!$C56,MONG_PHYLO!A:C,3,FALSE),"-")</f>
        <v>-</v>
      </c>
      <c r="AP56" t="str">
        <f>_xlfn.IFNA(VLOOKUP(Sheet1!$C56,MAC_PHYLO!A:C,3,FALSE),"-")</f>
        <v>-</v>
      </c>
      <c r="AQ56" t="str">
        <f>_xlfn.IFNA(VLOOKUP(Sheet1!$C56,ConStruct!A:C,3,FALSE),"-")</f>
        <v>-</v>
      </c>
      <c r="AR56" t="str">
        <f>_xlfn.IFNA(VLOOKUP(Sheet1!$C56,GEA!A:C,3,FALSE),"-")</f>
        <v>-</v>
      </c>
      <c r="AS56" t="str">
        <f>_xlfn.IFNA(VLOOKUP(Sheet1!$C56,MAC_DSUITE!A:D,3,FALSE),"-")</f>
        <v>-</v>
      </c>
      <c r="AT56" t="str">
        <f>_xlfn.IFNA(VLOOKUP(Sheet1!$C56,MONG_DSUITE!A:E,2,FALSE),"-")</f>
        <v>xxx</v>
      </c>
      <c r="AU56" t="str">
        <f>_xlfn.IFNA(VLOOKUP(Sheet1!$C56,MAC_PAINT2!A:D,4,FALSE),"-")</f>
        <v>-</v>
      </c>
    </row>
    <row r="57" spans="1:49" customFormat="1" x14ac:dyDescent="0.4">
      <c r="A57">
        <v>3302</v>
      </c>
      <c r="B57" t="s">
        <v>1557</v>
      </c>
      <c r="C57" t="s">
        <v>1558</v>
      </c>
      <c r="D57" t="str">
        <f>_xlfn.CONCAT(C57,".bam")</f>
        <v>SYST-MOR-0006745.bam</v>
      </c>
      <c r="E57" t="s">
        <v>1559</v>
      </c>
      <c r="F57" t="s">
        <v>2442</v>
      </c>
      <c r="G57" t="s">
        <v>2446</v>
      </c>
      <c r="H57" t="s">
        <v>2534</v>
      </c>
      <c r="I57" t="s">
        <v>1523</v>
      </c>
      <c r="K57" t="s">
        <v>84</v>
      </c>
      <c r="L57" t="s">
        <v>84</v>
      </c>
      <c r="N57" t="s">
        <v>84</v>
      </c>
      <c r="P57" t="s">
        <v>113</v>
      </c>
      <c r="Q57" t="s">
        <v>85</v>
      </c>
      <c r="R57" t="s">
        <v>2600</v>
      </c>
      <c r="S57" s="1">
        <v>44713</v>
      </c>
      <c r="T57" t="s">
        <v>1521</v>
      </c>
      <c r="U57" t="s">
        <v>34</v>
      </c>
      <c r="V57" s="1">
        <v>44716</v>
      </c>
      <c r="W57" t="s">
        <v>35</v>
      </c>
      <c r="X57" t="s">
        <v>1387</v>
      </c>
      <c r="Y57" t="s">
        <v>1522</v>
      </c>
      <c r="Z57" t="s">
        <v>38</v>
      </c>
      <c r="AA57" t="s">
        <v>1523</v>
      </c>
      <c r="AD57" t="s">
        <v>84</v>
      </c>
      <c r="AE57">
        <v>38.462961</v>
      </c>
      <c r="AF57">
        <v>-90.817894999999993</v>
      </c>
      <c r="AG57" t="s">
        <v>40</v>
      </c>
      <c r="AH57" t="s">
        <v>41</v>
      </c>
      <c r="AI57">
        <v>38.4629577965</v>
      </c>
      <c r="AJ57">
        <v>-90.817936071800005</v>
      </c>
      <c r="AK57">
        <v>-3.2035000003816094E-6</v>
      </c>
      <c r="AL57">
        <v>-4.1071800012559834E-5</v>
      </c>
      <c r="AM57" t="str">
        <f>_xlfn.IFNA(VLOOKUP(Sheet1!$C57,ADMIX_ALL!A:B,2,FALSE),"none")</f>
        <v>K6-18</v>
      </c>
      <c r="AN57" t="str">
        <f>_xlfn.IFNA(VLOOKUP(Sheet1!C57,ADMIX_SS!A:B,2,FALSE),"none")</f>
        <v>SubSample</v>
      </c>
      <c r="AO57" t="str">
        <f>_xlfn.IFNA(VLOOKUP(Sheet1!$C57,MONG_PHYLO!A:C,3,FALSE),"-")</f>
        <v>-</v>
      </c>
      <c r="AP57" t="str">
        <f>_xlfn.IFNA(VLOOKUP(Sheet1!$C57,MAC_PHYLO!A:C,3,FALSE),"-")</f>
        <v>-</v>
      </c>
      <c r="AQ57" t="str">
        <f>_xlfn.IFNA(VLOOKUP(Sheet1!$C57,ConStruct!A:C,3,FALSE),"-")</f>
        <v>-</v>
      </c>
      <c r="AR57" t="str">
        <f>_xlfn.IFNA(VLOOKUP(Sheet1!$C57,GEA!A:C,3,FALSE),"-")</f>
        <v>-</v>
      </c>
      <c r="AS57" t="str">
        <f>_xlfn.IFNA(VLOOKUP(Sheet1!$C57,MAC_DSUITE!A:D,3,FALSE),"-")</f>
        <v>-</v>
      </c>
      <c r="AT57" t="str">
        <f>_xlfn.IFNA(VLOOKUP(Sheet1!$C57,MONG_DSUITE!A:E,2,FALSE),"-")</f>
        <v>xxx</v>
      </c>
      <c r="AU57" t="str">
        <f>_xlfn.IFNA(VLOOKUP(Sheet1!$C57,MAC_PAINT2!A:D,4,FALSE),"-")</f>
        <v>-</v>
      </c>
    </row>
    <row r="58" spans="1:49" customFormat="1" x14ac:dyDescent="0.4">
      <c r="A58">
        <v>3303</v>
      </c>
      <c r="B58" t="s">
        <v>1560</v>
      </c>
      <c r="C58" t="s">
        <v>1561</v>
      </c>
      <c r="D58" t="str">
        <f>_xlfn.CONCAT(C58,".bam")</f>
        <v>SYST-MOR-0006746.bam</v>
      </c>
      <c r="E58" t="s">
        <v>1562</v>
      </c>
      <c r="F58" t="s">
        <v>2442</v>
      </c>
      <c r="G58" t="s">
        <v>2446</v>
      </c>
      <c r="H58" t="s">
        <v>2534</v>
      </c>
      <c r="I58" t="s">
        <v>1523</v>
      </c>
      <c r="K58" t="s">
        <v>64</v>
      </c>
      <c r="L58" t="s">
        <v>64</v>
      </c>
      <c r="N58" t="s">
        <v>64</v>
      </c>
      <c r="P58" t="s">
        <v>113</v>
      </c>
      <c r="Q58" t="s">
        <v>155</v>
      </c>
      <c r="R58" t="s">
        <v>2599</v>
      </c>
      <c r="S58" s="1">
        <v>44713</v>
      </c>
      <c r="T58" t="s">
        <v>1521</v>
      </c>
      <c r="U58" t="s">
        <v>34</v>
      </c>
      <c r="V58" s="1">
        <v>44716</v>
      </c>
      <c r="W58" t="s">
        <v>35</v>
      </c>
      <c r="X58" t="s">
        <v>1387</v>
      </c>
      <c r="Y58" t="s">
        <v>1522</v>
      </c>
      <c r="Z58" t="s">
        <v>38</v>
      </c>
      <c r="AA58" t="s">
        <v>1523</v>
      </c>
      <c r="AD58" t="s">
        <v>64</v>
      </c>
      <c r="AE58">
        <v>38.462749000000002</v>
      </c>
      <c r="AF58">
        <v>-90.818039999999996</v>
      </c>
      <c r="AG58" t="s">
        <v>40</v>
      </c>
      <c r="AH58" t="s">
        <v>41</v>
      </c>
      <c r="AI58">
        <v>38.462762970599996</v>
      </c>
      <c r="AJ58">
        <v>-90.817982391499996</v>
      </c>
      <c r="AK58">
        <v>1.3970599994195254E-5</v>
      </c>
      <c r="AL58">
        <v>5.7608500000583263E-5</v>
      </c>
      <c r="AM58" t="str">
        <f>_xlfn.IFNA(VLOOKUP(Sheet1!$C58,ADMIX_ALL!A:B,2,FALSE),"none")</f>
        <v>K6-18</v>
      </c>
      <c r="AN58" t="str">
        <f>_xlfn.IFNA(VLOOKUP(Sheet1!C58,ADMIX_SS!A:B,2,FALSE),"none")</f>
        <v>SubSample</v>
      </c>
      <c r="AO58" t="str">
        <f>_xlfn.IFNA(VLOOKUP(Sheet1!$C58,MONG_PHYLO!A:C,3,FALSE),"-")</f>
        <v>-</v>
      </c>
      <c r="AP58" t="str">
        <f>_xlfn.IFNA(VLOOKUP(Sheet1!$C58,MAC_PHYLO!A:C,3,FALSE),"-")</f>
        <v>-</v>
      </c>
      <c r="AQ58" t="str">
        <f>_xlfn.IFNA(VLOOKUP(Sheet1!$C58,ConStruct!A:C,3,FALSE),"-")</f>
        <v>-</v>
      </c>
      <c r="AR58" t="str">
        <f>_xlfn.IFNA(VLOOKUP(Sheet1!$C58,GEA!A:C,3,FALSE),"-")</f>
        <v>-</v>
      </c>
      <c r="AS58" t="str">
        <f>_xlfn.IFNA(VLOOKUP(Sheet1!$C58,MAC_DSUITE!A:D,3,FALSE),"-")</f>
        <v>-</v>
      </c>
      <c r="AT58" t="str">
        <f>_xlfn.IFNA(VLOOKUP(Sheet1!$C58,MONG_DSUITE!A:E,2,FALSE),"-")</f>
        <v>xxx</v>
      </c>
      <c r="AU58" t="str">
        <f>_xlfn.IFNA(VLOOKUP(Sheet1!$C58,MAC_PAINT2!A:D,4,FALSE),"-")</f>
        <v>-</v>
      </c>
    </row>
    <row r="59" spans="1:49" customFormat="1" x14ac:dyDescent="0.4">
      <c r="A59">
        <v>3304</v>
      </c>
      <c r="B59" t="s">
        <v>1563</v>
      </c>
      <c r="C59" t="s">
        <v>1564</v>
      </c>
      <c r="D59" t="str">
        <f>_xlfn.CONCAT(C59,".bam")</f>
        <v>SYST-MOR-0006747.bam</v>
      </c>
      <c r="E59" t="s">
        <v>1565</v>
      </c>
      <c r="F59" t="s">
        <v>2442</v>
      </c>
      <c r="G59" t="s">
        <v>2446</v>
      </c>
      <c r="H59" t="s">
        <v>2534</v>
      </c>
      <c r="I59" t="s">
        <v>1523</v>
      </c>
      <c r="K59" t="s">
        <v>50</v>
      </c>
      <c r="L59" t="s">
        <v>50</v>
      </c>
      <c r="N59" t="s">
        <v>50</v>
      </c>
      <c r="P59" t="s">
        <v>113</v>
      </c>
      <c r="Q59" t="s">
        <v>51</v>
      </c>
      <c r="R59" t="s">
        <v>2598</v>
      </c>
      <c r="S59" s="1">
        <v>44713</v>
      </c>
      <c r="T59" t="s">
        <v>1521</v>
      </c>
      <c r="U59" t="s">
        <v>34</v>
      </c>
      <c r="V59" s="1">
        <v>44716</v>
      </c>
      <c r="W59" t="s">
        <v>35</v>
      </c>
      <c r="X59" t="s">
        <v>1387</v>
      </c>
      <c r="Y59" t="s">
        <v>1522</v>
      </c>
      <c r="Z59" t="s">
        <v>38</v>
      </c>
      <c r="AA59" t="s">
        <v>1523</v>
      </c>
      <c r="AD59" t="s">
        <v>50</v>
      </c>
      <c r="AE59">
        <v>38.462662000000002</v>
      </c>
      <c r="AF59">
        <v>-90.818128999999999</v>
      </c>
      <c r="AG59" t="s">
        <v>40</v>
      </c>
      <c r="AH59" t="s">
        <v>41</v>
      </c>
      <c r="AI59">
        <v>38.4626469683</v>
      </c>
      <c r="AJ59">
        <v>-90.818144013099996</v>
      </c>
      <c r="AK59">
        <v>-1.5031700002055004E-5</v>
      </c>
      <c r="AL59">
        <v>-1.5013099996963319E-5</v>
      </c>
      <c r="AM59" t="str">
        <f>_xlfn.IFNA(VLOOKUP(Sheet1!$C59,ADMIX_ALL!A:B,2,FALSE),"none")</f>
        <v>K6-18</v>
      </c>
      <c r="AN59" t="str">
        <f>_xlfn.IFNA(VLOOKUP(Sheet1!C59,ADMIX_SS!A:B,2,FALSE),"none")</f>
        <v>SubSample</v>
      </c>
      <c r="AO59" t="str">
        <f>_xlfn.IFNA(VLOOKUP(Sheet1!$C59,MONG_PHYLO!A:C,3,FALSE),"-")</f>
        <v>-</v>
      </c>
      <c r="AP59" t="str">
        <f>_xlfn.IFNA(VLOOKUP(Sheet1!$C59,MAC_PHYLO!A:C,3,FALSE),"-")</f>
        <v>-</v>
      </c>
      <c r="AQ59" t="str">
        <f>_xlfn.IFNA(VLOOKUP(Sheet1!$C59,ConStruct!A:C,3,FALSE),"-")</f>
        <v>-</v>
      </c>
      <c r="AR59" t="str">
        <f>_xlfn.IFNA(VLOOKUP(Sheet1!$C59,GEA!A:C,3,FALSE),"-")</f>
        <v>-</v>
      </c>
      <c r="AS59" t="str">
        <f>_xlfn.IFNA(VLOOKUP(Sheet1!$C59,MAC_DSUITE!A:D,3,FALSE),"-")</f>
        <v>-</v>
      </c>
      <c r="AT59" t="str">
        <f>_xlfn.IFNA(VLOOKUP(Sheet1!$C59,MONG_DSUITE!A:E,2,FALSE),"-")</f>
        <v>xxx</v>
      </c>
      <c r="AU59" t="str">
        <f>_xlfn.IFNA(VLOOKUP(Sheet1!$C59,MAC_PAINT2!A:D,4,FALSE),"-")</f>
        <v>-</v>
      </c>
    </row>
    <row r="60" spans="1:49" customFormat="1" x14ac:dyDescent="0.4">
      <c r="A60">
        <v>3305</v>
      </c>
      <c r="B60" t="s">
        <v>1566</v>
      </c>
      <c r="C60" t="s">
        <v>1567</v>
      </c>
      <c r="D60" t="str">
        <f>_xlfn.CONCAT(C60,".bam")</f>
        <v>SYST-MOR-0006748.bam</v>
      </c>
      <c r="E60" t="s">
        <v>1568</v>
      </c>
      <c r="F60" t="s">
        <v>2442</v>
      </c>
      <c r="G60" t="s">
        <v>2446</v>
      </c>
      <c r="H60" t="s">
        <v>2534</v>
      </c>
      <c r="I60" t="s">
        <v>1523</v>
      </c>
      <c r="K60" t="s">
        <v>50</v>
      </c>
      <c r="L60" t="s">
        <v>50</v>
      </c>
      <c r="N60" t="s">
        <v>50</v>
      </c>
      <c r="P60" t="s">
        <v>113</v>
      </c>
      <c r="Q60" t="s">
        <v>51</v>
      </c>
      <c r="R60" t="s">
        <v>2598</v>
      </c>
      <c r="S60" s="1">
        <v>44713</v>
      </c>
      <c r="T60" t="s">
        <v>1521</v>
      </c>
      <c r="U60" t="s">
        <v>34</v>
      </c>
      <c r="V60" s="1">
        <v>44716</v>
      </c>
      <c r="W60" t="s">
        <v>35</v>
      </c>
      <c r="X60" t="s">
        <v>1387</v>
      </c>
      <c r="Y60" t="s">
        <v>1522</v>
      </c>
      <c r="Z60" t="s">
        <v>38</v>
      </c>
      <c r="AA60" t="s">
        <v>1523</v>
      </c>
      <c r="AD60" t="s">
        <v>50</v>
      </c>
      <c r="AE60">
        <v>38.462482999999999</v>
      </c>
      <c r="AF60">
        <v>-90.818432000000001</v>
      </c>
      <c r="AG60" t="s">
        <v>40</v>
      </c>
      <c r="AH60" t="s">
        <v>41</v>
      </c>
      <c r="AI60">
        <v>38.462819382799999</v>
      </c>
      <c r="AJ60">
        <v>-90.818105702699995</v>
      </c>
      <c r="AK60">
        <v>3.3638280000047871E-4</v>
      </c>
      <c r="AL60">
        <v>3.2629730000621748E-4</v>
      </c>
      <c r="AM60" t="str">
        <f>_xlfn.IFNA(VLOOKUP(Sheet1!$C60,ADMIX_ALL!A:B,2,FALSE),"none")</f>
        <v>K6-18</v>
      </c>
      <c r="AN60" t="str">
        <f>_xlfn.IFNA(VLOOKUP(Sheet1!C60,ADMIX_SS!A:B,2,FALSE),"none")</f>
        <v>SubSample</v>
      </c>
      <c r="AO60" t="str">
        <f>_xlfn.IFNA(VLOOKUP(Sheet1!$C60,MONG_PHYLO!A:C,3,FALSE),"-")</f>
        <v>-</v>
      </c>
      <c r="AP60" t="str">
        <f>_xlfn.IFNA(VLOOKUP(Sheet1!$C60,MAC_PHYLO!A:C,3,FALSE),"-")</f>
        <v>-</v>
      </c>
      <c r="AQ60" t="str">
        <f>_xlfn.IFNA(VLOOKUP(Sheet1!$C60,ConStruct!A:C,3,FALSE),"-")</f>
        <v>-</v>
      </c>
      <c r="AR60" t="str">
        <f>_xlfn.IFNA(VLOOKUP(Sheet1!$C60,GEA!A:C,3,FALSE),"-")</f>
        <v>-</v>
      </c>
      <c r="AS60" t="str">
        <f>_xlfn.IFNA(VLOOKUP(Sheet1!$C60,MAC_DSUITE!A:D,3,FALSE),"-")</f>
        <v>-</v>
      </c>
      <c r="AT60" t="str">
        <f>_xlfn.IFNA(VLOOKUP(Sheet1!$C60,MONG_DSUITE!A:E,2,FALSE),"-")</f>
        <v>xxx</v>
      </c>
      <c r="AU60" t="str">
        <f>_xlfn.IFNA(VLOOKUP(Sheet1!$C60,MAC_PAINT2!A:D,4,FALSE),"-")</f>
        <v>-</v>
      </c>
    </row>
    <row r="61" spans="1:49" customFormat="1" x14ac:dyDescent="0.4">
      <c r="A61">
        <v>3306</v>
      </c>
      <c r="B61" t="s">
        <v>1569</v>
      </c>
      <c r="C61" t="s">
        <v>1570</v>
      </c>
      <c r="D61" t="str">
        <f>_xlfn.CONCAT(C61,".bam")</f>
        <v>SYST-MOR-0006749.bam</v>
      </c>
      <c r="E61" t="s">
        <v>1571</v>
      </c>
      <c r="F61" t="s">
        <v>2442</v>
      </c>
      <c r="G61" t="s">
        <v>2446</v>
      </c>
      <c r="H61" t="s">
        <v>2534</v>
      </c>
      <c r="I61" t="s">
        <v>1523</v>
      </c>
      <c r="K61" t="s">
        <v>50</v>
      </c>
      <c r="L61" t="s">
        <v>50</v>
      </c>
      <c r="N61" t="s">
        <v>50</v>
      </c>
      <c r="P61" t="s">
        <v>113</v>
      </c>
      <c r="Q61" t="s">
        <v>1457</v>
      </c>
      <c r="R61" t="s">
        <v>2598</v>
      </c>
      <c r="S61" s="1">
        <v>44713</v>
      </c>
      <c r="T61" t="s">
        <v>1521</v>
      </c>
      <c r="U61" t="s">
        <v>34</v>
      </c>
      <c r="V61" s="1">
        <v>44716</v>
      </c>
      <c r="W61" t="s">
        <v>35</v>
      </c>
      <c r="X61" t="s">
        <v>1387</v>
      </c>
      <c r="Y61" t="s">
        <v>1522</v>
      </c>
      <c r="Z61" t="s">
        <v>38</v>
      </c>
      <c r="AA61" t="s">
        <v>1523</v>
      </c>
      <c r="AD61" t="s">
        <v>50</v>
      </c>
      <c r="AE61">
        <v>38.462702999999998</v>
      </c>
      <c r="AF61">
        <v>-90.818742</v>
      </c>
      <c r="AG61" t="s">
        <v>40</v>
      </c>
      <c r="AH61" t="s">
        <v>41</v>
      </c>
      <c r="AI61">
        <v>38.4627341526</v>
      </c>
      <c r="AJ61">
        <v>-90.818768441800003</v>
      </c>
      <c r="AK61">
        <v>3.1152600001860264E-5</v>
      </c>
      <c r="AL61">
        <v>-2.6441800002885429E-5</v>
      </c>
      <c r="AM61" t="str">
        <f>_xlfn.IFNA(VLOOKUP(Sheet1!$C61,ADMIX_ALL!A:B,2,FALSE),"none")</f>
        <v>K6-18</v>
      </c>
      <c r="AN61" t="str">
        <f>_xlfn.IFNA(VLOOKUP(Sheet1!C61,ADMIX_SS!A:B,2,FALSE),"none")</f>
        <v>Constant</v>
      </c>
      <c r="AO61" t="str">
        <f>_xlfn.IFNA(VLOOKUP(Sheet1!$C61,MONG_PHYLO!A:C,3,FALSE),"-")</f>
        <v>ste</v>
      </c>
      <c r="AP61" t="str">
        <f>_xlfn.IFNA(VLOOKUP(Sheet1!$C61,MAC_PHYLO!A:C,3,FALSE),"-")</f>
        <v>-</v>
      </c>
      <c r="AQ61" t="str">
        <f>_xlfn.IFNA(VLOOKUP(Sheet1!$C61,ConStruct!A:C,3,FALSE),"-")</f>
        <v>-</v>
      </c>
      <c r="AR61" t="str">
        <f>_xlfn.IFNA(VLOOKUP(Sheet1!$C61,GEA!A:C,3,FALSE),"-")</f>
        <v>-</v>
      </c>
      <c r="AS61" t="str">
        <f>_xlfn.IFNA(VLOOKUP(Sheet1!$C61,MAC_DSUITE!A:D,3,FALSE),"-")</f>
        <v>-</v>
      </c>
      <c r="AT61" t="str">
        <f>_xlfn.IFNA(VLOOKUP(Sheet1!$C61,MONG_DSUITE!A:E,2,FALSE),"-")</f>
        <v>stellata</v>
      </c>
      <c r="AU61" t="str">
        <f>_xlfn.IFNA(VLOOKUP(Sheet1!$C61,MAC_PAINT2!A:D,4,FALSE),"-")</f>
        <v>-</v>
      </c>
    </row>
    <row r="62" spans="1:49" customFormat="1" x14ac:dyDescent="0.4">
      <c r="A62">
        <v>3307</v>
      </c>
      <c r="B62" t="s">
        <v>1572</v>
      </c>
      <c r="C62" t="s">
        <v>1573</v>
      </c>
      <c r="D62" t="str">
        <f>_xlfn.CONCAT(C62,".bam")</f>
        <v>SYST-MOR-0006750.bam</v>
      </c>
      <c r="E62" t="s">
        <v>1574</v>
      </c>
      <c r="F62" t="s">
        <v>2442</v>
      </c>
      <c r="G62" t="s">
        <v>2446</v>
      </c>
      <c r="H62" t="s">
        <v>2534</v>
      </c>
      <c r="I62" t="s">
        <v>1523</v>
      </c>
      <c r="K62" t="s">
        <v>64</v>
      </c>
      <c r="L62" t="s">
        <v>64</v>
      </c>
      <c r="N62" t="s">
        <v>64</v>
      </c>
      <c r="P62" t="s">
        <v>113</v>
      </c>
      <c r="Q62" t="s">
        <v>155</v>
      </c>
      <c r="R62" t="s">
        <v>2599</v>
      </c>
      <c r="S62" s="1">
        <v>44713</v>
      </c>
      <c r="T62" t="s">
        <v>1521</v>
      </c>
      <c r="U62" t="s">
        <v>34</v>
      </c>
      <c r="V62" s="1">
        <v>44716</v>
      </c>
      <c r="W62" t="s">
        <v>35</v>
      </c>
      <c r="X62" t="s">
        <v>1387</v>
      </c>
      <c r="Y62" t="s">
        <v>1522</v>
      </c>
      <c r="Z62" t="s">
        <v>38</v>
      </c>
      <c r="AA62" t="s">
        <v>1523</v>
      </c>
      <c r="AD62" t="s">
        <v>64</v>
      </c>
      <c r="AE62">
        <v>38.462960000000002</v>
      </c>
      <c r="AF62">
        <v>-90.818493000000004</v>
      </c>
      <c r="AG62" t="s">
        <v>40</v>
      </c>
      <c r="AH62" t="s">
        <v>41</v>
      </c>
      <c r="AI62">
        <v>38.463027686799997</v>
      </c>
      <c r="AJ62">
        <v>-90.818535089600005</v>
      </c>
      <c r="AK62">
        <v>6.7686799994248759E-5</v>
      </c>
      <c r="AL62">
        <v>-4.2089600000849714E-5</v>
      </c>
      <c r="AM62" t="str">
        <f>_xlfn.IFNA(VLOOKUP(Sheet1!$C62,ADMIX_ALL!A:B,2,FALSE),"none")</f>
        <v>K6-18</v>
      </c>
      <c r="AN62" t="str">
        <f>_xlfn.IFNA(VLOOKUP(Sheet1!C62,ADMIX_SS!A:B,2,FALSE),"none")</f>
        <v>SubSample</v>
      </c>
      <c r="AO62" t="str">
        <f>_xlfn.IFNA(VLOOKUP(Sheet1!$C62,MONG_PHYLO!A:C,3,FALSE),"-")</f>
        <v>-</v>
      </c>
      <c r="AP62" t="str">
        <f>_xlfn.IFNA(VLOOKUP(Sheet1!$C62,MAC_PHYLO!A:C,3,FALSE),"-")</f>
        <v>-</v>
      </c>
      <c r="AQ62" t="str">
        <f>_xlfn.IFNA(VLOOKUP(Sheet1!$C62,ConStruct!A:C,3,FALSE),"-")</f>
        <v>-</v>
      </c>
      <c r="AR62" t="str">
        <f>_xlfn.IFNA(VLOOKUP(Sheet1!$C62,GEA!A:C,3,FALSE),"-")</f>
        <v>-</v>
      </c>
      <c r="AS62" t="str">
        <f>_xlfn.IFNA(VLOOKUP(Sheet1!$C62,MAC_DSUITE!A:D,3,FALSE),"-")</f>
        <v>-</v>
      </c>
      <c r="AT62" t="str">
        <f>_xlfn.IFNA(VLOOKUP(Sheet1!$C62,MONG_DSUITE!A:E,2,FALSE),"-")</f>
        <v>xxx</v>
      </c>
      <c r="AU62" t="str">
        <f>_xlfn.IFNA(VLOOKUP(Sheet1!$C62,MAC_PAINT2!A:D,4,FALSE),"-")</f>
        <v>-</v>
      </c>
    </row>
    <row r="63" spans="1:49" customFormat="1" x14ac:dyDescent="0.4">
      <c r="A63">
        <v>3308</v>
      </c>
      <c r="B63" t="s">
        <v>1575</v>
      </c>
      <c r="C63" t="s">
        <v>1576</v>
      </c>
      <c r="D63" t="str">
        <f>_xlfn.CONCAT(C63,".bam")</f>
        <v>SYST-MOR-0006751.bam</v>
      </c>
      <c r="E63" t="s">
        <v>1577</v>
      </c>
      <c r="F63" t="s">
        <v>2442</v>
      </c>
      <c r="G63" t="s">
        <v>2446</v>
      </c>
      <c r="H63" t="s">
        <v>2534</v>
      </c>
      <c r="I63" t="s">
        <v>1523</v>
      </c>
      <c r="K63" t="s">
        <v>64</v>
      </c>
      <c r="L63" t="s">
        <v>64</v>
      </c>
      <c r="N63" t="s">
        <v>64</v>
      </c>
      <c r="P63" t="s">
        <v>113</v>
      </c>
      <c r="Q63" t="s">
        <v>155</v>
      </c>
      <c r="R63" t="s">
        <v>2599</v>
      </c>
      <c r="S63" s="1">
        <v>44713</v>
      </c>
      <c r="T63" t="s">
        <v>1521</v>
      </c>
      <c r="U63" t="s">
        <v>34</v>
      </c>
      <c r="V63" s="1">
        <v>44716</v>
      </c>
      <c r="W63" t="s">
        <v>35</v>
      </c>
      <c r="X63" t="s">
        <v>1387</v>
      </c>
      <c r="Y63" t="s">
        <v>1522</v>
      </c>
      <c r="Z63" t="s">
        <v>38</v>
      </c>
      <c r="AA63" t="s">
        <v>1523</v>
      </c>
      <c r="AD63" t="s">
        <v>64</v>
      </c>
      <c r="AE63">
        <v>38.463810000000002</v>
      </c>
      <c r="AF63">
        <v>-90.818731</v>
      </c>
      <c r="AG63" t="s">
        <v>40</v>
      </c>
      <c r="AH63" t="s">
        <v>41</v>
      </c>
      <c r="AI63">
        <v>38.463818708200002</v>
      </c>
      <c r="AJ63">
        <v>-90.818860825200005</v>
      </c>
      <c r="AK63">
        <v>8.7081999993188219E-6</v>
      </c>
      <c r="AL63">
        <v>-1.2982520000548448E-4</v>
      </c>
      <c r="AM63" t="str">
        <f>_xlfn.IFNA(VLOOKUP(Sheet1!$C63,ADMIX_ALL!A:B,2,FALSE),"none")</f>
        <v>K6-18</v>
      </c>
      <c r="AN63" t="str">
        <f>_xlfn.IFNA(VLOOKUP(Sheet1!C63,ADMIX_SS!A:B,2,FALSE),"none")</f>
        <v>Constant</v>
      </c>
      <c r="AO63" t="str">
        <f>_xlfn.IFNA(VLOOKUP(Sheet1!$C63,MONG_PHYLO!A:C,3,FALSE),"-")</f>
        <v>alb</v>
      </c>
      <c r="AP63" t="str">
        <f>_xlfn.IFNA(VLOOKUP(Sheet1!$C63,MAC_PHYLO!A:C,3,FALSE),"-")</f>
        <v>-</v>
      </c>
      <c r="AQ63" t="str">
        <f>_xlfn.IFNA(VLOOKUP(Sheet1!$C63,ConStruct!A:C,3,FALSE),"-")</f>
        <v>-</v>
      </c>
      <c r="AR63" t="str">
        <f>_xlfn.IFNA(VLOOKUP(Sheet1!$C63,GEA!A:C,3,FALSE),"-")</f>
        <v>-</v>
      </c>
      <c r="AS63" t="str">
        <f>_xlfn.IFNA(VLOOKUP(Sheet1!$C63,MAC_DSUITE!A:D,3,FALSE),"-")</f>
        <v>-</v>
      </c>
      <c r="AT63" t="str">
        <f>_xlfn.IFNA(VLOOKUP(Sheet1!$C63,MONG_DSUITE!A:E,2,FALSE),"-")</f>
        <v>alba</v>
      </c>
      <c r="AU63" t="str">
        <f>_xlfn.IFNA(VLOOKUP(Sheet1!$C63,MAC_PAINT2!A:D,4,FALSE),"-")</f>
        <v>-</v>
      </c>
    </row>
    <row r="64" spans="1:49" customFormat="1" x14ac:dyDescent="0.4">
      <c r="A64">
        <v>3309</v>
      </c>
      <c r="B64" t="s">
        <v>1578</v>
      </c>
      <c r="C64" t="s">
        <v>1579</v>
      </c>
      <c r="D64" t="str">
        <f>_xlfn.CONCAT(C64,".bam")</f>
        <v>SYST-MOR-0006752.bam</v>
      </c>
      <c r="E64" t="s">
        <v>1580</v>
      </c>
      <c r="F64" t="s">
        <v>2442</v>
      </c>
      <c r="G64" t="s">
        <v>2446</v>
      </c>
      <c r="H64" t="s">
        <v>2534</v>
      </c>
      <c r="I64" t="s">
        <v>1523</v>
      </c>
      <c r="K64" t="s">
        <v>64</v>
      </c>
      <c r="L64" t="s">
        <v>64</v>
      </c>
      <c r="N64" t="s">
        <v>64</v>
      </c>
      <c r="P64" t="s">
        <v>113</v>
      </c>
      <c r="Q64" t="s">
        <v>155</v>
      </c>
      <c r="R64" t="s">
        <v>2599</v>
      </c>
      <c r="S64" s="1">
        <v>44713</v>
      </c>
      <c r="T64" t="s">
        <v>1521</v>
      </c>
      <c r="U64" t="s">
        <v>34</v>
      </c>
      <c r="V64" s="1">
        <v>44716</v>
      </c>
      <c r="W64" t="s">
        <v>35</v>
      </c>
      <c r="X64" t="s">
        <v>1387</v>
      </c>
      <c r="Y64" t="s">
        <v>1522</v>
      </c>
      <c r="Z64" t="s">
        <v>38</v>
      </c>
      <c r="AA64" t="s">
        <v>1523</v>
      </c>
      <c r="AD64" t="s">
        <v>64</v>
      </c>
      <c r="AE64">
        <v>38.464165999999999</v>
      </c>
      <c r="AF64">
        <v>-90.818686</v>
      </c>
      <c r="AG64" t="s">
        <v>40</v>
      </c>
      <c r="AH64" t="s">
        <v>41</v>
      </c>
      <c r="AI64">
        <v>38.4641648534</v>
      </c>
      <c r="AJ64">
        <v>-90.818767601499999</v>
      </c>
      <c r="AK64">
        <v>-1.1465999989468401E-6</v>
      </c>
      <c r="AL64">
        <v>-8.1601499999806038E-5</v>
      </c>
      <c r="AM64" t="str">
        <f>_xlfn.IFNA(VLOOKUP(Sheet1!$C64,ADMIX_ALL!A:B,2,FALSE),"none")</f>
        <v>K6-18</v>
      </c>
      <c r="AN64" t="str">
        <f>_xlfn.IFNA(VLOOKUP(Sheet1!C64,ADMIX_SS!A:B,2,FALSE),"none")</f>
        <v>SubSample</v>
      </c>
      <c r="AO64" t="str">
        <f>_xlfn.IFNA(VLOOKUP(Sheet1!$C64,MONG_PHYLO!A:C,3,FALSE),"-")</f>
        <v>-</v>
      </c>
      <c r="AP64" t="str">
        <f>_xlfn.IFNA(VLOOKUP(Sheet1!$C64,MAC_PHYLO!A:C,3,FALSE),"-")</f>
        <v>alb</v>
      </c>
      <c r="AQ64" t="str">
        <f>_xlfn.IFNA(VLOOKUP(Sheet1!$C64,ConStruct!A:C,3,FALSE),"-")</f>
        <v>-</v>
      </c>
      <c r="AR64" t="str">
        <f>_xlfn.IFNA(VLOOKUP(Sheet1!$C64,GEA!A:C,3,FALSE),"-")</f>
        <v>-</v>
      </c>
      <c r="AS64" t="str">
        <f>_xlfn.IFNA(VLOOKUP(Sheet1!$C64,MAC_DSUITE!A:D,3,FALSE),"-")</f>
        <v>alb</v>
      </c>
      <c r="AT64" t="str">
        <f>_xlfn.IFNA(VLOOKUP(Sheet1!$C64,MONG_DSUITE!A:E,2,FALSE),"-")</f>
        <v>xxx</v>
      </c>
      <c r="AU64" t="str">
        <f>_xlfn.IFNA(VLOOKUP(Sheet1!$C64,MAC_PAINT2!A:D,4,FALSE),"-")</f>
        <v>alb-macpaint</v>
      </c>
    </row>
    <row r="65" spans="1:49" customFormat="1" x14ac:dyDescent="0.4">
      <c r="A65">
        <v>3310</v>
      </c>
      <c r="B65" t="s">
        <v>310</v>
      </c>
      <c r="C65" t="s">
        <v>311</v>
      </c>
      <c r="D65" t="str">
        <f>_xlfn.CONCAT(C65,".bam")</f>
        <v>SYST-MOR-0006753.bam</v>
      </c>
      <c r="E65" t="s">
        <v>312</v>
      </c>
      <c r="F65" t="s">
        <v>2407</v>
      </c>
      <c r="G65" t="s">
        <v>2411</v>
      </c>
      <c r="H65" t="s">
        <v>2495</v>
      </c>
      <c r="I65" t="s">
        <v>315</v>
      </c>
      <c r="K65" t="s">
        <v>45</v>
      </c>
      <c r="L65" t="s">
        <v>45</v>
      </c>
      <c r="N65" t="s">
        <v>45</v>
      </c>
      <c r="P65" t="s">
        <v>113</v>
      </c>
      <c r="Q65" t="s">
        <v>46</v>
      </c>
      <c r="R65" t="s">
        <v>2597</v>
      </c>
      <c r="S65" s="1">
        <v>44714</v>
      </c>
      <c r="T65" t="s">
        <v>313</v>
      </c>
      <c r="U65" t="s">
        <v>34</v>
      </c>
      <c r="V65" s="1">
        <v>44716</v>
      </c>
      <c r="W65" t="s">
        <v>35</v>
      </c>
      <c r="X65" t="s">
        <v>204</v>
      </c>
      <c r="Y65" t="s">
        <v>314</v>
      </c>
      <c r="Z65" t="s">
        <v>38</v>
      </c>
      <c r="AA65" t="s">
        <v>315</v>
      </c>
      <c r="AD65" t="s">
        <v>45</v>
      </c>
      <c r="AE65">
        <v>37.676094239999998</v>
      </c>
      <c r="AF65">
        <v>-89.413502500000007</v>
      </c>
      <c r="AG65" t="s">
        <v>40</v>
      </c>
      <c r="AH65" t="s">
        <v>41</v>
      </c>
      <c r="AI65">
        <v>37.676094235000001</v>
      </c>
      <c r="AJ65">
        <v>-89.413502498499994</v>
      </c>
      <c r="AK65">
        <v>-4.9999968609881762E-9</v>
      </c>
      <c r="AL65">
        <v>1.5000125586084323E-9</v>
      </c>
      <c r="AM65" t="str">
        <f>_xlfn.IFNA(VLOOKUP(Sheet1!$C65,ADMIX_ALL!A:B,2,FALSE),"none")</f>
        <v>K6-18</v>
      </c>
      <c r="AN65" t="str">
        <f>_xlfn.IFNA(VLOOKUP(Sheet1!C65,ADMIX_SS!A:B,2,FALSE),"none")</f>
        <v>SubSample</v>
      </c>
      <c r="AO65" t="str">
        <f>_xlfn.IFNA(VLOOKUP(Sheet1!$C65,MONG_PHYLO!A:C,3,FALSE),"-")</f>
        <v>-</v>
      </c>
      <c r="AP65" t="str">
        <f>_xlfn.IFNA(VLOOKUP(Sheet1!$C65,MAC_PHYLO!A:C,3,FALSE),"-")</f>
        <v>-</v>
      </c>
      <c r="AQ65" t="str">
        <f>_xlfn.IFNA(VLOOKUP(Sheet1!$C65,ConStruct!A:C,3,FALSE),"-")</f>
        <v>ConStruct</v>
      </c>
      <c r="AR65" t="str">
        <f>_xlfn.IFNA(VLOOKUP(Sheet1!$C65,GEA!A:C,3,FALSE),"-")</f>
        <v>GEA</v>
      </c>
      <c r="AS65" t="str">
        <f>_xlfn.IFNA(VLOOKUP(Sheet1!$C65,MAC_DSUITE!A:D,3,FALSE),"-")</f>
        <v>mac_IL_OB</v>
      </c>
      <c r="AT65" t="str">
        <f>_xlfn.IFNA(VLOOKUP(Sheet1!$C65,MONG_DSUITE!A:E,2,FALSE),"-")</f>
        <v>macrocarpa_OB</v>
      </c>
      <c r="AU65" t="str">
        <f>_xlfn.IFNA(VLOOKUP(Sheet1!$C65,MAC_PAINT2!A:D,4,FALSE),"-")</f>
        <v>macpaint</v>
      </c>
      <c r="AV65" t="s">
        <v>9193</v>
      </c>
      <c r="AW65" t="s">
        <v>9193</v>
      </c>
    </row>
    <row r="66" spans="1:49" customFormat="1" x14ac:dyDescent="0.4">
      <c r="A66">
        <v>3311</v>
      </c>
      <c r="B66" t="s">
        <v>316</v>
      </c>
      <c r="C66" t="s">
        <v>317</v>
      </c>
      <c r="D66" t="str">
        <f>_xlfn.CONCAT(C66,".bam")</f>
        <v>SYST-MOR-0006754.bam</v>
      </c>
      <c r="E66" t="s">
        <v>318</v>
      </c>
      <c r="F66" t="s">
        <v>2407</v>
      </c>
      <c r="G66" t="s">
        <v>2411</v>
      </c>
      <c r="H66" t="s">
        <v>2495</v>
      </c>
      <c r="I66" t="s">
        <v>315</v>
      </c>
      <c r="K66" t="s">
        <v>30</v>
      </c>
      <c r="L66" t="s">
        <v>30</v>
      </c>
      <c r="N66" t="s">
        <v>30</v>
      </c>
      <c r="P66" t="s">
        <v>113</v>
      </c>
      <c r="Q66" t="s">
        <v>32</v>
      </c>
      <c r="R66" t="s">
        <v>2596</v>
      </c>
      <c r="S66" s="1">
        <v>44714</v>
      </c>
      <c r="T66" t="s">
        <v>313</v>
      </c>
      <c r="U66" t="s">
        <v>34</v>
      </c>
      <c r="V66" s="1">
        <v>44716</v>
      </c>
      <c r="W66" t="s">
        <v>35</v>
      </c>
      <c r="X66" t="s">
        <v>204</v>
      </c>
      <c r="Y66" t="s">
        <v>314</v>
      </c>
      <c r="Z66" t="s">
        <v>38</v>
      </c>
      <c r="AA66" t="s">
        <v>315</v>
      </c>
      <c r="AD66" t="s">
        <v>319</v>
      </c>
      <c r="AE66">
        <v>37.676719769999998</v>
      </c>
      <c r="AF66">
        <v>-89.413485789999996</v>
      </c>
      <c r="AG66" t="s">
        <v>40</v>
      </c>
      <c r="AH66" t="s">
        <v>41</v>
      </c>
      <c r="AI66">
        <v>37.676719773199999</v>
      </c>
      <c r="AJ66">
        <v>-89.413485788800003</v>
      </c>
      <c r="AK66">
        <v>3.2000002647691872E-9</v>
      </c>
      <c r="AL66">
        <v>1.1999929938610876E-9</v>
      </c>
      <c r="AM66" t="str">
        <f>_xlfn.IFNA(VLOOKUP(Sheet1!$C66,ADMIX_ALL!A:B,2,FALSE),"none")</f>
        <v>K6-18</v>
      </c>
      <c r="AN66" t="str">
        <f>_xlfn.IFNA(VLOOKUP(Sheet1!C66,ADMIX_SS!A:B,2,FALSE),"none")</f>
        <v>Constant</v>
      </c>
      <c r="AO66" t="str">
        <f>_xlfn.IFNA(VLOOKUP(Sheet1!$C66,MONG_PHYLO!A:C,3,FALSE),"-")</f>
        <v>lyr</v>
      </c>
      <c r="AP66" t="str">
        <f>_xlfn.IFNA(VLOOKUP(Sheet1!$C66,MAC_PHYLO!A:C,3,FALSE),"-")</f>
        <v>-</v>
      </c>
      <c r="AQ66" t="str">
        <f>_xlfn.IFNA(VLOOKUP(Sheet1!$C66,ConStruct!A:C,3,FALSE),"-")</f>
        <v>-</v>
      </c>
      <c r="AR66" t="str">
        <f>_xlfn.IFNA(VLOOKUP(Sheet1!$C66,GEA!A:C,3,FALSE),"-")</f>
        <v>-</v>
      </c>
      <c r="AS66" t="str">
        <f>_xlfn.IFNA(VLOOKUP(Sheet1!$C66,MAC_DSUITE!A:D,3,FALSE),"-")</f>
        <v>-</v>
      </c>
      <c r="AT66" t="str">
        <f>_xlfn.IFNA(VLOOKUP(Sheet1!$C66,MONG_DSUITE!A:E,2,FALSE),"-")</f>
        <v>lyrata</v>
      </c>
      <c r="AU66" t="str">
        <f>_xlfn.IFNA(VLOOKUP(Sheet1!$C66,MAC_PAINT2!A:D,4,FALSE),"-")</f>
        <v>-</v>
      </c>
    </row>
    <row r="67" spans="1:49" customFormat="1" x14ac:dyDescent="0.4">
      <c r="A67">
        <v>3523</v>
      </c>
      <c r="B67" t="s">
        <v>320</v>
      </c>
      <c r="C67" t="s">
        <v>321</v>
      </c>
      <c r="D67" t="str">
        <f>_xlfn.CONCAT(C67,".bam")</f>
        <v>SYST-MOR-0006755.bam</v>
      </c>
      <c r="E67" t="s">
        <v>322</v>
      </c>
      <c r="F67" t="s">
        <v>2407</v>
      </c>
      <c r="G67" t="s">
        <v>2411</v>
      </c>
      <c r="H67" t="s">
        <v>2495</v>
      </c>
      <c r="I67" t="s">
        <v>315</v>
      </c>
      <c r="K67" t="s">
        <v>45</v>
      </c>
      <c r="L67" t="s">
        <v>45</v>
      </c>
      <c r="N67" t="s">
        <v>45</v>
      </c>
      <c r="P67" t="s">
        <v>113</v>
      </c>
      <c r="Q67" t="s">
        <v>114</v>
      </c>
      <c r="R67" t="s">
        <v>2597</v>
      </c>
      <c r="S67" s="1">
        <v>44714</v>
      </c>
      <c r="T67" t="s">
        <v>313</v>
      </c>
      <c r="U67" t="s">
        <v>34</v>
      </c>
      <c r="V67" s="1">
        <v>44716</v>
      </c>
      <c r="W67" t="s">
        <v>35</v>
      </c>
      <c r="X67" t="s">
        <v>204</v>
      </c>
      <c r="Y67" t="s">
        <v>314</v>
      </c>
      <c r="Z67" t="s">
        <v>38</v>
      </c>
      <c r="AA67" t="s">
        <v>315</v>
      </c>
      <c r="AD67" t="s">
        <v>45</v>
      </c>
      <c r="AE67">
        <v>37.6760035</v>
      </c>
      <c r="AF67">
        <v>-89.412965319999998</v>
      </c>
      <c r="AG67" t="s">
        <v>40</v>
      </c>
      <c r="AH67" t="s">
        <v>41</v>
      </c>
      <c r="AI67">
        <v>37.676003501399997</v>
      </c>
      <c r="AJ67">
        <v>-89.4129653209</v>
      </c>
      <c r="AK67">
        <v>1.3999965631228406E-9</v>
      </c>
      <c r="AL67">
        <v>-9.000018508231733E-10</v>
      </c>
      <c r="AM67" t="str">
        <f>_xlfn.IFNA(VLOOKUP(Sheet1!$C67,ADMIX_ALL!A:B,2,FALSE),"none")</f>
        <v>K6-18</v>
      </c>
      <c r="AN67" t="str">
        <f>_xlfn.IFNA(VLOOKUP(Sheet1!C67,ADMIX_SS!A:B,2,FALSE),"none")</f>
        <v>SubSample</v>
      </c>
      <c r="AO67" t="str">
        <f>_xlfn.IFNA(VLOOKUP(Sheet1!$C67,MONG_PHYLO!A:C,3,FALSE),"-")</f>
        <v>-</v>
      </c>
      <c r="AP67" t="str">
        <f>_xlfn.IFNA(VLOOKUP(Sheet1!$C67,MAC_PHYLO!A:C,3,FALSE),"-")</f>
        <v>-</v>
      </c>
      <c r="AQ67" t="str">
        <f>_xlfn.IFNA(VLOOKUP(Sheet1!$C67,ConStruct!A:C,3,FALSE),"-")</f>
        <v>ConStruct</v>
      </c>
      <c r="AR67" t="str">
        <f>_xlfn.IFNA(VLOOKUP(Sheet1!$C67,GEA!A:C,3,FALSE),"-")</f>
        <v>GEA</v>
      </c>
      <c r="AS67" t="str">
        <f>_xlfn.IFNA(VLOOKUP(Sheet1!$C67,MAC_DSUITE!A:D,3,FALSE),"-")</f>
        <v>mac_IL_OB</v>
      </c>
      <c r="AT67" t="str">
        <f>_xlfn.IFNA(VLOOKUP(Sheet1!$C67,MONG_DSUITE!A:E,2,FALSE),"-")</f>
        <v>macrocarpa_OB</v>
      </c>
      <c r="AU67" t="str">
        <f>_xlfn.IFNA(VLOOKUP(Sheet1!$C67,MAC_PAINT2!A:D,4,FALSE),"-")</f>
        <v>macpaint</v>
      </c>
      <c r="AV67" t="s">
        <v>9193</v>
      </c>
      <c r="AW67" t="s">
        <v>9193</v>
      </c>
    </row>
    <row r="68" spans="1:49" customFormat="1" x14ac:dyDescent="0.4">
      <c r="A68">
        <v>3312</v>
      </c>
      <c r="B68" t="s">
        <v>323</v>
      </c>
      <c r="C68" t="s">
        <v>324</v>
      </c>
      <c r="D68" t="str">
        <f>_xlfn.CONCAT(C68,".bam")</f>
        <v>SYST-MOR-0006756.bam</v>
      </c>
      <c r="E68" t="s">
        <v>325</v>
      </c>
      <c r="F68" t="s">
        <v>2407</v>
      </c>
      <c r="G68" t="s">
        <v>2411</v>
      </c>
      <c r="H68" t="s">
        <v>2495</v>
      </c>
      <c r="I68" t="s">
        <v>315</v>
      </c>
      <c r="K68" t="s">
        <v>30</v>
      </c>
      <c r="L68" t="s">
        <v>30</v>
      </c>
      <c r="N68" t="s">
        <v>30</v>
      </c>
      <c r="P68" t="s">
        <v>113</v>
      </c>
      <c r="Q68" t="s">
        <v>32</v>
      </c>
      <c r="R68" t="s">
        <v>2596</v>
      </c>
      <c r="S68" s="1">
        <v>44714</v>
      </c>
      <c r="T68" t="s">
        <v>313</v>
      </c>
      <c r="U68" t="s">
        <v>34</v>
      </c>
      <c r="V68" s="1">
        <v>44716</v>
      </c>
      <c r="W68" t="s">
        <v>35</v>
      </c>
      <c r="X68" t="s">
        <v>204</v>
      </c>
      <c r="Y68" t="s">
        <v>314</v>
      </c>
      <c r="Z68" t="s">
        <v>38</v>
      </c>
      <c r="AA68" t="s">
        <v>315</v>
      </c>
      <c r="AD68" t="s">
        <v>319</v>
      </c>
      <c r="AE68">
        <v>37.676818279999999</v>
      </c>
      <c r="AF68">
        <v>-89.412822230000003</v>
      </c>
      <c r="AG68" t="s">
        <v>40</v>
      </c>
      <c r="AH68" t="s">
        <v>41</v>
      </c>
      <c r="AI68">
        <v>37.676818275000002</v>
      </c>
      <c r="AJ68">
        <v>-89.412822227899994</v>
      </c>
      <c r="AK68">
        <v>-4.9999968609881762E-9</v>
      </c>
      <c r="AL68">
        <v>2.1000090555389761E-9</v>
      </c>
      <c r="AM68" t="str">
        <f>_xlfn.IFNA(VLOOKUP(Sheet1!$C68,ADMIX_ALL!A:B,2,FALSE),"none")</f>
        <v>K6-18</v>
      </c>
      <c r="AN68" t="str">
        <f>_xlfn.IFNA(VLOOKUP(Sheet1!C68,ADMIX_SS!A:B,2,FALSE),"none")</f>
        <v>SubSample</v>
      </c>
      <c r="AO68" t="str">
        <f>_xlfn.IFNA(VLOOKUP(Sheet1!$C68,MONG_PHYLO!A:C,3,FALSE),"-")</f>
        <v>-</v>
      </c>
      <c r="AP68" t="str">
        <f>_xlfn.IFNA(VLOOKUP(Sheet1!$C68,MAC_PHYLO!A:C,3,FALSE),"-")</f>
        <v>lyr</v>
      </c>
      <c r="AQ68" t="str">
        <f>_xlfn.IFNA(VLOOKUP(Sheet1!$C68,ConStruct!A:C,3,FALSE),"-")</f>
        <v>-</v>
      </c>
      <c r="AR68" t="str">
        <f>_xlfn.IFNA(VLOOKUP(Sheet1!$C68,GEA!A:C,3,FALSE),"-")</f>
        <v>-</v>
      </c>
      <c r="AS68" t="str">
        <f>_xlfn.IFNA(VLOOKUP(Sheet1!$C68,MAC_DSUITE!A:D,3,FALSE),"-")</f>
        <v>lyr</v>
      </c>
      <c r="AT68" t="str">
        <f>_xlfn.IFNA(VLOOKUP(Sheet1!$C68,MONG_DSUITE!A:E,2,FALSE),"-")</f>
        <v>xxx</v>
      </c>
      <c r="AU68" t="str">
        <f>_xlfn.IFNA(VLOOKUP(Sheet1!$C68,MAC_PAINT2!A:D,4,FALSE),"-")</f>
        <v>lyr-macpaint</v>
      </c>
    </row>
    <row r="69" spans="1:49" customFormat="1" x14ac:dyDescent="0.4">
      <c r="A69">
        <v>3313</v>
      </c>
      <c r="B69" t="s">
        <v>326</v>
      </c>
      <c r="C69" t="s">
        <v>327</v>
      </c>
      <c r="D69" t="str">
        <f>_xlfn.CONCAT(C69,".bam")</f>
        <v>SYST-MOR-0006757.bam</v>
      </c>
      <c r="E69" t="s">
        <v>328</v>
      </c>
      <c r="F69" t="s">
        <v>2407</v>
      </c>
      <c r="G69" t="s">
        <v>2411</v>
      </c>
      <c r="H69" t="s">
        <v>2495</v>
      </c>
      <c r="I69" t="s">
        <v>315</v>
      </c>
      <c r="K69" t="s">
        <v>30</v>
      </c>
      <c r="L69" t="s">
        <v>30</v>
      </c>
      <c r="N69" t="s">
        <v>30</v>
      </c>
      <c r="P69" t="s">
        <v>113</v>
      </c>
      <c r="Q69" t="s">
        <v>32</v>
      </c>
      <c r="R69" t="s">
        <v>2596</v>
      </c>
      <c r="S69" s="1">
        <v>44714</v>
      </c>
      <c r="T69" t="s">
        <v>313</v>
      </c>
      <c r="U69" t="s">
        <v>34</v>
      </c>
      <c r="V69" s="1">
        <v>44716</v>
      </c>
      <c r="W69" t="s">
        <v>35</v>
      </c>
      <c r="X69" t="s">
        <v>204</v>
      </c>
      <c r="Y69" t="s">
        <v>314</v>
      </c>
      <c r="Z69" t="s">
        <v>38</v>
      </c>
      <c r="AA69" t="s">
        <v>315</v>
      </c>
      <c r="AD69" t="s">
        <v>319</v>
      </c>
      <c r="AE69">
        <v>37.680781529999997</v>
      </c>
      <c r="AF69">
        <v>-89.41336776</v>
      </c>
      <c r="AG69" t="s">
        <v>40</v>
      </c>
      <c r="AH69" t="s">
        <v>41</v>
      </c>
      <c r="AI69">
        <v>37.680781534600001</v>
      </c>
      <c r="AJ69">
        <v>-89.413367755799996</v>
      </c>
      <c r="AK69">
        <v>4.6000039333193854E-9</v>
      </c>
      <c r="AL69">
        <v>4.200003900223237E-9</v>
      </c>
      <c r="AM69" t="str">
        <f>_xlfn.IFNA(VLOOKUP(Sheet1!$C69,ADMIX_ALL!A:B,2,FALSE),"none")</f>
        <v>K6-18</v>
      </c>
      <c r="AN69" t="str">
        <f>_xlfn.IFNA(VLOOKUP(Sheet1!C69,ADMIX_SS!A:B,2,FALSE),"none")</f>
        <v>SubSample</v>
      </c>
      <c r="AO69" t="str">
        <f>_xlfn.IFNA(VLOOKUP(Sheet1!$C69,MONG_PHYLO!A:C,3,FALSE),"-")</f>
        <v>-</v>
      </c>
      <c r="AP69" t="str">
        <f>_xlfn.IFNA(VLOOKUP(Sheet1!$C69,MAC_PHYLO!A:C,3,FALSE),"-")</f>
        <v>-</v>
      </c>
      <c r="AQ69" t="str">
        <f>_xlfn.IFNA(VLOOKUP(Sheet1!$C69,ConStruct!A:C,3,FALSE),"-")</f>
        <v>-</v>
      </c>
      <c r="AR69" t="str">
        <f>_xlfn.IFNA(VLOOKUP(Sheet1!$C69,GEA!A:C,3,FALSE),"-")</f>
        <v>-</v>
      </c>
      <c r="AS69" t="str">
        <f>_xlfn.IFNA(VLOOKUP(Sheet1!$C69,MAC_DSUITE!A:D,3,FALSE),"-")</f>
        <v>-</v>
      </c>
      <c r="AT69" t="str">
        <f>_xlfn.IFNA(VLOOKUP(Sheet1!$C69,MONG_DSUITE!A:E,2,FALSE),"-")</f>
        <v>xxx</v>
      </c>
      <c r="AU69" t="str">
        <f>_xlfn.IFNA(VLOOKUP(Sheet1!$C69,MAC_PAINT2!A:D,4,FALSE),"-")</f>
        <v>-</v>
      </c>
    </row>
    <row r="70" spans="1:49" customFormat="1" x14ac:dyDescent="0.4">
      <c r="A70">
        <v>3314</v>
      </c>
      <c r="B70" t="s">
        <v>329</v>
      </c>
      <c r="C70" t="s">
        <v>330</v>
      </c>
      <c r="D70" t="str">
        <f>_xlfn.CONCAT(C70,".bam")</f>
        <v>SYST-MOR-0006758.bam</v>
      </c>
      <c r="E70" t="s">
        <v>331</v>
      </c>
      <c r="F70" t="s">
        <v>2407</v>
      </c>
      <c r="G70" t="s">
        <v>2411</v>
      </c>
      <c r="H70" t="s">
        <v>2495</v>
      </c>
      <c r="I70" t="s">
        <v>315</v>
      </c>
      <c r="K70" t="s">
        <v>45</v>
      </c>
      <c r="L70" t="s">
        <v>45</v>
      </c>
      <c r="N70" t="s">
        <v>45</v>
      </c>
      <c r="P70" t="s">
        <v>113</v>
      </c>
      <c r="Q70" t="s">
        <v>46</v>
      </c>
      <c r="R70" t="s">
        <v>2597</v>
      </c>
      <c r="S70" s="1">
        <v>44714</v>
      </c>
      <c r="T70" t="s">
        <v>313</v>
      </c>
      <c r="U70" t="s">
        <v>34</v>
      </c>
      <c r="V70" s="1">
        <v>44716</v>
      </c>
      <c r="W70" t="s">
        <v>35</v>
      </c>
      <c r="X70" t="s">
        <v>204</v>
      </c>
      <c r="Y70" t="s">
        <v>314</v>
      </c>
      <c r="Z70" t="s">
        <v>38</v>
      </c>
      <c r="AA70" t="s">
        <v>315</v>
      </c>
      <c r="AD70" t="s">
        <v>45</v>
      </c>
      <c r="AE70">
        <v>37.680583900000002</v>
      </c>
      <c r="AF70">
        <v>-89.413128689999994</v>
      </c>
      <c r="AG70" t="s">
        <v>40</v>
      </c>
      <c r="AH70" t="s">
        <v>41</v>
      </c>
      <c r="AI70">
        <v>37.680583903699997</v>
      </c>
      <c r="AJ70">
        <v>-89.413128691699995</v>
      </c>
      <c r="AK70">
        <v>3.6999949770688545E-9</v>
      </c>
      <c r="AL70">
        <v>-1.7000019170154701E-9</v>
      </c>
      <c r="AM70" t="str">
        <f>_xlfn.IFNA(VLOOKUP(Sheet1!$C70,ADMIX_ALL!A:B,2,FALSE),"none")</f>
        <v>K6-18</v>
      </c>
      <c r="AN70" t="str">
        <f>_xlfn.IFNA(VLOOKUP(Sheet1!C70,ADMIX_SS!A:B,2,FALSE),"none")</f>
        <v>SubSample</v>
      </c>
      <c r="AO70" t="str">
        <f>_xlfn.IFNA(VLOOKUP(Sheet1!$C70,MONG_PHYLO!A:C,3,FALSE),"-")</f>
        <v>-</v>
      </c>
      <c r="AP70" t="str">
        <f>_xlfn.IFNA(VLOOKUP(Sheet1!$C70,MAC_PHYLO!A:C,3,FALSE),"-")</f>
        <v>-</v>
      </c>
      <c r="AQ70" t="str">
        <f>_xlfn.IFNA(VLOOKUP(Sheet1!$C70,ConStruct!A:C,3,FALSE),"-")</f>
        <v>ConStruct</v>
      </c>
      <c r="AR70" t="str">
        <f>_xlfn.IFNA(VLOOKUP(Sheet1!$C70,GEA!A:C,3,FALSE),"-")</f>
        <v>GEA</v>
      </c>
      <c r="AS70" t="str">
        <f>_xlfn.IFNA(VLOOKUP(Sheet1!$C70,MAC_DSUITE!A:D,3,FALSE),"-")</f>
        <v>mac_IL_OB</v>
      </c>
      <c r="AT70" t="str">
        <f>_xlfn.IFNA(VLOOKUP(Sheet1!$C70,MONG_DSUITE!A:E,2,FALSE),"-")</f>
        <v>macrocarpa_OB</v>
      </c>
      <c r="AU70" t="str">
        <f>_xlfn.IFNA(VLOOKUP(Sheet1!$C70,MAC_PAINT2!A:D,4,FALSE),"-")</f>
        <v>macpaint</v>
      </c>
      <c r="AV70" t="s">
        <v>9193</v>
      </c>
      <c r="AW70" t="s">
        <v>9193</v>
      </c>
    </row>
    <row r="71" spans="1:49" customFormat="1" x14ac:dyDescent="0.4">
      <c r="A71">
        <v>3315</v>
      </c>
      <c r="B71" t="s">
        <v>332</v>
      </c>
      <c r="C71" t="s">
        <v>333</v>
      </c>
      <c r="D71" t="str">
        <f>_xlfn.CONCAT(C71,".bam")</f>
        <v>SYST-MOR-0006759.bam</v>
      </c>
      <c r="E71" t="s">
        <v>334</v>
      </c>
      <c r="F71" t="s">
        <v>2407</v>
      </c>
      <c r="G71" t="s">
        <v>2411</v>
      </c>
      <c r="H71" t="s">
        <v>2495</v>
      </c>
      <c r="I71" t="s">
        <v>315</v>
      </c>
      <c r="K71" t="s">
        <v>45</v>
      </c>
      <c r="L71" t="s">
        <v>45</v>
      </c>
      <c r="N71" t="s">
        <v>45</v>
      </c>
      <c r="P71" t="s">
        <v>113</v>
      </c>
      <c r="Q71" t="s">
        <v>46</v>
      </c>
      <c r="R71" t="s">
        <v>2597</v>
      </c>
      <c r="S71" s="1">
        <v>44714</v>
      </c>
      <c r="T71" t="s">
        <v>313</v>
      </c>
      <c r="U71" t="s">
        <v>34</v>
      </c>
      <c r="V71" s="1">
        <v>44716</v>
      </c>
      <c r="W71" t="s">
        <v>35</v>
      </c>
      <c r="X71" t="s">
        <v>204</v>
      </c>
      <c r="Y71" t="s">
        <v>314</v>
      </c>
      <c r="Z71" t="s">
        <v>38</v>
      </c>
      <c r="AA71" t="s">
        <v>315</v>
      </c>
      <c r="AD71" t="s">
        <v>45</v>
      </c>
      <c r="AE71">
        <v>37.685480509999998</v>
      </c>
      <c r="AF71">
        <v>-89.411144039999996</v>
      </c>
      <c r="AG71" t="s">
        <v>40</v>
      </c>
      <c r="AH71" t="s">
        <v>41</v>
      </c>
      <c r="AI71">
        <v>37.685480510300003</v>
      </c>
      <c r="AJ71">
        <v>-89.4111440402</v>
      </c>
      <c r="AK71">
        <v>3.000053538926295E-10</v>
      </c>
      <c r="AL71">
        <v>-2.00003569261753E-10</v>
      </c>
      <c r="AM71" t="str">
        <f>_xlfn.IFNA(VLOOKUP(Sheet1!$C71,ADMIX_ALL!A:B,2,FALSE),"none")</f>
        <v>K6-18</v>
      </c>
      <c r="AN71" t="str">
        <f>_xlfn.IFNA(VLOOKUP(Sheet1!C71,ADMIX_SS!A:B,2,FALSE),"none")</f>
        <v>SubSample</v>
      </c>
      <c r="AO71" t="str">
        <f>_xlfn.IFNA(VLOOKUP(Sheet1!$C71,MONG_PHYLO!A:C,3,FALSE),"-")</f>
        <v>-</v>
      </c>
      <c r="AP71" t="str">
        <f>_xlfn.IFNA(VLOOKUP(Sheet1!$C71,MAC_PHYLO!A:C,3,FALSE),"-")</f>
        <v>-</v>
      </c>
      <c r="AQ71" t="str">
        <f>_xlfn.IFNA(VLOOKUP(Sheet1!$C71,ConStruct!A:C,3,FALSE),"-")</f>
        <v>ConStruct</v>
      </c>
      <c r="AR71" t="str">
        <f>_xlfn.IFNA(VLOOKUP(Sheet1!$C71,GEA!A:C,3,FALSE),"-")</f>
        <v>GEA</v>
      </c>
      <c r="AS71" t="str">
        <f>_xlfn.IFNA(VLOOKUP(Sheet1!$C71,MAC_DSUITE!A:D,3,FALSE),"-")</f>
        <v>mac_IL_OB</v>
      </c>
      <c r="AT71" t="str">
        <f>_xlfn.IFNA(VLOOKUP(Sheet1!$C71,MONG_DSUITE!A:E,2,FALSE),"-")</f>
        <v>macrocarpa_OB</v>
      </c>
      <c r="AU71" t="str">
        <f>_xlfn.IFNA(VLOOKUP(Sheet1!$C71,MAC_PAINT2!A:D,4,FALSE),"-")</f>
        <v>macpaint</v>
      </c>
      <c r="AV71" t="s">
        <v>9193</v>
      </c>
      <c r="AW71" t="s">
        <v>9193</v>
      </c>
    </row>
    <row r="72" spans="1:49" customFormat="1" x14ac:dyDescent="0.4">
      <c r="A72">
        <v>3316</v>
      </c>
      <c r="B72" t="s">
        <v>335</v>
      </c>
      <c r="C72" t="s">
        <v>336</v>
      </c>
      <c r="D72" t="str">
        <f>_xlfn.CONCAT(C72,".bam")</f>
        <v>SYST-MOR-0006760.bam</v>
      </c>
      <c r="E72" t="s">
        <v>337</v>
      </c>
      <c r="F72" t="s">
        <v>2407</v>
      </c>
      <c r="G72" t="s">
        <v>2411</v>
      </c>
      <c r="H72" t="s">
        <v>2495</v>
      </c>
      <c r="I72" t="s">
        <v>315</v>
      </c>
      <c r="K72" t="s">
        <v>30</v>
      </c>
      <c r="L72" t="s">
        <v>30</v>
      </c>
      <c r="N72" t="s">
        <v>30</v>
      </c>
      <c r="P72" t="s">
        <v>113</v>
      </c>
      <c r="Q72" t="s">
        <v>32</v>
      </c>
      <c r="R72" t="s">
        <v>2596</v>
      </c>
      <c r="S72" s="1">
        <v>44714</v>
      </c>
      <c r="T72" t="s">
        <v>313</v>
      </c>
      <c r="U72" t="s">
        <v>34</v>
      </c>
      <c r="V72" s="1">
        <v>44716</v>
      </c>
      <c r="W72" t="s">
        <v>35</v>
      </c>
      <c r="X72" t="s">
        <v>204</v>
      </c>
      <c r="Y72" t="s">
        <v>314</v>
      </c>
      <c r="Z72" t="s">
        <v>38</v>
      </c>
      <c r="AA72" t="s">
        <v>315</v>
      </c>
      <c r="AD72" t="s">
        <v>319</v>
      </c>
      <c r="AE72">
        <v>37.685248729999998</v>
      </c>
      <c r="AF72">
        <v>-89.412072030000004</v>
      </c>
      <c r="AG72" t="s">
        <v>40</v>
      </c>
      <c r="AH72" t="s">
        <v>41</v>
      </c>
      <c r="AI72">
        <v>37.685248733000002</v>
      </c>
      <c r="AJ72">
        <v>-89.412072026199994</v>
      </c>
      <c r="AK72">
        <v>3.0000038009347918E-9</v>
      </c>
      <c r="AL72">
        <v>3.8000109725544462E-9</v>
      </c>
      <c r="AM72" t="str">
        <f>_xlfn.IFNA(VLOOKUP(Sheet1!$C72,ADMIX_ALL!A:B,2,FALSE),"none")</f>
        <v>K6-18</v>
      </c>
      <c r="AN72" t="str">
        <f>_xlfn.IFNA(VLOOKUP(Sheet1!C72,ADMIX_SS!A:B,2,FALSE),"none")</f>
        <v>Constant</v>
      </c>
      <c r="AO72" t="str">
        <f>_xlfn.IFNA(VLOOKUP(Sheet1!$C72,MONG_PHYLO!A:C,3,FALSE),"-")</f>
        <v>lyr</v>
      </c>
      <c r="AP72" t="str">
        <f>_xlfn.IFNA(VLOOKUP(Sheet1!$C72,MAC_PHYLO!A:C,3,FALSE),"-")</f>
        <v>-</v>
      </c>
      <c r="AQ72" t="str">
        <f>_xlfn.IFNA(VLOOKUP(Sheet1!$C72,ConStruct!A:C,3,FALSE),"-")</f>
        <v>-</v>
      </c>
      <c r="AR72" t="str">
        <f>_xlfn.IFNA(VLOOKUP(Sheet1!$C72,GEA!A:C,3,FALSE),"-")</f>
        <v>-</v>
      </c>
      <c r="AS72" t="str">
        <f>_xlfn.IFNA(VLOOKUP(Sheet1!$C72,MAC_DSUITE!A:D,3,FALSE),"-")</f>
        <v>-</v>
      </c>
      <c r="AT72" t="str">
        <f>_xlfn.IFNA(VLOOKUP(Sheet1!$C72,MONG_DSUITE!A:E,2,FALSE),"-")</f>
        <v>lyrata</v>
      </c>
      <c r="AU72" t="str">
        <f>_xlfn.IFNA(VLOOKUP(Sheet1!$C72,MAC_PAINT2!A:D,4,FALSE),"-")</f>
        <v>-</v>
      </c>
    </row>
    <row r="73" spans="1:49" customFormat="1" x14ac:dyDescent="0.4">
      <c r="A73">
        <v>3317</v>
      </c>
      <c r="B73" t="s">
        <v>338</v>
      </c>
      <c r="C73" t="s">
        <v>339</v>
      </c>
      <c r="D73" t="str">
        <f>_xlfn.CONCAT(C73,".bam")</f>
        <v>SYST-MOR-0006761.bam</v>
      </c>
      <c r="E73" t="s">
        <v>340</v>
      </c>
      <c r="F73" t="s">
        <v>2407</v>
      </c>
      <c r="G73" t="s">
        <v>2411</v>
      </c>
      <c r="H73" t="s">
        <v>2495</v>
      </c>
      <c r="I73" t="s">
        <v>315</v>
      </c>
      <c r="K73" t="s">
        <v>45</v>
      </c>
      <c r="L73" t="s">
        <v>45</v>
      </c>
      <c r="N73" t="s">
        <v>45</v>
      </c>
      <c r="P73" t="s">
        <v>113</v>
      </c>
      <c r="Q73" t="s">
        <v>46</v>
      </c>
      <c r="R73" t="s">
        <v>2597</v>
      </c>
      <c r="S73" s="1">
        <v>44714</v>
      </c>
      <c r="T73" t="s">
        <v>313</v>
      </c>
      <c r="U73" t="s">
        <v>34</v>
      </c>
      <c r="V73" s="1">
        <v>44716</v>
      </c>
      <c r="W73" t="s">
        <v>35</v>
      </c>
      <c r="X73" t="s">
        <v>204</v>
      </c>
      <c r="Y73" t="s">
        <v>314</v>
      </c>
      <c r="Z73" t="s">
        <v>38</v>
      </c>
      <c r="AA73" t="s">
        <v>315</v>
      </c>
      <c r="AD73" t="s">
        <v>45</v>
      </c>
      <c r="AE73">
        <v>37.681784100000002</v>
      </c>
      <c r="AF73">
        <v>-89.412759249999993</v>
      </c>
      <c r="AG73" t="s">
        <v>40</v>
      </c>
      <c r="AH73" t="s">
        <v>41</v>
      </c>
      <c r="AI73">
        <v>37.681784103699997</v>
      </c>
      <c r="AJ73">
        <v>-89.412759253800004</v>
      </c>
      <c r="AK73">
        <v>3.6999949770688545E-9</v>
      </c>
      <c r="AL73">
        <v>-3.8000109725544462E-9</v>
      </c>
      <c r="AM73" t="str">
        <f>_xlfn.IFNA(VLOOKUP(Sheet1!$C73,ADMIX_ALL!A:B,2,FALSE),"none")</f>
        <v>K6-18</v>
      </c>
      <c r="AN73" t="str">
        <f>_xlfn.IFNA(VLOOKUP(Sheet1!C73,ADMIX_SS!A:B,2,FALSE),"none")</f>
        <v>SubSample</v>
      </c>
      <c r="AO73" t="str">
        <f>_xlfn.IFNA(VLOOKUP(Sheet1!$C73,MONG_PHYLO!A:C,3,FALSE),"-")</f>
        <v>-</v>
      </c>
      <c r="AP73" t="str">
        <f>_xlfn.IFNA(VLOOKUP(Sheet1!$C73,MAC_PHYLO!A:C,3,FALSE),"-")</f>
        <v>-</v>
      </c>
      <c r="AQ73" t="str">
        <f>_xlfn.IFNA(VLOOKUP(Sheet1!$C73,ConStruct!A:C,3,FALSE),"-")</f>
        <v>ConStruct</v>
      </c>
      <c r="AR73" t="str">
        <f>_xlfn.IFNA(VLOOKUP(Sheet1!$C73,GEA!A:C,3,FALSE),"-")</f>
        <v>GEA</v>
      </c>
      <c r="AS73" t="str">
        <f>_xlfn.IFNA(VLOOKUP(Sheet1!$C73,MAC_DSUITE!A:D,3,FALSE),"-")</f>
        <v>mac_IL_OB</v>
      </c>
      <c r="AT73" t="str">
        <f>_xlfn.IFNA(VLOOKUP(Sheet1!$C73,MONG_DSUITE!A:E,2,FALSE),"-")</f>
        <v>macrocarpa_OB</v>
      </c>
      <c r="AU73" t="str">
        <f>_xlfn.IFNA(VLOOKUP(Sheet1!$C73,MAC_PAINT2!A:D,4,FALSE),"-")</f>
        <v>macpaint</v>
      </c>
      <c r="AV73" t="s">
        <v>9193</v>
      </c>
      <c r="AW73" t="s">
        <v>9193</v>
      </c>
    </row>
    <row r="74" spans="1:49" customFormat="1" x14ac:dyDescent="0.4">
      <c r="A74">
        <v>3318</v>
      </c>
      <c r="B74" t="s">
        <v>341</v>
      </c>
      <c r="C74" t="s">
        <v>342</v>
      </c>
      <c r="D74" t="str">
        <f>_xlfn.CONCAT(C74,".bam")</f>
        <v>SYST-MOR-0006762.bam</v>
      </c>
      <c r="E74" t="s">
        <v>343</v>
      </c>
      <c r="F74" t="s">
        <v>2407</v>
      </c>
      <c r="G74" t="s">
        <v>2411</v>
      </c>
      <c r="H74" t="s">
        <v>2495</v>
      </c>
      <c r="I74" t="s">
        <v>315</v>
      </c>
      <c r="K74" t="s">
        <v>8552</v>
      </c>
      <c r="L74" t="s">
        <v>30</v>
      </c>
      <c r="N74" t="s">
        <v>344</v>
      </c>
      <c r="P74" t="s">
        <v>113</v>
      </c>
      <c r="Q74" t="s">
        <v>345</v>
      </c>
      <c r="R74" t="s">
        <v>2596</v>
      </c>
      <c r="S74" s="1">
        <v>44714</v>
      </c>
      <c r="T74" t="s">
        <v>313</v>
      </c>
      <c r="U74" t="s">
        <v>34</v>
      </c>
      <c r="V74" s="1">
        <v>44716</v>
      </c>
      <c r="W74" t="s">
        <v>35</v>
      </c>
      <c r="X74" t="s">
        <v>204</v>
      </c>
      <c r="Y74" t="s">
        <v>314</v>
      </c>
      <c r="Z74" t="s">
        <v>38</v>
      </c>
      <c r="AA74" t="s">
        <v>315</v>
      </c>
      <c r="AD74" t="s">
        <v>346</v>
      </c>
      <c r="AE74">
        <v>37.681169879999999</v>
      </c>
      <c r="AF74">
        <v>-89.41301867</v>
      </c>
      <c r="AG74" t="s">
        <v>40</v>
      </c>
      <c r="AH74" t="s">
        <v>41</v>
      </c>
      <c r="AI74">
        <v>37.681169877800002</v>
      </c>
      <c r="AJ74">
        <v>-89.413018673699995</v>
      </c>
      <c r="AK74">
        <v>-2.1999966293151374E-9</v>
      </c>
      <c r="AL74">
        <v>-3.6999949770688545E-9</v>
      </c>
      <c r="AM74" t="str">
        <f>_xlfn.IFNA(VLOOKUP(Sheet1!$C74,ADMIX_ALL!A:B,2,FALSE),"none")</f>
        <v>K6-18</v>
      </c>
      <c r="AN74" t="str">
        <f>_xlfn.IFNA(VLOOKUP(Sheet1!C74,ADMIX_SS!A:B,2,FALSE),"none")</f>
        <v>SubSample</v>
      </c>
      <c r="AO74" t="str">
        <f>_xlfn.IFNA(VLOOKUP(Sheet1!$C74,MONG_PHYLO!A:C,3,FALSE),"-")</f>
        <v>-</v>
      </c>
      <c r="AP74" t="str">
        <f>_xlfn.IFNA(VLOOKUP(Sheet1!$C74,MAC_PHYLO!A:C,3,FALSE),"-")</f>
        <v>-</v>
      </c>
      <c r="AQ74" t="str">
        <f>_xlfn.IFNA(VLOOKUP(Sheet1!$C74,ConStruct!A:C,3,FALSE),"-")</f>
        <v>-</v>
      </c>
      <c r="AR74" t="str">
        <f>_xlfn.IFNA(VLOOKUP(Sheet1!$C74,GEA!A:C,3,FALSE),"-")</f>
        <v>-</v>
      </c>
      <c r="AS74" t="str">
        <f>_xlfn.IFNA(VLOOKUP(Sheet1!$C74,MAC_DSUITE!A:D,3,FALSE),"-")</f>
        <v>-</v>
      </c>
      <c r="AT74" t="str">
        <f>_xlfn.IFNA(VLOOKUP(Sheet1!$C74,MONG_DSUITE!A:E,2,FALSE),"-")</f>
        <v>xxx</v>
      </c>
      <c r="AU74" t="str">
        <f>_xlfn.IFNA(VLOOKUP(Sheet1!$C74,MAC_PAINT2!A:D,4,FALSE),"-")</f>
        <v>-</v>
      </c>
    </row>
    <row r="75" spans="1:49" customFormat="1" x14ac:dyDescent="0.4">
      <c r="A75">
        <v>3319</v>
      </c>
      <c r="B75" t="s">
        <v>1384</v>
      </c>
      <c r="C75" t="s">
        <v>1385</v>
      </c>
      <c r="D75" t="str">
        <f>_xlfn.CONCAT(C75,".bam")</f>
        <v>SYST-MOR-0006763.bam</v>
      </c>
      <c r="E75" t="s">
        <v>1386</v>
      </c>
      <c r="F75" t="s">
        <v>2442</v>
      </c>
      <c r="G75" t="s">
        <v>2443</v>
      </c>
      <c r="H75" t="s">
        <v>2530</v>
      </c>
      <c r="I75" t="s">
        <v>1389</v>
      </c>
      <c r="K75" t="s">
        <v>45</v>
      </c>
      <c r="L75" t="s">
        <v>45</v>
      </c>
      <c r="N75" t="s">
        <v>45</v>
      </c>
      <c r="P75" t="s">
        <v>113</v>
      </c>
      <c r="Q75" t="s">
        <v>114</v>
      </c>
      <c r="R75" t="s">
        <v>2597</v>
      </c>
      <c r="S75" s="1">
        <v>44715</v>
      </c>
      <c r="T75" t="s">
        <v>241</v>
      </c>
      <c r="U75" t="s">
        <v>34</v>
      </c>
      <c r="V75" s="1">
        <v>44716</v>
      </c>
      <c r="W75" t="s">
        <v>35</v>
      </c>
      <c r="X75" t="s">
        <v>1387</v>
      </c>
      <c r="Y75" t="s">
        <v>1388</v>
      </c>
      <c r="Z75" t="s">
        <v>38</v>
      </c>
      <c r="AA75" t="s">
        <v>1389</v>
      </c>
      <c r="AD75" t="s">
        <v>45</v>
      </c>
      <c r="AE75">
        <v>36.644024999999999</v>
      </c>
      <c r="AF75">
        <v>-89.290899999999993</v>
      </c>
      <c r="AG75" t="s">
        <v>40</v>
      </c>
      <c r="AH75" t="s">
        <v>41</v>
      </c>
      <c r="AI75">
        <v>36.643918831900002</v>
      </c>
      <c r="AJ75">
        <v>-89.290808262400006</v>
      </c>
      <c r="AK75">
        <v>-1.061680999967507E-4</v>
      </c>
      <c r="AL75">
        <v>9.1737599987595786E-5</v>
      </c>
      <c r="AM75" t="str">
        <f>_xlfn.IFNA(VLOOKUP(Sheet1!$C75,ADMIX_ALL!A:B,2,FALSE),"none")</f>
        <v>K6-18</v>
      </c>
      <c r="AN75" t="str">
        <f>_xlfn.IFNA(VLOOKUP(Sheet1!C75,ADMIX_SS!A:B,2,FALSE),"none")</f>
        <v>SubSample</v>
      </c>
      <c r="AO75" t="str">
        <f>_xlfn.IFNA(VLOOKUP(Sheet1!$C75,MONG_PHYLO!A:C,3,FALSE),"-")</f>
        <v>-</v>
      </c>
      <c r="AP75" t="str">
        <f>_xlfn.IFNA(VLOOKUP(Sheet1!$C75,MAC_PHYLO!A:C,3,FALSE),"-")</f>
        <v>-</v>
      </c>
      <c r="AQ75" t="str">
        <f>_xlfn.IFNA(VLOOKUP(Sheet1!$C75,ConStruct!A:C,3,FALSE),"-")</f>
        <v>ConStruct</v>
      </c>
      <c r="AR75" t="str">
        <f>_xlfn.IFNA(VLOOKUP(Sheet1!$C75,GEA!A:C,3,FALSE),"-")</f>
        <v>GEA</v>
      </c>
      <c r="AS75" t="str">
        <f>_xlfn.IFNA(VLOOKUP(Sheet1!$C75,MAC_DSUITE!A:D,3,FALSE),"-")</f>
        <v>mac_MO_BOT</v>
      </c>
      <c r="AT75" t="str">
        <f>_xlfn.IFNA(VLOOKUP(Sheet1!$C75,MONG_DSUITE!A:E,2,FALSE),"-")</f>
        <v>macrocarpa_BOT</v>
      </c>
      <c r="AU75" t="str">
        <f>_xlfn.IFNA(VLOOKUP(Sheet1!$C75,MAC_PAINT2!A:D,4,FALSE),"-")</f>
        <v>macpaint</v>
      </c>
      <c r="AV75" t="s">
        <v>9193</v>
      </c>
      <c r="AW75" t="s">
        <v>9193</v>
      </c>
    </row>
    <row r="76" spans="1:49" customFormat="1" x14ac:dyDescent="0.4">
      <c r="A76">
        <v>3320</v>
      </c>
      <c r="B76" t="s">
        <v>1390</v>
      </c>
      <c r="C76" t="s">
        <v>1391</v>
      </c>
      <c r="D76" t="str">
        <f>_xlfn.CONCAT(C76,".bam")</f>
        <v>SYST-MOR-0006764.bam</v>
      </c>
      <c r="E76" t="s">
        <v>1392</v>
      </c>
      <c r="F76" t="s">
        <v>2442</v>
      </c>
      <c r="G76" t="s">
        <v>2443</v>
      </c>
      <c r="H76" t="s">
        <v>2530</v>
      </c>
      <c r="I76" t="s">
        <v>1389</v>
      </c>
      <c r="K76" t="s">
        <v>45</v>
      </c>
      <c r="L76" t="s">
        <v>45</v>
      </c>
      <c r="N76" t="s">
        <v>45</v>
      </c>
      <c r="P76" t="s">
        <v>113</v>
      </c>
      <c r="Q76" t="s">
        <v>114</v>
      </c>
      <c r="R76" t="s">
        <v>2597</v>
      </c>
      <c r="S76" s="1">
        <v>44715</v>
      </c>
      <c r="T76" t="s">
        <v>241</v>
      </c>
      <c r="U76" t="s">
        <v>34</v>
      </c>
      <c r="V76" s="1">
        <v>44716</v>
      </c>
      <c r="W76" t="s">
        <v>35</v>
      </c>
      <c r="X76" t="s">
        <v>1387</v>
      </c>
      <c r="Y76" t="s">
        <v>1388</v>
      </c>
      <c r="Z76" t="s">
        <v>38</v>
      </c>
      <c r="AA76" t="s">
        <v>1389</v>
      </c>
      <c r="AD76" t="s">
        <v>45</v>
      </c>
      <c r="AE76">
        <v>36.643929</v>
      </c>
      <c r="AF76">
        <v>-89.290992000000003</v>
      </c>
      <c r="AG76" t="s">
        <v>40</v>
      </c>
      <c r="AH76" t="s">
        <v>41</v>
      </c>
      <c r="AI76">
        <v>36.6441424191</v>
      </c>
      <c r="AJ76">
        <v>-89.290835922699998</v>
      </c>
      <c r="AK76">
        <v>2.1341909999961217E-4</v>
      </c>
      <c r="AL76">
        <v>1.5607730000510855E-4</v>
      </c>
      <c r="AM76" t="str">
        <f>_xlfn.IFNA(VLOOKUP(Sheet1!$C76,ADMIX_ALL!A:B,2,FALSE),"none")</f>
        <v>K6-18</v>
      </c>
      <c r="AN76" t="str">
        <f>_xlfn.IFNA(VLOOKUP(Sheet1!C76,ADMIX_SS!A:B,2,FALSE),"none")</f>
        <v>SubSample</v>
      </c>
      <c r="AO76" t="str">
        <f>_xlfn.IFNA(VLOOKUP(Sheet1!$C76,MONG_PHYLO!A:C,3,FALSE),"-")</f>
        <v>-</v>
      </c>
      <c r="AP76" t="str">
        <f>_xlfn.IFNA(VLOOKUP(Sheet1!$C76,MAC_PHYLO!A:C,3,FALSE),"-")</f>
        <v>-</v>
      </c>
      <c r="AQ76" t="str">
        <f>_xlfn.IFNA(VLOOKUP(Sheet1!$C76,ConStruct!A:C,3,FALSE),"-")</f>
        <v>ConStruct</v>
      </c>
      <c r="AR76" t="str">
        <f>_xlfn.IFNA(VLOOKUP(Sheet1!$C76,GEA!A:C,3,FALSE),"-")</f>
        <v>GEA</v>
      </c>
      <c r="AS76" t="str">
        <f>_xlfn.IFNA(VLOOKUP(Sheet1!$C76,MAC_DSUITE!A:D,3,FALSE),"-")</f>
        <v>mac_MO_BOT</v>
      </c>
      <c r="AT76" t="str">
        <f>_xlfn.IFNA(VLOOKUP(Sheet1!$C76,MONG_DSUITE!A:E,2,FALSE),"-")</f>
        <v>macrocarpa_BOT</v>
      </c>
      <c r="AU76" t="str">
        <f>_xlfn.IFNA(VLOOKUP(Sheet1!$C76,MAC_PAINT2!A:D,4,FALSE),"-")</f>
        <v>macpaint</v>
      </c>
      <c r="AV76" t="s">
        <v>9193</v>
      </c>
      <c r="AW76" t="s">
        <v>9193</v>
      </c>
    </row>
    <row r="77" spans="1:49" customFormat="1" x14ac:dyDescent="0.4">
      <c r="A77">
        <v>4024</v>
      </c>
      <c r="B77" t="s">
        <v>1393</v>
      </c>
      <c r="C77" t="s">
        <v>1394</v>
      </c>
      <c r="D77" t="str">
        <f>_xlfn.CONCAT(C77,".bam")</f>
        <v>SYST-MOR-0006765.bam</v>
      </c>
      <c r="E77" t="s">
        <v>1395</v>
      </c>
      <c r="F77" t="s">
        <v>2442</v>
      </c>
      <c r="G77" t="s">
        <v>2443</v>
      </c>
      <c r="H77" t="s">
        <v>2530</v>
      </c>
      <c r="I77" t="s">
        <v>1389</v>
      </c>
      <c r="K77" t="s">
        <v>45</v>
      </c>
      <c r="L77" t="s">
        <v>45</v>
      </c>
      <c r="N77" t="s">
        <v>45</v>
      </c>
      <c r="P77" t="s">
        <v>113</v>
      </c>
      <c r="Q77" t="s">
        <v>46</v>
      </c>
      <c r="R77" t="s">
        <v>2597</v>
      </c>
      <c r="S77" s="1">
        <v>44715</v>
      </c>
      <c r="T77" t="s">
        <v>241</v>
      </c>
      <c r="U77" t="s">
        <v>34</v>
      </c>
      <c r="V77" s="1">
        <v>44716</v>
      </c>
      <c r="W77" t="s">
        <v>35</v>
      </c>
      <c r="X77" t="s">
        <v>1387</v>
      </c>
      <c r="Y77" t="s">
        <v>1388</v>
      </c>
      <c r="Z77" t="s">
        <v>38</v>
      </c>
      <c r="AA77" t="s">
        <v>1389</v>
      </c>
      <c r="AD77" t="s">
        <v>45</v>
      </c>
      <c r="AE77">
        <v>36.644689</v>
      </c>
      <c r="AF77">
        <v>-89.290721000000005</v>
      </c>
      <c r="AG77" t="s">
        <v>40</v>
      </c>
      <c r="AH77" t="s">
        <v>41</v>
      </c>
      <c r="AI77">
        <v>36.644637077100001</v>
      </c>
      <c r="AJ77">
        <v>-89.290971206600005</v>
      </c>
      <c r="AK77">
        <v>-5.1922899999112815E-5</v>
      </c>
      <c r="AL77">
        <v>-2.502066000005243E-4</v>
      </c>
      <c r="AM77" t="str">
        <f>_xlfn.IFNA(VLOOKUP(Sheet1!$C77,ADMIX_ALL!A:B,2,FALSE),"none")</f>
        <v>K6-18</v>
      </c>
      <c r="AN77" t="str">
        <f>_xlfn.IFNA(VLOOKUP(Sheet1!C77,ADMIX_SS!A:B,2,FALSE),"none")</f>
        <v>SubSample</v>
      </c>
      <c r="AO77" t="str">
        <f>_xlfn.IFNA(VLOOKUP(Sheet1!$C77,MONG_PHYLO!A:C,3,FALSE),"-")</f>
        <v>-</v>
      </c>
      <c r="AP77" t="str">
        <f>_xlfn.IFNA(VLOOKUP(Sheet1!$C77,MAC_PHYLO!A:C,3,FALSE),"-")</f>
        <v>-</v>
      </c>
      <c r="AQ77" t="str">
        <f>_xlfn.IFNA(VLOOKUP(Sheet1!$C77,ConStruct!A:C,3,FALSE),"-")</f>
        <v>ConStruct</v>
      </c>
      <c r="AR77" t="str">
        <f>_xlfn.IFNA(VLOOKUP(Sheet1!$C77,GEA!A:C,3,FALSE),"-")</f>
        <v>GEA</v>
      </c>
      <c r="AS77" t="str">
        <f>_xlfn.IFNA(VLOOKUP(Sheet1!$C77,MAC_DSUITE!A:D,3,FALSE),"-")</f>
        <v>mac_MO_BOT</v>
      </c>
      <c r="AT77" t="str">
        <f>_xlfn.IFNA(VLOOKUP(Sheet1!$C77,MONG_DSUITE!A:E,2,FALSE),"-")</f>
        <v>macrocarpa_BOT</v>
      </c>
      <c r="AU77" t="str">
        <f>_xlfn.IFNA(VLOOKUP(Sheet1!$C77,MAC_PAINT2!A:D,4,FALSE),"-")</f>
        <v>macpaint</v>
      </c>
      <c r="AV77" t="s">
        <v>9193</v>
      </c>
      <c r="AW77" t="s">
        <v>9193</v>
      </c>
    </row>
    <row r="78" spans="1:49" customFormat="1" x14ac:dyDescent="0.4">
      <c r="A78">
        <v>3321</v>
      </c>
      <c r="B78" t="s">
        <v>1396</v>
      </c>
      <c r="C78" t="s">
        <v>1397</v>
      </c>
      <c r="D78" t="str">
        <f>_xlfn.CONCAT(C78,".bam")</f>
        <v>SYST-MOR-0006766.bam</v>
      </c>
      <c r="E78" t="s">
        <v>1398</v>
      </c>
      <c r="F78" t="s">
        <v>2442</v>
      </c>
      <c r="G78" t="s">
        <v>2443</v>
      </c>
      <c r="H78" t="s">
        <v>2530</v>
      </c>
      <c r="I78" t="s">
        <v>1389</v>
      </c>
      <c r="K78" t="s">
        <v>30</v>
      </c>
      <c r="L78" t="s">
        <v>30</v>
      </c>
      <c r="N78" t="s">
        <v>30</v>
      </c>
      <c r="P78" t="s">
        <v>113</v>
      </c>
      <c r="Q78" t="s">
        <v>32</v>
      </c>
      <c r="R78" t="s">
        <v>2596</v>
      </c>
      <c r="S78" s="1">
        <v>44715</v>
      </c>
      <c r="T78" t="s">
        <v>241</v>
      </c>
      <c r="U78" t="s">
        <v>34</v>
      </c>
      <c r="V78" s="1">
        <v>44716</v>
      </c>
      <c r="W78" t="s">
        <v>35</v>
      </c>
      <c r="X78" t="s">
        <v>1387</v>
      </c>
      <c r="Y78" t="s">
        <v>1388</v>
      </c>
      <c r="Z78" t="s">
        <v>38</v>
      </c>
      <c r="AA78" t="s">
        <v>1389</v>
      </c>
      <c r="AD78" t="s">
        <v>319</v>
      </c>
      <c r="AE78">
        <v>36.644928</v>
      </c>
      <c r="AF78">
        <v>-89.292856</v>
      </c>
      <c r="AG78" t="s">
        <v>40</v>
      </c>
      <c r="AH78" t="s">
        <v>41</v>
      </c>
      <c r="AI78">
        <v>36.645026751800003</v>
      </c>
      <c r="AJ78">
        <v>-89.292735010499996</v>
      </c>
      <c r="AK78">
        <v>9.8751800003071821E-5</v>
      </c>
      <c r="AL78">
        <v>1.2098950000449804E-4</v>
      </c>
      <c r="AM78" t="str">
        <f>_xlfn.IFNA(VLOOKUP(Sheet1!$C78,ADMIX_ALL!A:B,2,FALSE),"none")</f>
        <v>K6-18</v>
      </c>
      <c r="AN78" t="str">
        <f>_xlfn.IFNA(VLOOKUP(Sheet1!C78,ADMIX_SS!A:B,2,FALSE),"none")</f>
        <v>SubSample</v>
      </c>
      <c r="AO78" t="str">
        <f>_xlfn.IFNA(VLOOKUP(Sheet1!$C78,MONG_PHYLO!A:C,3,FALSE),"-")</f>
        <v>-</v>
      </c>
      <c r="AP78" t="str">
        <f>_xlfn.IFNA(VLOOKUP(Sheet1!$C78,MAC_PHYLO!A:C,3,FALSE),"-")</f>
        <v>lyr</v>
      </c>
      <c r="AQ78" t="str">
        <f>_xlfn.IFNA(VLOOKUP(Sheet1!$C78,ConStruct!A:C,3,FALSE),"-")</f>
        <v>-</v>
      </c>
      <c r="AR78" t="str">
        <f>_xlfn.IFNA(VLOOKUP(Sheet1!$C78,GEA!A:C,3,FALSE),"-")</f>
        <v>-</v>
      </c>
      <c r="AS78" t="str">
        <f>_xlfn.IFNA(VLOOKUP(Sheet1!$C78,MAC_DSUITE!A:D,3,FALSE),"-")</f>
        <v>lyr</v>
      </c>
      <c r="AT78" t="str">
        <f>_xlfn.IFNA(VLOOKUP(Sheet1!$C78,MONG_DSUITE!A:E,2,FALSE),"-")</f>
        <v>xxx</v>
      </c>
      <c r="AU78" t="str">
        <f>_xlfn.IFNA(VLOOKUP(Sheet1!$C78,MAC_PAINT2!A:D,4,FALSE),"-")</f>
        <v>lyr-macpaint</v>
      </c>
    </row>
    <row r="79" spans="1:49" customFormat="1" x14ac:dyDescent="0.4">
      <c r="A79">
        <v>3322</v>
      </c>
      <c r="B79" t="s">
        <v>1399</v>
      </c>
      <c r="C79" t="s">
        <v>1400</v>
      </c>
      <c r="D79" t="str">
        <f>_xlfn.CONCAT(C79,".bam")</f>
        <v>SYST-MOR-0006767.bam</v>
      </c>
      <c r="E79" t="s">
        <v>1401</v>
      </c>
      <c r="F79" t="s">
        <v>2442</v>
      </c>
      <c r="G79" t="s">
        <v>2443</v>
      </c>
      <c r="H79" t="s">
        <v>2530</v>
      </c>
      <c r="I79" t="s">
        <v>1389</v>
      </c>
      <c r="K79" t="s">
        <v>45</v>
      </c>
      <c r="L79" t="s">
        <v>45</v>
      </c>
      <c r="N79" t="s">
        <v>45</v>
      </c>
      <c r="P79" t="s">
        <v>113</v>
      </c>
      <c r="Q79" t="s">
        <v>46</v>
      </c>
      <c r="R79" t="s">
        <v>2597</v>
      </c>
      <c r="S79" s="1">
        <v>44715</v>
      </c>
      <c r="T79" t="s">
        <v>241</v>
      </c>
      <c r="U79" t="s">
        <v>34</v>
      </c>
      <c r="V79" s="1">
        <v>44716</v>
      </c>
      <c r="W79" t="s">
        <v>35</v>
      </c>
      <c r="X79" t="s">
        <v>1387</v>
      </c>
      <c r="Y79" t="s">
        <v>1388</v>
      </c>
      <c r="Z79" t="s">
        <v>38</v>
      </c>
      <c r="AA79" t="s">
        <v>1389</v>
      </c>
      <c r="AD79" t="s">
        <v>45</v>
      </c>
      <c r="AE79">
        <v>36.644964999999999</v>
      </c>
      <c r="AF79">
        <v>-89.292918999999998</v>
      </c>
      <c r="AG79" t="s">
        <v>40</v>
      </c>
      <c r="AH79" t="s">
        <v>41</v>
      </c>
      <c r="AI79">
        <v>36.644873404899997</v>
      </c>
      <c r="AJ79">
        <v>-89.292952520900002</v>
      </c>
      <c r="AK79">
        <v>-9.1595100002450636E-5</v>
      </c>
      <c r="AL79">
        <v>-3.352090000419139E-5</v>
      </c>
      <c r="AM79" t="str">
        <f>_xlfn.IFNA(VLOOKUP(Sheet1!$C79,ADMIX_ALL!A:B,2,FALSE),"none")</f>
        <v>K6-18</v>
      </c>
      <c r="AN79" t="str">
        <f>_xlfn.IFNA(VLOOKUP(Sheet1!C79,ADMIX_SS!A:B,2,FALSE),"none")</f>
        <v>SubSample</v>
      </c>
      <c r="AO79" t="str">
        <f>_xlfn.IFNA(VLOOKUP(Sheet1!$C79,MONG_PHYLO!A:C,3,FALSE),"-")</f>
        <v>-</v>
      </c>
      <c r="AP79" t="str">
        <f>_xlfn.IFNA(VLOOKUP(Sheet1!$C79,MAC_PHYLO!A:C,3,FALSE),"-")</f>
        <v>-</v>
      </c>
      <c r="AQ79" t="str">
        <f>_xlfn.IFNA(VLOOKUP(Sheet1!$C79,ConStruct!A:C,3,FALSE),"-")</f>
        <v>ConStruct</v>
      </c>
      <c r="AR79" t="str">
        <f>_xlfn.IFNA(VLOOKUP(Sheet1!$C79,GEA!A:C,3,FALSE),"-")</f>
        <v>GEA</v>
      </c>
      <c r="AS79" t="str">
        <f>_xlfn.IFNA(VLOOKUP(Sheet1!$C79,MAC_DSUITE!A:D,3,FALSE),"-")</f>
        <v>mac_MO_BOT</v>
      </c>
      <c r="AT79" t="str">
        <f>_xlfn.IFNA(VLOOKUP(Sheet1!$C79,MONG_DSUITE!A:E,2,FALSE),"-")</f>
        <v>macrocarpa_BOT</v>
      </c>
      <c r="AU79" t="str">
        <f>_xlfn.IFNA(VLOOKUP(Sheet1!$C79,MAC_PAINT2!A:D,4,FALSE),"-")</f>
        <v>macpaint</v>
      </c>
      <c r="AV79" t="s">
        <v>9193</v>
      </c>
      <c r="AW79" t="s">
        <v>9193</v>
      </c>
    </row>
    <row r="80" spans="1:49" customFormat="1" x14ac:dyDescent="0.4">
      <c r="A80">
        <v>3323</v>
      </c>
      <c r="B80" t="s">
        <v>1402</v>
      </c>
      <c r="C80" t="s">
        <v>1403</v>
      </c>
      <c r="D80" t="str">
        <f>_xlfn.CONCAT(C80,".bam")</f>
        <v>SYST-MOR-0006768.bam</v>
      </c>
      <c r="E80" t="s">
        <v>1404</v>
      </c>
      <c r="F80" t="s">
        <v>2442</v>
      </c>
      <c r="G80" t="s">
        <v>2443</v>
      </c>
      <c r="H80" t="s">
        <v>2530</v>
      </c>
      <c r="I80" t="s">
        <v>1389</v>
      </c>
      <c r="K80" t="s">
        <v>30</v>
      </c>
      <c r="L80" t="s">
        <v>30</v>
      </c>
      <c r="N80" t="s">
        <v>30</v>
      </c>
      <c r="P80" t="s">
        <v>113</v>
      </c>
      <c r="Q80" t="s">
        <v>32</v>
      </c>
      <c r="R80" t="s">
        <v>2596</v>
      </c>
      <c r="S80" s="1">
        <v>44715</v>
      </c>
      <c r="T80" t="s">
        <v>241</v>
      </c>
      <c r="U80" t="s">
        <v>34</v>
      </c>
      <c r="V80" s="1">
        <v>44716</v>
      </c>
      <c r="W80" t="s">
        <v>35</v>
      </c>
      <c r="X80" t="s">
        <v>1387</v>
      </c>
      <c r="Y80" t="s">
        <v>1388</v>
      </c>
      <c r="Z80" t="s">
        <v>38</v>
      </c>
      <c r="AA80" t="s">
        <v>1389</v>
      </c>
      <c r="AD80" t="s">
        <v>319</v>
      </c>
      <c r="AE80">
        <v>36.644699000000003</v>
      </c>
      <c r="AF80">
        <v>-89.294887000000003</v>
      </c>
      <c r="AG80" t="s">
        <v>40</v>
      </c>
      <c r="AH80" t="s">
        <v>41</v>
      </c>
      <c r="AI80">
        <v>36.6448009</v>
      </c>
      <c r="AJ80">
        <v>-89.294981300000003</v>
      </c>
      <c r="AK80">
        <v>1.0189999999710153E-4</v>
      </c>
      <c r="AL80">
        <v>-9.4300000000657747E-5</v>
      </c>
      <c r="AM80" t="str">
        <f>_xlfn.IFNA(VLOOKUP(Sheet1!$C80,ADMIX_ALL!A:B,2,FALSE),"none")</f>
        <v>K6-18</v>
      </c>
      <c r="AN80" t="str">
        <f>_xlfn.IFNA(VLOOKUP(Sheet1!C80,ADMIX_SS!A:B,2,FALSE),"none")</f>
        <v>Constant</v>
      </c>
      <c r="AO80" t="str">
        <f>_xlfn.IFNA(VLOOKUP(Sheet1!$C80,MONG_PHYLO!A:C,3,FALSE),"-")</f>
        <v>lyr</v>
      </c>
      <c r="AP80" t="str">
        <f>_xlfn.IFNA(VLOOKUP(Sheet1!$C80,MAC_PHYLO!A:C,3,FALSE),"-")</f>
        <v>-</v>
      </c>
      <c r="AQ80" t="str">
        <f>_xlfn.IFNA(VLOOKUP(Sheet1!$C80,ConStruct!A:C,3,FALSE),"-")</f>
        <v>-</v>
      </c>
      <c r="AR80" t="str">
        <f>_xlfn.IFNA(VLOOKUP(Sheet1!$C80,GEA!A:C,3,FALSE),"-")</f>
        <v>-</v>
      </c>
      <c r="AS80" t="str">
        <f>_xlfn.IFNA(VLOOKUP(Sheet1!$C80,MAC_DSUITE!A:D,3,FALSE),"-")</f>
        <v>-</v>
      </c>
      <c r="AT80" t="str">
        <f>_xlfn.IFNA(VLOOKUP(Sheet1!$C80,MONG_DSUITE!A:E,2,FALSE),"-")</f>
        <v>lyrata</v>
      </c>
      <c r="AU80" t="str">
        <f>_xlfn.IFNA(VLOOKUP(Sheet1!$C80,MAC_PAINT2!A:D,4,FALSE),"-")</f>
        <v>-</v>
      </c>
    </row>
    <row r="81" spans="1:49" customFormat="1" x14ac:dyDescent="0.4">
      <c r="A81">
        <v>3324</v>
      </c>
      <c r="B81" t="s">
        <v>1405</v>
      </c>
      <c r="C81" t="s">
        <v>1406</v>
      </c>
      <c r="D81" t="str">
        <f>_xlfn.CONCAT(C81,".bam")</f>
        <v>SYST-MOR-0006769.bam</v>
      </c>
      <c r="E81" t="s">
        <v>1407</v>
      </c>
      <c r="F81" t="s">
        <v>2442</v>
      </c>
      <c r="G81" t="s">
        <v>2443</v>
      </c>
      <c r="H81" t="s">
        <v>2530</v>
      </c>
      <c r="I81" t="s">
        <v>1389</v>
      </c>
      <c r="K81" t="s">
        <v>45</v>
      </c>
      <c r="L81" t="s">
        <v>45</v>
      </c>
      <c r="N81" t="s">
        <v>45</v>
      </c>
      <c r="P81" t="s">
        <v>113</v>
      </c>
      <c r="Q81" t="s">
        <v>114</v>
      </c>
      <c r="R81" t="s">
        <v>2597</v>
      </c>
      <c r="S81" s="1">
        <v>44715</v>
      </c>
      <c r="T81" t="s">
        <v>241</v>
      </c>
      <c r="U81" t="s">
        <v>34</v>
      </c>
      <c r="V81" s="1">
        <v>44716</v>
      </c>
      <c r="W81" t="s">
        <v>35</v>
      </c>
      <c r="X81" t="s">
        <v>1387</v>
      </c>
      <c r="Y81" t="s">
        <v>1388</v>
      </c>
      <c r="Z81" t="s">
        <v>38</v>
      </c>
      <c r="AA81" t="s">
        <v>1389</v>
      </c>
      <c r="AD81" t="s">
        <v>45</v>
      </c>
      <c r="AE81">
        <v>36.645049999999998</v>
      </c>
      <c r="AF81">
        <v>-89.294533000000001</v>
      </c>
      <c r="AG81" t="s">
        <v>40</v>
      </c>
      <c r="AH81" t="s">
        <v>41</v>
      </c>
      <c r="AI81">
        <v>36.6451961</v>
      </c>
      <c r="AJ81">
        <v>-89.294567400000005</v>
      </c>
      <c r="AK81">
        <v>1.4610000000203627E-4</v>
      </c>
      <c r="AL81">
        <v>-3.4400000004097819E-5</v>
      </c>
      <c r="AM81" t="str">
        <f>_xlfn.IFNA(VLOOKUP(Sheet1!$C81,ADMIX_ALL!A:B,2,FALSE),"none")</f>
        <v>K6-18</v>
      </c>
      <c r="AN81" t="str">
        <f>_xlfn.IFNA(VLOOKUP(Sheet1!C81,ADMIX_SS!A:B,2,FALSE),"none")</f>
        <v>SubSample</v>
      </c>
      <c r="AO81" t="str">
        <f>_xlfn.IFNA(VLOOKUP(Sheet1!$C81,MONG_PHYLO!A:C,3,FALSE),"-")</f>
        <v>-</v>
      </c>
      <c r="AP81" t="str">
        <f>_xlfn.IFNA(VLOOKUP(Sheet1!$C81,MAC_PHYLO!A:C,3,FALSE),"-")</f>
        <v>-</v>
      </c>
      <c r="AQ81" t="str">
        <f>_xlfn.IFNA(VLOOKUP(Sheet1!$C81,ConStruct!A:C,3,FALSE),"-")</f>
        <v>ConStruct</v>
      </c>
      <c r="AR81" t="str">
        <f>_xlfn.IFNA(VLOOKUP(Sheet1!$C81,GEA!A:C,3,FALSE),"-")</f>
        <v>-</v>
      </c>
      <c r="AS81" t="str">
        <f>_xlfn.IFNA(VLOOKUP(Sheet1!$C81,MAC_DSUITE!A:D,3,FALSE),"-")</f>
        <v>-</v>
      </c>
      <c r="AT81" t="str">
        <f>_xlfn.IFNA(VLOOKUP(Sheet1!$C81,MONG_DSUITE!A:E,2,FALSE),"-")</f>
        <v>macrocarpa_BOT</v>
      </c>
      <c r="AU81" t="str">
        <f>_xlfn.IFNA(VLOOKUP(Sheet1!$C81,MAC_PAINT2!A:D,4,FALSE),"-")</f>
        <v>-</v>
      </c>
      <c r="AV81" t="s">
        <v>9199</v>
      </c>
      <c r="AW81" t="s">
        <v>9196</v>
      </c>
    </row>
    <row r="82" spans="1:49" customFormat="1" x14ac:dyDescent="0.4">
      <c r="A82">
        <v>3325</v>
      </c>
      <c r="B82" t="s">
        <v>1408</v>
      </c>
      <c r="C82" t="s">
        <v>1409</v>
      </c>
      <c r="D82" t="str">
        <f>_xlfn.CONCAT(C82,".bam")</f>
        <v>SYST-MOR-0006770.bam</v>
      </c>
      <c r="E82" t="s">
        <v>1410</v>
      </c>
      <c r="F82" t="s">
        <v>2442</v>
      </c>
      <c r="G82" t="s">
        <v>2443</v>
      </c>
      <c r="H82" t="s">
        <v>2530</v>
      </c>
      <c r="I82" t="s">
        <v>1389</v>
      </c>
      <c r="K82" t="s">
        <v>45</v>
      </c>
      <c r="L82" t="s">
        <v>45</v>
      </c>
      <c r="N82" t="s">
        <v>45</v>
      </c>
      <c r="P82" t="s">
        <v>113</v>
      </c>
      <c r="Q82" t="s">
        <v>46</v>
      </c>
      <c r="R82" t="s">
        <v>2597</v>
      </c>
      <c r="S82" s="1">
        <v>44715</v>
      </c>
      <c r="T82" t="s">
        <v>241</v>
      </c>
      <c r="U82" t="s">
        <v>34</v>
      </c>
      <c r="V82" s="1">
        <v>44716</v>
      </c>
      <c r="W82" t="s">
        <v>35</v>
      </c>
      <c r="X82" t="s">
        <v>1387</v>
      </c>
      <c r="Y82" t="s">
        <v>1388</v>
      </c>
      <c r="Z82" t="s">
        <v>38</v>
      </c>
      <c r="AA82" t="s">
        <v>1389</v>
      </c>
      <c r="AD82" t="s">
        <v>1411</v>
      </c>
      <c r="AE82">
        <v>36.643085890000002</v>
      </c>
      <c r="AF82">
        <v>-89.287589159999996</v>
      </c>
      <c r="AG82" t="s">
        <v>40</v>
      </c>
      <c r="AH82" t="s">
        <v>41</v>
      </c>
      <c r="AI82">
        <v>36.643085885600001</v>
      </c>
      <c r="AJ82">
        <v>-89.287589156500005</v>
      </c>
      <c r="AK82">
        <v>-4.4000003640576324E-9</v>
      </c>
      <c r="AL82">
        <v>3.4999914078071015E-9</v>
      </c>
      <c r="AM82" t="str">
        <f>_xlfn.IFNA(VLOOKUP(Sheet1!$C82,ADMIX_ALL!A:B,2,FALSE),"none")</f>
        <v>K6-18</v>
      </c>
      <c r="AN82" t="str">
        <f>_xlfn.IFNA(VLOOKUP(Sheet1!C82,ADMIX_SS!A:B,2,FALSE),"none")</f>
        <v>SubSample</v>
      </c>
      <c r="AO82" t="str">
        <f>_xlfn.IFNA(VLOOKUP(Sheet1!$C82,MONG_PHYLO!A:C,3,FALSE),"-")</f>
        <v>-</v>
      </c>
      <c r="AP82" t="str">
        <f>_xlfn.IFNA(VLOOKUP(Sheet1!$C82,MAC_PHYLO!A:C,3,FALSE),"-")</f>
        <v>-</v>
      </c>
      <c r="AQ82" t="str">
        <f>_xlfn.IFNA(VLOOKUP(Sheet1!$C82,ConStruct!A:C,3,FALSE),"-")</f>
        <v>ConStruct</v>
      </c>
      <c r="AR82" t="str">
        <f>_xlfn.IFNA(VLOOKUP(Sheet1!$C82,GEA!A:C,3,FALSE),"-")</f>
        <v>GEA</v>
      </c>
      <c r="AS82" t="str">
        <f>_xlfn.IFNA(VLOOKUP(Sheet1!$C82,MAC_DSUITE!A:D,3,FALSE),"-")</f>
        <v>mac_MO_BOT</v>
      </c>
      <c r="AT82" t="str">
        <f>_xlfn.IFNA(VLOOKUP(Sheet1!$C82,MONG_DSUITE!A:E,2,FALSE),"-")</f>
        <v>macrocarpa_BOT</v>
      </c>
      <c r="AU82" t="str">
        <f>_xlfn.IFNA(VLOOKUP(Sheet1!$C82,MAC_PAINT2!A:D,4,FALSE),"-")</f>
        <v>macpaint</v>
      </c>
      <c r="AV82" t="s">
        <v>9193</v>
      </c>
      <c r="AW82" t="s">
        <v>9193</v>
      </c>
    </row>
    <row r="83" spans="1:49" customFormat="1" x14ac:dyDescent="0.4">
      <c r="A83">
        <v>3326</v>
      </c>
      <c r="B83" t="s">
        <v>1412</v>
      </c>
      <c r="C83" t="s">
        <v>1413</v>
      </c>
      <c r="D83" t="str">
        <f>_xlfn.CONCAT(C83,".bam")</f>
        <v>SYST-MOR-0006771.bam</v>
      </c>
      <c r="E83" t="s">
        <v>1414</v>
      </c>
      <c r="F83" t="s">
        <v>2442</v>
      </c>
      <c r="G83" t="s">
        <v>2443</v>
      </c>
      <c r="H83" t="s">
        <v>2530</v>
      </c>
      <c r="I83" t="s">
        <v>1389</v>
      </c>
      <c r="K83" t="s">
        <v>239</v>
      </c>
      <c r="L83" t="s">
        <v>239</v>
      </c>
      <c r="N83" t="s">
        <v>239</v>
      </c>
      <c r="P83" t="s">
        <v>113</v>
      </c>
      <c r="Q83" t="s">
        <v>240</v>
      </c>
      <c r="R83" t="s">
        <v>2602</v>
      </c>
      <c r="S83" s="1">
        <v>44715</v>
      </c>
      <c r="T83" t="s">
        <v>241</v>
      </c>
      <c r="U83" t="s">
        <v>34</v>
      </c>
      <c r="V83" s="1">
        <v>44716</v>
      </c>
      <c r="W83" t="s">
        <v>35</v>
      </c>
      <c r="X83" t="s">
        <v>1387</v>
      </c>
      <c r="Y83" t="s">
        <v>1388</v>
      </c>
      <c r="Z83" t="s">
        <v>38</v>
      </c>
      <c r="AA83" t="s">
        <v>1389</v>
      </c>
      <c r="AD83" t="s">
        <v>1415</v>
      </c>
      <c r="AE83">
        <v>36.642872910000001</v>
      </c>
      <c r="AF83">
        <v>-89.287449839999994</v>
      </c>
      <c r="AG83" t="s">
        <v>40</v>
      </c>
      <c r="AH83" t="s">
        <v>41</v>
      </c>
      <c r="AI83">
        <v>36.642872914199998</v>
      </c>
      <c r="AJ83">
        <v>-89.287449839399997</v>
      </c>
      <c r="AK83">
        <v>4.1999967947958794E-9</v>
      </c>
      <c r="AL83">
        <v>5.999964969305438E-10</v>
      </c>
      <c r="AM83" t="str">
        <f>_xlfn.IFNA(VLOOKUP(Sheet1!$C83,ADMIX_ALL!A:B,2,FALSE),"none")</f>
        <v>K6-18</v>
      </c>
      <c r="AN83" t="str">
        <f>_xlfn.IFNA(VLOOKUP(Sheet1!C83,ADMIX_SS!A:B,2,FALSE),"none")</f>
        <v>SubSample</v>
      </c>
      <c r="AO83" t="str">
        <f>_xlfn.IFNA(VLOOKUP(Sheet1!$C83,MONG_PHYLO!A:C,3,FALSE),"-")</f>
        <v>-</v>
      </c>
      <c r="AP83" t="str">
        <f>_xlfn.IFNA(VLOOKUP(Sheet1!$C83,MAC_PHYLO!A:C,3,FALSE),"-")</f>
        <v>-</v>
      </c>
      <c r="AQ83" t="str">
        <f>_xlfn.IFNA(VLOOKUP(Sheet1!$C83,ConStruct!A:C,3,FALSE),"-")</f>
        <v>-</v>
      </c>
      <c r="AR83" t="str">
        <f>_xlfn.IFNA(VLOOKUP(Sheet1!$C83,GEA!A:C,3,FALSE),"-")</f>
        <v>-</v>
      </c>
      <c r="AS83" t="str">
        <f>_xlfn.IFNA(VLOOKUP(Sheet1!$C83,MAC_DSUITE!A:D,3,FALSE),"-")</f>
        <v>-</v>
      </c>
      <c r="AT83" t="str">
        <f>_xlfn.IFNA(VLOOKUP(Sheet1!$C83,MONG_DSUITE!A:E,2,FALSE),"-")</f>
        <v>xxx</v>
      </c>
      <c r="AU83" t="str">
        <f>_xlfn.IFNA(VLOOKUP(Sheet1!$C83,MAC_PAINT2!A:D,4,FALSE),"-")</f>
        <v>-</v>
      </c>
    </row>
    <row r="84" spans="1:49" customFormat="1" x14ac:dyDescent="0.4">
      <c r="A84">
        <v>3327</v>
      </c>
      <c r="B84" t="s">
        <v>1416</v>
      </c>
      <c r="C84" t="s">
        <v>1417</v>
      </c>
      <c r="D84" t="str">
        <f>_xlfn.CONCAT(C84,".bam")</f>
        <v>SYST-MOR-0006772.bam</v>
      </c>
      <c r="E84" t="s">
        <v>1418</v>
      </c>
      <c r="F84" t="s">
        <v>2442</v>
      </c>
      <c r="G84" t="s">
        <v>2443</v>
      </c>
      <c r="H84" t="s">
        <v>2530</v>
      </c>
      <c r="I84" t="s">
        <v>1389</v>
      </c>
      <c r="K84" t="s">
        <v>45</v>
      </c>
      <c r="L84" t="s">
        <v>45</v>
      </c>
      <c r="N84" t="s">
        <v>45</v>
      </c>
      <c r="P84" t="s">
        <v>113</v>
      </c>
      <c r="Q84" t="s">
        <v>46</v>
      </c>
      <c r="R84" t="s">
        <v>2597</v>
      </c>
      <c r="S84" s="1">
        <v>44715</v>
      </c>
      <c r="T84" t="s">
        <v>241</v>
      </c>
      <c r="U84" t="s">
        <v>34</v>
      </c>
      <c r="V84" s="1">
        <v>44716</v>
      </c>
      <c r="W84" t="s">
        <v>35</v>
      </c>
      <c r="X84" t="s">
        <v>1387</v>
      </c>
      <c r="Y84" t="s">
        <v>1388</v>
      </c>
      <c r="Z84" t="s">
        <v>38</v>
      </c>
      <c r="AA84" t="s">
        <v>1389</v>
      </c>
      <c r="AD84" t="s">
        <v>1411</v>
      </c>
      <c r="AE84">
        <v>36.64427285</v>
      </c>
      <c r="AF84">
        <v>-89.286563439999995</v>
      </c>
      <c r="AG84" t="s">
        <v>40</v>
      </c>
      <c r="AH84" t="s">
        <v>41</v>
      </c>
      <c r="AI84">
        <v>36.644272848999996</v>
      </c>
      <c r="AJ84">
        <v>-89.286563439199995</v>
      </c>
      <c r="AK84">
        <v>-1.0000036354540498E-9</v>
      </c>
      <c r="AL84">
        <v>8.000000661922968E-10</v>
      </c>
      <c r="AM84" t="str">
        <f>_xlfn.IFNA(VLOOKUP(Sheet1!$C84,ADMIX_ALL!A:B,2,FALSE),"none")</f>
        <v>K6-18</v>
      </c>
      <c r="AN84" t="str">
        <f>_xlfn.IFNA(VLOOKUP(Sheet1!C84,ADMIX_SS!A:B,2,FALSE),"none")</f>
        <v>SubSample</v>
      </c>
      <c r="AO84" t="str">
        <f>_xlfn.IFNA(VLOOKUP(Sheet1!$C84,MONG_PHYLO!A:C,3,FALSE),"-")</f>
        <v>-</v>
      </c>
      <c r="AP84" t="str">
        <f>_xlfn.IFNA(VLOOKUP(Sheet1!$C84,MAC_PHYLO!A:C,3,FALSE),"-")</f>
        <v>macS</v>
      </c>
      <c r="AQ84" t="str">
        <f>_xlfn.IFNA(VLOOKUP(Sheet1!$C84,ConStruct!A:C,3,FALSE),"-")</f>
        <v>ConStruct</v>
      </c>
      <c r="AR84" t="str">
        <f>_xlfn.IFNA(VLOOKUP(Sheet1!$C84,GEA!A:C,3,FALSE),"-")</f>
        <v>GEA</v>
      </c>
      <c r="AS84" t="str">
        <f>_xlfn.IFNA(VLOOKUP(Sheet1!$C84,MAC_DSUITE!A:D,3,FALSE),"-")</f>
        <v>mac_MO_BOT</v>
      </c>
      <c r="AT84" t="str">
        <f>_xlfn.IFNA(VLOOKUP(Sheet1!$C84,MONG_DSUITE!A:E,2,FALSE),"-")</f>
        <v>macrocarpa_BOT</v>
      </c>
      <c r="AU84" t="str">
        <f>_xlfn.IFNA(VLOOKUP(Sheet1!$C84,MAC_PAINT2!A:D,4,FALSE),"-")</f>
        <v>macpaint</v>
      </c>
      <c r="AV84" t="s">
        <v>9193</v>
      </c>
      <c r="AW84" t="s">
        <v>9193</v>
      </c>
    </row>
    <row r="85" spans="1:49" customFormat="1" x14ac:dyDescent="0.4">
      <c r="A85">
        <v>3328</v>
      </c>
      <c r="B85" t="s">
        <v>1419</v>
      </c>
      <c r="C85" t="s">
        <v>1420</v>
      </c>
      <c r="D85" t="str">
        <f>_xlfn.CONCAT(C85,".bam")</f>
        <v>SYST-MOR-0006773.bam</v>
      </c>
      <c r="E85" t="s">
        <v>1421</v>
      </c>
      <c r="F85" t="s">
        <v>2442</v>
      </c>
      <c r="G85" t="s">
        <v>2443</v>
      </c>
      <c r="H85" t="s">
        <v>2530</v>
      </c>
      <c r="I85" t="s">
        <v>1389</v>
      </c>
      <c r="K85" t="s">
        <v>239</v>
      </c>
      <c r="L85" t="s">
        <v>239</v>
      </c>
      <c r="N85" t="s">
        <v>239</v>
      </c>
      <c r="P85" t="s">
        <v>113</v>
      </c>
      <c r="Q85" t="s">
        <v>240</v>
      </c>
      <c r="R85" t="s">
        <v>2602</v>
      </c>
      <c r="S85" s="1">
        <v>44715</v>
      </c>
      <c r="T85" t="s">
        <v>241</v>
      </c>
      <c r="U85" t="s">
        <v>34</v>
      </c>
      <c r="V85" s="1">
        <v>44716</v>
      </c>
      <c r="W85" t="s">
        <v>35</v>
      </c>
      <c r="X85" t="s">
        <v>1387</v>
      </c>
      <c r="Y85" t="s">
        <v>1388</v>
      </c>
      <c r="Z85" t="s">
        <v>38</v>
      </c>
      <c r="AA85" t="s">
        <v>1389</v>
      </c>
      <c r="AD85" t="s">
        <v>1415</v>
      </c>
      <c r="AE85">
        <v>36.644230729999997</v>
      </c>
      <c r="AF85">
        <v>-89.286806459999994</v>
      </c>
      <c r="AG85" t="s">
        <v>40</v>
      </c>
      <c r="AH85" t="s">
        <v>41</v>
      </c>
      <c r="AI85">
        <v>36.644230726700002</v>
      </c>
      <c r="AJ85">
        <v>-89.286806458000001</v>
      </c>
      <c r="AK85">
        <v>-3.2999949439727061E-9</v>
      </c>
      <c r="AL85">
        <v>1.9999930600533844E-9</v>
      </c>
      <c r="AM85" t="str">
        <f>_xlfn.IFNA(VLOOKUP(Sheet1!$C85,ADMIX_ALL!A:B,2,FALSE),"none")</f>
        <v>K6-18</v>
      </c>
      <c r="AN85" t="str">
        <f>_xlfn.IFNA(VLOOKUP(Sheet1!C85,ADMIX_SS!A:B,2,FALSE),"none")</f>
        <v>Constant</v>
      </c>
      <c r="AO85" t="str">
        <f>_xlfn.IFNA(VLOOKUP(Sheet1!$C85,MONG_PHYLO!A:C,3,FALSE),"-")</f>
        <v>mic</v>
      </c>
      <c r="AP85" t="str">
        <f>_xlfn.IFNA(VLOOKUP(Sheet1!$C85,MAC_PHYLO!A:C,3,FALSE),"-")</f>
        <v>mic</v>
      </c>
      <c r="AQ85" t="str">
        <f>_xlfn.IFNA(VLOOKUP(Sheet1!$C85,ConStruct!A:C,3,FALSE),"-")</f>
        <v>-</v>
      </c>
      <c r="AR85" t="str">
        <f>_xlfn.IFNA(VLOOKUP(Sheet1!$C85,GEA!A:C,3,FALSE),"-")</f>
        <v>-</v>
      </c>
      <c r="AS85" t="str">
        <f>_xlfn.IFNA(VLOOKUP(Sheet1!$C85,MAC_DSUITE!A:D,3,FALSE),"-")</f>
        <v>xxx</v>
      </c>
      <c r="AT85" t="str">
        <f>_xlfn.IFNA(VLOOKUP(Sheet1!$C85,MONG_DSUITE!A:E,2,FALSE),"-")</f>
        <v>michauxii</v>
      </c>
      <c r="AU85" t="str">
        <f>_xlfn.IFNA(VLOOKUP(Sheet1!$C85,MAC_PAINT2!A:D,4,FALSE),"-")</f>
        <v>-</v>
      </c>
    </row>
    <row r="86" spans="1:49" customFormat="1" x14ac:dyDescent="0.4">
      <c r="A86">
        <v>3329</v>
      </c>
      <c r="B86" t="s">
        <v>1422</v>
      </c>
      <c r="C86" t="s">
        <v>1423</v>
      </c>
      <c r="D86" t="str">
        <f>_xlfn.CONCAT(C86,".bam")</f>
        <v>SYST-MOR-0006774.bam</v>
      </c>
      <c r="E86" t="s">
        <v>1424</v>
      </c>
      <c r="F86" t="s">
        <v>2442</v>
      </c>
      <c r="G86" t="s">
        <v>2443</v>
      </c>
      <c r="H86" t="s">
        <v>2530</v>
      </c>
      <c r="I86" t="s">
        <v>1389</v>
      </c>
      <c r="K86" t="s">
        <v>239</v>
      </c>
      <c r="L86" t="s">
        <v>239</v>
      </c>
      <c r="N86" t="s">
        <v>239</v>
      </c>
      <c r="P86" t="s">
        <v>113</v>
      </c>
      <c r="Q86" t="s">
        <v>240</v>
      </c>
      <c r="R86" t="s">
        <v>2602</v>
      </c>
      <c r="S86" s="1">
        <v>44715</v>
      </c>
      <c r="T86" t="s">
        <v>241</v>
      </c>
      <c r="U86" t="s">
        <v>34</v>
      </c>
      <c r="V86" s="1">
        <v>44716</v>
      </c>
      <c r="W86" t="s">
        <v>35</v>
      </c>
      <c r="X86" t="s">
        <v>1387</v>
      </c>
      <c r="Y86" t="s">
        <v>1388</v>
      </c>
      <c r="Z86" t="s">
        <v>38</v>
      </c>
      <c r="AA86" t="s">
        <v>1389</v>
      </c>
      <c r="AD86" t="s">
        <v>1415</v>
      </c>
      <c r="AE86">
        <v>36.643490710000002</v>
      </c>
      <c r="AF86">
        <v>-89.287007380000006</v>
      </c>
      <c r="AG86" t="s">
        <v>40</v>
      </c>
      <c r="AH86" t="s">
        <v>41</v>
      </c>
      <c r="AI86">
        <v>36.643490709799998</v>
      </c>
      <c r="AJ86">
        <v>-89.287007376800005</v>
      </c>
      <c r="AK86">
        <v>-2.00003569261753E-10</v>
      </c>
      <c r="AL86">
        <v>3.2000002647691872E-9</v>
      </c>
      <c r="AM86" t="str">
        <f>_xlfn.IFNA(VLOOKUP(Sheet1!$C86,ADMIX_ALL!A:B,2,FALSE),"none")</f>
        <v>K6-18</v>
      </c>
      <c r="AN86" t="str">
        <f>_xlfn.IFNA(VLOOKUP(Sheet1!C86,ADMIX_SS!A:B,2,FALSE),"none")</f>
        <v>SubSample</v>
      </c>
      <c r="AO86" t="str">
        <f>_xlfn.IFNA(VLOOKUP(Sheet1!$C86,MONG_PHYLO!A:C,3,FALSE),"-")</f>
        <v>-</v>
      </c>
      <c r="AP86" t="str">
        <f>_xlfn.IFNA(VLOOKUP(Sheet1!$C86,MAC_PHYLO!A:C,3,FALSE),"-")</f>
        <v>-</v>
      </c>
      <c r="AQ86" t="str">
        <f>_xlfn.IFNA(VLOOKUP(Sheet1!$C86,ConStruct!A:C,3,FALSE),"-")</f>
        <v>-</v>
      </c>
      <c r="AR86" t="str">
        <f>_xlfn.IFNA(VLOOKUP(Sheet1!$C86,GEA!A:C,3,FALSE),"-")</f>
        <v>-</v>
      </c>
      <c r="AS86" t="str">
        <f>_xlfn.IFNA(VLOOKUP(Sheet1!$C86,MAC_DSUITE!A:D,3,FALSE),"-")</f>
        <v>-</v>
      </c>
      <c r="AT86" t="str">
        <f>_xlfn.IFNA(VLOOKUP(Sheet1!$C86,MONG_DSUITE!A:E,2,FALSE),"-")</f>
        <v>xxx</v>
      </c>
      <c r="AU86" t="str">
        <f>_xlfn.IFNA(VLOOKUP(Sheet1!$C86,MAC_PAINT2!A:D,4,FALSE),"-")</f>
        <v>-</v>
      </c>
    </row>
    <row r="87" spans="1:49" s="20" customFormat="1" x14ac:dyDescent="0.4">
      <c r="A87" s="20">
        <v>3330</v>
      </c>
      <c r="B87" s="20" t="s">
        <v>1425</v>
      </c>
      <c r="C87" s="20" t="s">
        <v>1426</v>
      </c>
      <c r="D87" s="20" t="str">
        <f>_xlfn.CONCAT(C87,".bam")</f>
        <v>SYST-MOR-0006775.bam</v>
      </c>
      <c r="E87" s="20" t="s">
        <v>1427</v>
      </c>
      <c r="F87" s="20" t="s">
        <v>2442</v>
      </c>
      <c r="G87" s="20" t="s">
        <v>2443</v>
      </c>
      <c r="H87" s="20" t="s">
        <v>2530</v>
      </c>
      <c r="I87" s="20" t="s">
        <v>1389</v>
      </c>
      <c r="K87" s="20" t="s">
        <v>45</v>
      </c>
      <c r="L87" s="20" t="s">
        <v>45</v>
      </c>
      <c r="M87" s="20" t="s">
        <v>45</v>
      </c>
      <c r="N87" s="20" t="s">
        <v>143</v>
      </c>
      <c r="P87" s="20" t="s">
        <v>113</v>
      </c>
      <c r="Q87" s="20" t="s">
        <v>144</v>
      </c>
      <c r="R87" s="20" t="s">
        <v>2601</v>
      </c>
      <c r="S87" s="21">
        <v>44715</v>
      </c>
      <c r="T87" s="20" t="s">
        <v>241</v>
      </c>
      <c r="U87" s="20" t="s">
        <v>34</v>
      </c>
      <c r="V87" s="21">
        <v>44716</v>
      </c>
      <c r="W87" s="20" t="s">
        <v>35</v>
      </c>
      <c r="X87" s="20" t="s">
        <v>1387</v>
      </c>
      <c r="Y87" s="20" t="s">
        <v>1388</v>
      </c>
      <c r="Z87" s="20" t="s">
        <v>38</v>
      </c>
      <c r="AA87" s="20" t="s">
        <v>1389</v>
      </c>
      <c r="AD87" s="20" t="s">
        <v>1428</v>
      </c>
      <c r="AE87" s="20">
        <v>36.641016749999999</v>
      </c>
      <c r="AF87" s="20">
        <v>-89.290401099999997</v>
      </c>
      <c r="AG87" s="20" t="s">
        <v>40</v>
      </c>
      <c r="AH87" s="20" t="s">
        <v>41</v>
      </c>
      <c r="AI87" s="20">
        <v>36.641016754100001</v>
      </c>
      <c r="AJ87" s="20">
        <v>-89.290401102399997</v>
      </c>
      <c r="AK87" s="20">
        <v>4.1000021155923605E-9</v>
      </c>
      <c r="AL87" s="20">
        <v>-2.4000001985768904E-9</v>
      </c>
      <c r="AM87" s="20" t="str">
        <f>_xlfn.IFNA(VLOOKUP(Sheet1!$C87,ADMIX_ALL!A:B,2,FALSE),"none")</f>
        <v>K6-18</v>
      </c>
      <c r="AN87" s="20" t="str">
        <f>_xlfn.IFNA(VLOOKUP(Sheet1!C87,ADMIX_SS!A:B,2,FALSE),"none")</f>
        <v>SubSample</v>
      </c>
      <c r="AO87" s="20" t="str">
        <f>_xlfn.IFNA(VLOOKUP(Sheet1!$C87,MONG_PHYLO!A:C,3,FALSE),"-")</f>
        <v>-</v>
      </c>
      <c r="AP87" s="20" t="str">
        <f>_xlfn.IFNA(VLOOKUP(Sheet1!$C87,MAC_PHYLO!A:C,3,FALSE),"-")</f>
        <v>-</v>
      </c>
      <c r="AQ87" s="20" t="str">
        <f>_xlfn.IFNA(VLOOKUP(Sheet1!$C87,ConStruct!A:C,3,FALSE),"-")</f>
        <v>ConStruct</v>
      </c>
      <c r="AR87" s="20" t="str">
        <f>_xlfn.IFNA(VLOOKUP(Sheet1!$C87,GEA!A:C,3,FALSE),"-")</f>
        <v>GEA</v>
      </c>
      <c r="AS87" s="20" t="str">
        <f>_xlfn.IFNA(VLOOKUP(Sheet1!$C87,MAC_DSUITE!A:D,3,FALSE),"-")</f>
        <v>xxx</v>
      </c>
      <c r="AT87" s="20" t="str">
        <f>_xlfn.IFNA(VLOOKUP(Sheet1!$C87,MONG_DSUITE!A:E,2,FALSE),"-")</f>
        <v>macrocarpa_BOT</v>
      </c>
      <c r="AU87" s="20" t="str">
        <f>_xlfn.IFNA(VLOOKUP(Sheet1!$C87,MAC_PAINT2!A:D,4,FALSE),"-")</f>
        <v>macpaint</v>
      </c>
      <c r="AV87" s="20" t="s">
        <v>9193</v>
      </c>
      <c r="AW87" s="20" t="s">
        <v>9193</v>
      </c>
    </row>
    <row r="88" spans="1:49" customFormat="1" x14ac:dyDescent="0.4">
      <c r="A88">
        <v>3331</v>
      </c>
      <c r="B88" t="s">
        <v>1429</v>
      </c>
      <c r="C88" t="s">
        <v>1430</v>
      </c>
      <c r="D88" t="str">
        <f>_xlfn.CONCAT(C88,".bam")</f>
        <v>SYST-MOR-0006776.bam</v>
      </c>
      <c r="E88" t="s">
        <v>1431</v>
      </c>
      <c r="F88" t="s">
        <v>2442</v>
      </c>
      <c r="G88" t="s">
        <v>2443</v>
      </c>
      <c r="H88" t="s">
        <v>2530</v>
      </c>
      <c r="I88" t="s">
        <v>1389</v>
      </c>
      <c r="K88" t="s">
        <v>30</v>
      </c>
      <c r="L88" t="s">
        <v>30</v>
      </c>
      <c r="N88" t="s">
        <v>30</v>
      </c>
      <c r="P88" t="s">
        <v>113</v>
      </c>
      <c r="Q88" t="s">
        <v>32</v>
      </c>
      <c r="R88" t="s">
        <v>2596</v>
      </c>
      <c r="S88" s="1">
        <v>44715</v>
      </c>
      <c r="T88" t="s">
        <v>241</v>
      </c>
      <c r="U88" t="s">
        <v>34</v>
      </c>
      <c r="V88" s="1">
        <v>44716</v>
      </c>
      <c r="W88" t="s">
        <v>35</v>
      </c>
      <c r="X88" t="s">
        <v>1387</v>
      </c>
      <c r="Y88" t="s">
        <v>1388</v>
      </c>
      <c r="Z88" t="s">
        <v>38</v>
      </c>
      <c r="AA88" t="s">
        <v>1389</v>
      </c>
      <c r="AD88" t="s">
        <v>1432</v>
      </c>
      <c r="AE88">
        <v>36.640897870000003</v>
      </c>
      <c r="AF88">
        <v>-89.290410100000003</v>
      </c>
      <c r="AG88" t="s">
        <v>40</v>
      </c>
      <c r="AH88" t="s">
        <v>41</v>
      </c>
      <c r="AI88">
        <v>36.6408978714</v>
      </c>
      <c r="AJ88">
        <v>-89.290410100800003</v>
      </c>
      <c r="AK88">
        <v>1.3999965631228406E-9</v>
      </c>
      <c r="AL88">
        <v>-8.000000661922968E-10</v>
      </c>
      <c r="AM88" t="str">
        <f>_xlfn.IFNA(VLOOKUP(Sheet1!$C88,ADMIX_ALL!A:B,2,FALSE),"none")</f>
        <v>K6-18</v>
      </c>
      <c r="AN88" t="str">
        <f>_xlfn.IFNA(VLOOKUP(Sheet1!C88,ADMIX_SS!A:B,2,FALSE),"none")</f>
        <v>SubSample</v>
      </c>
      <c r="AO88" t="str">
        <f>_xlfn.IFNA(VLOOKUP(Sheet1!$C88,MONG_PHYLO!A:C,3,FALSE),"-")</f>
        <v>-</v>
      </c>
      <c r="AP88" t="str">
        <f>_xlfn.IFNA(VLOOKUP(Sheet1!$C88,MAC_PHYLO!A:C,3,FALSE),"-")</f>
        <v>-</v>
      </c>
      <c r="AQ88" t="str">
        <f>_xlfn.IFNA(VLOOKUP(Sheet1!$C88,ConStruct!A:C,3,FALSE),"-")</f>
        <v>-</v>
      </c>
      <c r="AR88" t="str">
        <f>_xlfn.IFNA(VLOOKUP(Sheet1!$C88,GEA!A:C,3,FALSE),"-")</f>
        <v>-</v>
      </c>
      <c r="AS88" t="str">
        <f>_xlfn.IFNA(VLOOKUP(Sheet1!$C88,MAC_DSUITE!A:D,3,FALSE),"-")</f>
        <v>-</v>
      </c>
      <c r="AT88" t="str">
        <f>_xlfn.IFNA(VLOOKUP(Sheet1!$C88,MONG_DSUITE!A:E,2,FALSE),"-")</f>
        <v>xxx</v>
      </c>
      <c r="AU88" t="str">
        <f>_xlfn.IFNA(VLOOKUP(Sheet1!$C88,MAC_PAINT2!A:D,4,FALSE),"-")</f>
        <v>-</v>
      </c>
    </row>
    <row r="89" spans="1:49" customFormat="1" x14ac:dyDescent="0.4">
      <c r="A89">
        <v>3332</v>
      </c>
      <c r="B89" t="s">
        <v>1433</v>
      </c>
      <c r="C89" t="s">
        <v>1434</v>
      </c>
      <c r="D89" t="str">
        <f>_xlfn.CONCAT(C89,".bam")</f>
        <v>SYST-MOR-0006777.bam</v>
      </c>
      <c r="E89" t="s">
        <v>1435</v>
      </c>
      <c r="F89" t="s">
        <v>2442</v>
      </c>
      <c r="G89" t="s">
        <v>2443</v>
      </c>
      <c r="H89" t="s">
        <v>2530</v>
      </c>
      <c r="I89" t="s">
        <v>1389</v>
      </c>
      <c r="K89" t="s">
        <v>45</v>
      </c>
      <c r="L89" t="s">
        <v>45</v>
      </c>
      <c r="M89" t="s">
        <v>45</v>
      </c>
      <c r="N89" t="s">
        <v>143</v>
      </c>
      <c r="P89" t="s">
        <v>113</v>
      </c>
      <c r="Q89" t="s">
        <v>144</v>
      </c>
      <c r="R89" t="s">
        <v>2601</v>
      </c>
      <c r="S89" s="1">
        <v>44715</v>
      </c>
      <c r="T89" t="s">
        <v>241</v>
      </c>
      <c r="U89" t="s">
        <v>34</v>
      </c>
      <c r="V89" s="1">
        <v>44716</v>
      </c>
      <c r="W89" t="s">
        <v>35</v>
      </c>
      <c r="X89" t="s">
        <v>1387</v>
      </c>
      <c r="Y89" t="s">
        <v>1388</v>
      </c>
      <c r="Z89" t="s">
        <v>38</v>
      </c>
      <c r="AA89" t="s">
        <v>1389</v>
      </c>
      <c r="AD89" t="s">
        <v>1428</v>
      </c>
      <c r="AE89">
        <v>36.64145662</v>
      </c>
      <c r="AF89">
        <v>-89.290292309999998</v>
      </c>
      <c r="AG89" t="s">
        <v>40</v>
      </c>
      <c r="AH89" t="s">
        <v>41</v>
      </c>
      <c r="AI89">
        <v>36.641456624500002</v>
      </c>
      <c r="AJ89">
        <v>-89.290292308800005</v>
      </c>
      <c r="AK89">
        <v>4.5000021486885089E-9</v>
      </c>
      <c r="AL89">
        <v>1.1999929938610876E-9</v>
      </c>
      <c r="AM89" t="str">
        <f>_xlfn.IFNA(VLOOKUP(Sheet1!$C89,ADMIX_ALL!A:B,2,FALSE),"none")</f>
        <v>K6-18</v>
      </c>
      <c r="AN89" t="str">
        <f>_xlfn.IFNA(VLOOKUP(Sheet1!C89,ADMIX_SS!A:B,2,FALSE),"none")</f>
        <v>SubSample</v>
      </c>
      <c r="AO89" t="str">
        <f>_xlfn.IFNA(VLOOKUP(Sheet1!$C89,MONG_PHYLO!A:C,3,FALSE),"-")</f>
        <v>-</v>
      </c>
      <c r="AP89" t="str">
        <f>_xlfn.IFNA(VLOOKUP(Sheet1!$C89,MAC_PHYLO!A:C,3,FALSE),"-")</f>
        <v>-</v>
      </c>
      <c r="AQ89" t="str">
        <f>_xlfn.IFNA(VLOOKUP(Sheet1!$C89,ConStruct!A:C,3,FALSE),"-")</f>
        <v>ConStruct</v>
      </c>
      <c r="AR89" t="str">
        <f>_xlfn.IFNA(VLOOKUP(Sheet1!$C89,GEA!A:C,3,FALSE),"-")</f>
        <v>-</v>
      </c>
      <c r="AS89" t="str">
        <f>_xlfn.IFNA(VLOOKUP(Sheet1!$C89,MAC_DSUITE!A:D,3,FALSE),"-")</f>
        <v>-</v>
      </c>
      <c r="AT89" t="str">
        <f>_xlfn.IFNA(VLOOKUP(Sheet1!$C89,MONG_DSUITE!A:E,2,FALSE),"-")</f>
        <v>xxx</v>
      </c>
      <c r="AU89" t="str">
        <f>_xlfn.IFNA(VLOOKUP(Sheet1!$C89,MAC_PAINT2!A:D,4,FALSE),"-")</f>
        <v>-</v>
      </c>
    </row>
    <row r="90" spans="1:49" customFormat="1" x14ac:dyDescent="0.4">
      <c r="A90">
        <v>3541</v>
      </c>
      <c r="B90" t="s">
        <v>110</v>
      </c>
      <c r="C90" t="s">
        <v>111</v>
      </c>
      <c r="D90" t="str">
        <f>_xlfn.CONCAT(C90,".bam")</f>
        <v>SYST-MOR-0006778.bam</v>
      </c>
      <c r="E90" t="s">
        <v>112</v>
      </c>
      <c r="F90" t="s">
        <v>2406</v>
      </c>
      <c r="G90" t="s">
        <v>2402</v>
      </c>
      <c r="H90" t="s">
        <v>2489</v>
      </c>
      <c r="I90" t="s">
        <v>118</v>
      </c>
      <c r="K90" t="s">
        <v>45</v>
      </c>
      <c r="L90" t="s">
        <v>45</v>
      </c>
      <c r="N90" t="s">
        <v>45</v>
      </c>
      <c r="P90" t="s">
        <v>113</v>
      </c>
      <c r="Q90" t="s">
        <v>114</v>
      </c>
      <c r="R90" t="s">
        <v>2597</v>
      </c>
      <c r="S90" s="1">
        <v>44720</v>
      </c>
      <c r="T90" t="s">
        <v>115</v>
      </c>
      <c r="U90" t="s">
        <v>34</v>
      </c>
      <c r="V90" s="1">
        <v>44722</v>
      </c>
      <c r="W90" t="s">
        <v>35</v>
      </c>
      <c r="X90" t="s">
        <v>116</v>
      </c>
      <c r="Y90" t="s">
        <v>117</v>
      </c>
      <c r="Z90" t="s">
        <v>38</v>
      </c>
      <c r="AA90" t="s">
        <v>118</v>
      </c>
      <c r="AD90" t="s">
        <v>45</v>
      </c>
      <c r="AE90">
        <v>42.031072379999998</v>
      </c>
      <c r="AF90">
        <v>-93.630173009999993</v>
      </c>
      <c r="AG90" t="s">
        <v>40</v>
      </c>
      <c r="AH90" t="s">
        <v>41</v>
      </c>
      <c r="AI90">
        <v>42.031072380700003</v>
      </c>
      <c r="AJ90">
        <v>-93.630173006299998</v>
      </c>
      <c r="AK90">
        <v>7.000053869887779E-10</v>
      </c>
      <c r="AL90">
        <v>3.6999949770688545E-9</v>
      </c>
      <c r="AM90" t="str">
        <f>_xlfn.IFNA(VLOOKUP(Sheet1!$C90,ADMIX_ALL!A:B,2,FALSE),"none")</f>
        <v>K6-18</v>
      </c>
      <c r="AN90" t="str">
        <f>_xlfn.IFNA(VLOOKUP(Sheet1!C90,ADMIX_SS!A:B,2,FALSE),"none")</f>
        <v>SubSample</v>
      </c>
      <c r="AO90" t="str">
        <f>_xlfn.IFNA(VLOOKUP(Sheet1!$C90,MONG_PHYLO!A:C,3,FALSE),"-")</f>
        <v>-</v>
      </c>
      <c r="AP90" t="str">
        <f>_xlfn.IFNA(VLOOKUP(Sheet1!$C90,MAC_PHYLO!A:C,3,FALSE),"-")</f>
        <v>-</v>
      </c>
      <c r="AQ90" t="str">
        <f>_xlfn.IFNA(VLOOKUP(Sheet1!$C90,ConStruct!A:C,3,FALSE),"-")</f>
        <v>ConStruct</v>
      </c>
      <c r="AR90" t="str">
        <f>_xlfn.IFNA(VLOOKUP(Sheet1!$C90,GEA!A:C,3,FALSE),"-")</f>
        <v>GEA</v>
      </c>
      <c r="AS90" t="str">
        <f>_xlfn.IFNA(VLOOKUP(Sheet1!$C90,MAC_DSUITE!A:D,3,FALSE),"-")</f>
        <v>mac_IA_BSP</v>
      </c>
      <c r="AT90" t="str">
        <f>_xlfn.IFNA(VLOOKUP(Sheet1!$C90,MONG_DSUITE!A:E,2,FALSE),"-")</f>
        <v>macrocarpa_BSP</v>
      </c>
      <c r="AU90" t="str">
        <f>_xlfn.IFNA(VLOOKUP(Sheet1!$C90,MAC_PAINT2!A:D,4,FALSE),"-")</f>
        <v>macpaint</v>
      </c>
      <c r="AV90" t="s">
        <v>9193</v>
      </c>
      <c r="AW90" t="s">
        <v>9193</v>
      </c>
    </row>
    <row r="91" spans="1:49" customFormat="1" x14ac:dyDescent="0.4">
      <c r="A91">
        <v>3542</v>
      </c>
      <c r="B91" t="s">
        <v>119</v>
      </c>
      <c r="C91" t="s">
        <v>120</v>
      </c>
      <c r="D91" t="str">
        <f>_xlfn.CONCAT(C91,".bam")</f>
        <v>SYST-MOR-0006779.bam</v>
      </c>
      <c r="E91" t="s">
        <v>121</v>
      </c>
      <c r="F91" t="s">
        <v>2406</v>
      </c>
      <c r="G91" t="s">
        <v>2402</v>
      </c>
      <c r="H91" t="s">
        <v>2489</v>
      </c>
      <c r="I91" t="s">
        <v>118</v>
      </c>
      <c r="K91" t="s">
        <v>45</v>
      </c>
      <c r="L91" t="s">
        <v>45</v>
      </c>
      <c r="N91" t="s">
        <v>45</v>
      </c>
      <c r="P91" t="s">
        <v>113</v>
      </c>
      <c r="Q91" t="s">
        <v>114</v>
      </c>
      <c r="R91" t="s">
        <v>2597</v>
      </c>
      <c r="S91" s="1">
        <v>44720</v>
      </c>
      <c r="T91" t="s">
        <v>115</v>
      </c>
      <c r="U91" t="s">
        <v>34</v>
      </c>
      <c r="V91" s="1">
        <v>44722</v>
      </c>
      <c r="W91" t="s">
        <v>35</v>
      </c>
      <c r="X91" t="s">
        <v>116</v>
      </c>
      <c r="Y91" t="s">
        <v>117</v>
      </c>
      <c r="Z91" t="s">
        <v>38</v>
      </c>
      <c r="AA91" t="s">
        <v>118</v>
      </c>
      <c r="AD91" t="s">
        <v>45</v>
      </c>
      <c r="AE91">
        <v>42.03371379</v>
      </c>
      <c r="AF91">
        <v>-93.630409979999996</v>
      </c>
      <c r="AG91" t="s">
        <v>40</v>
      </c>
      <c r="AH91" t="s">
        <v>41</v>
      </c>
      <c r="AI91">
        <v>42.0337137904</v>
      </c>
      <c r="AJ91">
        <v>-93.630409976600006</v>
      </c>
      <c r="AK91">
        <v>4.000000330961484E-10</v>
      </c>
      <c r="AL91">
        <v>3.399989623176225E-9</v>
      </c>
      <c r="AM91" t="str">
        <f>_xlfn.IFNA(VLOOKUP(Sheet1!$C91,ADMIX_ALL!A:B,2,FALSE),"none")</f>
        <v>K6-18</v>
      </c>
      <c r="AN91" t="str">
        <f>_xlfn.IFNA(VLOOKUP(Sheet1!C91,ADMIX_SS!A:B,2,FALSE),"none")</f>
        <v>SubSample</v>
      </c>
      <c r="AO91" t="str">
        <f>_xlfn.IFNA(VLOOKUP(Sheet1!$C91,MONG_PHYLO!A:C,3,FALSE),"-")</f>
        <v>-</v>
      </c>
      <c r="AP91" t="str">
        <f>_xlfn.IFNA(VLOOKUP(Sheet1!$C91,MAC_PHYLO!A:C,3,FALSE),"-")</f>
        <v>-</v>
      </c>
      <c r="AQ91" t="str">
        <f>_xlfn.IFNA(VLOOKUP(Sheet1!$C91,ConStruct!A:C,3,FALSE),"-")</f>
        <v>ConStruct</v>
      </c>
      <c r="AR91" t="str">
        <f>_xlfn.IFNA(VLOOKUP(Sheet1!$C91,GEA!A:C,3,FALSE),"-")</f>
        <v>GEA</v>
      </c>
      <c r="AS91" t="str">
        <f>_xlfn.IFNA(VLOOKUP(Sheet1!$C91,MAC_DSUITE!A:D,3,FALSE),"-")</f>
        <v>mac_IA_BSP</v>
      </c>
      <c r="AT91" t="str">
        <f>_xlfn.IFNA(VLOOKUP(Sheet1!$C91,MONG_DSUITE!A:E,2,FALSE),"-")</f>
        <v>macrocarpa_BSP</v>
      </c>
      <c r="AU91" t="str">
        <f>_xlfn.IFNA(VLOOKUP(Sheet1!$C91,MAC_PAINT2!A:D,4,FALSE),"-")</f>
        <v>macpaint</v>
      </c>
      <c r="AV91" t="s">
        <v>9193</v>
      </c>
      <c r="AW91" t="s">
        <v>9193</v>
      </c>
    </row>
    <row r="92" spans="1:49" customFormat="1" x14ac:dyDescent="0.4">
      <c r="A92">
        <v>3543</v>
      </c>
      <c r="B92" t="s">
        <v>122</v>
      </c>
      <c r="C92" t="s">
        <v>123</v>
      </c>
      <c r="D92" t="str">
        <f>_xlfn.CONCAT(C92,".bam")</f>
        <v>SYST-MOR-0006780.bam</v>
      </c>
      <c r="E92" t="s">
        <v>124</v>
      </c>
      <c r="F92" t="s">
        <v>2406</v>
      </c>
      <c r="G92" t="s">
        <v>2402</v>
      </c>
      <c r="H92" t="s">
        <v>2489</v>
      </c>
      <c r="I92" t="s">
        <v>118</v>
      </c>
      <c r="K92" t="s">
        <v>45</v>
      </c>
      <c r="L92" t="s">
        <v>45</v>
      </c>
      <c r="N92" t="s">
        <v>45</v>
      </c>
      <c r="P92" t="s">
        <v>113</v>
      </c>
      <c r="Q92" t="s">
        <v>114</v>
      </c>
      <c r="R92" t="s">
        <v>2597</v>
      </c>
      <c r="S92" s="1">
        <v>44720</v>
      </c>
      <c r="T92" t="s">
        <v>115</v>
      </c>
      <c r="U92" t="s">
        <v>34</v>
      </c>
      <c r="V92" s="1">
        <v>44722</v>
      </c>
      <c r="W92" t="s">
        <v>35</v>
      </c>
      <c r="X92" t="s">
        <v>116</v>
      </c>
      <c r="Y92" t="s">
        <v>117</v>
      </c>
      <c r="Z92" t="s">
        <v>38</v>
      </c>
      <c r="AA92" t="s">
        <v>118</v>
      </c>
      <c r="AD92" t="s">
        <v>45</v>
      </c>
      <c r="AE92">
        <v>42.034319250000003</v>
      </c>
      <c r="AF92">
        <v>-93.630245009999996</v>
      </c>
      <c r="AG92" t="s">
        <v>40</v>
      </c>
      <c r="AH92" t="s">
        <v>41</v>
      </c>
      <c r="AI92">
        <v>42.034319252700001</v>
      </c>
      <c r="AJ92">
        <v>-93.630245011400007</v>
      </c>
      <c r="AK92">
        <v>2.6999984470421623E-9</v>
      </c>
      <c r="AL92">
        <v>-1.4000107739775558E-9</v>
      </c>
      <c r="AM92" t="str">
        <f>_xlfn.IFNA(VLOOKUP(Sheet1!$C92,ADMIX_ALL!A:B,2,FALSE),"none")</f>
        <v>K6-18</v>
      </c>
      <c r="AN92" t="str">
        <f>_xlfn.IFNA(VLOOKUP(Sheet1!C92,ADMIX_SS!A:B,2,FALSE),"none")</f>
        <v>SubSample</v>
      </c>
      <c r="AO92" t="str">
        <f>_xlfn.IFNA(VLOOKUP(Sheet1!$C92,MONG_PHYLO!A:C,3,FALSE),"-")</f>
        <v>-</v>
      </c>
      <c r="AP92" t="str">
        <f>_xlfn.IFNA(VLOOKUP(Sheet1!$C92,MAC_PHYLO!A:C,3,FALSE),"-")</f>
        <v>-</v>
      </c>
      <c r="AQ92" t="str">
        <f>_xlfn.IFNA(VLOOKUP(Sheet1!$C92,ConStruct!A:C,3,FALSE),"-")</f>
        <v>ConStruct</v>
      </c>
      <c r="AR92" t="str">
        <f>_xlfn.IFNA(VLOOKUP(Sheet1!$C92,GEA!A:C,3,FALSE),"-")</f>
        <v>GEA</v>
      </c>
      <c r="AS92" t="str">
        <f>_xlfn.IFNA(VLOOKUP(Sheet1!$C92,MAC_DSUITE!A:D,3,FALSE),"-")</f>
        <v>mac_IA_BSP</v>
      </c>
      <c r="AT92" t="str">
        <f>_xlfn.IFNA(VLOOKUP(Sheet1!$C92,MONG_DSUITE!A:E,2,FALSE),"-")</f>
        <v>macrocarpa_BSP</v>
      </c>
      <c r="AU92" t="str">
        <f>_xlfn.IFNA(VLOOKUP(Sheet1!$C92,MAC_PAINT2!A:D,4,FALSE),"-")</f>
        <v>macpaint</v>
      </c>
      <c r="AV92" t="s">
        <v>9193</v>
      </c>
      <c r="AW92" t="s">
        <v>9193</v>
      </c>
    </row>
    <row r="93" spans="1:49" customFormat="1" x14ac:dyDescent="0.4">
      <c r="A93">
        <v>3544</v>
      </c>
      <c r="B93" t="s">
        <v>125</v>
      </c>
      <c r="C93" t="s">
        <v>126</v>
      </c>
      <c r="D93" t="str">
        <f>_xlfn.CONCAT(C93,".bam")</f>
        <v>SYST-MOR-0006781.bam</v>
      </c>
      <c r="E93" t="s">
        <v>127</v>
      </c>
      <c r="F93" t="s">
        <v>2406</v>
      </c>
      <c r="G93" t="s">
        <v>2402</v>
      </c>
      <c r="H93" t="s">
        <v>2489</v>
      </c>
      <c r="I93" t="s">
        <v>118</v>
      </c>
      <c r="K93" t="s">
        <v>45</v>
      </c>
      <c r="L93" t="s">
        <v>45</v>
      </c>
      <c r="N93" t="s">
        <v>45</v>
      </c>
      <c r="P93" t="s">
        <v>113</v>
      </c>
      <c r="Q93" t="s">
        <v>114</v>
      </c>
      <c r="R93" t="s">
        <v>2597</v>
      </c>
      <c r="S93" s="1">
        <v>44720</v>
      </c>
      <c r="T93" t="s">
        <v>115</v>
      </c>
      <c r="U93" t="s">
        <v>34</v>
      </c>
      <c r="V93" s="1">
        <v>44722</v>
      </c>
      <c r="W93" t="s">
        <v>35</v>
      </c>
      <c r="X93" t="s">
        <v>116</v>
      </c>
      <c r="Y93" t="s">
        <v>117</v>
      </c>
      <c r="Z93" t="s">
        <v>38</v>
      </c>
      <c r="AA93" t="s">
        <v>118</v>
      </c>
      <c r="AD93" t="s">
        <v>45</v>
      </c>
      <c r="AE93">
        <v>42.029397359999997</v>
      </c>
      <c r="AF93">
        <v>-93.628202259999995</v>
      </c>
      <c r="AG93" t="s">
        <v>40</v>
      </c>
      <c r="AH93" t="s">
        <v>41</v>
      </c>
      <c r="AI93">
        <v>42.029397357299999</v>
      </c>
      <c r="AJ93">
        <v>-93.628202257799998</v>
      </c>
      <c r="AK93">
        <v>-2.6999984470421623E-9</v>
      </c>
      <c r="AL93">
        <v>2.1999966293151374E-9</v>
      </c>
      <c r="AM93" t="str">
        <f>_xlfn.IFNA(VLOOKUP(Sheet1!$C93,ADMIX_ALL!A:B,2,FALSE),"none")</f>
        <v>K6-18</v>
      </c>
      <c r="AN93" t="str">
        <f>_xlfn.IFNA(VLOOKUP(Sheet1!C93,ADMIX_SS!A:B,2,FALSE),"none")</f>
        <v>SubSample</v>
      </c>
      <c r="AO93" t="str">
        <f>_xlfn.IFNA(VLOOKUP(Sheet1!$C93,MONG_PHYLO!A:C,3,FALSE),"-")</f>
        <v>-</v>
      </c>
      <c r="AP93" t="str">
        <f>_xlfn.IFNA(VLOOKUP(Sheet1!$C93,MAC_PHYLO!A:C,3,FALSE),"-")</f>
        <v>-</v>
      </c>
      <c r="AQ93" t="str">
        <f>_xlfn.IFNA(VLOOKUP(Sheet1!$C93,ConStruct!A:C,3,FALSE),"-")</f>
        <v>ConStruct</v>
      </c>
      <c r="AR93" t="str">
        <f>_xlfn.IFNA(VLOOKUP(Sheet1!$C93,GEA!A:C,3,FALSE),"-")</f>
        <v>GEA</v>
      </c>
      <c r="AS93" t="str">
        <f>_xlfn.IFNA(VLOOKUP(Sheet1!$C93,MAC_DSUITE!A:D,3,FALSE),"-")</f>
        <v>mac_IA_BSP</v>
      </c>
      <c r="AT93" t="str">
        <f>_xlfn.IFNA(VLOOKUP(Sheet1!$C93,MONG_DSUITE!A:E,2,FALSE),"-")</f>
        <v>macrocarpa_BSP</v>
      </c>
      <c r="AU93" t="str">
        <f>_xlfn.IFNA(VLOOKUP(Sheet1!$C93,MAC_PAINT2!A:D,4,FALSE),"-")</f>
        <v>macpaint</v>
      </c>
      <c r="AV93" t="s">
        <v>9193</v>
      </c>
      <c r="AW93" t="s">
        <v>9193</v>
      </c>
    </row>
    <row r="94" spans="1:49" customFormat="1" x14ac:dyDescent="0.4">
      <c r="A94">
        <v>3545</v>
      </c>
      <c r="B94" t="s">
        <v>128</v>
      </c>
      <c r="C94" t="s">
        <v>129</v>
      </c>
      <c r="D94" t="str">
        <f>_xlfn.CONCAT(C94,".bam")</f>
        <v>SYST-MOR-0006782.bam</v>
      </c>
      <c r="E94" t="s">
        <v>130</v>
      </c>
      <c r="F94" t="s">
        <v>2406</v>
      </c>
      <c r="G94" t="s">
        <v>2402</v>
      </c>
      <c r="H94" t="s">
        <v>2489</v>
      </c>
      <c r="I94" t="s">
        <v>118</v>
      </c>
      <c r="K94" t="s">
        <v>45</v>
      </c>
      <c r="L94" t="s">
        <v>45</v>
      </c>
      <c r="N94" t="s">
        <v>45</v>
      </c>
      <c r="P94" t="s">
        <v>113</v>
      </c>
      <c r="Q94" t="s">
        <v>114</v>
      </c>
      <c r="R94" t="s">
        <v>2597</v>
      </c>
      <c r="S94" s="1">
        <v>44720</v>
      </c>
      <c r="T94" t="s">
        <v>115</v>
      </c>
      <c r="U94" t="s">
        <v>34</v>
      </c>
      <c r="V94" s="1">
        <v>44722</v>
      </c>
      <c r="W94" t="s">
        <v>35</v>
      </c>
      <c r="X94" t="s">
        <v>116</v>
      </c>
      <c r="Y94" t="s">
        <v>117</v>
      </c>
      <c r="Z94" t="s">
        <v>38</v>
      </c>
      <c r="AA94" t="s">
        <v>118</v>
      </c>
      <c r="AD94" t="s">
        <v>45</v>
      </c>
      <c r="AE94">
        <v>42.028730779999997</v>
      </c>
      <c r="AF94">
        <v>-93.628244769999995</v>
      </c>
      <c r="AG94" t="s">
        <v>40</v>
      </c>
      <c r="AH94" t="s">
        <v>41</v>
      </c>
      <c r="AI94">
        <v>42.028730779299998</v>
      </c>
      <c r="AJ94">
        <v>-93.628244769099993</v>
      </c>
      <c r="AK94">
        <v>-6.999982815614203E-10</v>
      </c>
      <c r="AL94">
        <v>9.000018508231733E-10</v>
      </c>
      <c r="AM94" t="str">
        <f>_xlfn.IFNA(VLOOKUP(Sheet1!$C94,ADMIX_ALL!A:B,2,FALSE),"none")</f>
        <v>K6-18</v>
      </c>
      <c r="AN94" t="str">
        <f>_xlfn.IFNA(VLOOKUP(Sheet1!C94,ADMIX_SS!A:B,2,FALSE),"none")</f>
        <v>SubSample</v>
      </c>
      <c r="AO94" t="str">
        <f>_xlfn.IFNA(VLOOKUP(Sheet1!$C94,MONG_PHYLO!A:C,3,FALSE),"-")</f>
        <v>-</v>
      </c>
      <c r="AP94" t="str">
        <f>_xlfn.IFNA(VLOOKUP(Sheet1!$C94,MAC_PHYLO!A:C,3,FALSE),"-")</f>
        <v>-</v>
      </c>
      <c r="AQ94" t="str">
        <f>_xlfn.IFNA(VLOOKUP(Sheet1!$C94,ConStruct!A:C,3,FALSE),"-")</f>
        <v>ConStruct</v>
      </c>
      <c r="AR94" t="str">
        <f>_xlfn.IFNA(VLOOKUP(Sheet1!$C94,GEA!A:C,3,FALSE),"-")</f>
        <v>GEA</v>
      </c>
      <c r="AS94" t="str">
        <f>_xlfn.IFNA(VLOOKUP(Sheet1!$C94,MAC_DSUITE!A:D,3,FALSE),"-")</f>
        <v>mac_IA_BSP</v>
      </c>
      <c r="AT94" t="str">
        <f>_xlfn.IFNA(VLOOKUP(Sheet1!$C94,MONG_DSUITE!A:E,2,FALSE),"-")</f>
        <v>macrocarpa_BSP</v>
      </c>
      <c r="AU94" t="str">
        <f>_xlfn.IFNA(VLOOKUP(Sheet1!$C94,MAC_PAINT2!A:D,4,FALSE),"-")</f>
        <v>macpaint</v>
      </c>
      <c r="AV94" t="s">
        <v>9193</v>
      </c>
      <c r="AW94" t="s">
        <v>9193</v>
      </c>
    </row>
    <row r="95" spans="1:49" customFormat="1" x14ac:dyDescent="0.4">
      <c r="A95">
        <v>3546</v>
      </c>
      <c r="B95" t="s">
        <v>152</v>
      </c>
      <c r="C95" t="s">
        <v>153</v>
      </c>
      <c r="D95" t="str">
        <f>_xlfn.CONCAT(C95,".bam")</f>
        <v>SYST-MOR-0006783.bam</v>
      </c>
      <c r="E95" t="s">
        <v>154</v>
      </c>
      <c r="F95" t="s">
        <v>2406</v>
      </c>
      <c r="G95" t="s">
        <v>2404</v>
      </c>
      <c r="H95" t="s">
        <v>2491</v>
      </c>
      <c r="I95" t="s">
        <v>157</v>
      </c>
      <c r="K95" t="s">
        <v>64</v>
      </c>
      <c r="L95" t="s">
        <v>64</v>
      </c>
      <c r="N95" t="s">
        <v>64</v>
      </c>
      <c r="P95" t="s">
        <v>113</v>
      </c>
      <c r="Q95" t="s">
        <v>155</v>
      </c>
      <c r="R95" t="s">
        <v>2599</v>
      </c>
      <c r="S95" s="1">
        <v>44721</v>
      </c>
      <c r="T95" t="s">
        <v>115</v>
      </c>
      <c r="U95" t="s">
        <v>34</v>
      </c>
      <c r="V95" s="1">
        <v>44722</v>
      </c>
      <c r="W95" t="s">
        <v>35</v>
      </c>
      <c r="X95" t="s">
        <v>116</v>
      </c>
      <c r="Y95" t="s">
        <v>156</v>
      </c>
      <c r="Z95" t="s">
        <v>38</v>
      </c>
      <c r="AA95" t="s">
        <v>157</v>
      </c>
      <c r="AD95" t="s">
        <v>64</v>
      </c>
      <c r="AE95">
        <v>40.710377000000001</v>
      </c>
      <c r="AF95">
        <v>-91.797389440000003</v>
      </c>
      <c r="AG95" t="s">
        <v>40</v>
      </c>
      <c r="AH95" t="s">
        <v>41</v>
      </c>
      <c r="AI95">
        <v>40.710377002400001</v>
      </c>
      <c r="AJ95">
        <v>-91.797389443699998</v>
      </c>
      <c r="AK95">
        <v>2.4000001985768904E-9</v>
      </c>
      <c r="AL95">
        <v>-3.6999949770688545E-9</v>
      </c>
      <c r="AM95" t="str">
        <f>_xlfn.IFNA(VLOOKUP(Sheet1!$C95,ADMIX_ALL!A:B,2,FALSE),"none")</f>
        <v>K6-18</v>
      </c>
      <c r="AN95" t="str">
        <f>_xlfn.IFNA(VLOOKUP(Sheet1!C95,ADMIX_SS!A:B,2,FALSE),"none")</f>
        <v>SubSample</v>
      </c>
      <c r="AO95" t="str">
        <f>_xlfn.IFNA(VLOOKUP(Sheet1!$C95,MONG_PHYLO!A:C,3,FALSE),"-")</f>
        <v>-</v>
      </c>
      <c r="AP95" t="str">
        <f>_xlfn.IFNA(VLOOKUP(Sheet1!$C95,MAC_PHYLO!A:C,3,FALSE),"-")</f>
        <v>-</v>
      </c>
      <c r="AQ95" t="str">
        <f>_xlfn.IFNA(VLOOKUP(Sheet1!$C95,ConStruct!A:C,3,FALSE),"-")</f>
        <v>-</v>
      </c>
      <c r="AR95" t="str">
        <f>_xlfn.IFNA(VLOOKUP(Sheet1!$C95,GEA!A:C,3,FALSE),"-")</f>
        <v>-</v>
      </c>
      <c r="AS95" t="str">
        <f>_xlfn.IFNA(VLOOKUP(Sheet1!$C95,MAC_DSUITE!A:D,3,FALSE),"-")</f>
        <v>-</v>
      </c>
      <c r="AT95" t="str">
        <f>_xlfn.IFNA(VLOOKUP(Sheet1!$C95,MONG_DSUITE!A:E,2,FALSE),"-")</f>
        <v>xxx</v>
      </c>
      <c r="AU95" t="str">
        <f>_xlfn.IFNA(VLOOKUP(Sheet1!$C95,MAC_PAINT2!A:D,4,FALSE),"-")</f>
        <v>-</v>
      </c>
    </row>
    <row r="96" spans="1:49" customFormat="1" x14ac:dyDescent="0.4">
      <c r="A96">
        <v>3547</v>
      </c>
      <c r="B96" t="s">
        <v>158</v>
      </c>
      <c r="C96" t="s">
        <v>159</v>
      </c>
      <c r="D96" t="str">
        <f>_xlfn.CONCAT(C96,".bam")</f>
        <v>SYST-MOR-0006784.bam</v>
      </c>
      <c r="E96" t="s">
        <v>160</v>
      </c>
      <c r="F96" t="s">
        <v>2406</v>
      </c>
      <c r="G96" t="s">
        <v>2404</v>
      </c>
      <c r="H96" t="s">
        <v>2491</v>
      </c>
      <c r="I96" t="s">
        <v>157</v>
      </c>
      <c r="K96" t="s">
        <v>64</v>
      </c>
      <c r="L96" t="s">
        <v>64</v>
      </c>
      <c r="N96" t="s">
        <v>64</v>
      </c>
      <c r="P96" t="s">
        <v>113</v>
      </c>
      <c r="Q96" t="s">
        <v>155</v>
      </c>
      <c r="R96" t="s">
        <v>2599</v>
      </c>
      <c r="S96" s="1">
        <v>44721</v>
      </c>
      <c r="T96" t="s">
        <v>115</v>
      </c>
      <c r="U96" t="s">
        <v>34</v>
      </c>
      <c r="V96" s="1">
        <v>44722</v>
      </c>
      <c r="W96" t="s">
        <v>35</v>
      </c>
      <c r="X96" t="s">
        <v>116</v>
      </c>
      <c r="Y96" t="s">
        <v>156</v>
      </c>
      <c r="Z96" t="s">
        <v>38</v>
      </c>
      <c r="AA96" t="s">
        <v>157</v>
      </c>
      <c r="AD96" t="s">
        <v>64</v>
      </c>
      <c r="AE96">
        <v>40.709859000000002</v>
      </c>
      <c r="AF96">
        <v>-91.796244999999999</v>
      </c>
      <c r="AG96" t="s">
        <v>40</v>
      </c>
      <c r="AH96" t="s">
        <v>41</v>
      </c>
      <c r="AI96">
        <v>40.710434251000002</v>
      </c>
      <c r="AJ96">
        <v>-91.797422504400004</v>
      </c>
      <c r="AK96">
        <v>5.75251000000776E-4</v>
      </c>
      <c r="AL96">
        <v>-1.1775044000046364E-3</v>
      </c>
      <c r="AM96" t="str">
        <f>_xlfn.IFNA(VLOOKUP(Sheet1!$C96,ADMIX_ALL!A:B,2,FALSE),"none")</f>
        <v>K6-18</v>
      </c>
      <c r="AN96" t="str">
        <f>_xlfn.IFNA(VLOOKUP(Sheet1!C96,ADMIX_SS!A:B,2,FALSE),"none")</f>
        <v>SubSample</v>
      </c>
      <c r="AO96" t="str">
        <f>_xlfn.IFNA(VLOOKUP(Sheet1!$C96,MONG_PHYLO!A:C,3,FALSE),"-")</f>
        <v>-</v>
      </c>
      <c r="AP96" t="str">
        <f>_xlfn.IFNA(VLOOKUP(Sheet1!$C96,MAC_PHYLO!A:C,3,FALSE),"-")</f>
        <v>-</v>
      </c>
      <c r="AQ96" t="str">
        <f>_xlfn.IFNA(VLOOKUP(Sheet1!$C96,ConStruct!A:C,3,FALSE),"-")</f>
        <v>-</v>
      </c>
      <c r="AR96" t="str">
        <f>_xlfn.IFNA(VLOOKUP(Sheet1!$C96,GEA!A:C,3,FALSE),"-")</f>
        <v>-</v>
      </c>
      <c r="AS96" t="str">
        <f>_xlfn.IFNA(VLOOKUP(Sheet1!$C96,MAC_DSUITE!A:D,3,FALSE),"-")</f>
        <v>-</v>
      </c>
      <c r="AT96" t="str">
        <f>_xlfn.IFNA(VLOOKUP(Sheet1!$C96,MONG_DSUITE!A:E,2,FALSE),"-")</f>
        <v>xxx</v>
      </c>
      <c r="AU96" t="str">
        <f>_xlfn.IFNA(VLOOKUP(Sheet1!$C96,MAC_PAINT2!A:D,4,FALSE),"-")</f>
        <v>-</v>
      </c>
    </row>
    <row r="97" spans="1:49" customFormat="1" x14ac:dyDescent="0.4">
      <c r="A97">
        <v>3548</v>
      </c>
      <c r="B97" t="s">
        <v>161</v>
      </c>
      <c r="C97" t="s">
        <v>162</v>
      </c>
      <c r="D97" t="str">
        <f>_xlfn.CONCAT(C97,".bam")</f>
        <v>SYST-MOR-0006785.bam</v>
      </c>
      <c r="E97" t="s">
        <v>163</v>
      </c>
      <c r="F97" t="s">
        <v>2406</v>
      </c>
      <c r="G97" t="s">
        <v>2404</v>
      </c>
      <c r="H97" t="s">
        <v>2491</v>
      </c>
      <c r="I97" t="s">
        <v>157</v>
      </c>
      <c r="K97" t="s">
        <v>64</v>
      </c>
      <c r="L97" t="s">
        <v>64</v>
      </c>
      <c r="N97" t="s">
        <v>64</v>
      </c>
      <c r="P97" t="s">
        <v>113</v>
      </c>
      <c r="Q97" t="s">
        <v>155</v>
      </c>
      <c r="R97" t="s">
        <v>2599</v>
      </c>
      <c r="S97" s="1">
        <v>44721</v>
      </c>
      <c r="T97" t="s">
        <v>115</v>
      </c>
      <c r="U97" t="s">
        <v>34</v>
      </c>
      <c r="V97" s="1">
        <v>44722</v>
      </c>
      <c r="W97" t="s">
        <v>35</v>
      </c>
      <c r="X97" t="s">
        <v>116</v>
      </c>
      <c r="Y97" t="s">
        <v>156</v>
      </c>
      <c r="Z97" t="s">
        <v>38</v>
      </c>
      <c r="AA97" t="s">
        <v>157</v>
      </c>
      <c r="AD97" t="s">
        <v>64</v>
      </c>
      <c r="AE97">
        <v>40.710200999999998</v>
      </c>
      <c r="AF97">
        <v>-91.794681999999995</v>
      </c>
      <c r="AG97" t="s">
        <v>40</v>
      </c>
      <c r="AH97" t="s">
        <v>41</v>
      </c>
      <c r="AI97">
        <v>40.710810455500003</v>
      </c>
      <c r="AJ97">
        <v>-91.794374194100001</v>
      </c>
      <c r="AK97">
        <v>6.0945550000468529E-4</v>
      </c>
      <c r="AL97">
        <v>3.0780589999324093E-4</v>
      </c>
      <c r="AM97" t="str">
        <f>_xlfn.IFNA(VLOOKUP(Sheet1!$C97,ADMIX_ALL!A:B,2,FALSE),"none")</f>
        <v>K6-18</v>
      </c>
      <c r="AN97" t="str">
        <f>_xlfn.IFNA(VLOOKUP(Sheet1!C97,ADMIX_SS!A:B,2,FALSE),"none")</f>
        <v>SubSample</v>
      </c>
      <c r="AO97" t="str">
        <f>_xlfn.IFNA(VLOOKUP(Sheet1!$C97,MONG_PHYLO!A:C,3,FALSE),"-")</f>
        <v>-</v>
      </c>
      <c r="AP97" t="str">
        <f>_xlfn.IFNA(VLOOKUP(Sheet1!$C97,MAC_PHYLO!A:C,3,FALSE),"-")</f>
        <v>-</v>
      </c>
      <c r="AQ97" t="str">
        <f>_xlfn.IFNA(VLOOKUP(Sheet1!$C97,ConStruct!A:C,3,FALSE),"-")</f>
        <v>-</v>
      </c>
      <c r="AR97" t="str">
        <f>_xlfn.IFNA(VLOOKUP(Sheet1!$C97,GEA!A:C,3,FALSE),"-")</f>
        <v>-</v>
      </c>
      <c r="AS97" t="str">
        <f>_xlfn.IFNA(VLOOKUP(Sheet1!$C97,MAC_DSUITE!A:D,3,FALSE),"-")</f>
        <v>-</v>
      </c>
      <c r="AT97" t="str">
        <f>_xlfn.IFNA(VLOOKUP(Sheet1!$C97,MONG_DSUITE!A:E,2,FALSE),"-")</f>
        <v>xxx</v>
      </c>
      <c r="AU97" t="str">
        <f>_xlfn.IFNA(VLOOKUP(Sheet1!$C97,MAC_PAINT2!A:D,4,FALSE),"-")</f>
        <v>-</v>
      </c>
    </row>
    <row r="98" spans="1:49" customFormat="1" x14ac:dyDescent="0.4">
      <c r="A98">
        <v>3549</v>
      </c>
      <c r="B98" t="s">
        <v>164</v>
      </c>
      <c r="C98" t="s">
        <v>165</v>
      </c>
      <c r="D98" t="str">
        <f>_xlfn.CONCAT(C98,".bam")</f>
        <v>SYST-MOR-0006786.bam</v>
      </c>
      <c r="E98" t="s">
        <v>166</v>
      </c>
      <c r="F98" t="s">
        <v>2406</v>
      </c>
      <c r="G98" t="s">
        <v>2404</v>
      </c>
      <c r="H98" t="s">
        <v>2491</v>
      </c>
      <c r="I98" t="s">
        <v>157</v>
      </c>
      <c r="K98" t="s">
        <v>64</v>
      </c>
      <c r="L98" t="s">
        <v>64</v>
      </c>
      <c r="N98" t="s">
        <v>64</v>
      </c>
      <c r="P98" t="s">
        <v>113</v>
      </c>
      <c r="Q98" t="s">
        <v>155</v>
      </c>
      <c r="R98" t="s">
        <v>2599</v>
      </c>
      <c r="S98" s="1">
        <v>44721</v>
      </c>
      <c r="T98" t="s">
        <v>115</v>
      </c>
      <c r="U98" t="s">
        <v>34</v>
      </c>
      <c r="V98" s="1">
        <v>44722</v>
      </c>
      <c r="W98" t="s">
        <v>35</v>
      </c>
      <c r="X98" t="s">
        <v>116</v>
      </c>
      <c r="Y98" t="s">
        <v>156</v>
      </c>
      <c r="Z98" t="s">
        <v>38</v>
      </c>
      <c r="AA98" t="s">
        <v>157</v>
      </c>
      <c r="AD98" t="s">
        <v>64</v>
      </c>
      <c r="AE98">
        <v>40.710552999999997</v>
      </c>
      <c r="AF98">
        <v>-91.792546000000002</v>
      </c>
      <c r="AG98" t="s">
        <v>40</v>
      </c>
      <c r="AH98" t="s">
        <v>41</v>
      </c>
      <c r="AI98">
        <v>40.710655222699998</v>
      </c>
      <c r="AJ98">
        <v>-91.792027596500006</v>
      </c>
      <c r="AK98">
        <v>1.0222270000070921E-4</v>
      </c>
      <c r="AL98">
        <v>5.184034999956566E-4</v>
      </c>
      <c r="AM98" t="str">
        <f>_xlfn.IFNA(VLOOKUP(Sheet1!$C98,ADMIX_ALL!A:B,2,FALSE),"none")</f>
        <v>K6-18</v>
      </c>
      <c r="AN98" t="str">
        <f>_xlfn.IFNA(VLOOKUP(Sheet1!C98,ADMIX_SS!A:B,2,FALSE),"none")</f>
        <v>SubSample</v>
      </c>
      <c r="AO98" t="str">
        <f>_xlfn.IFNA(VLOOKUP(Sheet1!$C98,MONG_PHYLO!A:C,3,FALSE),"-")</f>
        <v>-</v>
      </c>
      <c r="AP98" t="str">
        <f>_xlfn.IFNA(VLOOKUP(Sheet1!$C98,MAC_PHYLO!A:C,3,FALSE),"-")</f>
        <v>-</v>
      </c>
      <c r="AQ98" t="str">
        <f>_xlfn.IFNA(VLOOKUP(Sheet1!$C98,ConStruct!A:C,3,FALSE),"-")</f>
        <v>-</v>
      </c>
      <c r="AR98" t="str">
        <f>_xlfn.IFNA(VLOOKUP(Sheet1!$C98,GEA!A:C,3,FALSE),"-")</f>
        <v>-</v>
      </c>
      <c r="AS98" t="str">
        <f>_xlfn.IFNA(VLOOKUP(Sheet1!$C98,MAC_DSUITE!A:D,3,FALSE),"-")</f>
        <v>-</v>
      </c>
      <c r="AT98" t="str">
        <f>_xlfn.IFNA(VLOOKUP(Sheet1!$C98,MONG_DSUITE!A:E,2,FALSE),"-")</f>
        <v>xxx</v>
      </c>
      <c r="AU98" t="str">
        <f>_xlfn.IFNA(VLOOKUP(Sheet1!$C98,MAC_PAINT2!A:D,4,FALSE),"-")</f>
        <v>-</v>
      </c>
    </row>
    <row r="99" spans="1:49" customFormat="1" x14ac:dyDescent="0.4">
      <c r="A99">
        <v>3550</v>
      </c>
      <c r="B99" t="s">
        <v>167</v>
      </c>
      <c r="C99" t="s">
        <v>168</v>
      </c>
      <c r="D99" t="str">
        <f>_xlfn.CONCAT(C99,".bam")</f>
        <v>SYST-MOR-0006787.bam</v>
      </c>
      <c r="E99" t="s">
        <v>169</v>
      </c>
      <c r="F99" t="s">
        <v>2406</v>
      </c>
      <c r="G99" t="s">
        <v>2404</v>
      </c>
      <c r="H99" t="s">
        <v>2491</v>
      </c>
      <c r="I99" t="s">
        <v>157</v>
      </c>
      <c r="K99" t="s">
        <v>84</v>
      </c>
      <c r="L99" t="s">
        <v>84</v>
      </c>
      <c r="N99" t="s">
        <v>84</v>
      </c>
      <c r="P99" t="s">
        <v>113</v>
      </c>
      <c r="Q99" t="s">
        <v>85</v>
      </c>
      <c r="R99" t="s">
        <v>2600</v>
      </c>
      <c r="S99" s="1">
        <v>44721</v>
      </c>
      <c r="T99" t="s">
        <v>115</v>
      </c>
      <c r="U99" t="s">
        <v>34</v>
      </c>
      <c r="V99" s="1">
        <v>44722</v>
      </c>
      <c r="W99" t="s">
        <v>35</v>
      </c>
      <c r="X99" t="s">
        <v>116</v>
      </c>
      <c r="Y99" t="s">
        <v>156</v>
      </c>
      <c r="Z99" t="s">
        <v>38</v>
      </c>
      <c r="AA99" t="s">
        <v>157</v>
      </c>
      <c r="AD99" t="s">
        <v>84</v>
      </c>
      <c r="AE99">
        <v>40.708615999999999</v>
      </c>
      <c r="AF99">
        <v>-91.787231000000006</v>
      </c>
      <c r="AG99" t="s">
        <v>40</v>
      </c>
      <c r="AH99" t="s">
        <v>41</v>
      </c>
      <c r="AI99">
        <v>40.7088689972</v>
      </c>
      <c r="AJ99">
        <v>-91.787107503100003</v>
      </c>
      <c r="AK99">
        <v>2.5299720000049319E-4</v>
      </c>
      <c r="AL99">
        <v>1.2349690000235114E-4</v>
      </c>
      <c r="AM99" t="str">
        <f>_xlfn.IFNA(VLOOKUP(Sheet1!$C99,ADMIX_ALL!A:B,2,FALSE),"none")</f>
        <v>K6-18</v>
      </c>
      <c r="AN99" t="str">
        <f>_xlfn.IFNA(VLOOKUP(Sheet1!C99,ADMIX_SS!A:B,2,FALSE),"none")</f>
        <v>Constant</v>
      </c>
      <c r="AO99" t="str">
        <f>_xlfn.IFNA(VLOOKUP(Sheet1!$C99,MONG_PHYLO!A:C,3,FALSE),"-")</f>
        <v>mue</v>
      </c>
      <c r="AP99" t="str">
        <f>_xlfn.IFNA(VLOOKUP(Sheet1!$C99,MAC_PHYLO!A:C,3,FALSE),"-")</f>
        <v>-</v>
      </c>
      <c r="AQ99" t="str">
        <f>_xlfn.IFNA(VLOOKUP(Sheet1!$C99,ConStruct!A:C,3,FALSE),"-")</f>
        <v>-</v>
      </c>
      <c r="AR99" t="str">
        <f>_xlfn.IFNA(VLOOKUP(Sheet1!$C99,GEA!A:C,3,FALSE),"-")</f>
        <v>-</v>
      </c>
      <c r="AS99" t="str">
        <f>_xlfn.IFNA(VLOOKUP(Sheet1!$C99,MAC_DSUITE!A:D,3,FALSE),"-")</f>
        <v>-</v>
      </c>
      <c r="AT99" t="str">
        <f>_xlfn.IFNA(VLOOKUP(Sheet1!$C99,MONG_DSUITE!A:E,2,FALSE),"-")</f>
        <v>muehlenbergii</v>
      </c>
      <c r="AU99" t="str">
        <f>_xlfn.IFNA(VLOOKUP(Sheet1!$C99,MAC_PAINT2!A:D,4,FALSE),"-")</f>
        <v>-</v>
      </c>
    </row>
    <row r="100" spans="1:49" customFormat="1" x14ac:dyDescent="0.4">
      <c r="A100">
        <v>3551</v>
      </c>
      <c r="B100" t="s">
        <v>170</v>
      </c>
      <c r="C100" t="s">
        <v>171</v>
      </c>
      <c r="D100" t="str">
        <f>_xlfn.CONCAT(C100,".bam")</f>
        <v>SYST-MOR-0006788.bam</v>
      </c>
      <c r="E100" t="s">
        <v>172</v>
      </c>
      <c r="F100" t="s">
        <v>2406</v>
      </c>
      <c r="G100" t="s">
        <v>2404</v>
      </c>
      <c r="H100" t="s">
        <v>2491</v>
      </c>
      <c r="I100" t="s">
        <v>157</v>
      </c>
      <c r="K100" t="s">
        <v>84</v>
      </c>
      <c r="L100" t="s">
        <v>84</v>
      </c>
      <c r="N100" t="s">
        <v>84</v>
      </c>
      <c r="P100" t="s">
        <v>113</v>
      </c>
      <c r="Q100" t="s">
        <v>85</v>
      </c>
      <c r="R100" t="s">
        <v>2600</v>
      </c>
      <c r="S100" s="1">
        <v>44721</v>
      </c>
      <c r="T100" t="s">
        <v>115</v>
      </c>
      <c r="U100" t="s">
        <v>34</v>
      </c>
      <c r="V100" s="1">
        <v>44722</v>
      </c>
      <c r="W100" t="s">
        <v>35</v>
      </c>
      <c r="X100" t="s">
        <v>116</v>
      </c>
      <c r="Y100" t="s">
        <v>156</v>
      </c>
      <c r="Z100" t="s">
        <v>38</v>
      </c>
      <c r="AA100" t="s">
        <v>157</v>
      </c>
      <c r="AD100" t="s">
        <v>84</v>
      </c>
      <c r="AE100">
        <v>40.707864999999998</v>
      </c>
      <c r="AF100">
        <v>-91.788325</v>
      </c>
      <c r="AG100" t="s">
        <v>40</v>
      </c>
      <c r="AH100" t="s">
        <v>41</v>
      </c>
      <c r="AI100">
        <v>40.708853716599997</v>
      </c>
      <c r="AJ100">
        <v>-91.787103939199994</v>
      </c>
      <c r="AK100">
        <v>9.8871659999844042E-4</v>
      </c>
      <c r="AL100">
        <v>1.2210608000060574E-3</v>
      </c>
      <c r="AM100" t="str">
        <f>_xlfn.IFNA(VLOOKUP(Sheet1!$C100,ADMIX_ALL!A:B,2,FALSE),"none")</f>
        <v>K6-18</v>
      </c>
      <c r="AN100" t="str">
        <f>_xlfn.IFNA(VLOOKUP(Sheet1!C100,ADMIX_SS!A:B,2,FALSE),"none")</f>
        <v>SubSample</v>
      </c>
      <c r="AO100" t="str">
        <f>_xlfn.IFNA(VLOOKUP(Sheet1!$C100,MONG_PHYLO!A:C,3,FALSE),"-")</f>
        <v>-</v>
      </c>
      <c r="AP100" t="str">
        <f>_xlfn.IFNA(VLOOKUP(Sheet1!$C100,MAC_PHYLO!A:C,3,FALSE),"-")</f>
        <v>-</v>
      </c>
      <c r="AQ100" t="str">
        <f>_xlfn.IFNA(VLOOKUP(Sheet1!$C100,ConStruct!A:C,3,FALSE),"-")</f>
        <v>-</v>
      </c>
      <c r="AR100" t="str">
        <f>_xlfn.IFNA(VLOOKUP(Sheet1!$C100,GEA!A:C,3,FALSE),"-")</f>
        <v>-</v>
      </c>
      <c r="AS100" t="str">
        <f>_xlfn.IFNA(VLOOKUP(Sheet1!$C100,MAC_DSUITE!A:D,3,FALSE),"-")</f>
        <v>-</v>
      </c>
      <c r="AT100" t="str">
        <f>_xlfn.IFNA(VLOOKUP(Sheet1!$C100,MONG_DSUITE!A:E,2,FALSE),"-")</f>
        <v>xxx</v>
      </c>
      <c r="AU100" t="str">
        <f>_xlfn.IFNA(VLOOKUP(Sheet1!$C100,MAC_PAINT2!A:D,4,FALSE),"-")</f>
        <v>-</v>
      </c>
    </row>
    <row r="101" spans="1:49" customFormat="1" x14ac:dyDescent="0.4">
      <c r="A101">
        <v>3552</v>
      </c>
      <c r="B101" t="s">
        <v>173</v>
      </c>
      <c r="C101" t="s">
        <v>174</v>
      </c>
      <c r="D101" t="str">
        <f>_xlfn.CONCAT(C101,".bam")</f>
        <v>SYST-MOR-0006789.bam</v>
      </c>
      <c r="E101" t="s">
        <v>175</v>
      </c>
      <c r="F101" t="s">
        <v>2406</v>
      </c>
      <c r="G101" t="s">
        <v>2404</v>
      </c>
      <c r="H101" t="s">
        <v>2491</v>
      </c>
      <c r="I101" t="s">
        <v>157</v>
      </c>
      <c r="K101" t="s">
        <v>84</v>
      </c>
      <c r="L101" t="s">
        <v>84</v>
      </c>
      <c r="N101" t="s">
        <v>84</v>
      </c>
      <c r="P101" t="s">
        <v>113</v>
      </c>
      <c r="Q101" t="s">
        <v>85</v>
      </c>
      <c r="R101" t="s">
        <v>2600</v>
      </c>
      <c r="S101" s="1">
        <v>44721</v>
      </c>
      <c r="T101" t="s">
        <v>115</v>
      </c>
      <c r="U101" t="s">
        <v>34</v>
      </c>
      <c r="V101" s="1">
        <v>44722</v>
      </c>
      <c r="W101" t="s">
        <v>35</v>
      </c>
      <c r="X101" t="s">
        <v>116</v>
      </c>
      <c r="Y101" t="s">
        <v>156</v>
      </c>
      <c r="Z101" t="s">
        <v>38</v>
      </c>
      <c r="AA101" t="s">
        <v>157</v>
      </c>
      <c r="AD101" t="s">
        <v>84</v>
      </c>
      <c r="AE101">
        <v>40.707006</v>
      </c>
      <c r="AF101">
        <v>-91.789440999999997</v>
      </c>
      <c r="AG101" t="s">
        <v>40</v>
      </c>
      <c r="AH101" t="s">
        <v>41</v>
      </c>
      <c r="AI101">
        <v>40.707071898800002</v>
      </c>
      <c r="AJ101">
        <v>-91.789413759499993</v>
      </c>
      <c r="AK101">
        <v>6.5898800002628377E-5</v>
      </c>
      <c r="AL101">
        <v>2.7240500003244961E-5</v>
      </c>
      <c r="AM101" t="str">
        <f>_xlfn.IFNA(VLOOKUP(Sheet1!$C101,ADMIX_ALL!A:B,2,FALSE),"none")</f>
        <v>K6-18</v>
      </c>
      <c r="AN101" t="str">
        <f>_xlfn.IFNA(VLOOKUP(Sheet1!C101,ADMIX_SS!A:B,2,FALSE),"none")</f>
        <v>SubSample</v>
      </c>
      <c r="AO101" t="str">
        <f>_xlfn.IFNA(VLOOKUP(Sheet1!$C101,MONG_PHYLO!A:C,3,FALSE),"-")</f>
        <v>-</v>
      </c>
      <c r="AP101" t="str">
        <f>_xlfn.IFNA(VLOOKUP(Sheet1!$C101,MAC_PHYLO!A:C,3,FALSE),"-")</f>
        <v>-</v>
      </c>
      <c r="AQ101" t="str">
        <f>_xlfn.IFNA(VLOOKUP(Sheet1!$C101,ConStruct!A:C,3,FALSE),"-")</f>
        <v>-</v>
      </c>
      <c r="AR101" t="str">
        <f>_xlfn.IFNA(VLOOKUP(Sheet1!$C101,GEA!A:C,3,FALSE),"-")</f>
        <v>-</v>
      </c>
      <c r="AS101" t="str">
        <f>_xlfn.IFNA(VLOOKUP(Sheet1!$C101,MAC_DSUITE!A:D,3,FALSE),"-")</f>
        <v>-</v>
      </c>
      <c r="AT101" t="str">
        <f>_xlfn.IFNA(VLOOKUP(Sheet1!$C101,MONG_DSUITE!A:E,2,FALSE),"-")</f>
        <v>xxx</v>
      </c>
      <c r="AU101" t="str">
        <f>_xlfn.IFNA(VLOOKUP(Sheet1!$C101,MAC_PAINT2!A:D,4,FALSE),"-")</f>
        <v>-</v>
      </c>
    </row>
    <row r="102" spans="1:49" customFormat="1" x14ac:dyDescent="0.4">
      <c r="A102">
        <v>3553</v>
      </c>
      <c r="B102" t="s">
        <v>176</v>
      </c>
      <c r="C102" t="s">
        <v>177</v>
      </c>
      <c r="D102" t="str">
        <f>_xlfn.CONCAT(C102,".bam")</f>
        <v>SYST-MOR-0006790.bam</v>
      </c>
      <c r="E102" t="s">
        <v>178</v>
      </c>
      <c r="F102" t="s">
        <v>2406</v>
      </c>
      <c r="G102" t="s">
        <v>2404</v>
      </c>
      <c r="H102" t="s">
        <v>2491</v>
      </c>
      <c r="I102" t="s">
        <v>157</v>
      </c>
      <c r="K102" t="s">
        <v>84</v>
      </c>
      <c r="L102" t="s">
        <v>84</v>
      </c>
      <c r="N102" t="s">
        <v>84</v>
      </c>
      <c r="P102" t="s">
        <v>113</v>
      </c>
      <c r="Q102" t="s">
        <v>85</v>
      </c>
      <c r="R102" t="s">
        <v>2600</v>
      </c>
      <c r="S102" s="1">
        <v>44721</v>
      </c>
      <c r="T102" t="s">
        <v>115</v>
      </c>
      <c r="U102" t="s">
        <v>34</v>
      </c>
      <c r="V102" s="1">
        <v>44722</v>
      </c>
      <c r="W102" t="s">
        <v>35</v>
      </c>
      <c r="X102" t="s">
        <v>116</v>
      </c>
      <c r="Y102" t="s">
        <v>156</v>
      </c>
      <c r="Z102" t="s">
        <v>38</v>
      </c>
      <c r="AA102" t="s">
        <v>157</v>
      </c>
      <c r="AD102" t="s">
        <v>84</v>
      </c>
      <c r="AE102">
        <v>40.706792</v>
      </c>
      <c r="AF102">
        <v>-91.790750000000003</v>
      </c>
      <c r="AG102" t="s">
        <v>40</v>
      </c>
      <c r="AH102" t="s">
        <v>41</v>
      </c>
      <c r="AI102">
        <v>40.7068740709</v>
      </c>
      <c r="AJ102">
        <v>-91.790795836200004</v>
      </c>
      <c r="AK102">
        <v>8.2070899999564517E-5</v>
      </c>
      <c r="AL102">
        <v>-4.5836200001758698E-5</v>
      </c>
      <c r="AM102" t="str">
        <f>_xlfn.IFNA(VLOOKUP(Sheet1!$C102,ADMIX_ALL!A:B,2,FALSE),"none")</f>
        <v>K6-18</v>
      </c>
      <c r="AN102" t="str">
        <f>_xlfn.IFNA(VLOOKUP(Sheet1!C102,ADMIX_SS!A:B,2,FALSE),"none")</f>
        <v>SubSample</v>
      </c>
      <c r="AO102" t="str">
        <f>_xlfn.IFNA(VLOOKUP(Sheet1!$C102,MONG_PHYLO!A:C,3,FALSE),"-")</f>
        <v>-</v>
      </c>
      <c r="AP102" t="str">
        <f>_xlfn.IFNA(VLOOKUP(Sheet1!$C102,MAC_PHYLO!A:C,3,FALSE),"-")</f>
        <v>-</v>
      </c>
      <c r="AQ102" t="str">
        <f>_xlfn.IFNA(VLOOKUP(Sheet1!$C102,ConStruct!A:C,3,FALSE),"-")</f>
        <v>-</v>
      </c>
      <c r="AR102" t="str">
        <f>_xlfn.IFNA(VLOOKUP(Sheet1!$C102,GEA!A:C,3,FALSE),"-")</f>
        <v>-</v>
      </c>
      <c r="AS102" t="str">
        <f>_xlfn.IFNA(VLOOKUP(Sheet1!$C102,MAC_DSUITE!A:D,3,FALSE),"-")</f>
        <v>-</v>
      </c>
      <c r="AT102" t="str">
        <f>_xlfn.IFNA(VLOOKUP(Sheet1!$C102,MONG_DSUITE!A:E,2,FALSE),"-")</f>
        <v>xxx</v>
      </c>
      <c r="AU102" t="str">
        <f>_xlfn.IFNA(VLOOKUP(Sheet1!$C102,MAC_PAINT2!A:D,4,FALSE),"-")</f>
        <v>-</v>
      </c>
    </row>
    <row r="103" spans="1:49" customFormat="1" x14ac:dyDescent="0.4">
      <c r="A103">
        <v>3554</v>
      </c>
      <c r="B103" t="s">
        <v>179</v>
      </c>
      <c r="C103" t="s">
        <v>180</v>
      </c>
      <c r="D103" t="str">
        <f>_xlfn.CONCAT(C103,".bam")</f>
        <v>SYST-MOR-0006791.bam</v>
      </c>
      <c r="E103" t="s">
        <v>181</v>
      </c>
      <c r="F103" t="s">
        <v>2406</v>
      </c>
      <c r="G103" t="s">
        <v>2404</v>
      </c>
      <c r="H103" t="s">
        <v>2491</v>
      </c>
      <c r="I103" t="s">
        <v>157</v>
      </c>
      <c r="K103" t="s">
        <v>45</v>
      </c>
      <c r="L103" t="s">
        <v>45</v>
      </c>
      <c r="N103" t="s">
        <v>45</v>
      </c>
      <c r="P103" t="s">
        <v>113</v>
      </c>
      <c r="Q103" t="s">
        <v>46</v>
      </c>
      <c r="R103" t="s">
        <v>2597</v>
      </c>
      <c r="S103" s="1">
        <v>44721</v>
      </c>
      <c r="T103" t="s">
        <v>115</v>
      </c>
      <c r="U103" t="s">
        <v>34</v>
      </c>
      <c r="V103" s="1">
        <v>44722</v>
      </c>
      <c r="W103" t="s">
        <v>35</v>
      </c>
      <c r="X103" t="s">
        <v>116</v>
      </c>
      <c r="Y103" t="s">
        <v>156</v>
      </c>
      <c r="Z103" t="s">
        <v>38</v>
      </c>
      <c r="AA103" t="s">
        <v>157</v>
      </c>
      <c r="AD103" t="s">
        <v>45</v>
      </c>
      <c r="AE103">
        <v>40.707563999999998</v>
      </c>
      <c r="AF103">
        <v>-91.792401999999996</v>
      </c>
      <c r="AG103" t="s">
        <v>40</v>
      </c>
      <c r="AH103" t="s">
        <v>41</v>
      </c>
      <c r="AI103">
        <v>40.707681113900001</v>
      </c>
      <c r="AJ103">
        <v>-91.792458929199995</v>
      </c>
      <c r="AK103">
        <v>1.1711390000357369E-4</v>
      </c>
      <c r="AL103">
        <v>-5.6929199999444791E-5</v>
      </c>
      <c r="AM103" t="str">
        <f>_xlfn.IFNA(VLOOKUP(Sheet1!$C103,ADMIX_ALL!A:B,2,FALSE),"none")</f>
        <v>K6-18</v>
      </c>
      <c r="AN103" t="str">
        <f>_xlfn.IFNA(VLOOKUP(Sheet1!C103,ADMIX_SS!A:B,2,FALSE),"none")</f>
        <v>SubSample</v>
      </c>
      <c r="AO103" t="str">
        <f>_xlfn.IFNA(VLOOKUP(Sheet1!$C103,MONG_PHYLO!A:C,3,FALSE),"-")</f>
        <v>-</v>
      </c>
      <c r="AP103" t="str">
        <f>_xlfn.IFNA(VLOOKUP(Sheet1!$C103,MAC_PHYLO!A:C,3,FALSE),"-")</f>
        <v>-</v>
      </c>
      <c r="AQ103" t="str">
        <f>_xlfn.IFNA(VLOOKUP(Sheet1!$C103,ConStruct!A:C,3,FALSE),"-")</f>
        <v>ConStruct</v>
      </c>
      <c r="AR103" t="str">
        <f>_xlfn.IFNA(VLOOKUP(Sheet1!$C103,GEA!A:C,3,FALSE),"-")</f>
        <v>GEA</v>
      </c>
      <c r="AS103" t="str">
        <f>_xlfn.IFNA(VLOOKUP(Sheet1!$C103,MAC_DSUITE!A:D,3,FALSE),"-")</f>
        <v>mac_IA_LNW</v>
      </c>
      <c r="AT103" t="str">
        <f>_xlfn.IFNA(VLOOKUP(Sheet1!$C103,MONG_DSUITE!A:E,2,FALSE),"-")</f>
        <v>macrocarpa_LNW</v>
      </c>
      <c r="AU103" t="str">
        <f>_xlfn.IFNA(VLOOKUP(Sheet1!$C103,MAC_PAINT2!A:D,4,FALSE),"-")</f>
        <v>macpaint</v>
      </c>
      <c r="AV103" t="s">
        <v>9193</v>
      </c>
      <c r="AW103" t="s">
        <v>9193</v>
      </c>
    </row>
    <row r="104" spans="1:49" customFormat="1" x14ac:dyDescent="0.4">
      <c r="A104">
        <v>3555</v>
      </c>
      <c r="B104" t="s">
        <v>182</v>
      </c>
      <c r="C104" t="s">
        <v>183</v>
      </c>
      <c r="D104" t="str">
        <f>_xlfn.CONCAT(C104,".bam")</f>
        <v>SYST-MOR-0006792.bam</v>
      </c>
      <c r="E104" t="s">
        <v>184</v>
      </c>
      <c r="F104" t="s">
        <v>2406</v>
      </c>
      <c r="G104" t="s">
        <v>2404</v>
      </c>
      <c r="H104" t="s">
        <v>2491</v>
      </c>
      <c r="I104" t="s">
        <v>157</v>
      </c>
      <c r="K104" t="s">
        <v>45</v>
      </c>
      <c r="L104" t="s">
        <v>45</v>
      </c>
      <c r="N104" t="s">
        <v>45</v>
      </c>
      <c r="P104" t="s">
        <v>113</v>
      </c>
      <c r="Q104" t="s">
        <v>46</v>
      </c>
      <c r="R104" t="s">
        <v>2597</v>
      </c>
      <c r="S104" s="1">
        <v>44721</v>
      </c>
      <c r="T104" t="s">
        <v>115</v>
      </c>
      <c r="U104" t="s">
        <v>34</v>
      </c>
      <c r="V104" s="1">
        <v>44722</v>
      </c>
      <c r="W104" t="s">
        <v>35</v>
      </c>
      <c r="X104" t="s">
        <v>116</v>
      </c>
      <c r="Y104" t="s">
        <v>156</v>
      </c>
      <c r="Z104" t="s">
        <v>38</v>
      </c>
      <c r="AA104" t="s">
        <v>157</v>
      </c>
      <c r="AD104" t="s">
        <v>45</v>
      </c>
      <c r="AE104">
        <v>40.707349999999998</v>
      </c>
      <c r="AF104">
        <v>-91.793153000000004</v>
      </c>
      <c r="AG104" t="s">
        <v>40</v>
      </c>
      <c r="AH104" t="s">
        <v>41</v>
      </c>
      <c r="AI104">
        <v>40.7071753918</v>
      </c>
      <c r="AJ104">
        <v>-91.792745925600002</v>
      </c>
      <c r="AK104">
        <v>-1.7460819999826072E-4</v>
      </c>
      <c r="AL104">
        <v>4.0707440000176121E-4</v>
      </c>
      <c r="AM104" t="str">
        <f>_xlfn.IFNA(VLOOKUP(Sheet1!$C104,ADMIX_ALL!A:B,2,FALSE),"none")</f>
        <v>K6-18</v>
      </c>
      <c r="AN104" t="str">
        <f>_xlfn.IFNA(VLOOKUP(Sheet1!C104,ADMIX_SS!A:B,2,FALSE),"none")</f>
        <v>SubSample</v>
      </c>
      <c r="AO104" t="str">
        <f>_xlfn.IFNA(VLOOKUP(Sheet1!$C104,MONG_PHYLO!A:C,3,FALSE),"-")</f>
        <v>-</v>
      </c>
      <c r="AP104" t="str">
        <f>_xlfn.IFNA(VLOOKUP(Sheet1!$C104,MAC_PHYLO!A:C,3,FALSE),"-")</f>
        <v>-</v>
      </c>
      <c r="AQ104" t="str">
        <f>_xlfn.IFNA(VLOOKUP(Sheet1!$C104,ConStruct!A:C,3,FALSE),"-")</f>
        <v>ConStruct</v>
      </c>
      <c r="AR104" t="str">
        <f>_xlfn.IFNA(VLOOKUP(Sheet1!$C104,GEA!A:C,3,FALSE),"-")</f>
        <v>GEA</v>
      </c>
      <c r="AS104" t="str">
        <f>_xlfn.IFNA(VLOOKUP(Sheet1!$C104,MAC_DSUITE!A:D,3,FALSE),"-")</f>
        <v>mac_IA_LNW</v>
      </c>
      <c r="AT104" t="str">
        <f>_xlfn.IFNA(VLOOKUP(Sheet1!$C104,MONG_DSUITE!A:E,2,FALSE),"-")</f>
        <v>macrocarpa_LNW</v>
      </c>
      <c r="AU104" t="str">
        <f>_xlfn.IFNA(VLOOKUP(Sheet1!$C104,MAC_PAINT2!A:D,4,FALSE),"-")</f>
        <v>macpaint</v>
      </c>
      <c r="AV104" t="s">
        <v>9193</v>
      </c>
      <c r="AW104" t="s">
        <v>9193</v>
      </c>
    </row>
    <row r="105" spans="1:49" customFormat="1" x14ac:dyDescent="0.4">
      <c r="A105">
        <v>3556</v>
      </c>
      <c r="B105" t="s">
        <v>185</v>
      </c>
      <c r="C105" t="s">
        <v>186</v>
      </c>
      <c r="D105" t="str">
        <f>_xlfn.CONCAT(C105,".bam")</f>
        <v>SYST-MOR-0006793.bam</v>
      </c>
      <c r="E105" t="s">
        <v>187</v>
      </c>
      <c r="F105" t="s">
        <v>2406</v>
      </c>
      <c r="G105" t="s">
        <v>2404</v>
      </c>
      <c r="H105" t="s">
        <v>2491</v>
      </c>
      <c r="I105" t="s">
        <v>157</v>
      </c>
      <c r="K105" t="s">
        <v>64</v>
      </c>
      <c r="L105" t="s">
        <v>64</v>
      </c>
      <c r="N105" t="s">
        <v>64</v>
      </c>
      <c r="P105" t="s">
        <v>113</v>
      </c>
      <c r="Q105" t="s">
        <v>155</v>
      </c>
      <c r="R105" t="s">
        <v>2599</v>
      </c>
      <c r="S105" s="1">
        <v>44721</v>
      </c>
      <c r="T105" t="s">
        <v>115</v>
      </c>
      <c r="U105" t="s">
        <v>34</v>
      </c>
      <c r="V105" s="1">
        <v>44722</v>
      </c>
      <c r="W105" t="s">
        <v>35</v>
      </c>
      <c r="X105" t="s">
        <v>116</v>
      </c>
      <c r="Y105" t="s">
        <v>156</v>
      </c>
      <c r="Z105" t="s">
        <v>38</v>
      </c>
      <c r="AA105" t="s">
        <v>157</v>
      </c>
      <c r="AD105" t="s">
        <v>64</v>
      </c>
      <c r="AE105">
        <v>40.706727999999998</v>
      </c>
      <c r="AF105">
        <v>-91.793217999999996</v>
      </c>
      <c r="AG105" t="s">
        <v>40</v>
      </c>
      <c r="AH105" t="s">
        <v>41</v>
      </c>
      <c r="AI105">
        <v>40.7068383075</v>
      </c>
      <c r="AJ105">
        <v>-91.793356259500001</v>
      </c>
      <c r="AK105">
        <v>1.1030750000173839E-4</v>
      </c>
      <c r="AL105">
        <v>-1.3825950000523335E-4</v>
      </c>
      <c r="AM105" t="str">
        <f>_xlfn.IFNA(VLOOKUP(Sheet1!$C105,ADMIX_ALL!A:B,2,FALSE),"none")</f>
        <v>K6-18</v>
      </c>
      <c r="AN105" t="str">
        <f>_xlfn.IFNA(VLOOKUP(Sheet1!C105,ADMIX_SS!A:B,2,FALSE),"none")</f>
        <v>SubSample</v>
      </c>
      <c r="AO105" t="str">
        <f>_xlfn.IFNA(VLOOKUP(Sheet1!$C105,MONG_PHYLO!A:C,3,FALSE),"-")</f>
        <v>-</v>
      </c>
      <c r="AP105" t="str">
        <f>_xlfn.IFNA(VLOOKUP(Sheet1!$C105,MAC_PHYLO!A:C,3,FALSE),"-")</f>
        <v>-</v>
      </c>
      <c r="AQ105" t="str">
        <f>_xlfn.IFNA(VLOOKUP(Sheet1!$C105,ConStruct!A:C,3,FALSE),"-")</f>
        <v>-</v>
      </c>
      <c r="AR105" t="str">
        <f>_xlfn.IFNA(VLOOKUP(Sheet1!$C105,GEA!A:C,3,FALSE),"-")</f>
        <v>-</v>
      </c>
      <c r="AS105" t="str">
        <f>_xlfn.IFNA(VLOOKUP(Sheet1!$C105,MAC_DSUITE!A:D,3,FALSE),"-")</f>
        <v>-</v>
      </c>
      <c r="AT105" t="str">
        <f>_xlfn.IFNA(VLOOKUP(Sheet1!$C105,MONG_DSUITE!A:E,2,FALSE),"-")</f>
        <v>xxx</v>
      </c>
      <c r="AU105" t="str">
        <f>_xlfn.IFNA(VLOOKUP(Sheet1!$C105,MAC_PAINT2!A:D,4,FALSE),"-")</f>
        <v>-</v>
      </c>
    </row>
    <row r="106" spans="1:49" customFormat="1" x14ac:dyDescent="0.4">
      <c r="A106">
        <v>3557</v>
      </c>
      <c r="B106" t="s">
        <v>188</v>
      </c>
      <c r="C106" t="s">
        <v>189</v>
      </c>
      <c r="D106" t="str">
        <f>_xlfn.CONCAT(C106,".bam")</f>
        <v>SYST-MOR-0006794.bam</v>
      </c>
      <c r="E106" t="s">
        <v>190</v>
      </c>
      <c r="F106" t="s">
        <v>2406</v>
      </c>
      <c r="G106" t="s">
        <v>2404</v>
      </c>
      <c r="H106" t="s">
        <v>2491</v>
      </c>
      <c r="I106" t="s">
        <v>157</v>
      </c>
      <c r="K106" t="s">
        <v>84</v>
      </c>
      <c r="L106" t="s">
        <v>84</v>
      </c>
      <c r="N106" t="s">
        <v>84</v>
      </c>
      <c r="P106" t="s">
        <v>113</v>
      </c>
      <c r="Q106" t="s">
        <v>85</v>
      </c>
      <c r="R106" t="s">
        <v>2600</v>
      </c>
      <c r="S106" s="1">
        <v>44721</v>
      </c>
      <c r="T106" t="s">
        <v>115</v>
      </c>
      <c r="U106" t="s">
        <v>34</v>
      </c>
      <c r="V106" s="1">
        <v>44722</v>
      </c>
      <c r="W106" t="s">
        <v>35</v>
      </c>
      <c r="X106" t="s">
        <v>116</v>
      </c>
      <c r="Y106" t="s">
        <v>156</v>
      </c>
      <c r="Z106" t="s">
        <v>38</v>
      </c>
      <c r="AA106" t="s">
        <v>157</v>
      </c>
      <c r="AD106" t="s">
        <v>84</v>
      </c>
      <c r="AE106">
        <v>40.706856000000002</v>
      </c>
      <c r="AF106">
        <v>-91.793689999999998</v>
      </c>
      <c r="AG106" t="s">
        <v>40</v>
      </c>
      <c r="AH106" t="s">
        <v>41</v>
      </c>
      <c r="AI106">
        <v>40.706766019600003</v>
      </c>
      <c r="AJ106">
        <v>-91.793729960999997</v>
      </c>
      <c r="AK106">
        <v>-8.9980399998523808E-5</v>
      </c>
      <c r="AL106">
        <v>-3.9960999998811531E-5</v>
      </c>
      <c r="AM106" t="str">
        <f>_xlfn.IFNA(VLOOKUP(Sheet1!$C106,ADMIX_ALL!A:B,2,FALSE),"none")</f>
        <v>K6-18</v>
      </c>
      <c r="AN106" t="str">
        <f>_xlfn.IFNA(VLOOKUP(Sheet1!C106,ADMIX_SS!A:B,2,FALSE),"none")</f>
        <v>SubSample</v>
      </c>
      <c r="AO106" t="str">
        <f>_xlfn.IFNA(VLOOKUP(Sheet1!$C106,MONG_PHYLO!A:C,3,FALSE),"-")</f>
        <v>-</v>
      </c>
      <c r="AP106" t="str">
        <f>_xlfn.IFNA(VLOOKUP(Sheet1!$C106,MAC_PHYLO!A:C,3,FALSE),"-")</f>
        <v>-</v>
      </c>
      <c r="AQ106" t="str">
        <f>_xlfn.IFNA(VLOOKUP(Sheet1!$C106,ConStruct!A:C,3,FALSE),"-")</f>
        <v>-</v>
      </c>
      <c r="AR106" t="str">
        <f>_xlfn.IFNA(VLOOKUP(Sheet1!$C106,GEA!A:C,3,FALSE),"-")</f>
        <v>-</v>
      </c>
      <c r="AS106" t="str">
        <f>_xlfn.IFNA(VLOOKUP(Sheet1!$C106,MAC_DSUITE!A:D,3,FALSE),"-")</f>
        <v>-</v>
      </c>
      <c r="AT106" t="str">
        <f>_xlfn.IFNA(VLOOKUP(Sheet1!$C106,MONG_DSUITE!A:E,2,FALSE),"-")</f>
        <v>xxx</v>
      </c>
      <c r="AU106" t="str">
        <f>_xlfn.IFNA(VLOOKUP(Sheet1!$C106,MAC_PAINT2!A:D,4,FALSE),"-")</f>
        <v>-</v>
      </c>
    </row>
    <row r="107" spans="1:49" customFormat="1" x14ac:dyDescent="0.4">
      <c r="A107">
        <v>3558</v>
      </c>
      <c r="B107" t="s">
        <v>191</v>
      </c>
      <c r="C107" t="s">
        <v>192</v>
      </c>
      <c r="D107" t="str">
        <f>_xlfn.CONCAT(C107,".bam")</f>
        <v>SYST-MOR-0006795.bam</v>
      </c>
      <c r="E107" t="s">
        <v>193</v>
      </c>
      <c r="F107" t="s">
        <v>2406</v>
      </c>
      <c r="G107" t="s">
        <v>2404</v>
      </c>
      <c r="H107" t="s">
        <v>2491</v>
      </c>
      <c r="I107" t="s">
        <v>157</v>
      </c>
      <c r="K107" t="s">
        <v>84</v>
      </c>
      <c r="L107" t="s">
        <v>84</v>
      </c>
      <c r="M107" t="s">
        <v>84</v>
      </c>
      <c r="N107" t="s">
        <v>143</v>
      </c>
      <c r="P107" t="s">
        <v>113</v>
      </c>
      <c r="Q107" t="s">
        <v>144</v>
      </c>
      <c r="R107" t="s">
        <v>2601</v>
      </c>
      <c r="S107" s="1">
        <v>44721</v>
      </c>
      <c r="T107" t="s">
        <v>115</v>
      </c>
      <c r="U107" t="s">
        <v>34</v>
      </c>
      <c r="V107" s="1">
        <v>44722</v>
      </c>
      <c r="W107" t="s">
        <v>35</v>
      </c>
      <c r="X107" t="s">
        <v>116</v>
      </c>
      <c r="Y107" t="s">
        <v>156</v>
      </c>
      <c r="Z107" t="s">
        <v>38</v>
      </c>
      <c r="AA107" t="s">
        <v>157</v>
      </c>
      <c r="AD107" t="s">
        <v>145</v>
      </c>
      <c r="AE107">
        <v>40.704425000000001</v>
      </c>
      <c r="AF107">
        <v>-91.796592000000004</v>
      </c>
      <c r="AG107" t="s">
        <v>40</v>
      </c>
      <c r="AH107" t="s">
        <v>41</v>
      </c>
      <c r="AI107">
        <v>40.704207066499997</v>
      </c>
      <c r="AJ107">
        <v>-91.796746440299998</v>
      </c>
      <c r="AK107">
        <v>-2.1793350000365308E-4</v>
      </c>
      <c r="AL107">
        <v>-1.5444029999400755E-4</v>
      </c>
      <c r="AM107" t="str">
        <f>_xlfn.IFNA(VLOOKUP(Sheet1!$C107,ADMIX_ALL!A:B,2,FALSE),"none")</f>
        <v>K6-18</v>
      </c>
      <c r="AN107" t="str">
        <f>_xlfn.IFNA(VLOOKUP(Sheet1!C107,ADMIX_SS!A:B,2,FALSE),"none")</f>
        <v>none</v>
      </c>
      <c r="AO107" t="str">
        <f>_xlfn.IFNA(VLOOKUP(Sheet1!$C107,MONG_PHYLO!A:C,3,FALSE),"-")</f>
        <v>-</v>
      </c>
      <c r="AP107" t="str">
        <f>_xlfn.IFNA(VLOOKUP(Sheet1!$C107,MAC_PHYLO!A:C,3,FALSE),"-")</f>
        <v>-</v>
      </c>
      <c r="AQ107" t="str">
        <f>_xlfn.IFNA(VLOOKUP(Sheet1!$C107,ConStruct!A:C,3,FALSE),"-")</f>
        <v>-</v>
      </c>
      <c r="AR107" t="str">
        <f>_xlfn.IFNA(VLOOKUP(Sheet1!$C107,GEA!A:C,3,FALSE),"-")</f>
        <v>-</v>
      </c>
      <c r="AS107" t="str">
        <f>_xlfn.IFNA(VLOOKUP(Sheet1!$C107,MAC_DSUITE!A:D,3,FALSE),"-")</f>
        <v>-</v>
      </c>
      <c r="AT107" t="str">
        <f>_xlfn.IFNA(VLOOKUP(Sheet1!$C107,MONG_DSUITE!A:E,2,FALSE),"-")</f>
        <v>xxx</v>
      </c>
      <c r="AU107" t="str">
        <f>_xlfn.IFNA(VLOOKUP(Sheet1!$C107,MAC_PAINT2!A:D,4,FALSE),"-")</f>
        <v>-</v>
      </c>
    </row>
    <row r="108" spans="1:49" customFormat="1" x14ac:dyDescent="0.4">
      <c r="A108">
        <v>3559</v>
      </c>
      <c r="B108" t="s">
        <v>194</v>
      </c>
      <c r="C108" t="s">
        <v>195</v>
      </c>
      <c r="D108" t="str">
        <f>_xlfn.CONCAT(C108,".bam")</f>
        <v>SYST-MOR-0006796.bam</v>
      </c>
      <c r="E108" t="s">
        <v>196</v>
      </c>
      <c r="F108" t="s">
        <v>2406</v>
      </c>
      <c r="G108" t="s">
        <v>2404</v>
      </c>
      <c r="H108" t="s">
        <v>2491</v>
      </c>
      <c r="I108" t="s">
        <v>157</v>
      </c>
      <c r="K108" t="s">
        <v>143</v>
      </c>
      <c r="L108" t="s">
        <v>143</v>
      </c>
      <c r="N108" t="s">
        <v>143</v>
      </c>
      <c r="P108" t="s">
        <v>113</v>
      </c>
      <c r="Q108" t="s">
        <v>144</v>
      </c>
      <c r="R108" t="s">
        <v>2601</v>
      </c>
      <c r="S108" s="1">
        <v>44721</v>
      </c>
      <c r="T108" t="s">
        <v>115</v>
      </c>
      <c r="U108" t="s">
        <v>34</v>
      </c>
      <c r="V108" s="1">
        <v>44722</v>
      </c>
      <c r="W108" t="s">
        <v>35</v>
      </c>
      <c r="X108" t="s">
        <v>116</v>
      </c>
      <c r="Y108" t="s">
        <v>156</v>
      </c>
      <c r="Z108" t="s">
        <v>38</v>
      </c>
      <c r="AA108" t="s">
        <v>157</v>
      </c>
      <c r="AD108" t="s">
        <v>145</v>
      </c>
      <c r="AE108">
        <v>40.703988000000003</v>
      </c>
      <c r="AF108">
        <v>-91.796583999999996</v>
      </c>
      <c r="AG108" t="s">
        <v>40</v>
      </c>
      <c r="AH108" t="s">
        <v>41</v>
      </c>
      <c r="AI108">
        <v>40.703853909899998</v>
      </c>
      <c r="AJ108">
        <v>-91.796822024199997</v>
      </c>
      <c r="AK108">
        <v>-1.3409010000486887E-4</v>
      </c>
      <c r="AL108">
        <v>-2.3802420000151869E-4</v>
      </c>
      <c r="AM108" t="str">
        <f>_xlfn.IFNA(VLOOKUP(Sheet1!$C108,ADMIX_ALL!A:B,2,FALSE),"none")</f>
        <v>K6-18</v>
      </c>
      <c r="AN108" t="str">
        <f>_xlfn.IFNA(VLOOKUP(Sheet1!C108,ADMIX_SS!A:B,2,FALSE),"none")</f>
        <v>SubSample</v>
      </c>
      <c r="AO108" t="str">
        <f>_xlfn.IFNA(VLOOKUP(Sheet1!$C108,MONG_PHYLO!A:C,3,FALSE),"-")</f>
        <v>-</v>
      </c>
      <c r="AP108" t="str">
        <f>_xlfn.IFNA(VLOOKUP(Sheet1!$C108,MAC_PHYLO!A:C,3,FALSE),"-")</f>
        <v>-</v>
      </c>
      <c r="AQ108" t="str">
        <f>_xlfn.IFNA(VLOOKUP(Sheet1!$C108,ConStruct!A:C,3,FALSE),"-")</f>
        <v>-</v>
      </c>
      <c r="AR108" t="str">
        <f>_xlfn.IFNA(VLOOKUP(Sheet1!$C108,GEA!A:C,3,FALSE),"-")</f>
        <v>-</v>
      </c>
      <c r="AS108" t="str">
        <f>_xlfn.IFNA(VLOOKUP(Sheet1!$C108,MAC_DSUITE!A:D,3,FALSE),"-")</f>
        <v>-</v>
      </c>
      <c r="AT108" t="str">
        <f>_xlfn.IFNA(VLOOKUP(Sheet1!$C108,MONG_DSUITE!A:E,2,FALSE),"-")</f>
        <v>xxx</v>
      </c>
      <c r="AU108" t="str">
        <f>_xlfn.IFNA(VLOOKUP(Sheet1!$C108,MAC_PAINT2!A:D,4,FALSE),"-")</f>
        <v>-</v>
      </c>
    </row>
    <row r="109" spans="1:49" customFormat="1" x14ac:dyDescent="0.4">
      <c r="A109">
        <v>3560</v>
      </c>
      <c r="B109" t="s">
        <v>197</v>
      </c>
      <c r="C109" t="s">
        <v>198</v>
      </c>
      <c r="D109" t="str">
        <f>_xlfn.CONCAT(C109,".bam")</f>
        <v>SYST-MOR-0006797.bam</v>
      </c>
      <c r="E109" t="s">
        <v>199</v>
      </c>
      <c r="F109" t="s">
        <v>2406</v>
      </c>
      <c r="G109" t="s">
        <v>2404</v>
      </c>
      <c r="H109" t="s">
        <v>2491</v>
      </c>
      <c r="I109" t="s">
        <v>157</v>
      </c>
      <c r="K109" t="s">
        <v>143</v>
      </c>
      <c r="L109" t="s">
        <v>143</v>
      </c>
      <c r="N109" t="s">
        <v>143</v>
      </c>
      <c r="P109" t="s">
        <v>113</v>
      </c>
      <c r="Q109" t="s">
        <v>144</v>
      </c>
      <c r="R109" t="s">
        <v>2601</v>
      </c>
      <c r="S109" s="1">
        <v>44721</v>
      </c>
      <c r="T109" t="s">
        <v>115</v>
      </c>
      <c r="U109" t="s">
        <v>34</v>
      </c>
      <c r="V109" s="1">
        <v>44722</v>
      </c>
      <c r="W109" t="s">
        <v>35</v>
      </c>
      <c r="X109" t="s">
        <v>116</v>
      </c>
      <c r="Y109" t="s">
        <v>156</v>
      </c>
      <c r="Z109" t="s">
        <v>38</v>
      </c>
      <c r="AA109" t="s">
        <v>157</v>
      </c>
      <c r="AD109" t="s">
        <v>145</v>
      </c>
      <c r="AE109">
        <v>40.703502</v>
      </c>
      <c r="AF109">
        <v>-91.796851000000004</v>
      </c>
      <c r="AG109" t="s">
        <v>40</v>
      </c>
      <c r="AH109" t="s">
        <v>41</v>
      </c>
      <c r="AI109">
        <v>40.703397039400002</v>
      </c>
      <c r="AJ109">
        <v>-91.796708973199998</v>
      </c>
      <c r="AK109">
        <v>-1.0496059999809404E-4</v>
      </c>
      <c r="AL109">
        <v>1.420268000060787E-4</v>
      </c>
      <c r="AM109" t="str">
        <f>_xlfn.IFNA(VLOOKUP(Sheet1!$C109,ADMIX_ALL!A:B,2,FALSE),"none")</f>
        <v>K6-18</v>
      </c>
      <c r="AN109" t="str">
        <f>_xlfn.IFNA(VLOOKUP(Sheet1!C109,ADMIX_SS!A:B,2,FALSE),"none")</f>
        <v>SubSample</v>
      </c>
      <c r="AO109" t="str">
        <f>_xlfn.IFNA(VLOOKUP(Sheet1!$C109,MONG_PHYLO!A:C,3,FALSE),"-")</f>
        <v>-</v>
      </c>
      <c r="AP109" t="str">
        <f>_xlfn.IFNA(VLOOKUP(Sheet1!$C109,MAC_PHYLO!A:C,3,FALSE),"-")</f>
        <v>-</v>
      </c>
      <c r="AQ109" t="str">
        <f>_xlfn.IFNA(VLOOKUP(Sheet1!$C109,ConStruct!A:C,3,FALSE),"-")</f>
        <v>-</v>
      </c>
      <c r="AR109" t="str">
        <f>_xlfn.IFNA(VLOOKUP(Sheet1!$C109,GEA!A:C,3,FALSE),"-")</f>
        <v>-</v>
      </c>
      <c r="AS109" t="str">
        <f>_xlfn.IFNA(VLOOKUP(Sheet1!$C109,MAC_DSUITE!A:D,3,FALSE),"-")</f>
        <v>-</v>
      </c>
      <c r="AT109" t="str">
        <f>_xlfn.IFNA(VLOOKUP(Sheet1!$C109,MONG_DSUITE!A:E,2,FALSE),"-")</f>
        <v>xxx</v>
      </c>
      <c r="AU109" t="str">
        <f>_xlfn.IFNA(VLOOKUP(Sheet1!$C109,MAC_PAINT2!A:D,4,FALSE),"-")</f>
        <v>-</v>
      </c>
    </row>
    <row r="110" spans="1:49" customFormat="1" x14ac:dyDescent="0.4">
      <c r="A110">
        <v>3561</v>
      </c>
      <c r="B110" t="s">
        <v>131</v>
      </c>
      <c r="C110" t="s">
        <v>132</v>
      </c>
      <c r="D110" t="str">
        <f>_xlfn.CONCAT(C110,".bam")</f>
        <v>SYST-MOR-0006798.bam</v>
      </c>
      <c r="E110" t="s">
        <v>133</v>
      </c>
      <c r="F110" t="s">
        <v>2406</v>
      </c>
      <c r="G110" t="s">
        <v>2403</v>
      </c>
      <c r="H110" t="s">
        <v>2490</v>
      </c>
      <c r="I110" t="s">
        <v>135</v>
      </c>
      <c r="K110" t="s">
        <v>45</v>
      </c>
      <c r="L110" t="s">
        <v>45</v>
      </c>
      <c r="N110" t="s">
        <v>45</v>
      </c>
      <c r="P110" t="s">
        <v>113</v>
      </c>
      <c r="Q110" t="s">
        <v>114</v>
      </c>
      <c r="R110" t="s">
        <v>2597</v>
      </c>
      <c r="S110" s="1">
        <v>44721</v>
      </c>
      <c r="T110" t="s">
        <v>115</v>
      </c>
      <c r="U110" t="s">
        <v>34</v>
      </c>
      <c r="V110" s="1">
        <v>44722</v>
      </c>
      <c r="W110" t="s">
        <v>35</v>
      </c>
      <c r="X110" t="s">
        <v>116</v>
      </c>
      <c r="Y110" t="s">
        <v>134</v>
      </c>
      <c r="Z110" t="s">
        <v>38</v>
      </c>
      <c r="AA110" t="s">
        <v>135</v>
      </c>
      <c r="AD110" t="s">
        <v>45</v>
      </c>
      <c r="AE110">
        <v>41.974717130000002</v>
      </c>
      <c r="AF110">
        <v>-91.721692700000006</v>
      </c>
      <c r="AG110" t="s">
        <v>40</v>
      </c>
      <c r="AH110" t="s">
        <v>41</v>
      </c>
      <c r="AI110">
        <v>41.9747171319</v>
      </c>
      <c r="AJ110">
        <v>-91.721692700000006</v>
      </c>
      <c r="AK110">
        <v>1.8999983808498655E-9</v>
      </c>
      <c r="AL110">
        <v>0</v>
      </c>
      <c r="AM110" t="str">
        <f>_xlfn.IFNA(VLOOKUP(Sheet1!$C110,ADMIX_ALL!A:B,2,FALSE),"none")</f>
        <v>K6-18</v>
      </c>
      <c r="AN110" t="str">
        <f>_xlfn.IFNA(VLOOKUP(Sheet1!C110,ADMIX_SS!A:B,2,FALSE),"none")</f>
        <v>SubSample</v>
      </c>
      <c r="AO110" t="str">
        <f>_xlfn.IFNA(VLOOKUP(Sheet1!$C110,MONG_PHYLO!A:C,3,FALSE),"-")</f>
        <v>-</v>
      </c>
      <c r="AP110" t="str">
        <f>_xlfn.IFNA(VLOOKUP(Sheet1!$C110,MAC_PHYLO!A:C,3,FALSE),"-")</f>
        <v>-</v>
      </c>
      <c r="AQ110" t="str">
        <f>_xlfn.IFNA(VLOOKUP(Sheet1!$C110,ConStruct!A:C,3,FALSE),"-")</f>
        <v>ConStruct</v>
      </c>
      <c r="AR110" t="str">
        <f>_xlfn.IFNA(VLOOKUP(Sheet1!$C110,GEA!A:C,3,FALSE),"-")</f>
        <v>GEA</v>
      </c>
      <c r="AS110" t="str">
        <f>_xlfn.IFNA(VLOOKUP(Sheet1!$C110,MAC_DSUITE!A:D,3,FALSE),"-")</f>
        <v>mac_IA_CHP</v>
      </c>
      <c r="AT110" t="str">
        <f>_xlfn.IFNA(VLOOKUP(Sheet1!$C110,MONG_DSUITE!A:E,2,FALSE),"-")</f>
        <v>macrocarpa_CHP</v>
      </c>
      <c r="AU110" t="str">
        <f>_xlfn.IFNA(VLOOKUP(Sheet1!$C110,MAC_PAINT2!A:D,4,FALSE),"-")</f>
        <v>macpaint</v>
      </c>
      <c r="AV110" t="s">
        <v>9193</v>
      </c>
      <c r="AW110" t="s">
        <v>9193</v>
      </c>
    </row>
    <row r="111" spans="1:49" customFormat="1" x14ac:dyDescent="0.4">
      <c r="A111">
        <v>3562</v>
      </c>
      <c r="B111" t="s">
        <v>136</v>
      </c>
      <c r="C111" t="s">
        <v>137</v>
      </c>
      <c r="D111" t="str">
        <f>_xlfn.CONCAT(C111,".bam")</f>
        <v>SYST-MOR-0006799.bam</v>
      </c>
      <c r="E111" t="s">
        <v>138</v>
      </c>
      <c r="F111" t="s">
        <v>2406</v>
      </c>
      <c r="G111" t="s">
        <v>2403</v>
      </c>
      <c r="H111" t="s">
        <v>2490</v>
      </c>
      <c r="I111" t="s">
        <v>135</v>
      </c>
      <c r="K111" t="s">
        <v>45</v>
      </c>
      <c r="L111" t="s">
        <v>45</v>
      </c>
      <c r="N111" t="s">
        <v>45</v>
      </c>
      <c r="P111" t="s">
        <v>113</v>
      </c>
      <c r="Q111" t="s">
        <v>46</v>
      </c>
      <c r="R111" t="s">
        <v>2597</v>
      </c>
      <c r="S111" s="1">
        <v>44721</v>
      </c>
      <c r="T111" t="s">
        <v>115</v>
      </c>
      <c r="U111" t="s">
        <v>34</v>
      </c>
      <c r="V111" s="1">
        <v>44722</v>
      </c>
      <c r="W111" t="s">
        <v>35</v>
      </c>
      <c r="X111" t="s">
        <v>116</v>
      </c>
      <c r="Y111" t="s">
        <v>134</v>
      </c>
      <c r="Z111" t="s">
        <v>38</v>
      </c>
      <c r="AA111" t="s">
        <v>135</v>
      </c>
      <c r="AD111" t="s">
        <v>139</v>
      </c>
      <c r="AE111">
        <v>41.973304570000003</v>
      </c>
      <c r="AF111">
        <v>-91.725148059999995</v>
      </c>
      <c r="AG111" t="s">
        <v>40</v>
      </c>
      <c r="AH111" t="s">
        <v>41</v>
      </c>
      <c r="AI111">
        <v>41.973659062599999</v>
      </c>
      <c r="AJ111">
        <v>-91.725383465099995</v>
      </c>
      <c r="AK111">
        <v>3.5449259999609239E-4</v>
      </c>
      <c r="AL111">
        <v>-2.3540509999975257E-4</v>
      </c>
      <c r="AM111" t="str">
        <f>_xlfn.IFNA(VLOOKUP(Sheet1!$C111,ADMIX_ALL!A:B,2,FALSE),"none")</f>
        <v>K6-18</v>
      </c>
      <c r="AN111" t="str">
        <f>_xlfn.IFNA(VLOOKUP(Sheet1!C111,ADMIX_SS!A:B,2,FALSE),"none")</f>
        <v>SubSample</v>
      </c>
      <c r="AO111" t="str">
        <f>_xlfn.IFNA(VLOOKUP(Sheet1!$C111,MONG_PHYLO!A:C,3,FALSE),"-")</f>
        <v>-</v>
      </c>
      <c r="AP111" t="str">
        <f>_xlfn.IFNA(VLOOKUP(Sheet1!$C111,MAC_PHYLO!A:C,3,FALSE),"-")</f>
        <v>-</v>
      </c>
      <c r="AQ111" t="str">
        <f>_xlfn.IFNA(VLOOKUP(Sheet1!$C111,ConStruct!A:C,3,FALSE),"-")</f>
        <v>ConStruct</v>
      </c>
      <c r="AR111" t="str">
        <f>_xlfn.IFNA(VLOOKUP(Sheet1!$C111,GEA!A:C,3,FALSE),"-")</f>
        <v>GEA</v>
      </c>
      <c r="AS111" t="str">
        <f>_xlfn.IFNA(VLOOKUP(Sheet1!$C111,MAC_DSUITE!A:D,3,FALSE),"-")</f>
        <v>mac_IA_CHP</v>
      </c>
      <c r="AT111" t="str">
        <f>_xlfn.IFNA(VLOOKUP(Sheet1!$C111,MONG_DSUITE!A:E,2,FALSE),"-")</f>
        <v>macrocarpa_CHP</v>
      </c>
      <c r="AU111" t="str">
        <f>_xlfn.IFNA(VLOOKUP(Sheet1!$C111,MAC_PAINT2!A:D,4,FALSE),"-")</f>
        <v>macpaint</v>
      </c>
      <c r="AV111" t="s">
        <v>9193</v>
      </c>
      <c r="AW111" t="s">
        <v>9193</v>
      </c>
    </row>
    <row r="112" spans="1:49" customFormat="1" x14ac:dyDescent="0.4">
      <c r="A112">
        <v>3563</v>
      </c>
      <c r="B112" t="s">
        <v>140</v>
      </c>
      <c r="C112" t="s">
        <v>141</v>
      </c>
      <c r="D112" t="str">
        <f>_xlfn.CONCAT(C112,".bam")</f>
        <v>SYST-MOR-0006800.bam</v>
      </c>
      <c r="E112" t="s">
        <v>142</v>
      </c>
      <c r="F112" t="s">
        <v>2406</v>
      </c>
      <c r="G112" t="s">
        <v>2403</v>
      </c>
      <c r="H112" t="s">
        <v>2490</v>
      </c>
      <c r="I112" t="s">
        <v>135</v>
      </c>
      <c r="K112" t="s">
        <v>143</v>
      </c>
      <c r="L112" t="s">
        <v>143</v>
      </c>
      <c r="N112" t="s">
        <v>143</v>
      </c>
      <c r="P112" t="s">
        <v>113</v>
      </c>
      <c r="Q112" t="s">
        <v>144</v>
      </c>
      <c r="R112" t="s">
        <v>2601</v>
      </c>
      <c r="S112" s="1">
        <v>44721</v>
      </c>
      <c r="T112" t="s">
        <v>115</v>
      </c>
      <c r="U112" t="s">
        <v>34</v>
      </c>
      <c r="V112" s="1">
        <v>44722</v>
      </c>
      <c r="W112" t="s">
        <v>35</v>
      </c>
      <c r="X112" t="s">
        <v>116</v>
      </c>
      <c r="Y112" t="s">
        <v>134</v>
      </c>
      <c r="Z112" t="s">
        <v>38</v>
      </c>
      <c r="AA112" t="s">
        <v>135</v>
      </c>
      <c r="AD112" t="s">
        <v>145</v>
      </c>
      <c r="AE112">
        <v>41.973334450000003</v>
      </c>
      <c r="AF112">
        <v>-91.724763999999993</v>
      </c>
      <c r="AG112" t="s">
        <v>40</v>
      </c>
      <c r="AH112" t="s">
        <v>41</v>
      </c>
      <c r="AI112">
        <v>41.973334453100001</v>
      </c>
      <c r="AJ112">
        <v>-91.724763996999997</v>
      </c>
      <c r="AK112">
        <v>3.0999984801383107E-9</v>
      </c>
      <c r="AL112">
        <v>2.9999966955074342E-9</v>
      </c>
      <c r="AM112" t="str">
        <f>_xlfn.IFNA(VLOOKUP(Sheet1!$C112,ADMIX_ALL!A:B,2,FALSE),"none")</f>
        <v>K6-18</v>
      </c>
      <c r="AN112" t="str">
        <f>_xlfn.IFNA(VLOOKUP(Sheet1!C112,ADMIX_SS!A:B,2,FALSE),"none")</f>
        <v>SubSample</v>
      </c>
      <c r="AO112" t="str">
        <f>_xlfn.IFNA(VLOOKUP(Sheet1!$C112,MONG_PHYLO!A:C,3,FALSE),"-")</f>
        <v>-</v>
      </c>
      <c r="AP112" t="str">
        <f>_xlfn.IFNA(VLOOKUP(Sheet1!$C112,MAC_PHYLO!A:C,3,FALSE),"-")</f>
        <v>-</v>
      </c>
      <c r="AQ112" t="str">
        <f>_xlfn.IFNA(VLOOKUP(Sheet1!$C112,ConStruct!A:C,3,FALSE),"-")</f>
        <v>-</v>
      </c>
      <c r="AR112" t="str">
        <f>_xlfn.IFNA(VLOOKUP(Sheet1!$C112,GEA!A:C,3,FALSE),"-")</f>
        <v>-</v>
      </c>
      <c r="AS112" t="str">
        <f>_xlfn.IFNA(VLOOKUP(Sheet1!$C112,MAC_DSUITE!A:D,3,FALSE),"-")</f>
        <v>-</v>
      </c>
      <c r="AT112" t="str">
        <f>_xlfn.IFNA(VLOOKUP(Sheet1!$C112,MONG_DSUITE!A:E,2,FALSE),"-")</f>
        <v>xxx</v>
      </c>
      <c r="AU112" t="str">
        <f>_xlfn.IFNA(VLOOKUP(Sheet1!$C112,MAC_PAINT2!A:D,4,FALSE),"-")</f>
        <v>-</v>
      </c>
    </row>
    <row r="113" spans="1:49" customFormat="1" x14ac:dyDescent="0.4">
      <c r="A113">
        <v>3564</v>
      </c>
      <c r="B113" t="s">
        <v>146</v>
      </c>
      <c r="C113" t="s">
        <v>147</v>
      </c>
      <c r="D113" t="str">
        <f>_xlfn.CONCAT(C113,".bam")</f>
        <v>SYST-MOR-0006801.bam</v>
      </c>
      <c r="E113" t="s">
        <v>148</v>
      </c>
      <c r="F113" t="s">
        <v>2406</v>
      </c>
      <c r="G113" t="s">
        <v>2403</v>
      </c>
      <c r="H113" t="s">
        <v>2490</v>
      </c>
      <c r="I113" t="s">
        <v>135</v>
      </c>
      <c r="K113" t="s">
        <v>45</v>
      </c>
      <c r="L113" t="s">
        <v>45</v>
      </c>
      <c r="N113" t="s">
        <v>45</v>
      </c>
      <c r="P113" t="s">
        <v>113</v>
      </c>
      <c r="Q113" t="s">
        <v>46</v>
      </c>
      <c r="R113" t="s">
        <v>2597</v>
      </c>
      <c r="S113" s="1">
        <v>44721</v>
      </c>
      <c r="T113" t="s">
        <v>115</v>
      </c>
      <c r="U113" t="s">
        <v>34</v>
      </c>
      <c r="V113" s="1">
        <v>44722</v>
      </c>
      <c r="W113" t="s">
        <v>35</v>
      </c>
      <c r="X113" t="s">
        <v>116</v>
      </c>
      <c r="Y113" t="s">
        <v>134</v>
      </c>
      <c r="Z113" t="s">
        <v>38</v>
      </c>
      <c r="AA113" t="s">
        <v>135</v>
      </c>
      <c r="AD113" t="s">
        <v>45</v>
      </c>
      <c r="AE113">
        <v>41.973905999999999</v>
      </c>
      <c r="AF113">
        <v>-91.722928999999993</v>
      </c>
      <c r="AG113" t="s">
        <v>40</v>
      </c>
      <c r="AH113" t="s">
        <v>41</v>
      </c>
      <c r="AI113">
        <v>41.973951936500001</v>
      </c>
      <c r="AJ113">
        <v>-91.722940980700002</v>
      </c>
      <c r="AK113">
        <v>4.5936500001175773E-5</v>
      </c>
      <c r="AL113">
        <v>-1.1980700008962231E-5</v>
      </c>
      <c r="AM113" t="str">
        <f>_xlfn.IFNA(VLOOKUP(Sheet1!$C113,ADMIX_ALL!A:B,2,FALSE),"none")</f>
        <v>K6-18</v>
      </c>
      <c r="AN113" t="str">
        <f>_xlfn.IFNA(VLOOKUP(Sheet1!C113,ADMIX_SS!A:B,2,FALSE),"none")</f>
        <v>SubSample</v>
      </c>
      <c r="AO113" t="str">
        <f>_xlfn.IFNA(VLOOKUP(Sheet1!$C113,MONG_PHYLO!A:C,3,FALSE),"-")</f>
        <v>-</v>
      </c>
      <c r="AP113" t="str">
        <f>_xlfn.IFNA(VLOOKUP(Sheet1!$C113,MAC_PHYLO!A:C,3,FALSE),"-")</f>
        <v>-</v>
      </c>
      <c r="AQ113" t="str">
        <f>_xlfn.IFNA(VLOOKUP(Sheet1!$C113,ConStruct!A:C,3,FALSE),"-")</f>
        <v>ConStruct</v>
      </c>
      <c r="AR113" t="str">
        <f>_xlfn.IFNA(VLOOKUP(Sheet1!$C113,GEA!A:C,3,FALSE),"-")</f>
        <v>GEA</v>
      </c>
      <c r="AS113" t="str">
        <f>_xlfn.IFNA(VLOOKUP(Sheet1!$C113,MAC_DSUITE!A:D,3,FALSE),"-")</f>
        <v>mac_IA_CHP</v>
      </c>
      <c r="AT113" t="str">
        <f>_xlfn.IFNA(VLOOKUP(Sheet1!$C113,MONG_DSUITE!A:E,2,FALSE),"-")</f>
        <v>macrocarpa_CHP</v>
      </c>
      <c r="AU113" t="str">
        <f>_xlfn.IFNA(VLOOKUP(Sheet1!$C113,MAC_PAINT2!A:D,4,FALSE),"-")</f>
        <v>macpaint</v>
      </c>
      <c r="AV113" t="s">
        <v>9193</v>
      </c>
      <c r="AW113" t="s">
        <v>9193</v>
      </c>
    </row>
    <row r="114" spans="1:49" customFormat="1" x14ac:dyDescent="0.4">
      <c r="A114">
        <v>3565</v>
      </c>
      <c r="B114" t="s">
        <v>149</v>
      </c>
      <c r="C114" t="s">
        <v>150</v>
      </c>
      <c r="D114" t="str">
        <f>_xlfn.CONCAT(C114,".bam")</f>
        <v>SYST-MOR-0006802.bam</v>
      </c>
      <c r="E114" t="s">
        <v>151</v>
      </c>
      <c r="F114" t="s">
        <v>2406</v>
      </c>
      <c r="G114" t="s">
        <v>2403</v>
      </c>
      <c r="H114" t="s">
        <v>2490</v>
      </c>
      <c r="I114" t="s">
        <v>135</v>
      </c>
      <c r="K114" t="s">
        <v>45</v>
      </c>
      <c r="L114" t="s">
        <v>45</v>
      </c>
      <c r="N114" t="s">
        <v>45</v>
      </c>
      <c r="P114" t="s">
        <v>113</v>
      </c>
      <c r="Q114" t="s">
        <v>46</v>
      </c>
      <c r="R114" t="s">
        <v>2597</v>
      </c>
      <c r="S114" s="1">
        <v>44721</v>
      </c>
      <c r="T114" t="s">
        <v>115</v>
      </c>
      <c r="U114" t="s">
        <v>34</v>
      </c>
      <c r="V114" s="1">
        <v>44722</v>
      </c>
      <c r="W114" t="s">
        <v>35</v>
      </c>
      <c r="X114" t="s">
        <v>116</v>
      </c>
      <c r="Y114" t="s">
        <v>134</v>
      </c>
      <c r="Z114" t="s">
        <v>38</v>
      </c>
      <c r="AA114" t="s">
        <v>135</v>
      </c>
      <c r="AD114" t="s">
        <v>45</v>
      </c>
      <c r="AE114">
        <v>41.983480999999998</v>
      </c>
      <c r="AF114">
        <v>-91.797434999999993</v>
      </c>
      <c r="AG114" t="s">
        <v>40</v>
      </c>
      <c r="AH114" t="s">
        <v>41</v>
      </c>
      <c r="AI114">
        <v>41.974527821099997</v>
      </c>
      <c r="AJ114">
        <v>-91.7245444263</v>
      </c>
      <c r="AK114">
        <v>-8.9531789000005801E-3</v>
      </c>
      <c r="AL114">
        <v>7.2890573699993411E-2</v>
      </c>
      <c r="AM114" t="str">
        <f>_xlfn.IFNA(VLOOKUP(Sheet1!$C114,ADMIX_ALL!A:B,2,FALSE),"none")</f>
        <v>K6-18</v>
      </c>
      <c r="AN114" t="str">
        <f>_xlfn.IFNA(VLOOKUP(Sheet1!C114,ADMIX_SS!A:B,2,FALSE),"none")</f>
        <v>SubSample</v>
      </c>
      <c r="AO114" t="str">
        <f>_xlfn.IFNA(VLOOKUP(Sheet1!$C114,MONG_PHYLO!A:C,3,FALSE),"-")</f>
        <v>-</v>
      </c>
      <c r="AP114" t="str">
        <f>_xlfn.IFNA(VLOOKUP(Sheet1!$C114,MAC_PHYLO!A:C,3,FALSE),"-")</f>
        <v>-</v>
      </c>
      <c r="AQ114" t="str">
        <f>_xlfn.IFNA(VLOOKUP(Sheet1!$C114,ConStruct!A:C,3,FALSE),"-")</f>
        <v>ConStruct</v>
      </c>
      <c r="AR114" t="str">
        <f>_xlfn.IFNA(VLOOKUP(Sheet1!$C114,GEA!A:C,3,FALSE),"-")</f>
        <v>GEA</v>
      </c>
      <c r="AS114" t="str">
        <f>_xlfn.IFNA(VLOOKUP(Sheet1!$C114,MAC_DSUITE!A:D,3,FALSE),"-")</f>
        <v>mac_IA_CHP</v>
      </c>
      <c r="AT114" t="str">
        <f>_xlfn.IFNA(VLOOKUP(Sheet1!$C114,MONG_DSUITE!A:E,2,FALSE),"-")</f>
        <v>macrocarpa_CHP</v>
      </c>
      <c r="AU114" t="str">
        <f>_xlfn.IFNA(VLOOKUP(Sheet1!$C114,MAC_PAINT2!A:D,4,FALSE),"-")</f>
        <v>macpaint</v>
      </c>
      <c r="AV114" t="s">
        <v>9193</v>
      </c>
      <c r="AW114" t="s">
        <v>9193</v>
      </c>
    </row>
    <row r="115" spans="1:49" customFormat="1" x14ac:dyDescent="0.4">
      <c r="A115">
        <v>3566</v>
      </c>
      <c r="B115" t="s">
        <v>1436</v>
      </c>
      <c r="C115" t="s">
        <v>1437</v>
      </c>
      <c r="D115" t="str">
        <f>_xlfn.CONCAT(C115,".bam")</f>
        <v>SYST-MOR-0006803.bam</v>
      </c>
      <c r="E115" t="s">
        <v>1438</v>
      </c>
      <c r="F115" t="s">
        <v>2442</v>
      </c>
      <c r="G115" t="s">
        <v>2427</v>
      </c>
      <c r="H115" t="s">
        <v>2531</v>
      </c>
      <c r="I115" t="s">
        <v>802</v>
      </c>
      <c r="K115" t="s">
        <v>45</v>
      </c>
      <c r="L115" t="s">
        <v>45</v>
      </c>
      <c r="N115" t="s">
        <v>45</v>
      </c>
      <c r="P115" t="s">
        <v>113</v>
      </c>
      <c r="Q115" t="s">
        <v>46</v>
      </c>
      <c r="R115" t="s">
        <v>2597</v>
      </c>
      <c r="S115" s="1">
        <v>44732</v>
      </c>
      <c r="T115" t="s">
        <v>33</v>
      </c>
      <c r="U115" t="s">
        <v>34</v>
      </c>
      <c r="V115" s="1">
        <v>44738</v>
      </c>
      <c r="W115" t="s">
        <v>35</v>
      </c>
      <c r="X115" t="s">
        <v>1387</v>
      </c>
      <c r="Y115" t="s">
        <v>1439</v>
      </c>
      <c r="Z115" t="s">
        <v>38</v>
      </c>
      <c r="AA115" t="s">
        <v>802</v>
      </c>
      <c r="AD115" t="s">
        <v>45</v>
      </c>
      <c r="AE115">
        <v>38.545696999999997</v>
      </c>
      <c r="AF115">
        <v>-90.535657</v>
      </c>
      <c r="AG115" t="s">
        <v>40</v>
      </c>
      <c r="AH115" t="s">
        <v>41</v>
      </c>
      <c r="AI115">
        <v>38.545589502799999</v>
      </c>
      <c r="AJ115">
        <v>-90.535724389799995</v>
      </c>
      <c r="AK115">
        <v>-1.0749719999836316E-4</v>
      </c>
      <c r="AL115">
        <v>-6.7389799994543864E-5</v>
      </c>
      <c r="AM115" t="str">
        <f>_xlfn.IFNA(VLOOKUP(Sheet1!$C115,ADMIX_ALL!A:B,2,FALSE),"none")</f>
        <v>K6-18</v>
      </c>
      <c r="AN115" t="str">
        <f>_xlfn.IFNA(VLOOKUP(Sheet1!C115,ADMIX_SS!A:B,2,FALSE),"none")</f>
        <v>SubSample</v>
      </c>
      <c r="AO115" t="str">
        <f>_xlfn.IFNA(VLOOKUP(Sheet1!$C115,MONG_PHYLO!A:C,3,FALSE),"-")</f>
        <v>-</v>
      </c>
      <c r="AP115" t="str">
        <f>_xlfn.IFNA(VLOOKUP(Sheet1!$C115,MAC_PHYLO!A:C,3,FALSE),"-")</f>
        <v>-</v>
      </c>
      <c r="AQ115" t="str">
        <f>_xlfn.IFNA(VLOOKUP(Sheet1!$C115,ConStruct!A:C,3,FALSE),"-")</f>
        <v>ConStruct</v>
      </c>
      <c r="AR115" t="str">
        <f>_xlfn.IFNA(VLOOKUP(Sheet1!$C115,GEA!A:C,3,FALSE),"-")</f>
        <v>GEA</v>
      </c>
      <c r="AS115" t="str">
        <f>_xlfn.IFNA(VLOOKUP(Sheet1!$C115,MAC_DSUITE!A:D,3,FALSE),"-")</f>
        <v>mac_MO_CSW</v>
      </c>
      <c r="AT115" t="str">
        <f>_xlfn.IFNA(VLOOKUP(Sheet1!$C115,MONG_DSUITE!A:E,2,FALSE),"-")</f>
        <v>macrocarpa_CSW</v>
      </c>
      <c r="AU115" t="str">
        <f>_xlfn.IFNA(VLOOKUP(Sheet1!$C115,MAC_PAINT2!A:D,4,FALSE),"-")</f>
        <v>macpaint</v>
      </c>
      <c r="AV115" t="s">
        <v>9193</v>
      </c>
      <c r="AW115" t="s">
        <v>9193</v>
      </c>
    </row>
    <row r="116" spans="1:49" customFormat="1" x14ac:dyDescent="0.4">
      <c r="A116">
        <v>3567</v>
      </c>
      <c r="B116" t="s">
        <v>1440</v>
      </c>
      <c r="C116" t="s">
        <v>1441</v>
      </c>
      <c r="D116" t="str">
        <f>_xlfn.CONCAT(C116,".bam")</f>
        <v>SYST-MOR-0006804.bam</v>
      </c>
      <c r="E116" t="s">
        <v>1442</v>
      </c>
      <c r="F116" t="s">
        <v>2442</v>
      </c>
      <c r="G116" t="s">
        <v>2427</v>
      </c>
      <c r="H116" t="s">
        <v>2531</v>
      </c>
      <c r="I116" t="s">
        <v>802</v>
      </c>
      <c r="K116" t="s">
        <v>45</v>
      </c>
      <c r="L116" t="s">
        <v>45</v>
      </c>
      <c r="N116" t="s">
        <v>45</v>
      </c>
      <c r="P116" t="s">
        <v>113</v>
      </c>
      <c r="Q116" t="s">
        <v>46</v>
      </c>
      <c r="R116" t="s">
        <v>2597</v>
      </c>
      <c r="S116" s="1">
        <v>44732</v>
      </c>
      <c r="T116" t="s">
        <v>33</v>
      </c>
      <c r="U116" t="s">
        <v>34</v>
      </c>
      <c r="V116" s="1">
        <v>44738</v>
      </c>
      <c r="W116" t="s">
        <v>35</v>
      </c>
      <c r="X116" t="s">
        <v>1387</v>
      </c>
      <c r="Y116" t="s">
        <v>1439</v>
      </c>
      <c r="Z116" t="s">
        <v>38</v>
      </c>
      <c r="AA116" t="s">
        <v>802</v>
      </c>
      <c r="AD116" t="s">
        <v>45</v>
      </c>
      <c r="AE116">
        <v>38.546835000000002</v>
      </c>
      <c r="AF116">
        <v>-90.537024000000002</v>
      </c>
      <c r="AG116" t="s">
        <v>40</v>
      </c>
      <c r="AH116" t="s">
        <v>41</v>
      </c>
      <c r="AI116">
        <v>38.546848814000001</v>
      </c>
      <c r="AJ116">
        <v>-90.536803566000003</v>
      </c>
      <c r="AK116">
        <v>1.381399999900168E-5</v>
      </c>
      <c r="AL116">
        <v>2.2043399999915891E-4</v>
      </c>
      <c r="AM116" t="str">
        <f>_xlfn.IFNA(VLOOKUP(Sheet1!$C116,ADMIX_ALL!A:B,2,FALSE),"none")</f>
        <v>K6-18</v>
      </c>
      <c r="AN116" t="str">
        <f>_xlfn.IFNA(VLOOKUP(Sheet1!C116,ADMIX_SS!A:B,2,FALSE),"none")</f>
        <v>SubSample</v>
      </c>
      <c r="AO116" t="str">
        <f>_xlfn.IFNA(VLOOKUP(Sheet1!$C116,MONG_PHYLO!A:C,3,FALSE),"-")</f>
        <v>-</v>
      </c>
      <c r="AP116" t="str">
        <f>_xlfn.IFNA(VLOOKUP(Sheet1!$C116,MAC_PHYLO!A:C,3,FALSE),"-")</f>
        <v>-</v>
      </c>
      <c r="AQ116" t="str">
        <f>_xlfn.IFNA(VLOOKUP(Sheet1!$C116,ConStruct!A:C,3,FALSE),"-")</f>
        <v>ConStruct</v>
      </c>
      <c r="AR116" t="str">
        <f>_xlfn.IFNA(VLOOKUP(Sheet1!$C116,GEA!A:C,3,FALSE),"-")</f>
        <v>GEA</v>
      </c>
      <c r="AS116" t="str">
        <f>_xlfn.IFNA(VLOOKUP(Sheet1!$C116,MAC_DSUITE!A:D,3,FALSE),"-")</f>
        <v>mac_MO_CSW</v>
      </c>
      <c r="AT116" t="str">
        <f>_xlfn.IFNA(VLOOKUP(Sheet1!$C116,MONG_DSUITE!A:E,2,FALSE),"-")</f>
        <v>macrocarpa_CSW</v>
      </c>
      <c r="AU116" t="str">
        <f>_xlfn.IFNA(VLOOKUP(Sheet1!$C116,MAC_PAINT2!A:D,4,FALSE),"-")</f>
        <v>macpaint</v>
      </c>
      <c r="AV116" t="s">
        <v>9193</v>
      </c>
      <c r="AW116" t="s">
        <v>9193</v>
      </c>
    </row>
    <row r="117" spans="1:49" customFormat="1" x14ac:dyDescent="0.4">
      <c r="A117">
        <v>3568</v>
      </c>
      <c r="B117" t="s">
        <v>1443</v>
      </c>
      <c r="C117" t="s">
        <v>1444</v>
      </c>
      <c r="D117" t="str">
        <f>_xlfn.CONCAT(C117,".bam")</f>
        <v>SYST-MOR-0006805.bam</v>
      </c>
      <c r="E117" t="s">
        <v>1445</v>
      </c>
      <c r="F117" t="s">
        <v>2442</v>
      </c>
      <c r="G117" t="s">
        <v>2427</v>
      </c>
      <c r="H117" t="s">
        <v>2531</v>
      </c>
      <c r="I117" t="s">
        <v>802</v>
      </c>
      <c r="K117" t="s">
        <v>45</v>
      </c>
      <c r="L117" t="s">
        <v>45</v>
      </c>
      <c r="N117" t="s">
        <v>45</v>
      </c>
      <c r="P117" t="s">
        <v>113</v>
      </c>
      <c r="Q117" t="s">
        <v>46</v>
      </c>
      <c r="R117" t="s">
        <v>2597</v>
      </c>
      <c r="S117" s="1">
        <v>44732</v>
      </c>
      <c r="T117" t="s">
        <v>33</v>
      </c>
      <c r="U117" t="s">
        <v>34</v>
      </c>
      <c r="V117" s="1">
        <v>44738</v>
      </c>
      <c r="W117" t="s">
        <v>35</v>
      </c>
      <c r="X117" t="s">
        <v>1387</v>
      </c>
      <c r="Y117" t="s">
        <v>1439</v>
      </c>
      <c r="Z117" t="s">
        <v>38</v>
      </c>
      <c r="AA117" t="s">
        <v>802</v>
      </c>
      <c r="AD117" t="s">
        <v>45</v>
      </c>
      <c r="AE117">
        <v>38.547165999999997</v>
      </c>
      <c r="AF117">
        <v>-90.536985999999999</v>
      </c>
      <c r="AG117" t="s">
        <v>40</v>
      </c>
      <c r="AH117" t="s">
        <v>41</v>
      </c>
      <c r="AI117">
        <v>38.5470757541</v>
      </c>
      <c r="AJ117">
        <v>-90.536913368900002</v>
      </c>
      <c r="AK117">
        <v>-9.0245899997398737E-5</v>
      </c>
      <c r="AL117">
        <v>7.2631099996556259E-5</v>
      </c>
      <c r="AM117" t="str">
        <f>_xlfn.IFNA(VLOOKUP(Sheet1!$C117,ADMIX_ALL!A:B,2,FALSE),"none")</f>
        <v>K6-18</v>
      </c>
      <c r="AN117" t="str">
        <f>_xlfn.IFNA(VLOOKUP(Sheet1!C117,ADMIX_SS!A:B,2,FALSE),"none")</f>
        <v>SubSample</v>
      </c>
      <c r="AO117" t="str">
        <f>_xlfn.IFNA(VLOOKUP(Sheet1!$C117,MONG_PHYLO!A:C,3,FALSE),"-")</f>
        <v>-</v>
      </c>
      <c r="AP117" t="str">
        <f>_xlfn.IFNA(VLOOKUP(Sheet1!$C117,MAC_PHYLO!A:C,3,FALSE),"-")</f>
        <v>-</v>
      </c>
      <c r="AQ117" t="str">
        <f>_xlfn.IFNA(VLOOKUP(Sheet1!$C117,ConStruct!A:C,3,FALSE),"-")</f>
        <v>ConStruct</v>
      </c>
      <c r="AR117" t="str">
        <f>_xlfn.IFNA(VLOOKUP(Sheet1!$C117,GEA!A:C,3,FALSE),"-")</f>
        <v>GEA</v>
      </c>
      <c r="AS117" t="str">
        <f>_xlfn.IFNA(VLOOKUP(Sheet1!$C117,MAC_DSUITE!A:D,3,FALSE),"-")</f>
        <v>mac_MO_CSW</v>
      </c>
      <c r="AT117" t="str">
        <f>_xlfn.IFNA(VLOOKUP(Sheet1!$C117,MONG_DSUITE!A:E,2,FALSE),"-")</f>
        <v>macrocarpa_CSW</v>
      </c>
      <c r="AU117" t="str">
        <f>_xlfn.IFNA(VLOOKUP(Sheet1!$C117,MAC_PAINT2!A:D,4,FALSE),"-")</f>
        <v>macpaint</v>
      </c>
      <c r="AV117" t="s">
        <v>9193</v>
      </c>
      <c r="AW117" t="s">
        <v>9193</v>
      </c>
    </row>
    <row r="118" spans="1:49" customFormat="1" x14ac:dyDescent="0.4">
      <c r="A118">
        <v>3569</v>
      </c>
      <c r="B118" t="s">
        <v>1581</v>
      </c>
      <c r="C118" t="s">
        <v>1582</v>
      </c>
      <c r="D118" t="str">
        <f>_xlfn.CONCAT(C118,".bam")</f>
        <v>SYST-MOR-0006806.bam</v>
      </c>
      <c r="E118" t="s">
        <v>1583</v>
      </c>
      <c r="F118" t="s">
        <v>2442</v>
      </c>
      <c r="G118" t="s">
        <v>2447</v>
      </c>
      <c r="H118" t="s">
        <v>2535</v>
      </c>
      <c r="I118" t="s">
        <v>1585</v>
      </c>
      <c r="K118" t="s">
        <v>50</v>
      </c>
      <c r="L118" t="s">
        <v>50</v>
      </c>
      <c r="N118" t="s">
        <v>50</v>
      </c>
      <c r="P118" t="s">
        <v>113</v>
      </c>
      <c r="Q118" t="s">
        <v>1457</v>
      </c>
      <c r="R118" t="s">
        <v>2598</v>
      </c>
      <c r="S118" s="1">
        <v>44733</v>
      </c>
      <c r="T118" t="s">
        <v>1584</v>
      </c>
      <c r="U118" t="s">
        <v>34</v>
      </c>
      <c r="V118" s="1">
        <v>44738</v>
      </c>
      <c r="W118" t="s">
        <v>35</v>
      </c>
      <c r="X118" t="s">
        <v>1387</v>
      </c>
      <c r="Y118" t="s">
        <v>1439</v>
      </c>
      <c r="Z118" t="s">
        <v>38</v>
      </c>
      <c r="AA118" t="s">
        <v>1585</v>
      </c>
      <c r="AD118" t="s">
        <v>50</v>
      </c>
      <c r="AE118">
        <v>38.512087999999999</v>
      </c>
      <c r="AF118">
        <v>-90.575698000000003</v>
      </c>
      <c r="AG118" t="s">
        <v>40</v>
      </c>
      <c r="AH118" t="s">
        <v>41</v>
      </c>
      <c r="AI118">
        <v>38.512354558399998</v>
      </c>
      <c r="AJ118">
        <v>-90.575712192899999</v>
      </c>
      <c r="AK118">
        <v>2.6655839999989439E-4</v>
      </c>
      <c r="AL118">
        <v>-1.4192899996601227E-5</v>
      </c>
      <c r="AM118" t="str">
        <f>_xlfn.IFNA(VLOOKUP(Sheet1!$C118,ADMIX_ALL!A:B,2,FALSE),"none")</f>
        <v>K6-18</v>
      </c>
      <c r="AN118" t="str">
        <f>_xlfn.IFNA(VLOOKUP(Sheet1!C118,ADMIX_SS!A:B,2,FALSE),"none")</f>
        <v>SubSample</v>
      </c>
      <c r="AO118" t="str">
        <f>_xlfn.IFNA(VLOOKUP(Sheet1!$C118,MONG_PHYLO!A:C,3,FALSE),"-")</f>
        <v>-</v>
      </c>
      <c r="AP118" t="str">
        <f>_xlfn.IFNA(VLOOKUP(Sheet1!$C118,MAC_PHYLO!A:C,3,FALSE),"-")</f>
        <v>-</v>
      </c>
      <c r="AQ118" t="str">
        <f>_xlfn.IFNA(VLOOKUP(Sheet1!$C118,ConStruct!A:C,3,FALSE),"-")</f>
        <v>-</v>
      </c>
      <c r="AR118" t="str">
        <f>_xlfn.IFNA(VLOOKUP(Sheet1!$C118,GEA!A:C,3,FALSE),"-")</f>
        <v>-</v>
      </c>
      <c r="AS118" t="str">
        <f>_xlfn.IFNA(VLOOKUP(Sheet1!$C118,MAC_DSUITE!A:D,3,FALSE),"-")</f>
        <v>-</v>
      </c>
      <c r="AT118" t="str">
        <f>_xlfn.IFNA(VLOOKUP(Sheet1!$C118,MONG_DSUITE!A:E,2,FALSE),"-")</f>
        <v>xxx</v>
      </c>
      <c r="AU118" t="str">
        <f>_xlfn.IFNA(VLOOKUP(Sheet1!$C118,MAC_PAINT2!A:D,4,FALSE),"-")</f>
        <v>-</v>
      </c>
    </row>
    <row r="119" spans="1:49" customFormat="1" x14ac:dyDescent="0.4">
      <c r="A119">
        <v>3570</v>
      </c>
      <c r="B119" t="s">
        <v>1586</v>
      </c>
      <c r="C119" t="s">
        <v>1587</v>
      </c>
      <c r="D119" t="str">
        <f>_xlfn.CONCAT(C119,".bam")</f>
        <v>SYST-MOR-0006807.bam</v>
      </c>
      <c r="E119" t="s">
        <v>1588</v>
      </c>
      <c r="F119" t="s">
        <v>2442</v>
      </c>
      <c r="G119" t="s">
        <v>2447</v>
      </c>
      <c r="H119" t="s">
        <v>2535</v>
      </c>
      <c r="I119" t="s">
        <v>1585</v>
      </c>
      <c r="K119" t="s">
        <v>84</v>
      </c>
      <c r="L119" t="s">
        <v>84</v>
      </c>
      <c r="N119" t="s">
        <v>84</v>
      </c>
      <c r="P119" t="s">
        <v>113</v>
      </c>
      <c r="Q119" t="s">
        <v>85</v>
      </c>
      <c r="R119" t="s">
        <v>2600</v>
      </c>
      <c r="S119" s="1">
        <v>44733</v>
      </c>
      <c r="T119" t="s">
        <v>1584</v>
      </c>
      <c r="U119" t="s">
        <v>34</v>
      </c>
      <c r="V119" s="1">
        <v>44738</v>
      </c>
      <c r="W119" t="s">
        <v>35</v>
      </c>
      <c r="X119" t="s">
        <v>1387</v>
      </c>
      <c r="Y119" t="s">
        <v>1439</v>
      </c>
      <c r="Z119" t="s">
        <v>38</v>
      </c>
      <c r="AA119" t="s">
        <v>1585</v>
      </c>
      <c r="AD119" t="s">
        <v>84</v>
      </c>
      <c r="AE119">
        <v>38.512208999999999</v>
      </c>
      <c r="AF119">
        <v>-90.576047000000003</v>
      </c>
      <c r="AG119" t="s">
        <v>40</v>
      </c>
      <c r="AH119" t="s">
        <v>41</v>
      </c>
      <c r="AI119">
        <v>38.512225177600001</v>
      </c>
      <c r="AJ119">
        <v>-90.575640806600006</v>
      </c>
      <c r="AK119">
        <v>1.6177600002720283E-5</v>
      </c>
      <c r="AL119">
        <v>4.061933999963685E-4</v>
      </c>
      <c r="AM119" t="str">
        <f>_xlfn.IFNA(VLOOKUP(Sheet1!$C119,ADMIX_ALL!A:B,2,FALSE),"none")</f>
        <v>K6-18</v>
      </c>
      <c r="AN119" t="str">
        <f>_xlfn.IFNA(VLOOKUP(Sheet1!C119,ADMIX_SS!A:B,2,FALSE),"none")</f>
        <v>SubSample</v>
      </c>
      <c r="AO119" t="str">
        <f>_xlfn.IFNA(VLOOKUP(Sheet1!$C119,MONG_PHYLO!A:C,3,FALSE),"-")</f>
        <v>-</v>
      </c>
      <c r="AP119" t="str">
        <f>_xlfn.IFNA(VLOOKUP(Sheet1!$C119,MAC_PHYLO!A:C,3,FALSE),"-")</f>
        <v>-</v>
      </c>
      <c r="AQ119" t="str">
        <f>_xlfn.IFNA(VLOOKUP(Sheet1!$C119,ConStruct!A:C,3,FALSE),"-")</f>
        <v>-</v>
      </c>
      <c r="AR119" t="str">
        <f>_xlfn.IFNA(VLOOKUP(Sheet1!$C119,GEA!A:C,3,FALSE),"-")</f>
        <v>-</v>
      </c>
      <c r="AS119" t="str">
        <f>_xlfn.IFNA(VLOOKUP(Sheet1!$C119,MAC_DSUITE!A:D,3,FALSE),"-")</f>
        <v>-</v>
      </c>
      <c r="AT119" t="str">
        <f>_xlfn.IFNA(VLOOKUP(Sheet1!$C119,MONG_DSUITE!A:E,2,FALSE),"-")</f>
        <v>xxx</v>
      </c>
      <c r="AU119" t="str">
        <f>_xlfn.IFNA(VLOOKUP(Sheet1!$C119,MAC_PAINT2!A:D,4,FALSE),"-")</f>
        <v>-</v>
      </c>
    </row>
    <row r="120" spans="1:49" customFormat="1" x14ac:dyDescent="0.4">
      <c r="A120">
        <v>3571</v>
      </c>
      <c r="B120" t="s">
        <v>1589</v>
      </c>
      <c r="C120" t="s">
        <v>1590</v>
      </c>
      <c r="D120" t="str">
        <f>_xlfn.CONCAT(C120,".bam")</f>
        <v>SYST-MOR-0006808.bam</v>
      </c>
      <c r="E120" t="s">
        <v>1591</v>
      </c>
      <c r="F120" t="s">
        <v>2442</v>
      </c>
      <c r="G120" t="s">
        <v>2447</v>
      </c>
      <c r="H120" t="s">
        <v>2535</v>
      </c>
      <c r="I120" t="s">
        <v>1585</v>
      </c>
      <c r="K120" t="s">
        <v>64</v>
      </c>
      <c r="L120" t="s">
        <v>64</v>
      </c>
      <c r="N120" t="s">
        <v>64</v>
      </c>
      <c r="P120" t="s">
        <v>113</v>
      </c>
      <c r="Q120" t="s">
        <v>155</v>
      </c>
      <c r="R120" t="s">
        <v>2599</v>
      </c>
      <c r="S120" s="1">
        <v>44733</v>
      </c>
      <c r="T120" t="s">
        <v>1584</v>
      </c>
      <c r="U120" t="s">
        <v>34</v>
      </c>
      <c r="V120" s="1">
        <v>44738</v>
      </c>
      <c r="W120" t="s">
        <v>35</v>
      </c>
      <c r="X120" t="s">
        <v>1387</v>
      </c>
      <c r="Y120" t="s">
        <v>1439</v>
      </c>
      <c r="Z120" t="s">
        <v>38</v>
      </c>
      <c r="AA120" t="s">
        <v>1585</v>
      </c>
      <c r="AD120" t="s">
        <v>64</v>
      </c>
      <c r="AE120">
        <v>38.512383999999997</v>
      </c>
      <c r="AF120">
        <v>-90.575894000000005</v>
      </c>
      <c r="AG120" t="s">
        <v>40</v>
      </c>
      <c r="AH120" t="s">
        <v>41</v>
      </c>
      <c r="AI120">
        <v>38.512286874499999</v>
      </c>
      <c r="AJ120">
        <v>-90.575957614999993</v>
      </c>
      <c r="AK120">
        <v>-9.7125499998185205E-5</v>
      </c>
      <c r="AL120">
        <v>-6.3614999987748888E-5</v>
      </c>
      <c r="AM120" t="str">
        <f>_xlfn.IFNA(VLOOKUP(Sheet1!$C120,ADMIX_ALL!A:B,2,FALSE),"none")</f>
        <v>K6-18</v>
      </c>
      <c r="AN120" t="str">
        <f>_xlfn.IFNA(VLOOKUP(Sheet1!C120,ADMIX_SS!A:B,2,FALSE),"none")</f>
        <v>SubSample</v>
      </c>
      <c r="AO120" t="str">
        <f>_xlfn.IFNA(VLOOKUP(Sheet1!$C120,MONG_PHYLO!A:C,3,FALSE),"-")</f>
        <v>-</v>
      </c>
      <c r="AP120" t="str">
        <f>_xlfn.IFNA(VLOOKUP(Sheet1!$C120,MAC_PHYLO!A:C,3,FALSE),"-")</f>
        <v>-</v>
      </c>
      <c r="AQ120" t="str">
        <f>_xlfn.IFNA(VLOOKUP(Sheet1!$C120,ConStruct!A:C,3,FALSE),"-")</f>
        <v>-</v>
      </c>
      <c r="AR120" t="str">
        <f>_xlfn.IFNA(VLOOKUP(Sheet1!$C120,GEA!A:C,3,FALSE),"-")</f>
        <v>-</v>
      </c>
      <c r="AS120" t="str">
        <f>_xlfn.IFNA(VLOOKUP(Sheet1!$C120,MAC_DSUITE!A:D,3,FALSE),"-")</f>
        <v>-</v>
      </c>
      <c r="AT120" t="str">
        <f>_xlfn.IFNA(VLOOKUP(Sheet1!$C120,MONG_DSUITE!A:E,2,FALSE),"-")</f>
        <v>xxx</v>
      </c>
      <c r="AU120" t="str">
        <f>_xlfn.IFNA(VLOOKUP(Sheet1!$C120,MAC_PAINT2!A:D,4,FALSE),"-")</f>
        <v>-</v>
      </c>
    </row>
    <row r="121" spans="1:49" customFormat="1" x14ac:dyDescent="0.4">
      <c r="A121">
        <v>3572</v>
      </c>
      <c r="B121" t="s">
        <v>1592</v>
      </c>
      <c r="C121" t="s">
        <v>1593</v>
      </c>
      <c r="D121" t="str">
        <f>_xlfn.CONCAT(C121,".bam")</f>
        <v>SYST-MOR-0006809.bam</v>
      </c>
      <c r="E121" t="s">
        <v>1594</v>
      </c>
      <c r="F121" t="s">
        <v>2442</v>
      </c>
      <c r="G121" t="s">
        <v>2447</v>
      </c>
      <c r="H121" t="s">
        <v>2535</v>
      </c>
      <c r="I121" t="s">
        <v>1585</v>
      </c>
      <c r="K121" t="s">
        <v>84</v>
      </c>
      <c r="L121" t="s">
        <v>84</v>
      </c>
      <c r="N121" t="s">
        <v>84</v>
      </c>
      <c r="P121" t="s">
        <v>113</v>
      </c>
      <c r="Q121" t="s">
        <v>85</v>
      </c>
      <c r="R121" t="s">
        <v>2600</v>
      </c>
      <c r="S121" s="1">
        <v>44733</v>
      </c>
      <c r="T121" t="s">
        <v>1584</v>
      </c>
      <c r="U121" t="s">
        <v>34</v>
      </c>
      <c r="V121" s="1">
        <v>44738</v>
      </c>
      <c r="W121" t="s">
        <v>35</v>
      </c>
      <c r="X121" t="s">
        <v>1387</v>
      </c>
      <c r="Y121" t="s">
        <v>1439</v>
      </c>
      <c r="Z121" t="s">
        <v>38</v>
      </c>
      <c r="AA121" t="s">
        <v>1585</v>
      </c>
      <c r="AD121" t="s">
        <v>84</v>
      </c>
      <c r="AE121">
        <v>38.512354999999999</v>
      </c>
      <c r="AF121">
        <v>-90.576186000000007</v>
      </c>
      <c r="AG121" t="s">
        <v>40</v>
      </c>
      <c r="AH121" t="s">
        <v>41</v>
      </c>
      <c r="AI121">
        <v>38.5123072652</v>
      </c>
      <c r="AJ121">
        <v>-90.576067805199997</v>
      </c>
      <c r="AK121">
        <v>-4.7734799998977451E-5</v>
      </c>
      <c r="AL121">
        <v>1.1819480000951899E-4</v>
      </c>
      <c r="AM121" t="str">
        <f>_xlfn.IFNA(VLOOKUP(Sheet1!$C121,ADMIX_ALL!A:B,2,FALSE),"none")</f>
        <v>K6-18</v>
      </c>
      <c r="AN121" t="str">
        <f>_xlfn.IFNA(VLOOKUP(Sheet1!C121,ADMIX_SS!A:B,2,FALSE),"none")</f>
        <v>SubSample</v>
      </c>
      <c r="AO121" t="str">
        <f>_xlfn.IFNA(VLOOKUP(Sheet1!$C121,MONG_PHYLO!A:C,3,FALSE),"-")</f>
        <v>-</v>
      </c>
      <c r="AP121" t="str">
        <f>_xlfn.IFNA(VLOOKUP(Sheet1!$C121,MAC_PHYLO!A:C,3,FALSE),"-")</f>
        <v>-</v>
      </c>
      <c r="AQ121" t="str">
        <f>_xlfn.IFNA(VLOOKUP(Sheet1!$C121,ConStruct!A:C,3,FALSE),"-")</f>
        <v>-</v>
      </c>
      <c r="AR121" t="str">
        <f>_xlfn.IFNA(VLOOKUP(Sheet1!$C121,GEA!A:C,3,FALSE),"-")</f>
        <v>-</v>
      </c>
      <c r="AS121" t="str">
        <f>_xlfn.IFNA(VLOOKUP(Sheet1!$C121,MAC_DSUITE!A:D,3,FALSE),"-")</f>
        <v>-</v>
      </c>
      <c r="AT121" t="str">
        <f>_xlfn.IFNA(VLOOKUP(Sheet1!$C121,MONG_DSUITE!A:E,2,FALSE),"-")</f>
        <v>xxx</v>
      </c>
      <c r="AU121" t="str">
        <f>_xlfn.IFNA(VLOOKUP(Sheet1!$C121,MAC_PAINT2!A:D,4,FALSE),"-")</f>
        <v>-</v>
      </c>
    </row>
    <row r="122" spans="1:49" customFormat="1" x14ac:dyDescent="0.4">
      <c r="A122">
        <v>3573</v>
      </c>
      <c r="B122" t="s">
        <v>1595</v>
      </c>
      <c r="C122" t="s">
        <v>1596</v>
      </c>
      <c r="D122" t="str">
        <f>_xlfn.CONCAT(C122,".bam")</f>
        <v>SYST-MOR-0006810.bam</v>
      </c>
      <c r="E122" t="s">
        <v>1597</v>
      </c>
      <c r="F122" t="s">
        <v>2442</v>
      </c>
      <c r="G122" t="s">
        <v>2447</v>
      </c>
      <c r="H122" t="s">
        <v>2535</v>
      </c>
      <c r="I122" t="s">
        <v>1585</v>
      </c>
      <c r="K122" t="s">
        <v>64</v>
      </c>
      <c r="L122" t="s">
        <v>64</v>
      </c>
      <c r="N122" t="s">
        <v>64</v>
      </c>
      <c r="P122" t="s">
        <v>113</v>
      </c>
      <c r="Q122" t="s">
        <v>155</v>
      </c>
      <c r="R122" t="s">
        <v>2599</v>
      </c>
      <c r="S122" s="1">
        <v>44733</v>
      </c>
      <c r="T122" t="s">
        <v>1584</v>
      </c>
      <c r="U122" t="s">
        <v>34</v>
      </c>
      <c r="V122" s="1">
        <v>44738</v>
      </c>
      <c r="W122" t="s">
        <v>35</v>
      </c>
      <c r="X122" t="s">
        <v>1387</v>
      </c>
      <c r="Y122" t="s">
        <v>1439</v>
      </c>
      <c r="Z122" t="s">
        <v>38</v>
      </c>
      <c r="AA122" t="s">
        <v>1585</v>
      </c>
      <c r="AD122" t="s">
        <v>64</v>
      </c>
      <c r="AE122">
        <v>38.512345000000003</v>
      </c>
      <c r="AF122">
        <v>-90.576353999999995</v>
      </c>
      <c r="AG122" t="s">
        <v>40</v>
      </c>
      <c r="AH122" t="s">
        <v>41</v>
      </c>
      <c r="AI122">
        <v>38.512379730600003</v>
      </c>
      <c r="AJ122">
        <v>-90.576234140300002</v>
      </c>
      <c r="AK122">
        <v>3.4730599999477363E-5</v>
      </c>
      <c r="AL122">
        <v>1.1985969999273038E-4</v>
      </c>
      <c r="AM122" t="str">
        <f>_xlfn.IFNA(VLOOKUP(Sheet1!$C122,ADMIX_ALL!A:B,2,FALSE),"none")</f>
        <v>K6-18</v>
      </c>
      <c r="AN122" t="str">
        <f>_xlfn.IFNA(VLOOKUP(Sheet1!C122,ADMIX_SS!A:B,2,FALSE),"none")</f>
        <v>SubSample</v>
      </c>
      <c r="AO122" t="str">
        <f>_xlfn.IFNA(VLOOKUP(Sheet1!$C122,MONG_PHYLO!A:C,3,FALSE),"-")</f>
        <v>-</v>
      </c>
      <c r="AP122" t="str">
        <f>_xlfn.IFNA(VLOOKUP(Sheet1!$C122,MAC_PHYLO!A:C,3,FALSE),"-")</f>
        <v>-</v>
      </c>
      <c r="AQ122" t="str">
        <f>_xlfn.IFNA(VLOOKUP(Sheet1!$C122,ConStruct!A:C,3,FALSE),"-")</f>
        <v>-</v>
      </c>
      <c r="AR122" t="str">
        <f>_xlfn.IFNA(VLOOKUP(Sheet1!$C122,GEA!A:C,3,FALSE),"-")</f>
        <v>-</v>
      </c>
      <c r="AS122" t="str">
        <f>_xlfn.IFNA(VLOOKUP(Sheet1!$C122,MAC_DSUITE!A:D,3,FALSE),"-")</f>
        <v>-</v>
      </c>
      <c r="AT122" t="str">
        <f>_xlfn.IFNA(VLOOKUP(Sheet1!$C122,MONG_DSUITE!A:E,2,FALSE),"-")</f>
        <v>xxx</v>
      </c>
      <c r="AU122" t="str">
        <f>_xlfn.IFNA(VLOOKUP(Sheet1!$C122,MAC_PAINT2!A:D,4,FALSE),"-")</f>
        <v>-</v>
      </c>
    </row>
    <row r="123" spans="1:49" customFormat="1" x14ac:dyDescent="0.4">
      <c r="A123">
        <v>3574</v>
      </c>
      <c r="B123" t="s">
        <v>1598</v>
      </c>
      <c r="C123" t="s">
        <v>1599</v>
      </c>
      <c r="D123" t="str">
        <f>_xlfn.CONCAT(C123,".bam")</f>
        <v>SYST-MOR-0006811.bam</v>
      </c>
      <c r="E123" t="s">
        <v>1600</v>
      </c>
      <c r="F123" t="s">
        <v>2442</v>
      </c>
      <c r="G123" t="s">
        <v>2447</v>
      </c>
      <c r="H123" t="s">
        <v>2535</v>
      </c>
      <c r="I123" t="s">
        <v>1585</v>
      </c>
      <c r="K123" t="s">
        <v>50</v>
      </c>
      <c r="L123" t="s">
        <v>50</v>
      </c>
      <c r="N123" t="s">
        <v>50</v>
      </c>
      <c r="P123" t="s">
        <v>113</v>
      </c>
      <c r="Q123" t="s">
        <v>1457</v>
      </c>
      <c r="R123" t="s">
        <v>2598</v>
      </c>
      <c r="S123" s="1">
        <v>44733</v>
      </c>
      <c r="T123" t="s">
        <v>1584</v>
      </c>
      <c r="U123" t="s">
        <v>34</v>
      </c>
      <c r="V123" s="1">
        <v>44738</v>
      </c>
      <c r="W123" t="s">
        <v>35</v>
      </c>
      <c r="X123" t="s">
        <v>1387</v>
      </c>
      <c r="Y123" t="s">
        <v>1439</v>
      </c>
      <c r="Z123" t="s">
        <v>38</v>
      </c>
      <c r="AA123" t="s">
        <v>1585</v>
      </c>
      <c r="AD123" t="s">
        <v>50</v>
      </c>
      <c r="AE123">
        <v>38.512487</v>
      </c>
      <c r="AF123">
        <v>-90.576479000000006</v>
      </c>
      <c r="AG123" t="s">
        <v>40</v>
      </c>
      <c r="AH123" t="s">
        <v>41</v>
      </c>
      <c r="AI123">
        <v>38.512257753</v>
      </c>
      <c r="AJ123">
        <v>-90.576388314100001</v>
      </c>
      <c r="AK123">
        <v>-2.292470000000435E-4</v>
      </c>
      <c r="AL123">
        <v>9.0685900005382791E-5</v>
      </c>
      <c r="AM123" t="str">
        <f>_xlfn.IFNA(VLOOKUP(Sheet1!$C123,ADMIX_ALL!A:B,2,FALSE),"none")</f>
        <v>K6-18</v>
      </c>
      <c r="AN123" t="str">
        <f>_xlfn.IFNA(VLOOKUP(Sheet1!C123,ADMIX_SS!A:B,2,FALSE),"none")</f>
        <v>SubSample</v>
      </c>
      <c r="AO123" t="str">
        <f>_xlfn.IFNA(VLOOKUP(Sheet1!$C123,MONG_PHYLO!A:C,3,FALSE),"-")</f>
        <v>-</v>
      </c>
      <c r="AP123" t="str">
        <f>_xlfn.IFNA(VLOOKUP(Sheet1!$C123,MAC_PHYLO!A:C,3,FALSE),"-")</f>
        <v>-</v>
      </c>
      <c r="AQ123" t="str">
        <f>_xlfn.IFNA(VLOOKUP(Sheet1!$C123,ConStruct!A:C,3,FALSE),"-")</f>
        <v>-</v>
      </c>
      <c r="AR123" t="str">
        <f>_xlfn.IFNA(VLOOKUP(Sheet1!$C123,GEA!A:C,3,FALSE),"-")</f>
        <v>-</v>
      </c>
      <c r="AS123" t="str">
        <f>_xlfn.IFNA(VLOOKUP(Sheet1!$C123,MAC_DSUITE!A:D,3,FALSE),"-")</f>
        <v>-</v>
      </c>
      <c r="AT123" t="str">
        <f>_xlfn.IFNA(VLOOKUP(Sheet1!$C123,MONG_DSUITE!A:E,2,FALSE),"-")</f>
        <v>xxx</v>
      </c>
      <c r="AU123" t="str">
        <f>_xlfn.IFNA(VLOOKUP(Sheet1!$C123,MAC_PAINT2!A:D,4,FALSE),"-")</f>
        <v>-</v>
      </c>
    </row>
    <row r="124" spans="1:49" customFormat="1" x14ac:dyDescent="0.4">
      <c r="A124">
        <v>3575</v>
      </c>
      <c r="B124" t="s">
        <v>1601</v>
      </c>
      <c r="C124" t="s">
        <v>1602</v>
      </c>
      <c r="D124" t="str">
        <f>_xlfn.CONCAT(C124,".bam")</f>
        <v>SYST-MOR-0006812.bam</v>
      </c>
      <c r="E124" t="s">
        <v>1603</v>
      </c>
      <c r="F124" t="s">
        <v>2442</v>
      </c>
      <c r="G124" t="s">
        <v>2447</v>
      </c>
      <c r="H124" t="s">
        <v>2535</v>
      </c>
      <c r="I124" t="s">
        <v>1585</v>
      </c>
      <c r="K124" t="s">
        <v>84</v>
      </c>
      <c r="L124" t="s">
        <v>84</v>
      </c>
      <c r="N124" t="s">
        <v>84</v>
      </c>
      <c r="P124" t="s">
        <v>113</v>
      </c>
      <c r="Q124" t="s">
        <v>85</v>
      </c>
      <c r="R124" t="s">
        <v>2600</v>
      </c>
      <c r="S124" s="1">
        <v>44733</v>
      </c>
      <c r="T124" t="s">
        <v>1584</v>
      </c>
      <c r="U124" t="s">
        <v>34</v>
      </c>
      <c r="V124" s="1">
        <v>44738</v>
      </c>
      <c r="W124" t="s">
        <v>35</v>
      </c>
      <c r="X124" t="s">
        <v>1387</v>
      </c>
      <c r="Y124" t="s">
        <v>1439</v>
      </c>
      <c r="Z124" t="s">
        <v>38</v>
      </c>
      <c r="AA124" t="s">
        <v>1585</v>
      </c>
      <c r="AD124" t="s">
        <v>84</v>
      </c>
      <c r="AE124">
        <v>38.511719999999997</v>
      </c>
      <c r="AF124">
        <v>-90.575335999999993</v>
      </c>
      <c r="AG124" t="s">
        <v>40</v>
      </c>
      <c r="AH124" t="s">
        <v>41</v>
      </c>
      <c r="AI124">
        <v>38.511744691099999</v>
      </c>
      <c r="AJ124">
        <v>-90.575396781899997</v>
      </c>
      <c r="AK124">
        <v>2.4691100001916766E-5</v>
      </c>
      <c r="AL124">
        <v>-6.0781900003803457E-5</v>
      </c>
      <c r="AM124" t="str">
        <f>_xlfn.IFNA(VLOOKUP(Sheet1!$C124,ADMIX_ALL!A:B,2,FALSE),"none")</f>
        <v>K6-18</v>
      </c>
      <c r="AN124" t="str">
        <f>_xlfn.IFNA(VLOOKUP(Sheet1!C124,ADMIX_SS!A:B,2,FALSE),"none")</f>
        <v>none</v>
      </c>
      <c r="AO124" t="str">
        <f>_xlfn.IFNA(VLOOKUP(Sheet1!$C124,MONG_PHYLO!A:C,3,FALSE),"-")</f>
        <v>-</v>
      </c>
      <c r="AP124" t="str">
        <f>_xlfn.IFNA(VLOOKUP(Sheet1!$C124,MAC_PHYLO!A:C,3,FALSE),"-")</f>
        <v>-</v>
      </c>
      <c r="AQ124" t="str">
        <f>_xlfn.IFNA(VLOOKUP(Sheet1!$C124,ConStruct!A:C,3,FALSE),"-")</f>
        <v>-</v>
      </c>
      <c r="AR124" t="str">
        <f>_xlfn.IFNA(VLOOKUP(Sheet1!$C124,GEA!A:C,3,FALSE),"-")</f>
        <v>-</v>
      </c>
      <c r="AS124" t="str">
        <f>_xlfn.IFNA(VLOOKUP(Sheet1!$C124,MAC_DSUITE!A:D,3,FALSE),"-")</f>
        <v>-</v>
      </c>
      <c r="AT124" t="str">
        <f>_xlfn.IFNA(VLOOKUP(Sheet1!$C124,MONG_DSUITE!A:E,2,FALSE),"-")</f>
        <v>xxx</v>
      </c>
      <c r="AU124" t="str">
        <f>_xlfn.IFNA(VLOOKUP(Sheet1!$C124,MAC_PAINT2!A:D,4,FALSE),"-")</f>
        <v>-</v>
      </c>
    </row>
    <row r="125" spans="1:49" customFormat="1" x14ac:dyDescent="0.4">
      <c r="A125">
        <v>3576</v>
      </c>
      <c r="B125" t="s">
        <v>1604</v>
      </c>
      <c r="C125" t="s">
        <v>1605</v>
      </c>
      <c r="D125" t="str">
        <f>_xlfn.CONCAT(C125,".bam")</f>
        <v>SYST-MOR-0006813.bam</v>
      </c>
      <c r="E125" t="s">
        <v>1606</v>
      </c>
      <c r="F125" t="s">
        <v>2442</v>
      </c>
      <c r="G125" t="s">
        <v>2447</v>
      </c>
      <c r="H125" t="s">
        <v>2535</v>
      </c>
      <c r="I125" t="s">
        <v>1585</v>
      </c>
      <c r="K125" t="s">
        <v>84</v>
      </c>
      <c r="L125" t="s">
        <v>84</v>
      </c>
      <c r="N125" t="s">
        <v>84</v>
      </c>
      <c r="P125" t="s">
        <v>113</v>
      </c>
      <c r="Q125" t="s">
        <v>85</v>
      </c>
      <c r="R125" t="s">
        <v>2600</v>
      </c>
      <c r="S125" s="1">
        <v>44733</v>
      </c>
      <c r="T125" t="s">
        <v>1584</v>
      </c>
      <c r="U125" t="s">
        <v>34</v>
      </c>
      <c r="V125" s="1">
        <v>44738</v>
      </c>
      <c r="W125" t="s">
        <v>35</v>
      </c>
      <c r="X125" t="s">
        <v>1387</v>
      </c>
      <c r="Y125" t="s">
        <v>1439</v>
      </c>
      <c r="Z125" t="s">
        <v>38</v>
      </c>
      <c r="AA125" t="s">
        <v>1585</v>
      </c>
      <c r="AD125" t="s">
        <v>84</v>
      </c>
      <c r="AE125">
        <v>38.511583999999999</v>
      </c>
      <c r="AF125">
        <v>-90.574960000000004</v>
      </c>
      <c r="AG125" t="s">
        <v>40</v>
      </c>
      <c r="AH125" t="s">
        <v>41</v>
      </c>
      <c r="AI125">
        <v>38.511673696400003</v>
      </c>
      <c r="AJ125">
        <v>-90.575093692300001</v>
      </c>
      <c r="AK125">
        <v>8.9696400003447252E-5</v>
      </c>
      <c r="AL125">
        <v>-1.3369229999682375E-4</v>
      </c>
      <c r="AM125" t="str">
        <f>_xlfn.IFNA(VLOOKUP(Sheet1!$C125,ADMIX_ALL!A:B,2,FALSE),"none")</f>
        <v>K6-18</v>
      </c>
      <c r="AN125" t="str">
        <f>_xlfn.IFNA(VLOOKUP(Sheet1!C125,ADMIX_SS!A:B,2,FALSE),"none")</f>
        <v>SubSample</v>
      </c>
      <c r="AO125" t="str">
        <f>_xlfn.IFNA(VLOOKUP(Sheet1!$C125,MONG_PHYLO!A:C,3,FALSE),"-")</f>
        <v>-</v>
      </c>
      <c r="AP125" t="str">
        <f>_xlfn.IFNA(VLOOKUP(Sheet1!$C125,MAC_PHYLO!A:C,3,FALSE),"-")</f>
        <v>mue</v>
      </c>
      <c r="AQ125" t="str">
        <f>_xlfn.IFNA(VLOOKUP(Sheet1!$C125,ConStruct!A:C,3,FALSE),"-")</f>
        <v>-</v>
      </c>
      <c r="AR125" t="str">
        <f>_xlfn.IFNA(VLOOKUP(Sheet1!$C125,GEA!A:C,3,FALSE),"-")</f>
        <v>-</v>
      </c>
      <c r="AS125" t="str">
        <f>_xlfn.IFNA(VLOOKUP(Sheet1!$C125,MAC_DSUITE!A:D,3,FALSE),"-")</f>
        <v>mue</v>
      </c>
      <c r="AT125" t="str">
        <f>_xlfn.IFNA(VLOOKUP(Sheet1!$C125,MONG_DSUITE!A:E,2,FALSE),"-")</f>
        <v>xxx</v>
      </c>
      <c r="AU125" t="str">
        <f>_xlfn.IFNA(VLOOKUP(Sheet1!$C125,MAC_PAINT2!A:D,4,FALSE),"-")</f>
        <v>mue-macpaint</v>
      </c>
    </row>
    <row r="126" spans="1:49" customFormat="1" x14ac:dyDescent="0.4">
      <c r="A126">
        <v>3577</v>
      </c>
      <c r="B126" t="s">
        <v>1607</v>
      </c>
      <c r="C126" t="s">
        <v>1608</v>
      </c>
      <c r="D126" t="str">
        <f>_xlfn.CONCAT(C126,".bam")</f>
        <v>SYST-MOR-0006814.bam</v>
      </c>
      <c r="E126" t="s">
        <v>1609</v>
      </c>
      <c r="F126" t="s">
        <v>2442</v>
      </c>
      <c r="G126" t="s">
        <v>2447</v>
      </c>
      <c r="H126" t="s">
        <v>2535</v>
      </c>
      <c r="I126" t="s">
        <v>1585</v>
      </c>
      <c r="K126" t="s">
        <v>50</v>
      </c>
      <c r="L126" t="s">
        <v>50</v>
      </c>
      <c r="N126" t="s">
        <v>50</v>
      </c>
      <c r="P126" t="s">
        <v>113</v>
      </c>
      <c r="Q126" t="s">
        <v>51</v>
      </c>
      <c r="R126" t="s">
        <v>2598</v>
      </c>
      <c r="S126" s="1">
        <v>44733</v>
      </c>
      <c r="T126" t="s">
        <v>1584</v>
      </c>
      <c r="U126" t="s">
        <v>34</v>
      </c>
      <c r="V126" s="1">
        <v>44738</v>
      </c>
      <c r="W126" t="s">
        <v>35</v>
      </c>
      <c r="X126" t="s">
        <v>1387</v>
      </c>
      <c r="Y126" t="s">
        <v>1439</v>
      </c>
      <c r="Z126" t="s">
        <v>38</v>
      </c>
      <c r="AA126" t="s">
        <v>1585</v>
      </c>
      <c r="AD126" t="s">
        <v>50</v>
      </c>
      <c r="AE126">
        <v>38.513753000000001</v>
      </c>
      <c r="AF126">
        <v>-90.557106000000005</v>
      </c>
      <c r="AG126" t="s">
        <v>40</v>
      </c>
      <c r="AH126" t="s">
        <v>41</v>
      </c>
      <c r="AI126">
        <v>38.526125548499998</v>
      </c>
      <c r="AJ126">
        <v>-90.560117792699998</v>
      </c>
      <c r="AK126">
        <v>1.2372548499996583E-2</v>
      </c>
      <c r="AL126">
        <v>-3.0117926999935207E-3</v>
      </c>
      <c r="AM126" t="str">
        <f>_xlfn.IFNA(VLOOKUP(Sheet1!$C126,ADMIX_ALL!A:B,2,FALSE),"none")</f>
        <v>K6-18</v>
      </c>
      <c r="AN126" t="str">
        <f>_xlfn.IFNA(VLOOKUP(Sheet1!C126,ADMIX_SS!A:B,2,FALSE),"none")</f>
        <v>SubSample</v>
      </c>
      <c r="AO126" t="str">
        <f>_xlfn.IFNA(VLOOKUP(Sheet1!$C126,MONG_PHYLO!A:C,3,FALSE),"-")</f>
        <v>-</v>
      </c>
      <c r="AP126" t="str">
        <f>_xlfn.IFNA(VLOOKUP(Sheet1!$C126,MAC_PHYLO!A:C,3,FALSE),"-")</f>
        <v>ste</v>
      </c>
      <c r="AQ126" t="str">
        <f>_xlfn.IFNA(VLOOKUP(Sheet1!$C126,ConStruct!A:C,3,FALSE),"-")</f>
        <v>-</v>
      </c>
      <c r="AR126" t="str">
        <f>_xlfn.IFNA(VLOOKUP(Sheet1!$C126,GEA!A:C,3,FALSE),"-")</f>
        <v>-</v>
      </c>
      <c r="AS126" t="str">
        <f>_xlfn.IFNA(VLOOKUP(Sheet1!$C126,MAC_DSUITE!A:D,3,FALSE),"-")</f>
        <v>ste</v>
      </c>
      <c r="AT126" t="str">
        <f>_xlfn.IFNA(VLOOKUP(Sheet1!$C126,MONG_DSUITE!A:E,2,FALSE),"-")</f>
        <v>xxx</v>
      </c>
      <c r="AU126" t="str">
        <f>_xlfn.IFNA(VLOOKUP(Sheet1!$C126,MAC_PAINT2!A:D,4,FALSE),"-")</f>
        <v>ste-macpaint</v>
      </c>
    </row>
    <row r="127" spans="1:49" customFormat="1" x14ac:dyDescent="0.4">
      <c r="A127">
        <v>3578</v>
      </c>
      <c r="B127" t="s">
        <v>1610</v>
      </c>
      <c r="C127" t="s">
        <v>1611</v>
      </c>
      <c r="D127" t="str">
        <f>_xlfn.CONCAT(C127,".bam")</f>
        <v>SYST-MOR-0006815.bam</v>
      </c>
      <c r="E127" t="s">
        <v>1612</v>
      </c>
      <c r="F127" t="s">
        <v>2442</v>
      </c>
      <c r="G127" t="s">
        <v>2447</v>
      </c>
      <c r="H127" t="s">
        <v>2535</v>
      </c>
      <c r="I127" t="s">
        <v>1585</v>
      </c>
      <c r="K127" t="s">
        <v>50</v>
      </c>
      <c r="L127" t="s">
        <v>50</v>
      </c>
      <c r="N127" t="s">
        <v>50</v>
      </c>
      <c r="P127" t="s">
        <v>113</v>
      </c>
      <c r="Q127" t="s">
        <v>51</v>
      </c>
      <c r="R127" t="s">
        <v>2598</v>
      </c>
      <c r="S127" s="1">
        <v>44733</v>
      </c>
      <c r="T127" t="s">
        <v>1584</v>
      </c>
      <c r="U127" t="s">
        <v>34</v>
      </c>
      <c r="V127" s="1">
        <v>44738</v>
      </c>
      <c r="W127" t="s">
        <v>35</v>
      </c>
      <c r="X127" t="s">
        <v>1387</v>
      </c>
      <c r="Y127" t="s">
        <v>1439</v>
      </c>
      <c r="Z127" t="s">
        <v>38</v>
      </c>
      <c r="AA127" t="s">
        <v>1585</v>
      </c>
      <c r="AD127" t="s">
        <v>50</v>
      </c>
      <c r="AE127">
        <v>38.514397000000002</v>
      </c>
      <c r="AF127">
        <v>-90.555689000000001</v>
      </c>
      <c r="AG127" t="s">
        <v>40</v>
      </c>
      <c r="AH127" t="s">
        <v>41</v>
      </c>
      <c r="AI127">
        <v>38.514366801900003</v>
      </c>
      <c r="AJ127">
        <v>-90.555637618600002</v>
      </c>
      <c r="AK127">
        <v>-3.0198099999267924E-5</v>
      </c>
      <c r="AL127">
        <v>5.1381399998717825E-5</v>
      </c>
      <c r="AM127" t="str">
        <f>_xlfn.IFNA(VLOOKUP(Sheet1!$C127,ADMIX_ALL!A:B,2,FALSE),"none")</f>
        <v>K6-18</v>
      </c>
      <c r="AN127" t="str">
        <f>_xlfn.IFNA(VLOOKUP(Sheet1!C127,ADMIX_SS!A:B,2,FALSE),"none")</f>
        <v>SubSample</v>
      </c>
      <c r="AO127" t="str">
        <f>_xlfn.IFNA(VLOOKUP(Sheet1!$C127,MONG_PHYLO!A:C,3,FALSE),"-")</f>
        <v>-</v>
      </c>
      <c r="AP127" t="str">
        <f>_xlfn.IFNA(VLOOKUP(Sheet1!$C127,MAC_PHYLO!A:C,3,FALSE),"-")</f>
        <v>-</v>
      </c>
      <c r="AQ127" t="str">
        <f>_xlfn.IFNA(VLOOKUP(Sheet1!$C127,ConStruct!A:C,3,FALSE),"-")</f>
        <v>-</v>
      </c>
      <c r="AR127" t="str">
        <f>_xlfn.IFNA(VLOOKUP(Sheet1!$C127,GEA!A:C,3,FALSE),"-")</f>
        <v>-</v>
      </c>
      <c r="AS127" t="str">
        <f>_xlfn.IFNA(VLOOKUP(Sheet1!$C127,MAC_DSUITE!A:D,3,FALSE),"-")</f>
        <v>-</v>
      </c>
      <c r="AT127" t="str">
        <f>_xlfn.IFNA(VLOOKUP(Sheet1!$C127,MONG_DSUITE!A:E,2,FALSE),"-")</f>
        <v>xxx</v>
      </c>
      <c r="AU127" t="str">
        <f>_xlfn.IFNA(VLOOKUP(Sheet1!$C127,MAC_PAINT2!A:D,4,FALSE),"-")</f>
        <v>-</v>
      </c>
    </row>
    <row r="128" spans="1:49" customFormat="1" x14ac:dyDescent="0.4">
      <c r="A128">
        <v>3579</v>
      </c>
      <c r="B128" t="s">
        <v>1613</v>
      </c>
      <c r="C128" t="s">
        <v>1614</v>
      </c>
      <c r="D128" t="str">
        <f>_xlfn.CONCAT(C128,".bam")</f>
        <v>SYST-MOR-0006816.bam</v>
      </c>
      <c r="E128" t="s">
        <v>1615</v>
      </c>
      <c r="F128" t="s">
        <v>2442</v>
      </c>
      <c r="G128" t="s">
        <v>2447</v>
      </c>
      <c r="H128" t="s">
        <v>2535</v>
      </c>
      <c r="I128" t="s">
        <v>1585</v>
      </c>
      <c r="K128" t="s">
        <v>84</v>
      </c>
      <c r="L128" t="s">
        <v>84</v>
      </c>
      <c r="N128" t="s">
        <v>84</v>
      </c>
      <c r="P128" t="s">
        <v>113</v>
      </c>
      <c r="Q128" t="s">
        <v>85</v>
      </c>
      <c r="R128" t="s">
        <v>2600</v>
      </c>
      <c r="S128" s="1">
        <v>44733</v>
      </c>
      <c r="T128" t="s">
        <v>1584</v>
      </c>
      <c r="U128" t="s">
        <v>34</v>
      </c>
      <c r="V128" s="1">
        <v>44738</v>
      </c>
      <c r="W128" t="s">
        <v>35</v>
      </c>
      <c r="X128" t="s">
        <v>1387</v>
      </c>
      <c r="Y128" t="s">
        <v>1439</v>
      </c>
      <c r="Z128" t="s">
        <v>38</v>
      </c>
      <c r="AA128" t="s">
        <v>1585</v>
      </c>
      <c r="AD128" t="s">
        <v>84</v>
      </c>
      <c r="AE128">
        <v>38.514482999999998</v>
      </c>
      <c r="AF128">
        <v>-90.555689000000001</v>
      </c>
      <c r="AG128" t="s">
        <v>40</v>
      </c>
      <c r="AH128" t="s">
        <v>41</v>
      </c>
      <c r="AI128">
        <v>38.514148704699998</v>
      </c>
      <c r="AJ128">
        <v>-90.555515661900003</v>
      </c>
      <c r="AK128">
        <v>-3.342953000000648E-4</v>
      </c>
      <c r="AL128">
        <v>1.7333809999797722E-4</v>
      </c>
      <c r="AM128" t="str">
        <f>_xlfn.IFNA(VLOOKUP(Sheet1!$C128,ADMIX_ALL!A:B,2,FALSE),"none")</f>
        <v>K6-18</v>
      </c>
      <c r="AN128" t="str">
        <f>_xlfn.IFNA(VLOOKUP(Sheet1!C128,ADMIX_SS!A:B,2,FALSE),"none")</f>
        <v>SubSample</v>
      </c>
      <c r="AO128" t="str">
        <f>_xlfn.IFNA(VLOOKUP(Sheet1!$C128,MONG_PHYLO!A:C,3,FALSE),"-")</f>
        <v>-</v>
      </c>
      <c r="AP128" t="str">
        <f>_xlfn.IFNA(VLOOKUP(Sheet1!$C128,MAC_PHYLO!A:C,3,FALSE),"-")</f>
        <v>-</v>
      </c>
      <c r="AQ128" t="str">
        <f>_xlfn.IFNA(VLOOKUP(Sheet1!$C128,ConStruct!A:C,3,FALSE),"-")</f>
        <v>-</v>
      </c>
      <c r="AR128" t="str">
        <f>_xlfn.IFNA(VLOOKUP(Sheet1!$C128,GEA!A:C,3,FALSE),"-")</f>
        <v>-</v>
      </c>
      <c r="AS128" t="str">
        <f>_xlfn.IFNA(VLOOKUP(Sheet1!$C128,MAC_DSUITE!A:D,3,FALSE),"-")</f>
        <v>-</v>
      </c>
      <c r="AT128" t="str">
        <f>_xlfn.IFNA(VLOOKUP(Sheet1!$C128,MONG_DSUITE!A:E,2,FALSE),"-")</f>
        <v>xxx</v>
      </c>
      <c r="AU128" t="str">
        <f>_xlfn.IFNA(VLOOKUP(Sheet1!$C128,MAC_PAINT2!A:D,4,FALSE),"-")</f>
        <v>-</v>
      </c>
    </row>
    <row r="129" spans="1:49" customFormat="1" x14ac:dyDescent="0.4">
      <c r="A129">
        <v>3580</v>
      </c>
      <c r="B129" t="s">
        <v>1616</v>
      </c>
      <c r="C129" t="s">
        <v>1617</v>
      </c>
      <c r="D129" t="str">
        <f>_xlfn.CONCAT(C129,".bam")</f>
        <v>SYST-MOR-0006817.bam</v>
      </c>
      <c r="E129" t="s">
        <v>1618</v>
      </c>
      <c r="F129" t="s">
        <v>2442</v>
      </c>
      <c r="G129" t="s">
        <v>2447</v>
      </c>
      <c r="H129" t="s">
        <v>2535</v>
      </c>
      <c r="I129" t="s">
        <v>1585</v>
      </c>
      <c r="K129" t="s">
        <v>64</v>
      </c>
      <c r="L129" t="s">
        <v>64</v>
      </c>
      <c r="N129" t="s">
        <v>64</v>
      </c>
      <c r="P129" t="s">
        <v>113</v>
      </c>
      <c r="Q129" t="s">
        <v>155</v>
      </c>
      <c r="R129" t="s">
        <v>2599</v>
      </c>
      <c r="S129" s="1">
        <v>44733</v>
      </c>
      <c r="T129" t="s">
        <v>1584</v>
      </c>
      <c r="U129" t="s">
        <v>34</v>
      </c>
      <c r="V129" s="1">
        <v>44738</v>
      </c>
      <c r="W129" t="s">
        <v>35</v>
      </c>
      <c r="X129" t="s">
        <v>1387</v>
      </c>
      <c r="Y129" t="s">
        <v>1439</v>
      </c>
      <c r="Z129" t="s">
        <v>38</v>
      </c>
      <c r="AA129" t="s">
        <v>1585</v>
      </c>
      <c r="AD129" t="s">
        <v>64</v>
      </c>
      <c r="AE129">
        <v>38.51341</v>
      </c>
      <c r="AF129">
        <v>-90.557620999999997</v>
      </c>
      <c r="AG129" t="s">
        <v>40</v>
      </c>
      <c r="AH129" t="s">
        <v>41</v>
      </c>
      <c r="AI129">
        <v>38.513352596399997</v>
      </c>
      <c r="AJ129">
        <v>-90.557487856899996</v>
      </c>
      <c r="AK129">
        <v>-5.7403600003169686E-5</v>
      </c>
      <c r="AL129">
        <v>1.3314310000112073E-4</v>
      </c>
      <c r="AM129" t="str">
        <f>_xlfn.IFNA(VLOOKUP(Sheet1!$C129,ADMIX_ALL!A:B,2,FALSE),"none")</f>
        <v>K6-18</v>
      </c>
      <c r="AN129" t="str">
        <f>_xlfn.IFNA(VLOOKUP(Sheet1!C129,ADMIX_SS!A:B,2,FALSE),"none")</f>
        <v>SubSample</v>
      </c>
      <c r="AO129" t="str">
        <f>_xlfn.IFNA(VLOOKUP(Sheet1!$C129,MONG_PHYLO!A:C,3,FALSE),"-")</f>
        <v>-</v>
      </c>
      <c r="AP129" t="str">
        <f>_xlfn.IFNA(VLOOKUP(Sheet1!$C129,MAC_PHYLO!A:C,3,FALSE),"-")</f>
        <v>-</v>
      </c>
      <c r="AQ129" t="str">
        <f>_xlfn.IFNA(VLOOKUP(Sheet1!$C129,ConStruct!A:C,3,FALSE),"-")</f>
        <v>-</v>
      </c>
      <c r="AR129" t="str">
        <f>_xlfn.IFNA(VLOOKUP(Sheet1!$C129,GEA!A:C,3,FALSE),"-")</f>
        <v>-</v>
      </c>
      <c r="AS129" t="str">
        <f>_xlfn.IFNA(VLOOKUP(Sheet1!$C129,MAC_DSUITE!A:D,3,FALSE),"-")</f>
        <v>-</v>
      </c>
      <c r="AT129" t="str">
        <f>_xlfn.IFNA(VLOOKUP(Sheet1!$C129,MONG_DSUITE!A:E,2,FALSE),"-")</f>
        <v>xxx</v>
      </c>
      <c r="AU129" t="str">
        <f>_xlfn.IFNA(VLOOKUP(Sheet1!$C129,MAC_PAINT2!A:D,4,FALSE),"-")</f>
        <v>-</v>
      </c>
    </row>
    <row r="130" spans="1:49" customFormat="1" x14ac:dyDescent="0.4">
      <c r="A130">
        <v>3581</v>
      </c>
      <c r="B130" t="s">
        <v>1619</v>
      </c>
      <c r="C130" t="s">
        <v>1620</v>
      </c>
      <c r="D130" t="str">
        <f>_xlfn.CONCAT(C130,".bam")</f>
        <v>SYST-MOR-0006818.bam</v>
      </c>
      <c r="E130" t="s">
        <v>1621</v>
      </c>
      <c r="F130" t="s">
        <v>2442</v>
      </c>
      <c r="G130" t="s">
        <v>2447</v>
      </c>
      <c r="H130" t="s">
        <v>2535</v>
      </c>
      <c r="I130" t="s">
        <v>1585</v>
      </c>
      <c r="K130" t="s">
        <v>50</v>
      </c>
      <c r="L130" t="s">
        <v>50</v>
      </c>
      <c r="N130" t="s">
        <v>50</v>
      </c>
      <c r="P130" t="s">
        <v>113</v>
      </c>
      <c r="Q130" t="s">
        <v>51</v>
      </c>
      <c r="R130" t="s">
        <v>2598</v>
      </c>
      <c r="S130" s="1">
        <v>44733</v>
      </c>
      <c r="T130" t="s">
        <v>1584</v>
      </c>
      <c r="U130" t="s">
        <v>34</v>
      </c>
      <c r="V130" s="1">
        <v>44738</v>
      </c>
      <c r="W130" t="s">
        <v>35</v>
      </c>
      <c r="X130" t="s">
        <v>1387</v>
      </c>
      <c r="Y130" t="s">
        <v>1439</v>
      </c>
      <c r="Z130" t="s">
        <v>38</v>
      </c>
      <c r="AA130" t="s">
        <v>1585</v>
      </c>
      <c r="AD130" t="s">
        <v>50</v>
      </c>
      <c r="AE130">
        <v>38.512873999999996</v>
      </c>
      <c r="AF130">
        <v>-90.557406</v>
      </c>
      <c r="AG130" t="s">
        <v>40</v>
      </c>
      <c r="AH130" t="s">
        <v>41</v>
      </c>
      <c r="AI130">
        <v>38.512982530599999</v>
      </c>
      <c r="AJ130">
        <v>-90.5573077966</v>
      </c>
      <c r="AK130">
        <v>1.0853060000215464E-4</v>
      </c>
      <c r="AL130">
        <v>9.8203400000329566E-5</v>
      </c>
      <c r="AM130" t="str">
        <f>_xlfn.IFNA(VLOOKUP(Sheet1!$C130,ADMIX_ALL!A:B,2,FALSE),"none")</f>
        <v>K6-18</v>
      </c>
      <c r="AN130" t="str">
        <f>_xlfn.IFNA(VLOOKUP(Sheet1!C130,ADMIX_SS!A:B,2,FALSE),"none")</f>
        <v>SubSample</v>
      </c>
      <c r="AO130" t="str">
        <f>_xlfn.IFNA(VLOOKUP(Sheet1!$C130,MONG_PHYLO!A:C,3,FALSE),"-")</f>
        <v>-</v>
      </c>
      <c r="AP130" t="str">
        <f>_xlfn.IFNA(VLOOKUP(Sheet1!$C130,MAC_PHYLO!A:C,3,FALSE),"-")</f>
        <v>-</v>
      </c>
      <c r="AQ130" t="str">
        <f>_xlfn.IFNA(VLOOKUP(Sheet1!$C130,ConStruct!A:C,3,FALSE),"-")</f>
        <v>-</v>
      </c>
      <c r="AR130" t="str">
        <f>_xlfn.IFNA(VLOOKUP(Sheet1!$C130,GEA!A:C,3,FALSE),"-")</f>
        <v>-</v>
      </c>
      <c r="AS130" t="str">
        <f>_xlfn.IFNA(VLOOKUP(Sheet1!$C130,MAC_DSUITE!A:D,3,FALSE),"-")</f>
        <v>-</v>
      </c>
      <c r="AT130" t="str">
        <f>_xlfn.IFNA(VLOOKUP(Sheet1!$C130,MONG_DSUITE!A:E,2,FALSE),"-")</f>
        <v>xxx</v>
      </c>
      <c r="AU130" t="str">
        <f>_xlfn.IFNA(VLOOKUP(Sheet1!$C130,MAC_PAINT2!A:D,4,FALSE),"-")</f>
        <v>-</v>
      </c>
    </row>
    <row r="131" spans="1:49" customFormat="1" x14ac:dyDescent="0.4">
      <c r="A131">
        <v>3582</v>
      </c>
      <c r="B131" t="s">
        <v>1622</v>
      </c>
      <c r="C131" t="s">
        <v>1623</v>
      </c>
      <c r="D131" t="str">
        <f>_xlfn.CONCAT(C131,".bam")</f>
        <v>SYST-MOR-0006819.bam</v>
      </c>
      <c r="E131" t="s">
        <v>1624</v>
      </c>
      <c r="F131" t="s">
        <v>2442</v>
      </c>
      <c r="G131" t="s">
        <v>2447</v>
      </c>
      <c r="H131" t="s">
        <v>2535</v>
      </c>
      <c r="I131" t="s">
        <v>1585</v>
      </c>
      <c r="K131" t="s">
        <v>64</v>
      </c>
      <c r="L131" t="s">
        <v>64</v>
      </c>
      <c r="N131" t="s">
        <v>64</v>
      </c>
      <c r="P131" t="s">
        <v>113</v>
      </c>
      <c r="Q131" t="s">
        <v>155</v>
      </c>
      <c r="R131" t="s">
        <v>2599</v>
      </c>
      <c r="S131" s="1">
        <v>44733</v>
      </c>
      <c r="T131" t="s">
        <v>1584</v>
      </c>
      <c r="U131" t="s">
        <v>34</v>
      </c>
      <c r="V131" s="1">
        <v>44738</v>
      </c>
      <c r="W131" t="s">
        <v>35</v>
      </c>
      <c r="X131" t="s">
        <v>1387</v>
      </c>
      <c r="Y131" t="s">
        <v>1439</v>
      </c>
      <c r="Z131" t="s">
        <v>38</v>
      </c>
      <c r="AA131" t="s">
        <v>1585</v>
      </c>
      <c r="AD131" t="s">
        <v>64</v>
      </c>
      <c r="AE131">
        <v>38.512509000000001</v>
      </c>
      <c r="AF131">
        <v>-90.557449000000005</v>
      </c>
      <c r="AG131" t="s">
        <v>40</v>
      </c>
      <c r="AH131" t="s">
        <v>41</v>
      </c>
      <c r="AI131">
        <v>38.513017658700001</v>
      </c>
      <c r="AJ131">
        <v>-90.557462488200002</v>
      </c>
      <c r="AK131">
        <v>5.0865869999938695E-4</v>
      </c>
      <c r="AL131">
        <v>-1.3488199996913863E-5</v>
      </c>
      <c r="AM131" t="str">
        <f>_xlfn.IFNA(VLOOKUP(Sheet1!$C131,ADMIX_ALL!A:B,2,FALSE),"none")</f>
        <v>K6-18</v>
      </c>
      <c r="AN131" t="str">
        <f>_xlfn.IFNA(VLOOKUP(Sheet1!C131,ADMIX_SS!A:B,2,FALSE),"none")</f>
        <v>SubSample</v>
      </c>
      <c r="AO131" t="str">
        <f>_xlfn.IFNA(VLOOKUP(Sheet1!$C131,MONG_PHYLO!A:C,3,FALSE),"-")</f>
        <v>-</v>
      </c>
      <c r="AP131" t="str">
        <f>_xlfn.IFNA(VLOOKUP(Sheet1!$C131,MAC_PHYLO!A:C,3,FALSE),"-")</f>
        <v>-</v>
      </c>
      <c r="AQ131" t="str">
        <f>_xlfn.IFNA(VLOOKUP(Sheet1!$C131,ConStruct!A:C,3,FALSE),"-")</f>
        <v>-</v>
      </c>
      <c r="AR131" t="str">
        <f>_xlfn.IFNA(VLOOKUP(Sheet1!$C131,GEA!A:C,3,FALSE),"-")</f>
        <v>-</v>
      </c>
      <c r="AS131" t="str">
        <f>_xlfn.IFNA(VLOOKUP(Sheet1!$C131,MAC_DSUITE!A:D,3,FALSE),"-")</f>
        <v>-</v>
      </c>
      <c r="AT131" t="str">
        <f>_xlfn.IFNA(VLOOKUP(Sheet1!$C131,MONG_DSUITE!A:E,2,FALSE),"-")</f>
        <v>xxx</v>
      </c>
      <c r="AU131" t="str">
        <f>_xlfn.IFNA(VLOOKUP(Sheet1!$C131,MAC_PAINT2!A:D,4,FALSE),"-")</f>
        <v>-</v>
      </c>
    </row>
    <row r="132" spans="1:49" customFormat="1" x14ac:dyDescent="0.4">
      <c r="A132">
        <v>3583</v>
      </c>
      <c r="B132" t="s">
        <v>1625</v>
      </c>
      <c r="C132" t="s">
        <v>1626</v>
      </c>
      <c r="D132" t="str">
        <f>_xlfn.CONCAT(C132,".bam")</f>
        <v>SYST-MOR-0006820.bam</v>
      </c>
      <c r="E132" t="s">
        <v>1627</v>
      </c>
      <c r="F132" t="s">
        <v>2442</v>
      </c>
      <c r="G132" t="s">
        <v>2447</v>
      </c>
      <c r="H132" t="s">
        <v>2535</v>
      </c>
      <c r="I132" t="s">
        <v>1585</v>
      </c>
      <c r="K132" t="s">
        <v>64</v>
      </c>
      <c r="L132" t="s">
        <v>64</v>
      </c>
      <c r="N132" t="s">
        <v>64</v>
      </c>
      <c r="P132" t="s">
        <v>113</v>
      </c>
      <c r="Q132" t="s">
        <v>155</v>
      </c>
      <c r="R132" t="s">
        <v>2599</v>
      </c>
      <c r="S132" s="1">
        <v>44733</v>
      </c>
      <c r="T132" t="s">
        <v>1584</v>
      </c>
      <c r="U132" t="s">
        <v>34</v>
      </c>
      <c r="V132" s="1">
        <v>44738</v>
      </c>
      <c r="W132" t="s">
        <v>35</v>
      </c>
      <c r="X132" t="s">
        <v>1387</v>
      </c>
      <c r="Y132" t="s">
        <v>1439</v>
      </c>
      <c r="Z132" t="s">
        <v>38</v>
      </c>
      <c r="AA132" t="s">
        <v>1585</v>
      </c>
      <c r="AD132" t="s">
        <v>64</v>
      </c>
      <c r="AE132">
        <v>38.511951000000003</v>
      </c>
      <c r="AF132">
        <v>-90.558586000000005</v>
      </c>
      <c r="AG132" t="s">
        <v>40</v>
      </c>
      <c r="AH132" t="s">
        <v>41</v>
      </c>
      <c r="AI132">
        <v>38.512517872899998</v>
      </c>
      <c r="AJ132">
        <v>-90.557479219300006</v>
      </c>
      <c r="AK132">
        <v>5.66872899995019E-4</v>
      </c>
      <c r="AL132">
        <v>1.1067806999989216E-3</v>
      </c>
      <c r="AM132" t="str">
        <f>_xlfn.IFNA(VLOOKUP(Sheet1!$C132,ADMIX_ALL!A:B,2,FALSE),"none")</f>
        <v>K6-18</v>
      </c>
      <c r="AN132" t="str">
        <f>_xlfn.IFNA(VLOOKUP(Sheet1!C132,ADMIX_SS!A:B,2,FALSE),"none")</f>
        <v>SubSample</v>
      </c>
      <c r="AO132" t="str">
        <f>_xlfn.IFNA(VLOOKUP(Sheet1!$C132,MONG_PHYLO!A:C,3,FALSE),"-")</f>
        <v>-</v>
      </c>
      <c r="AP132" t="str">
        <f>_xlfn.IFNA(VLOOKUP(Sheet1!$C132,MAC_PHYLO!A:C,3,FALSE),"-")</f>
        <v>-</v>
      </c>
      <c r="AQ132" t="str">
        <f>_xlfn.IFNA(VLOOKUP(Sheet1!$C132,ConStruct!A:C,3,FALSE),"-")</f>
        <v>-</v>
      </c>
      <c r="AR132" t="str">
        <f>_xlfn.IFNA(VLOOKUP(Sheet1!$C132,GEA!A:C,3,FALSE),"-")</f>
        <v>-</v>
      </c>
      <c r="AS132" t="str">
        <f>_xlfn.IFNA(VLOOKUP(Sheet1!$C132,MAC_DSUITE!A:D,3,FALSE),"-")</f>
        <v>-</v>
      </c>
      <c r="AT132" t="str">
        <f>_xlfn.IFNA(VLOOKUP(Sheet1!$C132,MONG_DSUITE!A:E,2,FALSE),"-")</f>
        <v>xxx</v>
      </c>
      <c r="AU132" t="str">
        <f>_xlfn.IFNA(VLOOKUP(Sheet1!$C132,MAC_PAINT2!A:D,4,FALSE),"-")</f>
        <v>-</v>
      </c>
    </row>
    <row r="133" spans="1:49" customFormat="1" x14ac:dyDescent="0.4">
      <c r="A133">
        <v>3584</v>
      </c>
      <c r="B133" t="s">
        <v>1446</v>
      </c>
      <c r="C133" t="s">
        <v>1447</v>
      </c>
      <c r="D133" t="str">
        <f>_xlfn.CONCAT(C133,".bam")</f>
        <v>SYST-MOR-0006821.bam</v>
      </c>
      <c r="E133" t="s">
        <v>1448</v>
      </c>
      <c r="F133" t="s">
        <v>2442</v>
      </c>
      <c r="G133" t="s">
        <v>2444</v>
      </c>
      <c r="H133" t="s">
        <v>2532</v>
      </c>
      <c r="I133" t="s">
        <v>1450</v>
      </c>
      <c r="K133" t="s">
        <v>45</v>
      </c>
      <c r="L133" t="s">
        <v>45</v>
      </c>
      <c r="N133" t="s">
        <v>45</v>
      </c>
      <c r="P133" t="s">
        <v>113</v>
      </c>
      <c r="Q133" t="s">
        <v>114</v>
      </c>
      <c r="R133" t="s">
        <v>2597</v>
      </c>
      <c r="S133" s="1">
        <v>44734</v>
      </c>
      <c r="T133" t="s">
        <v>33</v>
      </c>
      <c r="U133" t="s">
        <v>34</v>
      </c>
      <c r="V133" s="1">
        <v>44738</v>
      </c>
      <c r="W133" t="s">
        <v>35</v>
      </c>
      <c r="X133" t="s">
        <v>1387</v>
      </c>
      <c r="Y133" t="s">
        <v>1449</v>
      </c>
      <c r="Z133" t="s">
        <v>38</v>
      </c>
      <c r="AA133" t="s">
        <v>1450</v>
      </c>
      <c r="AD133" t="s">
        <v>45</v>
      </c>
      <c r="AE133">
        <v>37.990282000000001</v>
      </c>
      <c r="AF133">
        <v>-92.774439000000001</v>
      </c>
      <c r="AG133" t="s">
        <v>40</v>
      </c>
      <c r="AH133" t="s">
        <v>41</v>
      </c>
      <c r="AI133">
        <v>37.990467427299997</v>
      </c>
      <c r="AJ133">
        <v>-92.773903599099995</v>
      </c>
      <c r="AK133">
        <v>1.8542729999637686E-4</v>
      </c>
      <c r="AL133">
        <v>5.3540090000581131E-4</v>
      </c>
      <c r="AM133" t="str">
        <f>_xlfn.IFNA(VLOOKUP(Sheet1!$C133,ADMIX_ALL!A:B,2,FALSE),"none")</f>
        <v>K6-18</v>
      </c>
      <c r="AN133" t="str">
        <f>_xlfn.IFNA(VLOOKUP(Sheet1!C133,ADMIX_SS!A:B,2,FALSE),"none")</f>
        <v>SubSample</v>
      </c>
      <c r="AO133" t="str">
        <f>_xlfn.IFNA(VLOOKUP(Sheet1!$C133,MONG_PHYLO!A:C,3,FALSE),"-")</f>
        <v>-</v>
      </c>
      <c r="AP133" t="str">
        <f>_xlfn.IFNA(VLOOKUP(Sheet1!$C133,MAC_PHYLO!A:C,3,FALSE),"-")</f>
        <v>-</v>
      </c>
      <c r="AQ133" t="str">
        <f>_xlfn.IFNA(VLOOKUP(Sheet1!$C133,ConStruct!A:C,3,FALSE),"-")</f>
        <v>ConStruct</v>
      </c>
      <c r="AR133" t="str">
        <f>_xlfn.IFNA(VLOOKUP(Sheet1!$C133,GEA!A:C,3,FALSE),"-")</f>
        <v>GEA</v>
      </c>
      <c r="AS133" t="str">
        <f>_xlfn.IFNA(VLOOKUP(Sheet1!$C133,MAC_DSUITE!A:D,3,FALSE),"-")</f>
        <v>xxx</v>
      </c>
      <c r="AT133" t="str">
        <f>_xlfn.IFNA(VLOOKUP(Sheet1!$C133,MONG_DSUITE!A:E,2,FALSE),"-")</f>
        <v>xxx</v>
      </c>
      <c r="AU133" t="str">
        <f>_xlfn.IFNA(VLOOKUP(Sheet1!$C133,MAC_PAINT2!A:D,4,FALSE),"-")</f>
        <v>macpaint</v>
      </c>
      <c r="AV133" t="s">
        <v>9193</v>
      </c>
      <c r="AW133" t="s">
        <v>9193</v>
      </c>
    </row>
    <row r="134" spans="1:49" customFormat="1" x14ac:dyDescent="0.4">
      <c r="A134">
        <v>3585</v>
      </c>
      <c r="B134" t="s">
        <v>1451</v>
      </c>
      <c r="C134" t="s">
        <v>1452</v>
      </c>
      <c r="D134" t="str">
        <f>_xlfn.CONCAT(C134,".bam")</f>
        <v>SYST-MOR-0006822.bam</v>
      </c>
      <c r="E134" t="s">
        <v>1453</v>
      </c>
      <c r="F134" t="s">
        <v>2442</v>
      </c>
      <c r="G134" t="s">
        <v>2444</v>
      </c>
      <c r="H134" t="s">
        <v>2532</v>
      </c>
      <c r="I134" t="s">
        <v>1450</v>
      </c>
      <c r="K134" t="s">
        <v>64</v>
      </c>
      <c r="L134" t="s">
        <v>64</v>
      </c>
      <c r="N134" t="s">
        <v>64</v>
      </c>
      <c r="P134" t="s">
        <v>113</v>
      </c>
      <c r="Q134" t="s">
        <v>155</v>
      </c>
      <c r="R134" t="s">
        <v>2599</v>
      </c>
      <c r="S134" s="1">
        <v>44734</v>
      </c>
      <c r="T134" t="s">
        <v>33</v>
      </c>
      <c r="U134" t="s">
        <v>34</v>
      </c>
      <c r="V134" s="1">
        <v>44738</v>
      </c>
      <c r="W134" t="s">
        <v>35</v>
      </c>
      <c r="X134" t="s">
        <v>1387</v>
      </c>
      <c r="Y134" t="s">
        <v>1449</v>
      </c>
      <c r="Z134" t="s">
        <v>38</v>
      </c>
      <c r="AA134" t="s">
        <v>1450</v>
      </c>
      <c r="AD134" t="s">
        <v>64</v>
      </c>
      <c r="AE134">
        <v>37.978319999999997</v>
      </c>
      <c r="AF134">
        <v>-92.768426000000005</v>
      </c>
      <c r="AG134" t="s">
        <v>40</v>
      </c>
      <c r="AH134" t="s">
        <v>41</v>
      </c>
      <c r="AI134">
        <v>37.978470574200003</v>
      </c>
      <c r="AJ134">
        <v>-92.768592080999994</v>
      </c>
      <c r="AK134">
        <v>1.5057420000630373E-4</v>
      </c>
      <c r="AL134">
        <v>-1.6608099998904891E-4</v>
      </c>
      <c r="AM134" t="str">
        <f>_xlfn.IFNA(VLOOKUP(Sheet1!$C134,ADMIX_ALL!A:B,2,FALSE),"none")</f>
        <v>K6-18</v>
      </c>
      <c r="AN134" t="str">
        <f>_xlfn.IFNA(VLOOKUP(Sheet1!C134,ADMIX_SS!A:B,2,FALSE),"none")</f>
        <v>SubSample</v>
      </c>
      <c r="AO134" t="str">
        <f>_xlfn.IFNA(VLOOKUP(Sheet1!$C134,MONG_PHYLO!A:C,3,FALSE),"-")</f>
        <v>-</v>
      </c>
      <c r="AP134" t="str">
        <f>_xlfn.IFNA(VLOOKUP(Sheet1!$C134,MAC_PHYLO!A:C,3,FALSE),"-")</f>
        <v>-</v>
      </c>
      <c r="AQ134" t="str">
        <f>_xlfn.IFNA(VLOOKUP(Sheet1!$C134,ConStruct!A:C,3,FALSE),"-")</f>
        <v>-</v>
      </c>
      <c r="AR134" t="str">
        <f>_xlfn.IFNA(VLOOKUP(Sheet1!$C134,GEA!A:C,3,FALSE),"-")</f>
        <v>-</v>
      </c>
      <c r="AS134" t="str">
        <f>_xlfn.IFNA(VLOOKUP(Sheet1!$C134,MAC_DSUITE!A:D,3,FALSE),"-")</f>
        <v>-</v>
      </c>
      <c r="AT134" t="str">
        <f>_xlfn.IFNA(VLOOKUP(Sheet1!$C134,MONG_DSUITE!A:E,2,FALSE),"-")</f>
        <v>xxx</v>
      </c>
      <c r="AU134" t="str">
        <f>_xlfn.IFNA(VLOOKUP(Sheet1!$C134,MAC_PAINT2!A:D,4,FALSE),"-")</f>
        <v>-</v>
      </c>
    </row>
    <row r="135" spans="1:49" customFormat="1" x14ac:dyDescent="0.4">
      <c r="A135">
        <v>3586</v>
      </c>
      <c r="B135" t="s">
        <v>1454</v>
      </c>
      <c r="C135" t="s">
        <v>1455</v>
      </c>
      <c r="D135" t="str">
        <f>_xlfn.CONCAT(C135,".bam")</f>
        <v>SYST-MOR-0006823.bam</v>
      </c>
      <c r="E135" t="s">
        <v>1456</v>
      </c>
      <c r="F135" t="s">
        <v>2442</v>
      </c>
      <c r="G135" t="s">
        <v>2444</v>
      </c>
      <c r="H135" t="s">
        <v>2532</v>
      </c>
      <c r="I135" t="s">
        <v>1450</v>
      </c>
      <c r="K135" t="s">
        <v>50</v>
      </c>
      <c r="L135" t="s">
        <v>50</v>
      </c>
      <c r="N135" t="s">
        <v>50</v>
      </c>
      <c r="P135" t="s">
        <v>113</v>
      </c>
      <c r="Q135" t="s">
        <v>1457</v>
      </c>
      <c r="R135" t="s">
        <v>2598</v>
      </c>
      <c r="S135" s="1">
        <v>44734</v>
      </c>
      <c r="T135" t="s">
        <v>1458</v>
      </c>
      <c r="U135" t="s">
        <v>34</v>
      </c>
      <c r="V135" s="1">
        <v>44738</v>
      </c>
      <c r="W135" t="s">
        <v>35</v>
      </c>
      <c r="X135" t="s">
        <v>1387</v>
      </c>
      <c r="Y135" t="s">
        <v>1449</v>
      </c>
      <c r="Z135" t="s">
        <v>38</v>
      </c>
      <c r="AA135" t="s">
        <v>1450</v>
      </c>
      <c r="AD135" t="s">
        <v>50</v>
      </c>
      <c r="AE135">
        <v>37.978319999999997</v>
      </c>
      <c r="AF135">
        <v>-92.768446999999995</v>
      </c>
      <c r="AG135" t="s">
        <v>40</v>
      </c>
      <c r="AH135" t="s">
        <v>41</v>
      </c>
      <c r="AI135">
        <v>37.978500165100002</v>
      </c>
      <c r="AJ135">
        <v>-92.768559549100004</v>
      </c>
      <c r="AK135">
        <v>1.8016510000506969E-4</v>
      </c>
      <c r="AL135">
        <v>-1.1254910000957352E-4</v>
      </c>
      <c r="AM135" t="str">
        <f>_xlfn.IFNA(VLOOKUP(Sheet1!$C135,ADMIX_ALL!A:B,2,FALSE),"none")</f>
        <v>K6-18</v>
      </c>
      <c r="AN135" t="str">
        <f>_xlfn.IFNA(VLOOKUP(Sheet1!C135,ADMIX_SS!A:B,2,FALSE),"none")</f>
        <v>SubSample</v>
      </c>
      <c r="AO135" t="str">
        <f>_xlfn.IFNA(VLOOKUP(Sheet1!$C135,MONG_PHYLO!A:C,3,FALSE),"-")</f>
        <v>-</v>
      </c>
      <c r="AP135" t="str">
        <f>_xlfn.IFNA(VLOOKUP(Sheet1!$C135,MAC_PHYLO!A:C,3,FALSE),"-")</f>
        <v>-</v>
      </c>
      <c r="AQ135" t="str">
        <f>_xlfn.IFNA(VLOOKUP(Sheet1!$C135,ConStruct!A:C,3,FALSE),"-")</f>
        <v>-</v>
      </c>
      <c r="AR135" t="str">
        <f>_xlfn.IFNA(VLOOKUP(Sheet1!$C135,GEA!A:C,3,FALSE),"-")</f>
        <v>-</v>
      </c>
      <c r="AS135" t="str">
        <f>_xlfn.IFNA(VLOOKUP(Sheet1!$C135,MAC_DSUITE!A:D,3,FALSE),"-")</f>
        <v>-</v>
      </c>
      <c r="AT135" t="str">
        <f>_xlfn.IFNA(VLOOKUP(Sheet1!$C135,MONG_DSUITE!A:E,2,FALSE),"-")</f>
        <v>xxx</v>
      </c>
      <c r="AU135" t="str">
        <f>_xlfn.IFNA(VLOOKUP(Sheet1!$C135,MAC_PAINT2!A:D,4,FALSE),"-")</f>
        <v>-</v>
      </c>
    </row>
    <row r="136" spans="1:49" customFormat="1" x14ac:dyDescent="0.4">
      <c r="A136">
        <v>3587</v>
      </c>
      <c r="B136" t="s">
        <v>1459</v>
      </c>
      <c r="C136" t="s">
        <v>1460</v>
      </c>
      <c r="D136" t="str">
        <f>_xlfn.CONCAT(C136,".bam")</f>
        <v>SYST-MOR-0006824.bam</v>
      </c>
      <c r="E136" t="s">
        <v>1461</v>
      </c>
      <c r="F136" t="s">
        <v>2442</v>
      </c>
      <c r="G136" t="s">
        <v>2444</v>
      </c>
      <c r="H136" t="s">
        <v>2532</v>
      </c>
      <c r="I136" t="s">
        <v>1450</v>
      </c>
      <c r="K136" t="s">
        <v>64</v>
      </c>
      <c r="L136" t="s">
        <v>64</v>
      </c>
      <c r="N136" t="s">
        <v>64</v>
      </c>
      <c r="P136" t="s">
        <v>113</v>
      </c>
      <c r="Q136" t="s">
        <v>155</v>
      </c>
      <c r="R136" t="s">
        <v>2599</v>
      </c>
      <c r="S136" s="1">
        <v>44734</v>
      </c>
      <c r="T136" t="s">
        <v>33</v>
      </c>
      <c r="U136" t="s">
        <v>34</v>
      </c>
      <c r="V136" s="1">
        <v>44738</v>
      </c>
      <c r="W136" t="s">
        <v>35</v>
      </c>
      <c r="X136" t="s">
        <v>1387</v>
      </c>
      <c r="Y136" t="s">
        <v>1449</v>
      </c>
      <c r="Z136" t="s">
        <v>38</v>
      </c>
      <c r="AA136" t="s">
        <v>1450</v>
      </c>
      <c r="AD136" t="s">
        <v>64</v>
      </c>
      <c r="AE136">
        <v>37.980251000000003</v>
      </c>
      <c r="AF136">
        <v>-92.768297000000004</v>
      </c>
      <c r="AG136" t="s">
        <v>40</v>
      </c>
      <c r="AH136" t="s">
        <v>41</v>
      </c>
      <c r="AI136">
        <v>37.980499542399997</v>
      </c>
      <c r="AJ136">
        <v>-92.768302392300001</v>
      </c>
      <c r="AK136">
        <v>2.4854239999427818E-4</v>
      </c>
      <c r="AL136">
        <v>-5.3922999967426222E-6</v>
      </c>
      <c r="AM136" t="str">
        <f>_xlfn.IFNA(VLOOKUP(Sheet1!$C136,ADMIX_ALL!A:B,2,FALSE),"none")</f>
        <v>K6-18</v>
      </c>
      <c r="AN136" t="str">
        <f>_xlfn.IFNA(VLOOKUP(Sheet1!C136,ADMIX_SS!A:B,2,FALSE),"none")</f>
        <v>SubSample</v>
      </c>
      <c r="AO136" t="str">
        <f>_xlfn.IFNA(VLOOKUP(Sheet1!$C136,MONG_PHYLO!A:C,3,FALSE),"-")</f>
        <v>-</v>
      </c>
      <c r="AP136" t="str">
        <f>_xlfn.IFNA(VLOOKUP(Sheet1!$C136,MAC_PHYLO!A:C,3,FALSE),"-")</f>
        <v>-</v>
      </c>
      <c r="AQ136" t="str">
        <f>_xlfn.IFNA(VLOOKUP(Sheet1!$C136,ConStruct!A:C,3,FALSE),"-")</f>
        <v>-</v>
      </c>
      <c r="AR136" t="str">
        <f>_xlfn.IFNA(VLOOKUP(Sheet1!$C136,GEA!A:C,3,FALSE),"-")</f>
        <v>-</v>
      </c>
      <c r="AS136" t="str">
        <f>_xlfn.IFNA(VLOOKUP(Sheet1!$C136,MAC_DSUITE!A:D,3,FALSE),"-")</f>
        <v>-</v>
      </c>
      <c r="AT136" t="str">
        <f>_xlfn.IFNA(VLOOKUP(Sheet1!$C136,MONG_DSUITE!A:E,2,FALSE),"-")</f>
        <v>xxx</v>
      </c>
      <c r="AU136" t="str">
        <f>_xlfn.IFNA(VLOOKUP(Sheet1!$C136,MAC_PAINT2!A:D,4,FALSE),"-")</f>
        <v>-</v>
      </c>
    </row>
    <row r="137" spans="1:49" customFormat="1" x14ac:dyDescent="0.4">
      <c r="A137">
        <v>3588</v>
      </c>
      <c r="B137" t="s">
        <v>1462</v>
      </c>
      <c r="C137" t="s">
        <v>1463</v>
      </c>
      <c r="D137" t="str">
        <f>_xlfn.CONCAT(C137,".bam")</f>
        <v>SYST-MOR-0006825.bam</v>
      </c>
      <c r="E137" t="s">
        <v>1464</v>
      </c>
      <c r="F137" t="s">
        <v>2442</v>
      </c>
      <c r="G137" t="s">
        <v>2444</v>
      </c>
      <c r="H137" t="s">
        <v>2532</v>
      </c>
      <c r="I137" t="s">
        <v>1450</v>
      </c>
      <c r="K137" t="s">
        <v>50</v>
      </c>
      <c r="L137" t="s">
        <v>50</v>
      </c>
      <c r="N137" t="s">
        <v>50</v>
      </c>
      <c r="P137" t="s">
        <v>113</v>
      </c>
      <c r="Q137" t="s">
        <v>1457</v>
      </c>
      <c r="R137" t="s">
        <v>2598</v>
      </c>
      <c r="S137" s="1">
        <v>44734</v>
      </c>
      <c r="T137" t="s">
        <v>33</v>
      </c>
      <c r="U137" t="s">
        <v>34</v>
      </c>
      <c r="V137" s="1">
        <v>44738</v>
      </c>
      <c r="W137" t="s">
        <v>35</v>
      </c>
      <c r="X137" t="s">
        <v>1387</v>
      </c>
      <c r="Y137" t="s">
        <v>1449</v>
      </c>
      <c r="Z137" t="s">
        <v>38</v>
      </c>
      <c r="AA137" t="s">
        <v>1450</v>
      </c>
      <c r="AD137" t="s">
        <v>50</v>
      </c>
      <c r="AE137">
        <v>37.980395999999999</v>
      </c>
      <c r="AF137">
        <v>-92.768258000000003</v>
      </c>
      <c r="AG137" t="s">
        <v>40</v>
      </c>
      <c r="AH137" t="s">
        <v>41</v>
      </c>
      <c r="AI137">
        <v>37.9804300443</v>
      </c>
      <c r="AJ137">
        <v>-92.768279591699994</v>
      </c>
      <c r="AK137">
        <v>3.4044300001312422E-5</v>
      </c>
      <c r="AL137">
        <v>-2.1591699990608504E-5</v>
      </c>
      <c r="AM137" t="str">
        <f>_xlfn.IFNA(VLOOKUP(Sheet1!$C137,ADMIX_ALL!A:B,2,FALSE),"none")</f>
        <v>K6-18</v>
      </c>
      <c r="AN137" t="str">
        <f>_xlfn.IFNA(VLOOKUP(Sheet1!C137,ADMIX_SS!A:B,2,FALSE),"none")</f>
        <v>SubSample</v>
      </c>
      <c r="AO137" t="str">
        <f>_xlfn.IFNA(VLOOKUP(Sheet1!$C137,MONG_PHYLO!A:C,3,FALSE),"-")</f>
        <v>-</v>
      </c>
      <c r="AP137" t="str">
        <f>_xlfn.IFNA(VLOOKUP(Sheet1!$C137,MAC_PHYLO!A:C,3,FALSE),"-")</f>
        <v>-</v>
      </c>
      <c r="AQ137" t="str">
        <f>_xlfn.IFNA(VLOOKUP(Sheet1!$C137,ConStruct!A:C,3,FALSE),"-")</f>
        <v>-</v>
      </c>
      <c r="AR137" t="str">
        <f>_xlfn.IFNA(VLOOKUP(Sheet1!$C137,GEA!A:C,3,FALSE),"-")</f>
        <v>-</v>
      </c>
      <c r="AS137" t="str">
        <f>_xlfn.IFNA(VLOOKUP(Sheet1!$C137,MAC_DSUITE!A:D,3,FALSE),"-")</f>
        <v>-</v>
      </c>
      <c r="AT137" t="str">
        <f>_xlfn.IFNA(VLOOKUP(Sheet1!$C137,MONG_DSUITE!A:E,2,FALSE),"-")</f>
        <v>xxx</v>
      </c>
      <c r="AU137" t="str">
        <f>_xlfn.IFNA(VLOOKUP(Sheet1!$C137,MAC_PAINT2!A:D,4,FALSE),"-")</f>
        <v>-</v>
      </c>
    </row>
    <row r="138" spans="1:49" customFormat="1" x14ac:dyDescent="0.4">
      <c r="A138">
        <v>3589</v>
      </c>
      <c r="B138" t="s">
        <v>1465</v>
      </c>
      <c r="C138" t="s">
        <v>1466</v>
      </c>
      <c r="D138" t="str">
        <f>_xlfn.CONCAT(C138,".bam")</f>
        <v>SYST-MOR-0006826.bam</v>
      </c>
      <c r="E138" t="s">
        <v>1467</v>
      </c>
      <c r="F138" t="s">
        <v>2442</v>
      </c>
      <c r="G138" t="s">
        <v>2444</v>
      </c>
      <c r="H138" t="s">
        <v>2532</v>
      </c>
      <c r="I138" t="s">
        <v>1450</v>
      </c>
      <c r="K138" t="s">
        <v>50</v>
      </c>
      <c r="L138" t="s">
        <v>50</v>
      </c>
      <c r="N138" t="s">
        <v>50</v>
      </c>
      <c r="P138" t="s">
        <v>113</v>
      </c>
      <c r="Q138" t="s">
        <v>51</v>
      </c>
      <c r="R138" t="s">
        <v>2598</v>
      </c>
      <c r="S138" s="1">
        <v>44734</v>
      </c>
      <c r="T138" t="s">
        <v>33</v>
      </c>
      <c r="U138" t="s">
        <v>34</v>
      </c>
      <c r="V138" s="1">
        <v>44738</v>
      </c>
      <c r="W138" t="s">
        <v>35</v>
      </c>
      <c r="X138" t="s">
        <v>1387</v>
      </c>
      <c r="Y138" t="s">
        <v>1449</v>
      </c>
      <c r="Z138" t="s">
        <v>38</v>
      </c>
      <c r="AA138" t="s">
        <v>1450</v>
      </c>
      <c r="AD138" t="s">
        <v>50</v>
      </c>
      <c r="AE138">
        <v>37.980251000000003</v>
      </c>
      <c r="AF138">
        <v>-92.769240999999994</v>
      </c>
      <c r="AG138" t="s">
        <v>40</v>
      </c>
      <c r="AH138" t="s">
        <v>41</v>
      </c>
      <c r="AI138">
        <v>37.9802752007</v>
      </c>
      <c r="AJ138">
        <v>-92.769285254300001</v>
      </c>
      <c r="AK138">
        <v>2.4200699996868025E-5</v>
      </c>
      <c r="AL138">
        <v>-4.4254300007651182E-5</v>
      </c>
      <c r="AM138" t="str">
        <f>_xlfn.IFNA(VLOOKUP(Sheet1!$C138,ADMIX_ALL!A:B,2,FALSE),"none")</f>
        <v>K6-18</v>
      </c>
      <c r="AN138" t="str">
        <f>_xlfn.IFNA(VLOOKUP(Sheet1!C138,ADMIX_SS!A:B,2,FALSE),"none")</f>
        <v>SubSample</v>
      </c>
      <c r="AO138" t="str">
        <f>_xlfn.IFNA(VLOOKUP(Sheet1!$C138,MONG_PHYLO!A:C,3,FALSE),"-")</f>
        <v>-</v>
      </c>
      <c r="AP138" t="str">
        <f>_xlfn.IFNA(VLOOKUP(Sheet1!$C138,MAC_PHYLO!A:C,3,FALSE),"-")</f>
        <v>-</v>
      </c>
      <c r="AQ138" t="str">
        <f>_xlfn.IFNA(VLOOKUP(Sheet1!$C138,ConStruct!A:C,3,FALSE),"-")</f>
        <v>-</v>
      </c>
      <c r="AR138" t="str">
        <f>_xlfn.IFNA(VLOOKUP(Sheet1!$C138,GEA!A:C,3,FALSE),"-")</f>
        <v>-</v>
      </c>
      <c r="AS138" t="str">
        <f>_xlfn.IFNA(VLOOKUP(Sheet1!$C138,MAC_DSUITE!A:D,3,FALSE),"-")</f>
        <v>-</v>
      </c>
      <c r="AT138" t="str">
        <f>_xlfn.IFNA(VLOOKUP(Sheet1!$C138,MONG_DSUITE!A:E,2,FALSE),"-")</f>
        <v>xxx</v>
      </c>
      <c r="AU138" t="str">
        <f>_xlfn.IFNA(VLOOKUP(Sheet1!$C138,MAC_PAINT2!A:D,4,FALSE),"-")</f>
        <v>-</v>
      </c>
    </row>
    <row r="139" spans="1:49" customFormat="1" x14ac:dyDescent="0.4">
      <c r="A139">
        <v>3590</v>
      </c>
      <c r="B139" t="s">
        <v>1468</v>
      </c>
      <c r="C139" t="s">
        <v>1469</v>
      </c>
      <c r="D139" t="str">
        <f>_xlfn.CONCAT(C139,".bam")</f>
        <v>SYST-MOR-0006827.bam</v>
      </c>
      <c r="E139" t="s">
        <v>1470</v>
      </c>
      <c r="F139" t="s">
        <v>2442</v>
      </c>
      <c r="G139" t="s">
        <v>2444</v>
      </c>
      <c r="H139" t="s">
        <v>2532</v>
      </c>
      <c r="I139" t="s">
        <v>1450</v>
      </c>
      <c r="K139" t="s">
        <v>84</v>
      </c>
      <c r="L139" t="s">
        <v>84</v>
      </c>
      <c r="N139" t="s">
        <v>84</v>
      </c>
      <c r="P139" t="s">
        <v>113</v>
      </c>
      <c r="Q139" t="s">
        <v>85</v>
      </c>
      <c r="R139" t="s">
        <v>2600</v>
      </c>
      <c r="S139" s="1">
        <v>44734</v>
      </c>
      <c r="T139" t="s">
        <v>33</v>
      </c>
      <c r="U139" t="s">
        <v>34</v>
      </c>
      <c r="V139" s="1">
        <v>44738</v>
      </c>
      <c r="W139" t="s">
        <v>35</v>
      </c>
      <c r="X139" t="s">
        <v>1387</v>
      </c>
      <c r="Y139" t="s">
        <v>1449</v>
      </c>
      <c r="Z139" t="s">
        <v>38</v>
      </c>
      <c r="AA139" t="s">
        <v>1450</v>
      </c>
      <c r="AD139" t="s">
        <v>84</v>
      </c>
      <c r="AE139">
        <v>37.980144000000003</v>
      </c>
      <c r="AF139">
        <v>-92.770184999999998</v>
      </c>
      <c r="AG139" t="s">
        <v>40</v>
      </c>
      <c r="AH139" t="s">
        <v>41</v>
      </c>
      <c r="AI139">
        <v>37.9801343428</v>
      </c>
      <c r="AJ139">
        <v>-92.770192260000002</v>
      </c>
      <c r="AK139">
        <v>-9.6572000032324468E-6</v>
      </c>
      <c r="AL139">
        <v>-7.2600000038391954E-6</v>
      </c>
      <c r="AM139" t="str">
        <f>_xlfn.IFNA(VLOOKUP(Sheet1!$C139,ADMIX_ALL!A:B,2,FALSE),"none")</f>
        <v>K6-18</v>
      </c>
      <c r="AN139" t="str">
        <f>_xlfn.IFNA(VLOOKUP(Sheet1!C139,ADMIX_SS!A:B,2,FALSE),"none")</f>
        <v>SubSample</v>
      </c>
      <c r="AO139" t="str">
        <f>_xlfn.IFNA(VLOOKUP(Sheet1!$C139,MONG_PHYLO!A:C,3,FALSE),"-")</f>
        <v>-</v>
      </c>
      <c r="AP139" t="str">
        <f>_xlfn.IFNA(VLOOKUP(Sheet1!$C139,MAC_PHYLO!A:C,3,FALSE),"-")</f>
        <v>-</v>
      </c>
      <c r="AQ139" t="str">
        <f>_xlfn.IFNA(VLOOKUP(Sheet1!$C139,ConStruct!A:C,3,FALSE),"-")</f>
        <v>-</v>
      </c>
      <c r="AR139" t="str">
        <f>_xlfn.IFNA(VLOOKUP(Sheet1!$C139,GEA!A:C,3,FALSE),"-")</f>
        <v>-</v>
      </c>
      <c r="AS139" t="str">
        <f>_xlfn.IFNA(VLOOKUP(Sheet1!$C139,MAC_DSUITE!A:D,3,FALSE),"-")</f>
        <v>-</v>
      </c>
      <c r="AT139" t="str">
        <f>_xlfn.IFNA(VLOOKUP(Sheet1!$C139,MONG_DSUITE!A:E,2,FALSE),"-")</f>
        <v>xxx</v>
      </c>
      <c r="AU139" t="str">
        <f>_xlfn.IFNA(VLOOKUP(Sheet1!$C139,MAC_PAINT2!A:D,4,FALSE),"-")</f>
        <v>-</v>
      </c>
    </row>
    <row r="140" spans="1:49" customFormat="1" x14ac:dyDescent="0.4">
      <c r="A140">
        <v>3591</v>
      </c>
      <c r="B140" t="s">
        <v>1471</v>
      </c>
      <c r="C140" t="s">
        <v>1472</v>
      </c>
      <c r="D140" t="str">
        <f>_xlfn.CONCAT(C140,".bam")</f>
        <v>SYST-MOR-0006828.bam</v>
      </c>
      <c r="E140" t="s">
        <v>1473</v>
      </c>
      <c r="F140" t="s">
        <v>2442</v>
      </c>
      <c r="G140" t="s">
        <v>2444</v>
      </c>
      <c r="H140" t="s">
        <v>2532</v>
      </c>
      <c r="I140" t="s">
        <v>1450</v>
      </c>
      <c r="K140" t="s">
        <v>84</v>
      </c>
      <c r="L140" t="s">
        <v>84</v>
      </c>
      <c r="N140" t="s">
        <v>84</v>
      </c>
      <c r="P140" t="s">
        <v>113</v>
      </c>
      <c r="Q140" t="s">
        <v>85</v>
      </c>
      <c r="R140" t="s">
        <v>2600</v>
      </c>
      <c r="S140" s="1">
        <v>44734</v>
      </c>
      <c r="T140" t="s">
        <v>33</v>
      </c>
      <c r="U140" t="s">
        <v>34</v>
      </c>
      <c r="V140" s="1">
        <v>44738</v>
      </c>
      <c r="W140" t="s">
        <v>35</v>
      </c>
      <c r="X140" t="s">
        <v>1387</v>
      </c>
      <c r="Y140" t="s">
        <v>1449</v>
      </c>
      <c r="Z140" t="s">
        <v>38</v>
      </c>
      <c r="AA140" t="s">
        <v>1450</v>
      </c>
      <c r="AD140" t="s">
        <v>84</v>
      </c>
      <c r="AE140">
        <v>37.979585999999998</v>
      </c>
      <c r="AF140">
        <v>-92.770871999999997</v>
      </c>
      <c r="AG140" t="s">
        <v>40</v>
      </c>
      <c r="AH140" t="s">
        <v>41</v>
      </c>
      <c r="AI140">
        <v>37.979666758400001</v>
      </c>
      <c r="AJ140">
        <v>-92.770711770399998</v>
      </c>
      <c r="AK140">
        <v>8.0758400002878261E-5</v>
      </c>
      <c r="AL140">
        <v>1.602295999987291E-4</v>
      </c>
      <c r="AM140" t="str">
        <f>_xlfn.IFNA(VLOOKUP(Sheet1!$C140,ADMIX_ALL!A:B,2,FALSE),"none")</f>
        <v>K6-18</v>
      </c>
      <c r="AN140" t="str">
        <f>_xlfn.IFNA(VLOOKUP(Sheet1!C140,ADMIX_SS!A:B,2,FALSE),"none")</f>
        <v>SubSample</v>
      </c>
      <c r="AO140" t="str">
        <f>_xlfn.IFNA(VLOOKUP(Sheet1!$C140,MONG_PHYLO!A:C,3,FALSE),"-")</f>
        <v>-</v>
      </c>
      <c r="AP140" t="str">
        <f>_xlfn.IFNA(VLOOKUP(Sheet1!$C140,MAC_PHYLO!A:C,3,FALSE),"-")</f>
        <v>-</v>
      </c>
      <c r="AQ140" t="str">
        <f>_xlfn.IFNA(VLOOKUP(Sheet1!$C140,ConStruct!A:C,3,FALSE),"-")</f>
        <v>-</v>
      </c>
      <c r="AR140" t="str">
        <f>_xlfn.IFNA(VLOOKUP(Sheet1!$C140,GEA!A:C,3,FALSE),"-")</f>
        <v>-</v>
      </c>
      <c r="AS140" t="str">
        <f>_xlfn.IFNA(VLOOKUP(Sheet1!$C140,MAC_DSUITE!A:D,3,FALSE),"-")</f>
        <v>-</v>
      </c>
      <c r="AT140" t="str">
        <f>_xlfn.IFNA(VLOOKUP(Sheet1!$C140,MONG_DSUITE!A:E,2,FALSE),"-")</f>
        <v>xxx</v>
      </c>
      <c r="AU140" t="str">
        <f>_xlfn.IFNA(VLOOKUP(Sheet1!$C140,MAC_PAINT2!A:D,4,FALSE),"-")</f>
        <v>-</v>
      </c>
    </row>
    <row r="141" spans="1:49" customFormat="1" x14ac:dyDescent="0.4">
      <c r="A141">
        <v>3592</v>
      </c>
      <c r="B141" t="s">
        <v>1474</v>
      </c>
      <c r="C141" t="s">
        <v>1475</v>
      </c>
      <c r="D141" t="str">
        <f>_xlfn.CONCAT(C141,".bam")</f>
        <v>SYST-MOR-0006829.bam</v>
      </c>
      <c r="E141" t="s">
        <v>1476</v>
      </c>
      <c r="F141" t="s">
        <v>2442</v>
      </c>
      <c r="G141" t="s">
        <v>2444</v>
      </c>
      <c r="H141" t="s">
        <v>2532</v>
      </c>
      <c r="I141" t="s">
        <v>1450</v>
      </c>
      <c r="K141" t="s">
        <v>84</v>
      </c>
      <c r="L141" t="s">
        <v>84</v>
      </c>
      <c r="N141" t="s">
        <v>84</v>
      </c>
      <c r="P141" t="s">
        <v>113</v>
      </c>
      <c r="Q141" t="s">
        <v>85</v>
      </c>
      <c r="R141" t="s">
        <v>2600</v>
      </c>
      <c r="S141" s="1">
        <v>44734</v>
      </c>
      <c r="T141" t="s">
        <v>33</v>
      </c>
      <c r="U141" t="s">
        <v>34</v>
      </c>
      <c r="V141" s="1">
        <v>44738</v>
      </c>
      <c r="W141" t="s">
        <v>35</v>
      </c>
      <c r="X141" t="s">
        <v>1387</v>
      </c>
      <c r="Y141" t="s">
        <v>1449</v>
      </c>
      <c r="Z141" t="s">
        <v>38</v>
      </c>
      <c r="AA141" t="s">
        <v>1450</v>
      </c>
      <c r="AD141" t="s">
        <v>84</v>
      </c>
      <c r="AE141">
        <v>37.980251000000003</v>
      </c>
      <c r="AF141">
        <v>-92.771752000000006</v>
      </c>
      <c r="AG141" t="s">
        <v>40</v>
      </c>
      <c r="AH141" t="s">
        <v>41</v>
      </c>
      <c r="AI141">
        <v>37.980254162100003</v>
      </c>
      <c r="AJ141">
        <v>-92.771741068099999</v>
      </c>
      <c r="AK141">
        <v>3.1621000005088717E-6</v>
      </c>
      <c r="AL141">
        <v>1.0931900007449258E-5</v>
      </c>
      <c r="AM141" t="str">
        <f>_xlfn.IFNA(VLOOKUP(Sheet1!$C141,ADMIX_ALL!A:B,2,FALSE),"none")</f>
        <v>K6-18</v>
      </c>
      <c r="AN141" t="str">
        <f>_xlfn.IFNA(VLOOKUP(Sheet1!C141,ADMIX_SS!A:B,2,FALSE),"none")</f>
        <v>SubSample</v>
      </c>
      <c r="AO141" t="str">
        <f>_xlfn.IFNA(VLOOKUP(Sheet1!$C141,MONG_PHYLO!A:C,3,FALSE),"-")</f>
        <v>-</v>
      </c>
      <c r="AP141" t="str">
        <f>_xlfn.IFNA(VLOOKUP(Sheet1!$C141,MAC_PHYLO!A:C,3,FALSE),"-")</f>
        <v>-</v>
      </c>
      <c r="AQ141" t="str">
        <f>_xlfn.IFNA(VLOOKUP(Sheet1!$C141,ConStruct!A:C,3,FALSE),"-")</f>
        <v>-</v>
      </c>
      <c r="AR141" t="str">
        <f>_xlfn.IFNA(VLOOKUP(Sheet1!$C141,GEA!A:C,3,FALSE),"-")</f>
        <v>-</v>
      </c>
      <c r="AS141" t="str">
        <f>_xlfn.IFNA(VLOOKUP(Sheet1!$C141,MAC_DSUITE!A:D,3,FALSE),"-")</f>
        <v>-</v>
      </c>
      <c r="AT141" t="str">
        <f>_xlfn.IFNA(VLOOKUP(Sheet1!$C141,MONG_DSUITE!A:E,2,FALSE),"-")</f>
        <v>xxx</v>
      </c>
      <c r="AU141" t="str">
        <f>_xlfn.IFNA(VLOOKUP(Sheet1!$C141,MAC_PAINT2!A:D,4,FALSE),"-")</f>
        <v>-</v>
      </c>
    </row>
    <row r="142" spans="1:49" customFormat="1" x14ac:dyDescent="0.4">
      <c r="A142">
        <v>3593</v>
      </c>
      <c r="B142" t="s">
        <v>1477</v>
      </c>
      <c r="C142" t="s">
        <v>1478</v>
      </c>
      <c r="D142" t="str">
        <f>_xlfn.CONCAT(C142,".bam")</f>
        <v>SYST-MOR-0006830.bam</v>
      </c>
      <c r="E142" t="s">
        <v>1479</v>
      </c>
      <c r="F142" t="s">
        <v>2442</v>
      </c>
      <c r="G142" t="s">
        <v>2444</v>
      </c>
      <c r="H142" t="s">
        <v>2532</v>
      </c>
      <c r="I142" t="s">
        <v>1450</v>
      </c>
      <c r="K142" t="s">
        <v>84</v>
      </c>
      <c r="L142" t="s">
        <v>84</v>
      </c>
      <c r="N142" t="s">
        <v>84</v>
      </c>
      <c r="P142" t="s">
        <v>113</v>
      </c>
      <c r="Q142" t="s">
        <v>85</v>
      </c>
      <c r="R142" t="s">
        <v>2600</v>
      </c>
      <c r="S142" s="1">
        <v>44734</v>
      </c>
      <c r="T142" t="s">
        <v>33</v>
      </c>
      <c r="U142" t="s">
        <v>34</v>
      </c>
      <c r="V142" s="1">
        <v>44738</v>
      </c>
      <c r="W142" t="s">
        <v>35</v>
      </c>
      <c r="X142" t="s">
        <v>1387</v>
      </c>
      <c r="Y142" t="s">
        <v>1449</v>
      </c>
      <c r="Z142" t="s">
        <v>38</v>
      </c>
      <c r="AA142" t="s">
        <v>1450</v>
      </c>
      <c r="AD142" t="s">
        <v>84</v>
      </c>
      <c r="AE142">
        <v>37.980058</v>
      </c>
      <c r="AF142">
        <v>-92.772782000000007</v>
      </c>
      <c r="AG142" t="s">
        <v>40</v>
      </c>
      <c r="AH142" t="s">
        <v>41</v>
      </c>
      <c r="AI142">
        <v>37.980023701699999</v>
      </c>
      <c r="AJ142">
        <v>-92.772855358300006</v>
      </c>
      <c r="AK142">
        <v>-3.4298300001012194E-5</v>
      </c>
      <c r="AL142">
        <v>-7.3358299999881638E-5</v>
      </c>
      <c r="AM142" t="str">
        <f>_xlfn.IFNA(VLOOKUP(Sheet1!$C142,ADMIX_ALL!A:B,2,FALSE),"none")</f>
        <v>K6-18</v>
      </c>
      <c r="AN142" t="str">
        <f>_xlfn.IFNA(VLOOKUP(Sheet1!C142,ADMIX_SS!A:B,2,FALSE),"none")</f>
        <v>SubSample</v>
      </c>
      <c r="AO142" t="str">
        <f>_xlfn.IFNA(VLOOKUP(Sheet1!$C142,MONG_PHYLO!A:C,3,FALSE),"-")</f>
        <v>-</v>
      </c>
      <c r="AP142" t="str">
        <f>_xlfn.IFNA(VLOOKUP(Sheet1!$C142,MAC_PHYLO!A:C,3,FALSE),"-")</f>
        <v>-</v>
      </c>
      <c r="AQ142" t="str">
        <f>_xlfn.IFNA(VLOOKUP(Sheet1!$C142,ConStruct!A:C,3,FALSE),"-")</f>
        <v>-</v>
      </c>
      <c r="AR142" t="str">
        <f>_xlfn.IFNA(VLOOKUP(Sheet1!$C142,GEA!A:C,3,FALSE),"-")</f>
        <v>-</v>
      </c>
      <c r="AS142" t="str">
        <f>_xlfn.IFNA(VLOOKUP(Sheet1!$C142,MAC_DSUITE!A:D,3,FALSE),"-")</f>
        <v>-</v>
      </c>
      <c r="AT142" t="str">
        <f>_xlfn.IFNA(VLOOKUP(Sheet1!$C142,MONG_DSUITE!A:E,2,FALSE),"-")</f>
        <v>xxx</v>
      </c>
      <c r="AU142" t="str">
        <f>_xlfn.IFNA(VLOOKUP(Sheet1!$C142,MAC_PAINT2!A:D,4,FALSE),"-")</f>
        <v>-</v>
      </c>
    </row>
    <row r="143" spans="1:49" customFormat="1" x14ac:dyDescent="0.4">
      <c r="A143">
        <v>3594</v>
      </c>
      <c r="B143" t="s">
        <v>1480</v>
      </c>
      <c r="C143" t="s">
        <v>1481</v>
      </c>
      <c r="D143" t="str">
        <f>_xlfn.CONCAT(C143,".bam")</f>
        <v>SYST-MOR-0006831.bam</v>
      </c>
      <c r="E143" t="s">
        <v>1482</v>
      </c>
      <c r="F143" t="s">
        <v>2442</v>
      </c>
      <c r="G143" t="s">
        <v>2444</v>
      </c>
      <c r="H143" t="s">
        <v>2532</v>
      </c>
      <c r="I143" t="s">
        <v>1450</v>
      </c>
      <c r="K143" t="s">
        <v>64</v>
      </c>
      <c r="L143" t="s">
        <v>64</v>
      </c>
      <c r="N143" t="s">
        <v>64</v>
      </c>
      <c r="P143" t="s">
        <v>113</v>
      </c>
      <c r="Q143" t="s">
        <v>155</v>
      </c>
      <c r="R143" t="s">
        <v>2599</v>
      </c>
      <c r="S143" s="1">
        <v>44734</v>
      </c>
      <c r="T143" t="s">
        <v>33</v>
      </c>
      <c r="U143" t="s">
        <v>34</v>
      </c>
      <c r="V143" s="1">
        <v>44738</v>
      </c>
      <c r="W143" t="s">
        <v>35</v>
      </c>
      <c r="X143" t="s">
        <v>1387</v>
      </c>
      <c r="Y143" t="s">
        <v>1449</v>
      </c>
      <c r="Z143" t="s">
        <v>38</v>
      </c>
      <c r="AA143" t="s">
        <v>1450</v>
      </c>
      <c r="AD143" t="s">
        <v>64</v>
      </c>
      <c r="AE143">
        <v>37.977505000000001</v>
      </c>
      <c r="AF143">
        <v>-92.773662000000002</v>
      </c>
      <c r="AG143" t="s">
        <v>40</v>
      </c>
      <c r="AH143" t="s">
        <v>41</v>
      </c>
      <c r="AI143">
        <v>37.977563696899999</v>
      </c>
      <c r="AJ143">
        <v>-92.773582488399995</v>
      </c>
      <c r="AK143">
        <v>5.8696899998267327E-5</v>
      </c>
      <c r="AL143">
        <v>7.9511600006298977E-5</v>
      </c>
      <c r="AM143" t="str">
        <f>_xlfn.IFNA(VLOOKUP(Sheet1!$C143,ADMIX_ALL!A:B,2,FALSE),"none")</f>
        <v>K6-18</v>
      </c>
      <c r="AN143" t="str">
        <f>_xlfn.IFNA(VLOOKUP(Sheet1!C143,ADMIX_SS!A:B,2,FALSE),"none")</f>
        <v>SubSample</v>
      </c>
      <c r="AO143" t="str">
        <f>_xlfn.IFNA(VLOOKUP(Sheet1!$C143,MONG_PHYLO!A:C,3,FALSE),"-")</f>
        <v>-</v>
      </c>
      <c r="AP143" t="str">
        <f>_xlfn.IFNA(VLOOKUP(Sheet1!$C143,MAC_PHYLO!A:C,3,FALSE),"-")</f>
        <v>-</v>
      </c>
      <c r="AQ143" t="str">
        <f>_xlfn.IFNA(VLOOKUP(Sheet1!$C143,ConStruct!A:C,3,FALSE),"-")</f>
        <v>-</v>
      </c>
      <c r="AR143" t="str">
        <f>_xlfn.IFNA(VLOOKUP(Sheet1!$C143,GEA!A:C,3,FALSE),"-")</f>
        <v>-</v>
      </c>
      <c r="AS143" t="str">
        <f>_xlfn.IFNA(VLOOKUP(Sheet1!$C143,MAC_DSUITE!A:D,3,FALSE),"-")</f>
        <v>-</v>
      </c>
      <c r="AT143" t="str">
        <f>_xlfn.IFNA(VLOOKUP(Sheet1!$C143,MONG_DSUITE!A:E,2,FALSE),"-")</f>
        <v>xxx</v>
      </c>
      <c r="AU143" t="str">
        <f>_xlfn.IFNA(VLOOKUP(Sheet1!$C143,MAC_PAINT2!A:D,4,FALSE),"-")</f>
        <v>-</v>
      </c>
    </row>
    <row r="144" spans="1:49" customFormat="1" x14ac:dyDescent="0.4">
      <c r="A144">
        <v>3595</v>
      </c>
      <c r="B144" t="s">
        <v>1483</v>
      </c>
      <c r="C144" t="s">
        <v>1484</v>
      </c>
      <c r="D144" t="str">
        <f>_xlfn.CONCAT(C144,".bam")</f>
        <v>SYST-MOR-0006832.bam</v>
      </c>
      <c r="E144" t="s">
        <v>1485</v>
      </c>
      <c r="F144" t="s">
        <v>2442</v>
      </c>
      <c r="G144" t="s">
        <v>2444</v>
      </c>
      <c r="H144" t="s">
        <v>2532</v>
      </c>
      <c r="I144" t="s">
        <v>1450</v>
      </c>
      <c r="K144" t="s">
        <v>64</v>
      </c>
      <c r="L144" t="s">
        <v>64</v>
      </c>
      <c r="M144" t="s">
        <v>64</v>
      </c>
      <c r="N144" t="s">
        <v>50</v>
      </c>
      <c r="P144" t="s">
        <v>113</v>
      </c>
      <c r="Q144" t="s">
        <v>51</v>
      </c>
      <c r="R144" t="s">
        <v>2598</v>
      </c>
      <c r="S144" s="1">
        <v>44734</v>
      </c>
      <c r="T144" t="s">
        <v>33</v>
      </c>
      <c r="U144" t="s">
        <v>34</v>
      </c>
      <c r="V144" s="1">
        <v>44738</v>
      </c>
      <c r="W144" t="s">
        <v>35</v>
      </c>
      <c r="X144" t="s">
        <v>1387</v>
      </c>
      <c r="Y144" t="s">
        <v>1449</v>
      </c>
      <c r="Z144" t="s">
        <v>38</v>
      </c>
      <c r="AA144" t="s">
        <v>1450</v>
      </c>
      <c r="AD144" t="s">
        <v>64</v>
      </c>
      <c r="AE144">
        <v>37.977032999999999</v>
      </c>
      <c r="AF144">
        <v>-92.768855000000002</v>
      </c>
      <c r="AG144" t="s">
        <v>40</v>
      </c>
      <c r="AH144" t="s">
        <v>41</v>
      </c>
      <c r="AI144">
        <v>37.976861712599998</v>
      </c>
      <c r="AJ144">
        <v>-92.768735736699995</v>
      </c>
      <c r="AK144">
        <v>-1.7128740000060816E-4</v>
      </c>
      <c r="AL144">
        <v>1.1926330000733287E-4</v>
      </c>
      <c r="AM144" t="str">
        <f>_xlfn.IFNA(VLOOKUP(Sheet1!$C144,ADMIX_ALL!A:B,2,FALSE),"none")</f>
        <v>K6-18</v>
      </c>
      <c r="AN144" t="str">
        <f>_xlfn.IFNA(VLOOKUP(Sheet1!C144,ADMIX_SS!A:B,2,FALSE),"none")</f>
        <v>SubSample</v>
      </c>
      <c r="AO144" t="str">
        <f>_xlfn.IFNA(VLOOKUP(Sheet1!$C144,MONG_PHYLO!A:C,3,FALSE),"-")</f>
        <v>-</v>
      </c>
      <c r="AP144" t="str">
        <f>_xlfn.IFNA(VLOOKUP(Sheet1!$C144,MAC_PHYLO!A:C,3,FALSE),"-")</f>
        <v>-</v>
      </c>
      <c r="AQ144" t="str">
        <f>_xlfn.IFNA(VLOOKUP(Sheet1!$C144,ConStruct!A:C,3,FALSE),"-")</f>
        <v>-</v>
      </c>
      <c r="AR144" t="str">
        <f>_xlfn.IFNA(VLOOKUP(Sheet1!$C144,GEA!A:C,3,FALSE),"-")</f>
        <v>-</v>
      </c>
      <c r="AS144" t="str">
        <f>_xlfn.IFNA(VLOOKUP(Sheet1!$C144,MAC_DSUITE!A:D,3,FALSE),"-")</f>
        <v>-</v>
      </c>
      <c r="AT144" t="str">
        <f>_xlfn.IFNA(VLOOKUP(Sheet1!$C144,MONG_DSUITE!A:E,2,FALSE),"-")</f>
        <v>xxx</v>
      </c>
      <c r="AU144" t="str">
        <f>_xlfn.IFNA(VLOOKUP(Sheet1!$C144,MAC_PAINT2!A:D,4,FALSE),"-")</f>
        <v>-</v>
      </c>
    </row>
    <row r="145" spans="1:49" customFormat="1" x14ac:dyDescent="0.4">
      <c r="A145">
        <v>3596</v>
      </c>
      <c r="B145" t="s">
        <v>1486</v>
      </c>
      <c r="C145" t="s">
        <v>1487</v>
      </c>
      <c r="D145" t="str">
        <f>_xlfn.CONCAT(C145,".bam")</f>
        <v>SYST-MOR-0006833.bam</v>
      </c>
      <c r="E145" t="s">
        <v>1488</v>
      </c>
      <c r="F145" t="s">
        <v>2442</v>
      </c>
      <c r="G145" t="s">
        <v>2444</v>
      </c>
      <c r="H145" t="s">
        <v>2532</v>
      </c>
      <c r="I145" t="s">
        <v>1450</v>
      </c>
      <c r="K145" t="s">
        <v>50</v>
      </c>
      <c r="L145" t="s">
        <v>50</v>
      </c>
      <c r="N145" t="s">
        <v>50</v>
      </c>
      <c r="P145" t="s">
        <v>113</v>
      </c>
      <c r="Q145" t="s">
        <v>51</v>
      </c>
      <c r="R145" t="s">
        <v>2598</v>
      </c>
      <c r="S145" s="1">
        <v>44734</v>
      </c>
      <c r="T145" t="s">
        <v>33</v>
      </c>
      <c r="U145" t="s">
        <v>34</v>
      </c>
      <c r="V145" s="1">
        <v>44738</v>
      </c>
      <c r="W145" t="s">
        <v>35</v>
      </c>
      <c r="X145" t="s">
        <v>1387</v>
      </c>
      <c r="Y145" t="s">
        <v>1449</v>
      </c>
      <c r="Z145" t="s">
        <v>38</v>
      </c>
      <c r="AA145" t="s">
        <v>1450</v>
      </c>
      <c r="AD145" t="s">
        <v>50</v>
      </c>
      <c r="AE145">
        <v>37.977054000000003</v>
      </c>
      <c r="AF145">
        <v>-92.768555000000006</v>
      </c>
      <c r="AG145" t="s">
        <v>40</v>
      </c>
      <c r="AH145" t="s">
        <v>41</v>
      </c>
      <c r="AI145">
        <v>37.977231186799997</v>
      </c>
      <c r="AJ145">
        <v>-92.768725343100002</v>
      </c>
      <c r="AK145">
        <v>1.771867999948995E-4</v>
      </c>
      <c r="AL145">
        <v>-1.7034309999530706E-4</v>
      </c>
      <c r="AM145" t="str">
        <f>_xlfn.IFNA(VLOOKUP(Sheet1!$C145,ADMIX_ALL!A:B,2,FALSE),"none")</f>
        <v>K6-18</v>
      </c>
      <c r="AN145" t="str">
        <f>_xlfn.IFNA(VLOOKUP(Sheet1!C145,ADMIX_SS!A:B,2,FALSE),"none")</f>
        <v>SubSample</v>
      </c>
      <c r="AO145" t="str">
        <f>_xlfn.IFNA(VLOOKUP(Sheet1!$C145,MONG_PHYLO!A:C,3,FALSE),"-")</f>
        <v>-</v>
      </c>
      <c r="AP145" t="str">
        <f>_xlfn.IFNA(VLOOKUP(Sheet1!$C145,MAC_PHYLO!A:C,3,FALSE),"-")</f>
        <v>-</v>
      </c>
      <c r="AQ145" t="str">
        <f>_xlfn.IFNA(VLOOKUP(Sheet1!$C145,ConStruct!A:C,3,FALSE),"-")</f>
        <v>-</v>
      </c>
      <c r="AR145" t="str">
        <f>_xlfn.IFNA(VLOOKUP(Sheet1!$C145,GEA!A:C,3,FALSE),"-")</f>
        <v>-</v>
      </c>
      <c r="AS145" t="str">
        <f>_xlfn.IFNA(VLOOKUP(Sheet1!$C145,MAC_DSUITE!A:D,3,FALSE),"-")</f>
        <v>-</v>
      </c>
      <c r="AT145" t="str">
        <f>_xlfn.IFNA(VLOOKUP(Sheet1!$C145,MONG_DSUITE!A:E,2,FALSE),"-")</f>
        <v>xxx</v>
      </c>
      <c r="AU145" t="str">
        <f>_xlfn.IFNA(VLOOKUP(Sheet1!$C145,MAC_PAINT2!A:D,4,FALSE),"-")</f>
        <v>-</v>
      </c>
    </row>
    <row r="146" spans="1:49" customFormat="1" x14ac:dyDescent="0.4">
      <c r="A146">
        <v>3597</v>
      </c>
      <c r="B146" t="s">
        <v>1489</v>
      </c>
      <c r="C146" t="s">
        <v>1490</v>
      </c>
      <c r="D146" t="str">
        <f>_xlfn.CONCAT(C146,".bam")</f>
        <v>SYST-MOR-0006834.bam</v>
      </c>
      <c r="E146" t="s">
        <v>1491</v>
      </c>
      <c r="F146" t="s">
        <v>2442</v>
      </c>
      <c r="G146" t="s">
        <v>2445</v>
      </c>
      <c r="H146" t="s">
        <v>2533</v>
      </c>
      <c r="I146" t="s">
        <v>1495</v>
      </c>
      <c r="J146" t="s">
        <v>1492</v>
      </c>
      <c r="K146" t="s">
        <v>632</v>
      </c>
      <c r="L146" t="s">
        <v>632</v>
      </c>
      <c r="N146" t="s">
        <v>632</v>
      </c>
      <c r="P146" t="s">
        <v>113</v>
      </c>
      <c r="Q146" t="s">
        <v>633</v>
      </c>
      <c r="R146" t="s">
        <v>2603</v>
      </c>
      <c r="S146" s="1">
        <v>44735</v>
      </c>
      <c r="T146" t="s">
        <v>1493</v>
      </c>
      <c r="U146" t="s">
        <v>34</v>
      </c>
      <c r="V146" s="1">
        <v>44738</v>
      </c>
      <c r="W146" t="s">
        <v>35</v>
      </c>
      <c r="X146" t="s">
        <v>1387</v>
      </c>
      <c r="Y146" t="s">
        <v>1494</v>
      </c>
      <c r="Z146" t="s">
        <v>38</v>
      </c>
      <c r="AA146" t="s">
        <v>1495</v>
      </c>
      <c r="AD146" t="s">
        <v>1496</v>
      </c>
      <c r="AE146">
        <v>37.531755590000003</v>
      </c>
      <c r="AF146">
        <v>-94.574784399999999</v>
      </c>
      <c r="AG146" t="s">
        <v>40</v>
      </c>
      <c r="AH146" t="s">
        <v>41</v>
      </c>
      <c r="AI146">
        <v>37.531755589900001</v>
      </c>
      <c r="AJ146">
        <v>-94.574784404799999</v>
      </c>
      <c r="AK146">
        <v>-1.000017846308765E-10</v>
      </c>
      <c r="AL146">
        <v>-4.8000003971537808E-9</v>
      </c>
      <c r="AM146" t="str">
        <f>_xlfn.IFNA(VLOOKUP(Sheet1!$C146,ADMIX_ALL!A:B,2,FALSE),"none")</f>
        <v>K6-18</v>
      </c>
      <c r="AN146" t="str">
        <f>_xlfn.IFNA(VLOOKUP(Sheet1!C146,ADMIX_SS!A:B,2,FALSE),"none")</f>
        <v>SubSample</v>
      </c>
      <c r="AO146" t="str">
        <f>_xlfn.IFNA(VLOOKUP(Sheet1!$C146,MONG_PHYLO!A:C,3,FALSE),"-")</f>
        <v>-</v>
      </c>
      <c r="AP146" t="str">
        <f>_xlfn.IFNA(VLOOKUP(Sheet1!$C146,MAC_PHYLO!A:C,3,FALSE),"-")</f>
        <v>-</v>
      </c>
      <c r="AQ146" t="str">
        <f>_xlfn.IFNA(VLOOKUP(Sheet1!$C146,ConStruct!A:C,3,FALSE),"-")</f>
        <v>-</v>
      </c>
      <c r="AR146" t="str">
        <f>_xlfn.IFNA(VLOOKUP(Sheet1!$C146,GEA!A:C,3,FALSE),"-")</f>
        <v>-</v>
      </c>
      <c r="AS146" t="str">
        <f>_xlfn.IFNA(VLOOKUP(Sheet1!$C146,MAC_DSUITE!A:D,3,FALSE),"-")</f>
        <v>-</v>
      </c>
      <c r="AT146" t="str">
        <f>_xlfn.IFNA(VLOOKUP(Sheet1!$C146,MONG_DSUITE!A:E,2,FALSE),"-")</f>
        <v>xxx</v>
      </c>
      <c r="AU146" t="str">
        <f>_xlfn.IFNA(VLOOKUP(Sheet1!$C146,MAC_PAINT2!A:D,4,FALSE),"-")</f>
        <v>-</v>
      </c>
    </row>
    <row r="147" spans="1:49" customFormat="1" x14ac:dyDescent="0.4">
      <c r="A147">
        <v>3598</v>
      </c>
      <c r="B147" t="s">
        <v>1497</v>
      </c>
      <c r="C147" t="s">
        <v>1498</v>
      </c>
      <c r="D147" t="str">
        <f>_xlfn.CONCAT(C147,".bam")</f>
        <v>SYST-MOR-0006835.bam</v>
      </c>
      <c r="E147" t="s">
        <v>1499</v>
      </c>
      <c r="F147" t="s">
        <v>2442</v>
      </c>
      <c r="G147" t="s">
        <v>2445</v>
      </c>
      <c r="H147" t="s">
        <v>2533</v>
      </c>
      <c r="I147" t="s">
        <v>1495</v>
      </c>
      <c r="J147" t="s">
        <v>1500</v>
      </c>
      <c r="K147" t="s">
        <v>632</v>
      </c>
      <c r="L147" t="s">
        <v>632</v>
      </c>
      <c r="N147" t="s">
        <v>632</v>
      </c>
      <c r="P147" t="s">
        <v>113</v>
      </c>
      <c r="Q147" t="s">
        <v>633</v>
      </c>
      <c r="R147" t="s">
        <v>2603</v>
      </c>
      <c r="S147" s="1">
        <v>44735</v>
      </c>
      <c r="T147" t="s">
        <v>1493</v>
      </c>
      <c r="U147" t="s">
        <v>34</v>
      </c>
      <c r="V147" s="1">
        <v>44738</v>
      </c>
      <c r="W147" t="s">
        <v>35</v>
      </c>
      <c r="X147" t="s">
        <v>1387</v>
      </c>
      <c r="Y147" t="s">
        <v>1494</v>
      </c>
      <c r="Z147" t="s">
        <v>38</v>
      </c>
      <c r="AA147" t="s">
        <v>1495</v>
      </c>
      <c r="AD147" t="s">
        <v>1496</v>
      </c>
      <c r="AE147">
        <v>37.532182849999998</v>
      </c>
      <c r="AF147">
        <v>-94.575126560000001</v>
      </c>
      <c r="AG147" t="s">
        <v>40</v>
      </c>
      <c r="AH147" t="s">
        <v>41</v>
      </c>
      <c r="AI147">
        <v>37.5321828481</v>
      </c>
      <c r="AJ147">
        <v>-94.575126562400001</v>
      </c>
      <c r="AK147">
        <v>-1.8999983808498655E-9</v>
      </c>
      <c r="AL147">
        <v>-2.4000001985768904E-9</v>
      </c>
      <c r="AM147" t="str">
        <f>_xlfn.IFNA(VLOOKUP(Sheet1!$C147,ADMIX_ALL!A:B,2,FALSE),"none")</f>
        <v>K6-18</v>
      </c>
      <c r="AN147" t="str">
        <f>_xlfn.IFNA(VLOOKUP(Sheet1!C147,ADMIX_SS!A:B,2,FALSE),"none")</f>
        <v>SubSample</v>
      </c>
      <c r="AO147" t="str">
        <f>_xlfn.IFNA(VLOOKUP(Sheet1!$C147,MONG_PHYLO!A:C,3,FALSE),"-")</f>
        <v>pri</v>
      </c>
      <c r="AP147" t="str">
        <f>_xlfn.IFNA(VLOOKUP(Sheet1!$C147,MAC_PHYLO!A:C,3,FALSE),"-")</f>
        <v>-</v>
      </c>
      <c r="AQ147" t="str">
        <f>_xlfn.IFNA(VLOOKUP(Sheet1!$C147,ConStruct!A:C,3,FALSE),"-")</f>
        <v>-</v>
      </c>
      <c r="AR147" t="str">
        <f>_xlfn.IFNA(VLOOKUP(Sheet1!$C147,GEA!A:C,3,FALSE),"-")</f>
        <v>-</v>
      </c>
      <c r="AS147" t="str">
        <f>_xlfn.IFNA(VLOOKUP(Sheet1!$C147,MAC_DSUITE!A:D,3,FALSE),"-")</f>
        <v>-</v>
      </c>
      <c r="AT147" t="str">
        <f>_xlfn.IFNA(VLOOKUP(Sheet1!$C147,MONG_DSUITE!A:E,2,FALSE),"-")</f>
        <v>xxx</v>
      </c>
      <c r="AU147" t="str">
        <f>_xlfn.IFNA(VLOOKUP(Sheet1!$C147,MAC_PAINT2!A:D,4,FALSE),"-")</f>
        <v>-</v>
      </c>
    </row>
    <row r="148" spans="1:49" customFormat="1" x14ac:dyDescent="0.4">
      <c r="A148">
        <v>3599</v>
      </c>
      <c r="B148" t="s">
        <v>1501</v>
      </c>
      <c r="C148" t="s">
        <v>1502</v>
      </c>
      <c r="D148" t="str">
        <f>_xlfn.CONCAT(C148,".bam")</f>
        <v>SYST-MOR-0006836.bam</v>
      </c>
      <c r="E148" t="s">
        <v>1503</v>
      </c>
      <c r="F148" t="s">
        <v>2442</v>
      </c>
      <c r="G148" t="s">
        <v>2445</v>
      </c>
      <c r="H148" t="s">
        <v>2533</v>
      </c>
      <c r="I148" t="s">
        <v>1495</v>
      </c>
      <c r="J148" t="s">
        <v>1504</v>
      </c>
      <c r="K148" t="s">
        <v>50</v>
      </c>
      <c r="L148" t="s">
        <v>50</v>
      </c>
      <c r="N148" t="s">
        <v>50</v>
      </c>
      <c r="P148" t="s">
        <v>1505</v>
      </c>
      <c r="Q148" t="s">
        <v>51</v>
      </c>
      <c r="R148" t="s">
        <v>2598</v>
      </c>
      <c r="S148" s="1">
        <v>44735</v>
      </c>
      <c r="T148" t="s">
        <v>1493</v>
      </c>
      <c r="U148" t="s">
        <v>34</v>
      </c>
      <c r="V148" s="1">
        <v>44738</v>
      </c>
      <c r="W148" t="s">
        <v>35</v>
      </c>
      <c r="X148" t="s">
        <v>1387</v>
      </c>
      <c r="Y148" t="s">
        <v>1494</v>
      </c>
      <c r="Z148" t="s">
        <v>38</v>
      </c>
      <c r="AA148" t="s">
        <v>1495</v>
      </c>
      <c r="AD148" t="s">
        <v>50</v>
      </c>
      <c r="AE148">
        <v>37.532246839999999</v>
      </c>
      <c r="AF148">
        <v>-94.574924379999999</v>
      </c>
      <c r="AG148" t="s">
        <v>40</v>
      </c>
      <c r="AH148" t="s">
        <v>41</v>
      </c>
      <c r="AI148">
        <v>37.532246839700001</v>
      </c>
      <c r="AJ148">
        <v>-94.574924381200006</v>
      </c>
      <c r="AK148">
        <v>-2.999982484652719E-10</v>
      </c>
      <c r="AL148">
        <v>-1.2000072047158028E-9</v>
      </c>
      <c r="AM148" t="str">
        <f>_xlfn.IFNA(VLOOKUP(Sheet1!$C148,ADMIX_ALL!A:B,2,FALSE),"none")</f>
        <v>K6-18</v>
      </c>
      <c r="AN148" t="str">
        <f>_xlfn.IFNA(VLOOKUP(Sheet1!C148,ADMIX_SS!A:B,2,FALSE),"none")</f>
        <v>SubSample</v>
      </c>
      <c r="AO148" t="str">
        <f>_xlfn.IFNA(VLOOKUP(Sheet1!$C148,MONG_PHYLO!A:C,3,FALSE),"-")</f>
        <v>-</v>
      </c>
      <c r="AP148" t="str">
        <f>_xlfn.IFNA(VLOOKUP(Sheet1!$C148,MAC_PHYLO!A:C,3,FALSE),"-")</f>
        <v>-</v>
      </c>
      <c r="AQ148" t="str">
        <f>_xlfn.IFNA(VLOOKUP(Sheet1!$C148,ConStruct!A:C,3,FALSE),"-")</f>
        <v>-</v>
      </c>
      <c r="AR148" t="str">
        <f>_xlfn.IFNA(VLOOKUP(Sheet1!$C148,GEA!A:C,3,FALSE),"-")</f>
        <v>-</v>
      </c>
      <c r="AS148" t="str">
        <f>_xlfn.IFNA(VLOOKUP(Sheet1!$C148,MAC_DSUITE!A:D,3,FALSE),"-")</f>
        <v>-</v>
      </c>
      <c r="AT148" t="str">
        <f>_xlfn.IFNA(VLOOKUP(Sheet1!$C148,MONG_DSUITE!A:E,2,FALSE),"-")</f>
        <v>xxx</v>
      </c>
      <c r="AU148" t="str">
        <f>_xlfn.IFNA(VLOOKUP(Sheet1!$C148,MAC_PAINT2!A:D,4,FALSE),"-")</f>
        <v>-</v>
      </c>
    </row>
    <row r="149" spans="1:49" customFormat="1" x14ac:dyDescent="0.4">
      <c r="A149">
        <v>3600</v>
      </c>
      <c r="B149" t="s">
        <v>1506</v>
      </c>
      <c r="C149" t="s">
        <v>1507</v>
      </c>
      <c r="D149" t="str">
        <f>_xlfn.CONCAT(C149,".bam")</f>
        <v>SYST-MOR-0006837.bam</v>
      </c>
      <c r="E149" t="s">
        <v>1508</v>
      </c>
      <c r="F149" t="s">
        <v>2442</v>
      </c>
      <c r="G149" t="s">
        <v>2445</v>
      </c>
      <c r="H149" t="s">
        <v>2533</v>
      </c>
      <c r="I149" t="s">
        <v>1495</v>
      </c>
      <c r="J149" t="s">
        <v>1509</v>
      </c>
      <c r="K149" t="s">
        <v>632</v>
      </c>
      <c r="L149" t="s">
        <v>632</v>
      </c>
      <c r="N149" t="s">
        <v>632</v>
      </c>
      <c r="P149" t="s">
        <v>113</v>
      </c>
      <c r="Q149" t="s">
        <v>633</v>
      </c>
      <c r="R149" t="s">
        <v>2603</v>
      </c>
      <c r="S149" s="1">
        <v>44735</v>
      </c>
      <c r="T149" t="s">
        <v>1493</v>
      </c>
      <c r="U149" t="s">
        <v>34</v>
      </c>
      <c r="V149" s="1">
        <v>44738</v>
      </c>
      <c r="W149" t="s">
        <v>35</v>
      </c>
      <c r="X149" t="s">
        <v>1387</v>
      </c>
      <c r="Y149" t="s">
        <v>1494</v>
      </c>
      <c r="Z149" t="s">
        <v>38</v>
      </c>
      <c r="AA149" t="s">
        <v>1495</v>
      </c>
      <c r="AD149" t="s">
        <v>1496</v>
      </c>
      <c r="AE149">
        <v>37.532592510000001</v>
      </c>
      <c r="AF149">
        <v>-94.574694890000004</v>
      </c>
      <c r="AG149" t="s">
        <v>40</v>
      </c>
      <c r="AH149" t="s">
        <v>41</v>
      </c>
      <c r="AI149">
        <v>37.532592513600001</v>
      </c>
      <c r="AJ149">
        <v>-94.574694894299995</v>
      </c>
      <c r="AK149">
        <v>3.6000002978653356E-9</v>
      </c>
      <c r="AL149">
        <v>-4.2999914739993983E-9</v>
      </c>
      <c r="AM149" t="str">
        <f>_xlfn.IFNA(VLOOKUP(Sheet1!$C149,ADMIX_ALL!A:B,2,FALSE),"none")</f>
        <v>K6-18</v>
      </c>
      <c r="AN149" t="str">
        <f>_xlfn.IFNA(VLOOKUP(Sheet1!C149,ADMIX_SS!A:B,2,FALSE),"none")</f>
        <v>SubSample</v>
      </c>
      <c r="AO149" t="str">
        <f>_xlfn.IFNA(VLOOKUP(Sheet1!$C149,MONG_PHYLO!A:C,3,FALSE),"-")</f>
        <v>-</v>
      </c>
      <c r="AP149" t="str">
        <f>_xlfn.IFNA(VLOOKUP(Sheet1!$C149,MAC_PHYLO!A:C,3,FALSE),"-")</f>
        <v>-</v>
      </c>
      <c r="AQ149" t="str">
        <f>_xlfn.IFNA(VLOOKUP(Sheet1!$C149,ConStruct!A:C,3,FALSE),"-")</f>
        <v>-</v>
      </c>
      <c r="AR149" t="str">
        <f>_xlfn.IFNA(VLOOKUP(Sheet1!$C149,GEA!A:C,3,FALSE),"-")</f>
        <v>-</v>
      </c>
      <c r="AS149" t="str">
        <f>_xlfn.IFNA(VLOOKUP(Sheet1!$C149,MAC_DSUITE!A:D,3,FALSE),"-")</f>
        <v>-</v>
      </c>
      <c r="AT149" t="str">
        <f>_xlfn.IFNA(VLOOKUP(Sheet1!$C149,MONG_DSUITE!A:E,2,FALSE),"-")</f>
        <v>xxx</v>
      </c>
      <c r="AU149" t="str">
        <f>_xlfn.IFNA(VLOOKUP(Sheet1!$C149,MAC_PAINT2!A:D,4,FALSE),"-")</f>
        <v>-</v>
      </c>
    </row>
    <row r="150" spans="1:49" customFormat="1" x14ac:dyDescent="0.4">
      <c r="A150">
        <v>3601</v>
      </c>
      <c r="B150" t="s">
        <v>1510</v>
      </c>
      <c r="C150" t="s">
        <v>1511</v>
      </c>
      <c r="D150" t="str">
        <f>_xlfn.CONCAT(C150,".bam")</f>
        <v>SYST-MOR-0006838.bam</v>
      </c>
      <c r="E150" t="s">
        <v>1512</v>
      </c>
      <c r="F150" t="s">
        <v>2442</v>
      </c>
      <c r="G150" t="s">
        <v>2445</v>
      </c>
      <c r="H150" t="s">
        <v>2533</v>
      </c>
      <c r="I150" t="s">
        <v>1495</v>
      </c>
      <c r="J150" t="s">
        <v>1513</v>
      </c>
      <c r="K150" t="s">
        <v>50</v>
      </c>
      <c r="L150" t="s">
        <v>50</v>
      </c>
      <c r="N150" t="s">
        <v>50</v>
      </c>
      <c r="P150" t="s">
        <v>113</v>
      </c>
      <c r="Q150" t="s">
        <v>1457</v>
      </c>
      <c r="R150" t="s">
        <v>2598</v>
      </c>
      <c r="S150" s="1">
        <v>44735</v>
      </c>
      <c r="T150" t="s">
        <v>1493</v>
      </c>
      <c r="U150" t="s">
        <v>34</v>
      </c>
      <c r="V150" s="1">
        <v>44738</v>
      </c>
      <c r="W150" t="s">
        <v>35</v>
      </c>
      <c r="X150" t="s">
        <v>1387</v>
      </c>
      <c r="Y150" t="s">
        <v>1494</v>
      </c>
      <c r="Z150" t="s">
        <v>38</v>
      </c>
      <c r="AA150" t="s">
        <v>1495</v>
      </c>
      <c r="AD150" t="s">
        <v>50</v>
      </c>
      <c r="AE150">
        <v>37.532756900000003</v>
      </c>
      <c r="AF150">
        <v>-94.574669240000006</v>
      </c>
      <c r="AG150" t="s">
        <v>40</v>
      </c>
      <c r="AH150" t="s">
        <v>41</v>
      </c>
      <c r="AI150">
        <v>37.532756897200002</v>
      </c>
      <c r="AJ150">
        <v>-94.574669240099993</v>
      </c>
      <c r="AK150">
        <v>-2.8000002316730388E-9</v>
      </c>
      <c r="AL150">
        <v>-9.9987573776161298E-11</v>
      </c>
      <c r="AM150" t="str">
        <f>_xlfn.IFNA(VLOOKUP(Sheet1!$C150,ADMIX_ALL!A:B,2,FALSE),"none")</f>
        <v>K6-18</v>
      </c>
      <c r="AN150" t="str">
        <f>_xlfn.IFNA(VLOOKUP(Sheet1!C150,ADMIX_SS!A:B,2,FALSE),"none")</f>
        <v>SubSample</v>
      </c>
      <c r="AO150" t="str">
        <f>_xlfn.IFNA(VLOOKUP(Sheet1!$C150,MONG_PHYLO!A:C,3,FALSE),"-")</f>
        <v>-</v>
      </c>
      <c r="AP150" t="str">
        <f>_xlfn.IFNA(VLOOKUP(Sheet1!$C150,MAC_PHYLO!A:C,3,FALSE),"-")</f>
        <v>-</v>
      </c>
      <c r="AQ150" t="str">
        <f>_xlfn.IFNA(VLOOKUP(Sheet1!$C150,ConStruct!A:C,3,FALSE),"-")</f>
        <v>-</v>
      </c>
      <c r="AR150" t="str">
        <f>_xlfn.IFNA(VLOOKUP(Sheet1!$C150,GEA!A:C,3,FALSE),"-")</f>
        <v>-</v>
      </c>
      <c r="AS150" t="str">
        <f>_xlfn.IFNA(VLOOKUP(Sheet1!$C150,MAC_DSUITE!A:D,3,FALSE),"-")</f>
        <v>-</v>
      </c>
      <c r="AT150" t="str">
        <f>_xlfn.IFNA(VLOOKUP(Sheet1!$C150,MONG_DSUITE!A:E,2,FALSE),"-")</f>
        <v>xxx</v>
      </c>
      <c r="AU150" t="str">
        <f>_xlfn.IFNA(VLOOKUP(Sheet1!$C150,MAC_PAINT2!A:D,4,FALSE),"-")</f>
        <v>-</v>
      </c>
    </row>
    <row r="151" spans="1:49" customFormat="1" x14ac:dyDescent="0.4">
      <c r="A151">
        <v>3602</v>
      </c>
      <c r="B151" t="s">
        <v>1514</v>
      </c>
      <c r="C151" t="s">
        <v>1515</v>
      </c>
      <c r="D151" t="str">
        <f>_xlfn.CONCAT(C151,".bam")</f>
        <v>SYST-MOR-0006839.bam</v>
      </c>
      <c r="E151" t="s">
        <v>1516</v>
      </c>
      <c r="F151" t="s">
        <v>2442</v>
      </c>
      <c r="G151" t="s">
        <v>2445</v>
      </c>
      <c r="H151" t="s">
        <v>2533</v>
      </c>
      <c r="I151" t="s">
        <v>1495</v>
      </c>
      <c r="J151" t="s">
        <v>1517</v>
      </c>
      <c r="K151" t="s">
        <v>632</v>
      </c>
      <c r="L151" t="s">
        <v>632</v>
      </c>
      <c r="N151" t="s">
        <v>632</v>
      </c>
      <c r="P151" t="s">
        <v>113</v>
      </c>
      <c r="Q151" t="s">
        <v>633</v>
      </c>
      <c r="R151" t="s">
        <v>2603</v>
      </c>
      <c r="S151" s="1">
        <v>44735</v>
      </c>
      <c r="T151" t="s">
        <v>1493</v>
      </c>
      <c r="U151" t="s">
        <v>34</v>
      </c>
      <c r="V151" s="1">
        <v>44738</v>
      </c>
      <c r="W151" t="s">
        <v>35</v>
      </c>
      <c r="X151" t="s">
        <v>1387</v>
      </c>
      <c r="Y151" t="s">
        <v>1494</v>
      </c>
      <c r="Z151" t="s">
        <v>38</v>
      </c>
      <c r="AA151" t="s">
        <v>1495</v>
      </c>
      <c r="AD151" t="s">
        <v>1496</v>
      </c>
      <c r="AE151">
        <v>37.535027499999998</v>
      </c>
      <c r="AF151">
        <v>-94.579779189999996</v>
      </c>
      <c r="AG151" t="s">
        <v>40</v>
      </c>
      <c r="AH151" t="s">
        <v>41</v>
      </c>
      <c r="AI151">
        <v>37.535027498399998</v>
      </c>
      <c r="AJ151">
        <v>-94.579779189199996</v>
      </c>
      <c r="AK151">
        <v>-1.6000001323845936E-9</v>
      </c>
      <c r="AL151">
        <v>8.000000661922968E-10</v>
      </c>
      <c r="AM151" t="str">
        <f>_xlfn.IFNA(VLOOKUP(Sheet1!$C151,ADMIX_ALL!A:B,2,FALSE),"none")</f>
        <v>K6-18</v>
      </c>
      <c r="AN151" t="str">
        <f>_xlfn.IFNA(VLOOKUP(Sheet1!C151,ADMIX_SS!A:B,2,FALSE),"none")</f>
        <v>SubSample</v>
      </c>
      <c r="AO151" t="str">
        <f>_xlfn.IFNA(VLOOKUP(Sheet1!$C151,MONG_PHYLO!A:C,3,FALSE),"-")</f>
        <v>-</v>
      </c>
      <c r="AP151" t="str">
        <f>_xlfn.IFNA(VLOOKUP(Sheet1!$C151,MAC_PHYLO!A:C,3,FALSE),"-")</f>
        <v>-</v>
      </c>
      <c r="AQ151" t="str">
        <f>_xlfn.IFNA(VLOOKUP(Sheet1!$C151,ConStruct!A:C,3,FALSE),"-")</f>
        <v>-</v>
      </c>
      <c r="AR151" t="str">
        <f>_xlfn.IFNA(VLOOKUP(Sheet1!$C151,GEA!A:C,3,FALSE),"-")</f>
        <v>-</v>
      </c>
      <c r="AS151" t="str">
        <f>_xlfn.IFNA(VLOOKUP(Sheet1!$C151,MAC_DSUITE!A:D,3,FALSE),"-")</f>
        <v>-</v>
      </c>
      <c r="AT151" t="str">
        <f>_xlfn.IFNA(VLOOKUP(Sheet1!$C151,MONG_DSUITE!A:E,2,FALSE),"-")</f>
        <v>xxx</v>
      </c>
      <c r="AU151" t="str">
        <f>_xlfn.IFNA(VLOOKUP(Sheet1!$C151,MAC_PAINT2!A:D,4,FALSE),"-")</f>
        <v>-</v>
      </c>
    </row>
    <row r="152" spans="1:49" customFormat="1" x14ac:dyDescent="0.4">
      <c r="A152">
        <v>3603</v>
      </c>
      <c r="B152" t="s">
        <v>1955</v>
      </c>
      <c r="C152" t="s">
        <v>1956</v>
      </c>
      <c r="D152" t="str">
        <f>_xlfn.CONCAT(C152,".bam")</f>
        <v>SYST-MOR-0006840.bam</v>
      </c>
      <c r="E152" t="s">
        <v>1957</v>
      </c>
      <c r="F152" t="s">
        <v>2457</v>
      </c>
      <c r="G152" t="s">
        <v>2458</v>
      </c>
      <c r="H152" t="s">
        <v>2522</v>
      </c>
      <c r="I152" t="s">
        <v>1084</v>
      </c>
      <c r="K152" t="s">
        <v>84</v>
      </c>
      <c r="L152" t="s">
        <v>84</v>
      </c>
      <c r="N152" t="s">
        <v>84</v>
      </c>
      <c r="P152" t="s">
        <v>113</v>
      </c>
      <c r="Q152" t="s">
        <v>85</v>
      </c>
      <c r="R152" t="s">
        <v>2600</v>
      </c>
      <c r="S152" s="1">
        <v>44736</v>
      </c>
      <c r="T152" t="s">
        <v>33</v>
      </c>
      <c r="U152" t="s">
        <v>34</v>
      </c>
      <c r="V152" s="1">
        <v>44738</v>
      </c>
      <c r="W152" t="s">
        <v>35</v>
      </c>
      <c r="X152" t="s">
        <v>1082</v>
      </c>
      <c r="Y152" t="s">
        <v>1083</v>
      </c>
      <c r="Z152" t="s">
        <v>38</v>
      </c>
      <c r="AA152" t="s">
        <v>1084</v>
      </c>
      <c r="AD152" t="s">
        <v>84</v>
      </c>
      <c r="AE152">
        <v>35.435994000000001</v>
      </c>
      <c r="AF152">
        <v>-98.355638999999996</v>
      </c>
      <c r="AG152" t="s">
        <v>40</v>
      </c>
      <c r="AH152" t="s">
        <v>41</v>
      </c>
      <c r="AI152">
        <v>35.435937760000002</v>
      </c>
      <c r="AJ152">
        <v>-98.355535880000005</v>
      </c>
      <c r="AK152">
        <v>-5.6239999999263546E-5</v>
      </c>
      <c r="AL152">
        <v>1.0311999999146337E-4</v>
      </c>
      <c r="AM152" t="str">
        <f>_xlfn.IFNA(VLOOKUP(Sheet1!$C152,ADMIX_ALL!A:B,2,FALSE),"none")</f>
        <v>K6-18</v>
      </c>
      <c r="AN152" t="str">
        <f>_xlfn.IFNA(VLOOKUP(Sheet1!C152,ADMIX_SS!A:B,2,FALSE),"none")</f>
        <v>SubSample</v>
      </c>
      <c r="AO152" t="str">
        <f>_xlfn.IFNA(VLOOKUP(Sheet1!$C152,MONG_PHYLO!A:C,3,FALSE),"-")</f>
        <v>-</v>
      </c>
      <c r="AP152" t="str">
        <f>_xlfn.IFNA(VLOOKUP(Sheet1!$C152,MAC_PHYLO!A:C,3,FALSE),"-")</f>
        <v>-</v>
      </c>
      <c r="AQ152" t="str">
        <f>_xlfn.IFNA(VLOOKUP(Sheet1!$C152,ConStruct!A:C,3,FALSE),"-")</f>
        <v>-</v>
      </c>
      <c r="AR152" t="str">
        <f>_xlfn.IFNA(VLOOKUP(Sheet1!$C152,GEA!A:C,3,FALSE),"-")</f>
        <v>-</v>
      </c>
      <c r="AS152" t="str">
        <f>_xlfn.IFNA(VLOOKUP(Sheet1!$C152,MAC_DSUITE!A:D,3,FALSE),"-")</f>
        <v>-</v>
      </c>
      <c r="AT152" t="str">
        <f>_xlfn.IFNA(VLOOKUP(Sheet1!$C152,MONG_DSUITE!A:E,2,FALSE),"-")</f>
        <v>xxx</v>
      </c>
      <c r="AU152" t="str">
        <f>_xlfn.IFNA(VLOOKUP(Sheet1!$C152,MAC_PAINT2!A:D,4,FALSE),"-")</f>
        <v>-</v>
      </c>
    </row>
    <row r="153" spans="1:49" customFormat="1" x14ac:dyDescent="0.4">
      <c r="A153">
        <v>3604</v>
      </c>
      <c r="B153" t="s">
        <v>1958</v>
      </c>
      <c r="C153" t="s">
        <v>1959</v>
      </c>
      <c r="D153" t="str">
        <f>_xlfn.CONCAT(C153,".bam")</f>
        <v>SYST-MOR-0006841.bam</v>
      </c>
      <c r="E153" t="s">
        <v>1960</v>
      </c>
      <c r="F153" t="s">
        <v>2457</v>
      </c>
      <c r="G153" t="s">
        <v>2458</v>
      </c>
      <c r="H153" t="s">
        <v>2522</v>
      </c>
      <c r="I153" t="s">
        <v>1084</v>
      </c>
      <c r="K153" t="s">
        <v>1079</v>
      </c>
      <c r="L153" t="s">
        <v>1079</v>
      </c>
      <c r="M153" t="s">
        <v>1079</v>
      </c>
      <c r="N153" t="s">
        <v>50</v>
      </c>
      <c r="P153" t="s">
        <v>113</v>
      </c>
      <c r="Q153" t="s">
        <v>51</v>
      </c>
      <c r="R153" t="s">
        <v>2598</v>
      </c>
      <c r="S153" s="1">
        <v>44736</v>
      </c>
      <c r="T153" t="s">
        <v>33</v>
      </c>
      <c r="U153" t="s">
        <v>34</v>
      </c>
      <c r="V153" s="1">
        <v>44738</v>
      </c>
      <c r="W153" t="s">
        <v>35</v>
      </c>
      <c r="X153" t="s">
        <v>1082</v>
      </c>
      <c r="Y153" t="s">
        <v>1083</v>
      </c>
      <c r="Z153" t="s">
        <v>38</v>
      </c>
      <c r="AA153" t="s">
        <v>1084</v>
      </c>
      <c r="AD153" t="s">
        <v>50</v>
      </c>
      <c r="AE153">
        <v>35.435972</v>
      </c>
      <c r="AF153">
        <v>-98.355531999999997</v>
      </c>
      <c r="AG153" t="s">
        <v>40</v>
      </c>
      <c r="AH153" t="s">
        <v>41</v>
      </c>
      <c r="AI153">
        <v>35.435779304299999</v>
      </c>
      <c r="AJ153">
        <v>-98.355416106199996</v>
      </c>
      <c r="AK153">
        <v>-1.9269570000091107E-4</v>
      </c>
      <c r="AL153">
        <v>1.1589380000032179E-4</v>
      </c>
      <c r="AM153" t="str">
        <f>_xlfn.IFNA(VLOOKUP(Sheet1!$C153,ADMIX_ALL!A:B,2,FALSE),"none")</f>
        <v>K6-18</v>
      </c>
      <c r="AN153" t="str">
        <f>_xlfn.IFNA(VLOOKUP(Sheet1!C153,ADMIX_SS!A:B,2,FALSE),"none")</f>
        <v>SubSample</v>
      </c>
      <c r="AO153" t="str">
        <f>_xlfn.IFNA(VLOOKUP(Sheet1!$C153,MONG_PHYLO!A:C,3,FALSE),"-")</f>
        <v>-</v>
      </c>
      <c r="AP153" t="str">
        <f>_xlfn.IFNA(VLOOKUP(Sheet1!$C153,MAC_PHYLO!A:C,3,FALSE),"-")</f>
        <v>mar</v>
      </c>
      <c r="AQ153" t="str">
        <f>_xlfn.IFNA(VLOOKUP(Sheet1!$C153,ConStruct!A:C,3,FALSE),"-")</f>
        <v>-</v>
      </c>
      <c r="AR153" t="str">
        <f>_xlfn.IFNA(VLOOKUP(Sheet1!$C153,GEA!A:C,3,FALSE),"-")</f>
        <v>-</v>
      </c>
      <c r="AS153" t="str">
        <f>_xlfn.IFNA(VLOOKUP(Sheet1!$C153,MAC_DSUITE!A:D,3,FALSE),"-")</f>
        <v>xxx</v>
      </c>
      <c r="AT153" t="str">
        <f>_xlfn.IFNA(VLOOKUP(Sheet1!$C153,MONG_DSUITE!A:E,2,FALSE),"-")</f>
        <v>xxx</v>
      </c>
      <c r="AU153" t="str">
        <f>_xlfn.IFNA(VLOOKUP(Sheet1!$C153,MAC_PAINT2!A:D,4,FALSE),"-")</f>
        <v>-</v>
      </c>
    </row>
    <row r="154" spans="1:49" customFormat="1" x14ac:dyDescent="0.4">
      <c r="A154">
        <v>3605</v>
      </c>
      <c r="B154" t="s">
        <v>1076</v>
      </c>
      <c r="C154" t="s">
        <v>1077</v>
      </c>
      <c r="D154" t="str">
        <f>_xlfn.CONCAT(C154,".bam")</f>
        <v>SYST-MOR-0006842.bam</v>
      </c>
      <c r="E154" t="s">
        <v>1078</v>
      </c>
      <c r="F154" t="s">
        <v>2457</v>
      </c>
      <c r="G154" t="s">
        <v>2458</v>
      </c>
      <c r="H154" t="s">
        <v>2522</v>
      </c>
      <c r="I154" t="s">
        <v>1084</v>
      </c>
      <c r="K154" t="s">
        <v>1079</v>
      </c>
      <c r="L154" t="s">
        <v>1079</v>
      </c>
      <c r="M154" t="s">
        <v>1079</v>
      </c>
      <c r="N154" t="s">
        <v>1080</v>
      </c>
      <c r="P154" t="s">
        <v>113</v>
      </c>
      <c r="Q154" t="s">
        <v>1081</v>
      </c>
      <c r="R154" t="s">
        <v>2598</v>
      </c>
      <c r="S154" s="1">
        <v>44736</v>
      </c>
      <c r="T154" t="s">
        <v>33</v>
      </c>
      <c r="U154" t="s">
        <v>34</v>
      </c>
      <c r="V154" s="1">
        <v>44738</v>
      </c>
      <c r="W154" t="s">
        <v>35</v>
      </c>
      <c r="X154" t="s">
        <v>1082</v>
      </c>
      <c r="Y154" t="s">
        <v>1083</v>
      </c>
      <c r="Z154" t="s">
        <v>38</v>
      </c>
      <c r="AA154" t="s">
        <v>1084</v>
      </c>
      <c r="AD154" t="s">
        <v>1085</v>
      </c>
      <c r="AE154">
        <v>35.436273</v>
      </c>
      <c r="AF154">
        <v>-98.355593900000002</v>
      </c>
      <c r="AG154" t="s">
        <v>40</v>
      </c>
      <c r="AH154" t="s">
        <v>41</v>
      </c>
      <c r="AI154">
        <v>35.436273</v>
      </c>
      <c r="AJ154">
        <v>-98.355593900000002</v>
      </c>
      <c r="AK154">
        <v>0</v>
      </c>
      <c r="AL154">
        <v>0</v>
      </c>
      <c r="AM154" t="str">
        <f>_xlfn.IFNA(VLOOKUP(Sheet1!$C154,ADMIX_ALL!A:B,2,FALSE),"none")</f>
        <v>K6-18</v>
      </c>
      <c r="AN154" t="str">
        <f>_xlfn.IFNA(VLOOKUP(Sheet1!C154,ADMIX_SS!A:B,2,FALSE),"none")</f>
        <v>SubSample</v>
      </c>
      <c r="AO154" t="str">
        <f>_xlfn.IFNA(VLOOKUP(Sheet1!$C154,MONG_PHYLO!A:C,3,FALSE),"-")</f>
        <v>-</v>
      </c>
      <c r="AP154" t="str">
        <f>_xlfn.IFNA(VLOOKUP(Sheet1!$C154,MAC_PHYLO!A:C,3,FALSE),"-")</f>
        <v>-</v>
      </c>
      <c r="AQ154" t="str">
        <f>_xlfn.IFNA(VLOOKUP(Sheet1!$C154,ConStruct!A:C,3,FALSE),"-")</f>
        <v>-</v>
      </c>
      <c r="AR154" t="str">
        <f>_xlfn.IFNA(VLOOKUP(Sheet1!$C154,GEA!A:C,3,FALSE),"-")</f>
        <v>-</v>
      </c>
      <c r="AS154" t="str">
        <f>_xlfn.IFNA(VLOOKUP(Sheet1!$C154,MAC_DSUITE!A:D,3,FALSE),"-")</f>
        <v>-</v>
      </c>
      <c r="AT154" t="str">
        <f>_xlfn.IFNA(VLOOKUP(Sheet1!$C154,MONG_DSUITE!A:E,2,FALSE),"-")</f>
        <v>xxx</v>
      </c>
      <c r="AU154" t="str">
        <f>_xlfn.IFNA(VLOOKUP(Sheet1!$C154,MAC_PAINT2!A:D,4,FALSE),"-")</f>
        <v>-</v>
      </c>
    </row>
    <row r="155" spans="1:49" customFormat="1" x14ac:dyDescent="0.4">
      <c r="A155">
        <v>3606</v>
      </c>
      <c r="B155" t="s">
        <v>1961</v>
      </c>
      <c r="C155" t="s">
        <v>1962</v>
      </c>
      <c r="D155" t="str">
        <f>_xlfn.CONCAT(C155,".bam")</f>
        <v>SYST-MOR-0006843.bam</v>
      </c>
      <c r="E155" t="s">
        <v>1963</v>
      </c>
      <c r="F155" t="s">
        <v>2457</v>
      </c>
      <c r="G155" t="s">
        <v>2458</v>
      </c>
      <c r="H155" t="s">
        <v>2522</v>
      </c>
      <c r="I155" t="s">
        <v>1084</v>
      </c>
      <c r="K155" t="s">
        <v>84</v>
      </c>
      <c r="L155" t="s">
        <v>84</v>
      </c>
      <c r="N155" t="s">
        <v>84</v>
      </c>
      <c r="P155" t="s">
        <v>113</v>
      </c>
      <c r="Q155" t="s">
        <v>85</v>
      </c>
      <c r="R155" t="s">
        <v>2600</v>
      </c>
      <c r="S155" s="1">
        <v>44736</v>
      </c>
      <c r="T155" t="s">
        <v>33</v>
      </c>
      <c r="U155" t="s">
        <v>34</v>
      </c>
      <c r="V155" s="1">
        <v>44738</v>
      </c>
      <c r="W155" t="s">
        <v>35</v>
      </c>
      <c r="X155" t="s">
        <v>1082</v>
      </c>
      <c r="Y155" t="s">
        <v>1083</v>
      </c>
      <c r="Z155" t="s">
        <v>38</v>
      </c>
      <c r="AA155" t="s">
        <v>1084</v>
      </c>
      <c r="AD155" t="s">
        <v>84</v>
      </c>
      <c r="AE155">
        <v>35.435383000000002</v>
      </c>
      <c r="AF155">
        <v>-98.354130999999995</v>
      </c>
      <c r="AG155" t="s">
        <v>40</v>
      </c>
      <c r="AH155" t="s">
        <v>41</v>
      </c>
      <c r="AI155">
        <v>35.4353223572</v>
      </c>
      <c r="AJ155">
        <v>-98.354035973799995</v>
      </c>
      <c r="AK155">
        <v>-6.0642800001176056E-5</v>
      </c>
      <c r="AL155">
        <v>9.5026200000347671E-5</v>
      </c>
      <c r="AM155" t="str">
        <f>_xlfn.IFNA(VLOOKUP(Sheet1!$C155,ADMIX_ALL!A:B,2,FALSE),"none")</f>
        <v>K6-18</v>
      </c>
      <c r="AN155" t="str">
        <f>_xlfn.IFNA(VLOOKUP(Sheet1!C155,ADMIX_SS!A:B,2,FALSE),"none")</f>
        <v>SubSample</v>
      </c>
      <c r="AO155" t="str">
        <f>_xlfn.IFNA(VLOOKUP(Sheet1!$C155,MONG_PHYLO!A:C,3,FALSE),"-")</f>
        <v>-</v>
      </c>
      <c r="AP155" t="str">
        <f>_xlfn.IFNA(VLOOKUP(Sheet1!$C155,MAC_PHYLO!A:C,3,FALSE),"-")</f>
        <v>-</v>
      </c>
      <c r="AQ155" t="str">
        <f>_xlfn.IFNA(VLOOKUP(Sheet1!$C155,ConStruct!A:C,3,FALSE),"-")</f>
        <v>-</v>
      </c>
      <c r="AR155" t="str">
        <f>_xlfn.IFNA(VLOOKUP(Sheet1!$C155,GEA!A:C,3,FALSE),"-")</f>
        <v>-</v>
      </c>
      <c r="AS155" t="str">
        <f>_xlfn.IFNA(VLOOKUP(Sheet1!$C155,MAC_DSUITE!A:D,3,FALSE),"-")</f>
        <v>-</v>
      </c>
      <c r="AT155" t="str">
        <f>_xlfn.IFNA(VLOOKUP(Sheet1!$C155,MONG_DSUITE!A:E,2,FALSE),"-")</f>
        <v>xxx</v>
      </c>
      <c r="AU155" t="str">
        <f>_xlfn.IFNA(VLOOKUP(Sheet1!$C155,MAC_PAINT2!A:D,4,FALSE),"-")</f>
        <v>-</v>
      </c>
    </row>
    <row r="156" spans="1:49" customFormat="1" x14ac:dyDescent="0.4">
      <c r="A156">
        <v>3607</v>
      </c>
      <c r="B156" t="s">
        <v>1964</v>
      </c>
      <c r="C156" t="s">
        <v>1965</v>
      </c>
      <c r="D156" t="str">
        <f>_xlfn.CONCAT(C156,".bam")</f>
        <v>SYST-MOR-0006844.bam</v>
      </c>
      <c r="E156" t="s">
        <v>1966</v>
      </c>
      <c r="F156" t="s">
        <v>2457</v>
      </c>
      <c r="G156" t="s">
        <v>2458</v>
      </c>
      <c r="H156" t="s">
        <v>2522</v>
      </c>
      <c r="I156" t="s">
        <v>1084</v>
      </c>
      <c r="K156" t="s">
        <v>45</v>
      </c>
      <c r="L156" t="s">
        <v>45</v>
      </c>
      <c r="N156" t="s">
        <v>45</v>
      </c>
      <c r="P156" t="s">
        <v>113</v>
      </c>
      <c r="Q156" t="s">
        <v>46</v>
      </c>
      <c r="R156" t="s">
        <v>2597</v>
      </c>
      <c r="S156" s="1">
        <v>44736</v>
      </c>
      <c r="T156" t="s">
        <v>33</v>
      </c>
      <c r="U156" t="s">
        <v>34</v>
      </c>
      <c r="V156" s="1">
        <v>44738</v>
      </c>
      <c r="W156" t="s">
        <v>35</v>
      </c>
      <c r="X156" t="s">
        <v>1082</v>
      </c>
      <c r="Y156" t="s">
        <v>1083</v>
      </c>
      <c r="Z156" t="s">
        <v>38</v>
      </c>
      <c r="AA156" t="s">
        <v>1084</v>
      </c>
      <c r="AD156" t="s">
        <v>45</v>
      </c>
      <c r="AE156">
        <v>35.435378</v>
      </c>
      <c r="AF156">
        <v>-98.354117000000002</v>
      </c>
      <c r="AG156" t="s">
        <v>40</v>
      </c>
      <c r="AH156" t="s">
        <v>41</v>
      </c>
      <c r="AI156">
        <v>35.435357116900001</v>
      </c>
      <c r="AJ156">
        <v>-98.354053610799994</v>
      </c>
      <c r="AK156">
        <v>-2.0883099999480237E-5</v>
      </c>
      <c r="AL156">
        <v>6.3389200008145963E-5</v>
      </c>
      <c r="AM156" t="str">
        <f>_xlfn.IFNA(VLOOKUP(Sheet1!$C156,ADMIX_ALL!A:B,2,FALSE),"none")</f>
        <v>K6-18</v>
      </c>
      <c r="AN156" t="str">
        <f>_xlfn.IFNA(VLOOKUP(Sheet1!C156,ADMIX_SS!A:B,2,FALSE),"none")</f>
        <v>SubSample</v>
      </c>
      <c r="AO156" t="str">
        <f>_xlfn.IFNA(VLOOKUP(Sheet1!$C156,MONG_PHYLO!A:C,3,FALSE),"-")</f>
        <v>-</v>
      </c>
      <c r="AP156" t="str">
        <f>_xlfn.IFNA(VLOOKUP(Sheet1!$C156,MAC_PHYLO!A:C,3,FALSE),"-")</f>
        <v>-</v>
      </c>
      <c r="AQ156" t="str">
        <f>_xlfn.IFNA(VLOOKUP(Sheet1!$C156,ConStruct!A:C,3,FALSE),"-")</f>
        <v>ConStruct</v>
      </c>
      <c r="AR156" t="str">
        <f>_xlfn.IFNA(VLOOKUP(Sheet1!$C156,GEA!A:C,3,FALSE),"-")</f>
        <v>GEA</v>
      </c>
      <c r="AS156" t="str">
        <f>_xlfn.IFNA(VLOOKUP(Sheet1!$C156,MAC_DSUITE!A:D,3,FALSE),"-")</f>
        <v>mac_OK_RRC</v>
      </c>
      <c r="AT156" t="str">
        <f>_xlfn.IFNA(VLOOKUP(Sheet1!$C156,MONG_DSUITE!A:E,2,FALSE),"-")</f>
        <v>macrocarpa_RRC</v>
      </c>
      <c r="AU156" t="str">
        <f>_xlfn.IFNA(VLOOKUP(Sheet1!$C156,MAC_PAINT2!A:D,4,FALSE),"-")</f>
        <v>macpaint</v>
      </c>
      <c r="AV156" t="s">
        <v>9193</v>
      </c>
      <c r="AW156" t="s">
        <v>9193</v>
      </c>
    </row>
    <row r="157" spans="1:49" customFormat="1" x14ac:dyDescent="0.4">
      <c r="A157">
        <v>3608</v>
      </c>
      <c r="B157" t="s">
        <v>1967</v>
      </c>
      <c r="C157" t="s">
        <v>1968</v>
      </c>
      <c r="D157" t="str">
        <f>_xlfn.CONCAT(C157,".bam")</f>
        <v>SYST-MOR-0006845.bam</v>
      </c>
      <c r="E157" t="s">
        <v>1969</v>
      </c>
      <c r="F157" t="s">
        <v>2457</v>
      </c>
      <c r="G157" t="s">
        <v>2458</v>
      </c>
      <c r="H157" t="s">
        <v>2522</v>
      </c>
      <c r="I157" t="s">
        <v>1084</v>
      </c>
      <c r="K157" t="s">
        <v>1079</v>
      </c>
      <c r="L157" t="s">
        <v>1079</v>
      </c>
      <c r="M157" t="s">
        <v>1079</v>
      </c>
      <c r="N157" t="s">
        <v>1080</v>
      </c>
      <c r="P157" t="s">
        <v>113</v>
      </c>
      <c r="Q157" t="s">
        <v>1081</v>
      </c>
      <c r="R157" t="s">
        <v>2598</v>
      </c>
      <c r="S157" s="1">
        <v>44736</v>
      </c>
      <c r="T157" t="s">
        <v>33</v>
      </c>
      <c r="U157" t="s">
        <v>34</v>
      </c>
      <c r="V157" s="1">
        <v>44738</v>
      </c>
      <c r="W157" t="s">
        <v>35</v>
      </c>
      <c r="X157" t="s">
        <v>1082</v>
      </c>
      <c r="Y157" t="s">
        <v>1083</v>
      </c>
      <c r="Z157" t="s">
        <v>38</v>
      </c>
      <c r="AA157" t="s">
        <v>1084</v>
      </c>
      <c r="AD157" t="s">
        <v>1085</v>
      </c>
      <c r="AE157">
        <v>35.435200000000002</v>
      </c>
      <c r="AF157">
        <v>-98.353772000000006</v>
      </c>
      <c r="AG157" t="s">
        <v>40</v>
      </c>
      <c r="AH157" t="s">
        <v>41</v>
      </c>
      <c r="AI157">
        <v>35.435280161900003</v>
      </c>
      <c r="AJ157">
        <v>-98.353939214799993</v>
      </c>
      <c r="AK157">
        <v>8.0161900001485265E-5</v>
      </c>
      <c r="AL157">
        <v>-1.6721479998693667E-4</v>
      </c>
      <c r="AM157" t="str">
        <f>_xlfn.IFNA(VLOOKUP(Sheet1!$C157,ADMIX_ALL!A:B,2,FALSE),"none")</f>
        <v>K6-18</v>
      </c>
      <c r="AN157" t="str">
        <f>_xlfn.IFNA(VLOOKUP(Sheet1!C157,ADMIX_SS!A:B,2,FALSE),"none")</f>
        <v>SubSample</v>
      </c>
      <c r="AO157" t="str">
        <f>_xlfn.IFNA(VLOOKUP(Sheet1!$C157,MONG_PHYLO!A:C,3,FALSE),"-")</f>
        <v>-</v>
      </c>
      <c r="AP157" t="str">
        <f>_xlfn.IFNA(VLOOKUP(Sheet1!$C157,MAC_PHYLO!A:C,3,FALSE),"-")</f>
        <v>mar</v>
      </c>
      <c r="AQ157" t="str">
        <f>_xlfn.IFNA(VLOOKUP(Sheet1!$C157,ConStruct!A:C,3,FALSE),"-")</f>
        <v>-</v>
      </c>
      <c r="AR157" t="str">
        <f>_xlfn.IFNA(VLOOKUP(Sheet1!$C157,GEA!A:C,3,FALSE),"-")</f>
        <v>-</v>
      </c>
      <c r="AS157" t="str">
        <f>_xlfn.IFNA(VLOOKUP(Sheet1!$C157,MAC_DSUITE!A:D,3,FALSE),"-")</f>
        <v>xxx</v>
      </c>
      <c r="AT157" t="str">
        <f>_xlfn.IFNA(VLOOKUP(Sheet1!$C157,MONG_DSUITE!A:E,2,FALSE),"-")</f>
        <v>xxx</v>
      </c>
      <c r="AU157" t="str">
        <f>_xlfn.IFNA(VLOOKUP(Sheet1!$C157,MAC_PAINT2!A:D,4,FALSE),"-")</f>
        <v>-</v>
      </c>
    </row>
    <row r="158" spans="1:49" customFormat="1" x14ac:dyDescent="0.4">
      <c r="A158">
        <v>3609</v>
      </c>
      <c r="B158" t="s">
        <v>1970</v>
      </c>
      <c r="C158" t="s">
        <v>1971</v>
      </c>
      <c r="D158" t="str">
        <f>_xlfn.CONCAT(C158,".bam")</f>
        <v>SYST-MOR-0006846.bam</v>
      </c>
      <c r="E158" t="s">
        <v>1972</v>
      </c>
      <c r="F158" t="s">
        <v>2457</v>
      </c>
      <c r="G158" t="s">
        <v>2458</v>
      </c>
      <c r="H158" t="s">
        <v>2522</v>
      </c>
      <c r="I158" t="s">
        <v>1084</v>
      </c>
      <c r="K158" t="s">
        <v>1079</v>
      </c>
      <c r="L158" t="s">
        <v>1079</v>
      </c>
      <c r="M158" t="s">
        <v>1079</v>
      </c>
      <c r="N158" t="s">
        <v>1080</v>
      </c>
      <c r="P158" t="s">
        <v>113</v>
      </c>
      <c r="Q158" t="s">
        <v>1081</v>
      </c>
      <c r="R158" t="s">
        <v>2598</v>
      </c>
      <c r="S158" s="1">
        <v>44736</v>
      </c>
      <c r="T158" t="s">
        <v>33</v>
      </c>
      <c r="U158" t="s">
        <v>34</v>
      </c>
      <c r="V158" s="1">
        <v>44738</v>
      </c>
      <c r="W158" t="s">
        <v>35</v>
      </c>
      <c r="X158" t="s">
        <v>1082</v>
      </c>
      <c r="Y158" t="s">
        <v>1083</v>
      </c>
      <c r="Z158" t="s">
        <v>38</v>
      </c>
      <c r="AA158" t="s">
        <v>1084</v>
      </c>
      <c r="AD158" t="s">
        <v>1085</v>
      </c>
      <c r="AE158">
        <v>35.435951000000003</v>
      </c>
      <c r="AF158">
        <v>-98.353643000000005</v>
      </c>
      <c r="AG158" t="s">
        <v>40</v>
      </c>
      <c r="AH158" t="s">
        <v>41</v>
      </c>
      <c r="AI158">
        <v>35.435963329000003</v>
      </c>
      <c r="AJ158">
        <v>-98.353500841300004</v>
      </c>
      <c r="AK158">
        <v>1.2329000000477208E-5</v>
      </c>
      <c r="AL158">
        <v>1.4215870000100495E-4</v>
      </c>
      <c r="AM158" t="str">
        <f>_xlfn.IFNA(VLOOKUP(Sheet1!$C158,ADMIX_ALL!A:B,2,FALSE),"none")</f>
        <v>K6-18</v>
      </c>
      <c r="AN158" t="str">
        <f>_xlfn.IFNA(VLOOKUP(Sheet1!C158,ADMIX_SS!A:B,2,FALSE),"none")</f>
        <v>SubSample</v>
      </c>
      <c r="AO158" t="str">
        <f>_xlfn.IFNA(VLOOKUP(Sheet1!$C158,MONG_PHYLO!A:C,3,FALSE),"-")</f>
        <v>-</v>
      </c>
      <c r="AP158" t="str">
        <f>_xlfn.IFNA(VLOOKUP(Sheet1!$C158,MAC_PHYLO!A:C,3,FALSE),"-")</f>
        <v>mar</v>
      </c>
      <c r="AQ158" t="str">
        <f>_xlfn.IFNA(VLOOKUP(Sheet1!$C158,ConStruct!A:C,3,FALSE),"-")</f>
        <v>-</v>
      </c>
      <c r="AR158" t="str">
        <f>_xlfn.IFNA(VLOOKUP(Sheet1!$C158,GEA!A:C,3,FALSE),"-")</f>
        <v>-</v>
      </c>
      <c r="AS158" t="str">
        <f>_xlfn.IFNA(VLOOKUP(Sheet1!$C158,MAC_DSUITE!A:D,3,FALSE),"-")</f>
        <v>xxx</v>
      </c>
      <c r="AT158" t="str">
        <f>_xlfn.IFNA(VLOOKUP(Sheet1!$C158,MONG_DSUITE!A:E,2,FALSE),"-")</f>
        <v>xxx</v>
      </c>
      <c r="AU158" t="str">
        <f>_xlfn.IFNA(VLOOKUP(Sheet1!$C158,MAC_PAINT2!A:D,4,FALSE),"-")</f>
        <v>-</v>
      </c>
    </row>
    <row r="159" spans="1:49" customFormat="1" x14ac:dyDescent="0.4">
      <c r="A159">
        <v>3610</v>
      </c>
      <c r="B159" t="s">
        <v>1973</v>
      </c>
      <c r="C159" t="s">
        <v>1974</v>
      </c>
      <c r="D159" t="str">
        <f>_xlfn.CONCAT(C159,".bam")</f>
        <v>SYST-MOR-0006847.bam</v>
      </c>
      <c r="E159" t="s">
        <v>1975</v>
      </c>
      <c r="F159" t="s">
        <v>2457</v>
      </c>
      <c r="G159" t="s">
        <v>2458</v>
      </c>
      <c r="H159" t="s">
        <v>2522</v>
      </c>
      <c r="I159" t="s">
        <v>1084</v>
      </c>
      <c r="K159" t="s">
        <v>1079</v>
      </c>
      <c r="L159" t="s">
        <v>1079</v>
      </c>
      <c r="M159" t="s">
        <v>1079</v>
      </c>
      <c r="N159" t="s">
        <v>50</v>
      </c>
      <c r="P159" t="s">
        <v>113</v>
      </c>
      <c r="Q159" t="s">
        <v>51</v>
      </c>
      <c r="R159" t="s">
        <v>2598</v>
      </c>
      <c r="S159" s="1">
        <v>44736</v>
      </c>
      <c r="T159" t="s">
        <v>33</v>
      </c>
      <c r="U159" t="s">
        <v>34</v>
      </c>
      <c r="V159" s="1">
        <v>44738</v>
      </c>
      <c r="W159" t="s">
        <v>35</v>
      </c>
      <c r="X159" t="s">
        <v>1082</v>
      </c>
      <c r="Y159" t="s">
        <v>1083</v>
      </c>
      <c r="Z159" t="s">
        <v>38</v>
      </c>
      <c r="AA159" t="s">
        <v>1084</v>
      </c>
      <c r="AD159" t="s">
        <v>50</v>
      </c>
      <c r="AE159">
        <v>35.43638</v>
      </c>
      <c r="AF159">
        <v>-98.353536000000005</v>
      </c>
      <c r="AG159" t="s">
        <v>40</v>
      </c>
      <c r="AH159" t="s">
        <v>41</v>
      </c>
      <c r="AI159">
        <v>35.436487567900002</v>
      </c>
      <c r="AJ159">
        <v>-98.353576499400006</v>
      </c>
      <c r="AK159">
        <v>1.0756790000243655E-4</v>
      </c>
      <c r="AL159">
        <v>-4.0499400000726382E-5</v>
      </c>
      <c r="AM159" t="str">
        <f>_xlfn.IFNA(VLOOKUP(Sheet1!$C159,ADMIX_ALL!A:B,2,FALSE),"none")</f>
        <v>K6-18</v>
      </c>
      <c r="AN159" t="str">
        <f>_xlfn.IFNA(VLOOKUP(Sheet1!C159,ADMIX_SS!A:B,2,FALSE),"none")</f>
        <v>SubSample</v>
      </c>
      <c r="AO159" t="str">
        <f>_xlfn.IFNA(VLOOKUP(Sheet1!$C159,MONG_PHYLO!A:C,3,FALSE),"-")</f>
        <v>-</v>
      </c>
      <c r="AP159" t="str">
        <f>_xlfn.IFNA(VLOOKUP(Sheet1!$C159,MAC_PHYLO!A:C,3,FALSE),"-")</f>
        <v>-</v>
      </c>
      <c r="AQ159" t="str">
        <f>_xlfn.IFNA(VLOOKUP(Sheet1!$C159,ConStruct!A:C,3,FALSE),"-")</f>
        <v>-</v>
      </c>
      <c r="AR159" t="str">
        <f>_xlfn.IFNA(VLOOKUP(Sheet1!$C159,GEA!A:C,3,FALSE),"-")</f>
        <v>-</v>
      </c>
      <c r="AS159" t="str">
        <f>_xlfn.IFNA(VLOOKUP(Sheet1!$C159,MAC_DSUITE!A:D,3,FALSE),"-")</f>
        <v>-</v>
      </c>
      <c r="AT159" t="str">
        <f>_xlfn.IFNA(VLOOKUP(Sheet1!$C159,MONG_DSUITE!A:E,2,FALSE),"-")</f>
        <v>xxx</v>
      </c>
      <c r="AU159" t="str">
        <f>_xlfn.IFNA(VLOOKUP(Sheet1!$C159,MAC_PAINT2!A:D,4,FALSE),"-")</f>
        <v>-</v>
      </c>
    </row>
    <row r="160" spans="1:49" customFormat="1" x14ac:dyDescent="0.4">
      <c r="A160">
        <v>3611</v>
      </c>
      <c r="B160" t="s">
        <v>1976</v>
      </c>
      <c r="C160" t="s">
        <v>1977</v>
      </c>
      <c r="D160" t="str">
        <f>_xlfn.CONCAT(C160,".bam")</f>
        <v>SYST-MOR-0006848.bam</v>
      </c>
      <c r="E160" t="s">
        <v>1978</v>
      </c>
      <c r="F160" t="s">
        <v>2457</v>
      </c>
      <c r="G160" t="s">
        <v>2458</v>
      </c>
      <c r="H160" t="s">
        <v>2522</v>
      </c>
      <c r="I160" t="s">
        <v>1084</v>
      </c>
      <c r="K160" t="s">
        <v>1079</v>
      </c>
      <c r="L160" t="s">
        <v>1079</v>
      </c>
      <c r="M160" t="s">
        <v>1079</v>
      </c>
      <c r="N160" t="s">
        <v>1080</v>
      </c>
      <c r="P160" t="s">
        <v>113</v>
      </c>
      <c r="Q160" t="s">
        <v>1081</v>
      </c>
      <c r="R160" t="s">
        <v>2598</v>
      </c>
      <c r="S160" s="1">
        <v>44736</v>
      </c>
      <c r="T160" t="s">
        <v>33</v>
      </c>
      <c r="U160" t="s">
        <v>34</v>
      </c>
      <c r="V160" s="1">
        <v>44738</v>
      </c>
      <c r="W160" t="s">
        <v>35</v>
      </c>
      <c r="X160" t="s">
        <v>1082</v>
      </c>
      <c r="Y160" t="s">
        <v>1083</v>
      </c>
      <c r="Z160" t="s">
        <v>38</v>
      </c>
      <c r="AA160" t="s">
        <v>1084</v>
      </c>
      <c r="AD160" t="s">
        <v>1085</v>
      </c>
      <c r="AE160">
        <v>35.436551999999999</v>
      </c>
      <c r="AF160">
        <v>-98.353515000000002</v>
      </c>
      <c r="AG160" t="s">
        <v>40</v>
      </c>
      <c r="AH160" t="s">
        <v>41</v>
      </c>
      <c r="AI160">
        <v>35.436494559300002</v>
      </c>
      <c r="AJ160">
        <v>-98.353529425800005</v>
      </c>
      <c r="AK160">
        <v>-5.7440699997357569E-5</v>
      </c>
      <c r="AL160">
        <v>-1.4425800003436962E-5</v>
      </c>
      <c r="AM160" t="str">
        <f>_xlfn.IFNA(VLOOKUP(Sheet1!$C160,ADMIX_ALL!A:B,2,FALSE),"none")</f>
        <v>K6-18</v>
      </c>
      <c r="AN160" t="str">
        <f>_xlfn.IFNA(VLOOKUP(Sheet1!C160,ADMIX_SS!A:B,2,FALSE),"none")</f>
        <v>SubSample</v>
      </c>
      <c r="AO160" t="str">
        <f>_xlfn.IFNA(VLOOKUP(Sheet1!$C160,MONG_PHYLO!A:C,3,FALSE),"-")</f>
        <v>-</v>
      </c>
      <c r="AP160" t="str">
        <f>_xlfn.IFNA(VLOOKUP(Sheet1!$C160,MAC_PHYLO!A:C,3,FALSE),"-")</f>
        <v>-</v>
      </c>
      <c r="AQ160" t="str">
        <f>_xlfn.IFNA(VLOOKUP(Sheet1!$C160,ConStruct!A:C,3,FALSE),"-")</f>
        <v>-</v>
      </c>
      <c r="AR160" t="str">
        <f>_xlfn.IFNA(VLOOKUP(Sheet1!$C160,GEA!A:C,3,FALSE),"-")</f>
        <v>-</v>
      </c>
      <c r="AS160" t="str">
        <f>_xlfn.IFNA(VLOOKUP(Sheet1!$C160,MAC_DSUITE!A:D,3,FALSE),"-")</f>
        <v>-</v>
      </c>
      <c r="AT160" t="str">
        <f>_xlfn.IFNA(VLOOKUP(Sheet1!$C160,MONG_DSUITE!A:E,2,FALSE),"-")</f>
        <v>xxx</v>
      </c>
      <c r="AU160" t="str">
        <f>_xlfn.IFNA(VLOOKUP(Sheet1!$C160,MAC_PAINT2!A:D,4,FALSE),"-")</f>
        <v>-</v>
      </c>
    </row>
    <row r="161" spans="1:49" customFormat="1" x14ac:dyDescent="0.4">
      <c r="A161">
        <v>3612</v>
      </c>
      <c r="B161" t="s">
        <v>1979</v>
      </c>
      <c r="C161" t="s">
        <v>1980</v>
      </c>
      <c r="D161" t="str">
        <f>_xlfn.CONCAT(C161,".bam")</f>
        <v>SYST-MOR-0006849.bam</v>
      </c>
      <c r="E161" t="s">
        <v>1981</v>
      </c>
      <c r="F161" t="s">
        <v>2457</v>
      </c>
      <c r="G161" t="s">
        <v>2458</v>
      </c>
      <c r="H161" t="s">
        <v>2522</v>
      </c>
      <c r="I161" t="s">
        <v>1084</v>
      </c>
      <c r="K161" t="s">
        <v>84</v>
      </c>
      <c r="L161" t="s">
        <v>84</v>
      </c>
      <c r="N161" t="s">
        <v>84</v>
      </c>
      <c r="P161" t="s">
        <v>113</v>
      </c>
      <c r="Q161" t="s">
        <v>85</v>
      </c>
      <c r="R161" t="s">
        <v>2600</v>
      </c>
      <c r="S161" s="1">
        <v>44736</v>
      </c>
      <c r="T161" t="s">
        <v>33</v>
      </c>
      <c r="U161" t="s">
        <v>34</v>
      </c>
      <c r="V161" s="1">
        <v>44738</v>
      </c>
      <c r="W161" t="s">
        <v>35</v>
      </c>
      <c r="X161" t="s">
        <v>1082</v>
      </c>
      <c r="Y161" t="s">
        <v>1083</v>
      </c>
      <c r="Z161" t="s">
        <v>38</v>
      </c>
      <c r="AA161" t="s">
        <v>1084</v>
      </c>
      <c r="AD161" t="s">
        <v>84</v>
      </c>
      <c r="AE161">
        <v>35.436537999999999</v>
      </c>
      <c r="AF161">
        <v>-98.353515000000002</v>
      </c>
      <c r="AG161" t="s">
        <v>40</v>
      </c>
      <c r="AH161" t="s">
        <v>41</v>
      </c>
      <c r="AI161">
        <v>35.436551151800003</v>
      </c>
      <c r="AJ161">
        <v>-98.353543421300003</v>
      </c>
      <c r="AK161">
        <v>1.3151800004607139E-5</v>
      </c>
      <c r="AL161">
        <v>-2.8421300001468808E-5</v>
      </c>
      <c r="AM161" t="str">
        <f>_xlfn.IFNA(VLOOKUP(Sheet1!$C161,ADMIX_ALL!A:B,2,FALSE),"none")</f>
        <v>K6-18</v>
      </c>
      <c r="AN161" t="str">
        <f>_xlfn.IFNA(VLOOKUP(Sheet1!C161,ADMIX_SS!A:B,2,FALSE),"none")</f>
        <v>SubSample</v>
      </c>
      <c r="AO161" t="str">
        <f>_xlfn.IFNA(VLOOKUP(Sheet1!$C161,MONG_PHYLO!A:C,3,FALSE),"-")</f>
        <v>-</v>
      </c>
      <c r="AP161" t="str">
        <f>_xlfn.IFNA(VLOOKUP(Sheet1!$C161,MAC_PHYLO!A:C,3,FALSE),"-")</f>
        <v>-</v>
      </c>
      <c r="AQ161" t="str">
        <f>_xlfn.IFNA(VLOOKUP(Sheet1!$C161,ConStruct!A:C,3,FALSE),"-")</f>
        <v>-</v>
      </c>
      <c r="AR161" t="str">
        <f>_xlfn.IFNA(VLOOKUP(Sheet1!$C161,GEA!A:C,3,FALSE),"-")</f>
        <v>-</v>
      </c>
      <c r="AS161" t="str">
        <f>_xlfn.IFNA(VLOOKUP(Sheet1!$C161,MAC_DSUITE!A:D,3,FALSE),"-")</f>
        <v>-</v>
      </c>
      <c r="AT161" t="str">
        <f>_xlfn.IFNA(VLOOKUP(Sheet1!$C161,MONG_DSUITE!A:E,2,FALSE),"-")</f>
        <v>xxx</v>
      </c>
      <c r="AU161" t="str">
        <f>_xlfn.IFNA(VLOOKUP(Sheet1!$C161,MAC_PAINT2!A:D,4,FALSE),"-")</f>
        <v>-</v>
      </c>
    </row>
    <row r="162" spans="1:49" customFormat="1" x14ac:dyDescent="0.4">
      <c r="A162">
        <v>3613</v>
      </c>
      <c r="B162" t="s">
        <v>1982</v>
      </c>
      <c r="C162" t="s">
        <v>1983</v>
      </c>
      <c r="D162" t="str">
        <f>_xlfn.CONCAT(C162,".bam")</f>
        <v>SYST-MOR-0006850.bam</v>
      </c>
      <c r="E162" t="s">
        <v>1984</v>
      </c>
      <c r="F162" t="s">
        <v>2457</v>
      </c>
      <c r="G162" t="s">
        <v>2458</v>
      </c>
      <c r="H162" t="s">
        <v>2522</v>
      </c>
      <c r="I162" t="s">
        <v>1084</v>
      </c>
      <c r="K162" t="s">
        <v>84</v>
      </c>
      <c r="L162" t="s">
        <v>84</v>
      </c>
      <c r="N162" t="s">
        <v>84</v>
      </c>
      <c r="P162" t="s">
        <v>113</v>
      </c>
      <c r="Q162" t="s">
        <v>85</v>
      </c>
      <c r="R162" t="s">
        <v>2600</v>
      </c>
      <c r="S162" s="1">
        <v>44736</v>
      </c>
      <c r="T162" t="s">
        <v>33</v>
      </c>
      <c r="U162" t="s">
        <v>34</v>
      </c>
      <c r="V162" s="1">
        <v>44738</v>
      </c>
      <c r="W162" t="s">
        <v>35</v>
      </c>
      <c r="X162" t="s">
        <v>1082</v>
      </c>
      <c r="Y162" t="s">
        <v>1083</v>
      </c>
      <c r="Z162" t="s">
        <v>38</v>
      </c>
      <c r="AA162" t="s">
        <v>1084</v>
      </c>
      <c r="AD162" t="s">
        <v>84</v>
      </c>
      <c r="AE162">
        <v>35.436036999999999</v>
      </c>
      <c r="AF162">
        <v>-98.353943999999998</v>
      </c>
      <c r="AG162" t="s">
        <v>40</v>
      </c>
      <c r="AH162" t="s">
        <v>41</v>
      </c>
      <c r="AI162">
        <v>35.436082561500001</v>
      </c>
      <c r="AJ162">
        <v>-98.353718016399995</v>
      </c>
      <c r="AK162">
        <v>4.5561500002122557E-5</v>
      </c>
      <c r="AL162">
        <v>2.2598360000358753E-4</v>
      </c>
      <c r="AM162" t="str">
        <f>_xlfn.IFNA(VLOOKUP(Sheet1!$C162,ADMIX_ALL!A:B,2,FALSE),"none")</f>
        <v>K6-18</v>
      </c>
      <c r="AN162" t="str">
        <f>_xlfn.IFNA(VLOOKUP(Sheet1!C162,ADMIX_SS!A:B,2,FALSE),"none")</f>
        <v>SubSample</v>
      </c>
      <c r="AO162" t="str">
        <f>_xlfn.IFNA(VLOOKUP(Sheet1!$C162,MONG_PHYLO!A:C,3,FALSE),"-")</f>
        <v>-</v>
      </c>
      <c r="AP162" t="str">
        <f>_xlfn.IFNA(VLOOKUP(Sheet1!$C162,MAC_PHYLO!A:C,3,FALSE),"-")</f>
        <v>-</v>
      </c>
      <c r="AQ162" t="str">
        <f>_xlfn.IFNA(VLOOKUP(Sheet1!$C162,ConStruct!A:C,3,FALSE),"-")</f>
        <v>-</v>
      </c>
      <c r="AR162" t="str">
        <f>_xlfn.IFNA(VLOOKUP(Sheet1!$C162,GEA!A:C,3,FALSE),"-")</f>
        <v>-</v>
      </c>
      <c r="AS162" t="str">
        <f>_xlfn.IFNA(VLOOKUP(Sheet1!$C162,MAC_DSUITE!A:D,3,FALSE),"-")</f>
        <v>-</v>
      </c>
      <c r="AT162" t="str">
        <f>_xlfn.IFNA(VLOOKUP(Sheet1!$C162,MONG_DSUITE!A:E,2,FALSE),"-")</f>
        <v>xxx</v>
      </c>
      <c r="AU162" t="str">
        <f>_xlfn.IFNA(VLOOKUP(Sheet1!$C162,MAC_PAINT2!A:D,4,FALSE),"-")</f>
        <v>-</v>
      </c>
    </row>
    <row r="163" spans="1:49" customFormat="1" x14ac:dyDescent="0.4">
      <c r="A163">
        <v>3614</v>
      </c>
      <c r="B163" t="s">
        <v>1985</v>
      </c>
      <c r="C163" t="s">
        <v>1986</v>
      </c>
      <c r="D163" t="str">
        <f>_xlfn.CONCAT(C163,".bam")</f>
        <v>SYST-MOR-0006851.bam</v>
      </c>
      <c r="E163" t="s">
        <v>1987</v>
      </c>
      <c r="F163" t="s">
        <v>2457</v>
      </c>
      <c r="G163" t="s">
        <v>2458</v>
      </c>
      <c r="H163" t="s">
        <v>2522</v>
      </c>
      <c r="I163" t="s">
        <v>1084</v>
      </c>
      <c r="K163" t="s">
        <v>84</v>
      </c>
      <c r="L163" t="s">
        <v>84</v>
      </c>
      <c r="N163" t="s">
        <v>84</v>
      </c>
      <c r="P163" t="s">
        <v>113</v>
      </c>
      <c r="Q163" t="s">
        <v>85</v>
      </c>
      <c r="R163" t="s">
        <v>2600</v>
      </c>
      <c r="S163" s="1">
        <v>44736</v>
      </c>
      <c r="T163" t="s">
        <v>33</v>
      </c>
      <c r="U163" t="s">
        <v>34</v>
      </c>
      <c r="V163" s="1">
        <v>44738</v>
      </c>
      <c r="W163" t="s">
        <v>35</v>
      </c>
      <c r="X163" t="s">
        <v>1082</v>
      </c>
      <c r="Y163" t="s">
        <v>1083</v>
      </c>
      <c r="Z163" t="s">
        <v>38</v>
      </c>
      <c r="AA163" t="s">
        <v>1084</v>
      </c>
      <c r="AD163" t="s">
        <v>84</v>
      </c>
      <c r="AE163">
        <v>35.445520999999999</v>
      </c>
      <c r="AF163">
        <v>-98.353314999999995</v>
      </c>
      <c r="AG163" t="s">
        <v>40</v>
      </c>
      <c r="AH163" t="s">
        <v>41</v>
      </c>
      <c r="AI163">
        <v>35.445590615299999</v>
      </c>
      <c r="AJ163">
        <v>-98.352992646499999</v>
      </c>
      <c r="AK163">
        <v>6.9615299999270519E-5</v>
      </c>
      <c r="AL163">
        <v>3.2235349999609753E-4</v>
      </c>
      <c r="AM163" t="str">
        <f>_xlfn.IFNA(VLOOKUP(Sheet1!$C163,ADMIX_ALL!A:B,2,FALSE),"none")</f>
        <v>K6-18</v>
      </c>
      <c r="AN163" t="str">
        <f>_xlfn.IFNA(VLOOKUP(Sheet1!C163,ADMIX_SS!A:B,2,FALSE),"none")</f>
        <v>SubSample</v>
      </c>
      <c r="AO163" t="str">
        <f>_xlfn.IFNA(VLOOKUP(Sheet1!$C163,MONG_PHYLO!A:C,3,FALSE),"-")</f>
        <v>-</v>
      </c>
      <c r="AP163" t="str">
        <f>_xlfn.IFNA(VLOOKUP(Sheet1!$C163,MAC_PHYLO!A:C,3,FALSE),"-")</f>
        <v>-</v>
      </c>
      <c r="AQ163" t="str">
        <f>_xlfn.IFNA(VLOOKUP(Sheet1!$C163,ConStruct!A:C,3,FALSE),"-")</f>
        <v>-</v>
      </c>
      <c r="AR163" t="str">
        <f>_xlfn.IFNA(VLOOKUP(Sheet1!$C163,GEA!A:C,3,FALSE),"-")</f>
        <v>-</v>
      </c>
      <c r="AS163" t="str">
        <f>_xlfn.IFNA(VLOOKUP(Sheet1!$C163,MAC_DSUITE!A:D,3,FALSE),"-")</f>
        <v>-</v>
      </c>
      <c r="AT163" t="str">
        <f>_xlfn.IFNA(VLOOKUP(Sheet1!$C163,MONG_DSUITE!A:E,2,FALSE),"-")</f>
        <v>xxx</v>
      </c>
      <c r="AU163" t="str">
        <f>_xlfn.IFNA(VLOOKUP(Sheet1!$C163,MAC_PAINT2!A:D,4,FALSE),"-")</f>
        <v>-</v>
      </c>
    </row>
    <row r="164" spans="1:49" customFormat="1" x14ac:dyDescent="0.4">
      <c r="A164">
        <v>3615</v>
      </c>
      <c r="B164" t="s">
        <v>1988</v>
      </c>
      <c r="C164" t="s">
        <v>1989</v>
      </c>
      <c r="D164" t="str">
        <f>_xlfn.CONCAT(C164,".bam")</f>
        <v>SYST-MOR-0006852.bam</v>
      </c>
      <c r="E164" t="s">
        <v>1990</v>
      </c>
      <c r="F164" t="s">
        <v>2457</v>
      </c>
      <c r="G164" t="s">
        <v>2458</v>
      </c>
      <c r="H164" t="s">
        <v>2522</v>
      </c>
      <c r="I164" t="s">
        <v>1084</v>
      </c>
      <c r="K164" t="s">
        <v>45</v>
      </c>
      <c r="L164" t="s">
        <v>45</v>
      </c>
      <c r="N164" t="s">
        <v>45</v>
      </c>
      <c r="P164" t="s">
        <v>113</v>
      </c>
      <c r="Q164" t="s">
        <v>46</v>
      </c>
      <c r="R164" t="s">
        <v>2597</v>
      </c>
      <c r="S164" s="1">
        <v>44736</v>
      </c>
      <c r="T164" t="s">
        <v>33</v>
      </c>
      <c r="U164" t="s">
        <v>34</v>
      </c>
      <c r="V164" s="1">
        <v>44738</v>
      </c>
      <c r="W164" t="s">
        <v>35</v>
      </c>
      <c r="X164" t="s">
        <v>1082</v>
      </c>
      <c r="Y164" t="s">
        <v>1083</v>
      </c>
      <c r="Z164" t="s">
        <v>38</v>
      </c>
      <c r="AA164" t="s">
        <v>1084</v>
      </c>
      <c r="AD164" t="s">
        <v>45</v>
      </c>
      <c r="AE164">
        <v>35.450242000000003</v>
      </c>
      <c r="AF164">
        <v>-98.352763999999993</v>
      </c>
      <c r="AG164" t="s">
        <v>40</v>
      </c>
      <c r="AH164" t="s">
        <v>41</v>
      </c>
      <c r="AI164">
        <v>35.450217509700003</v>
      </c>
      <c r="AJ164">
        <v>-98.352778572700004</v>
      </c>
      <c r="AK164">
        <v>-2.4490299999513354E-5</v>
      </c>
      <c r="AL164">
        <v>-1.4572700010262452E-5</v>
      </c>
      <c r="AM164" t="str">
        <f>_xlfn.IFNA(VLOOKUP(Sheet1!$C164,ADMIX_ALL!A:B,2,FALSE),"none")</f>
        <v>K6-18</v>
      </c>
      <c r="AN164" t="str">
        <f>_xlfn.IFNA(VLOOKUP(Sheet1!C164,ADMIX_SS!A:B,2,FALSE),"none")</f>
        <v>SubSample</v>
      </c>
      <c r="AO164" t="str">
        <f>_xlfn.IFNA(VLOOKUP(Sheet1!$C164,MONG_PHYLO!A:C,3,FALSE),"-")</f>
        <v>-</v>
      </c>
      <c r="AP164" t="str">
        <f>_xlfn.IFNA(VLOOKUP(Sheet1!$C164,MAC_PHYLO!A:C,3,FALSE),"-")</f>
        <v>-</v>
      </c>
      <c r="AQ164" t="str">
        <f>_xlfn.IFNA(VLOOKUP(Sheet1!$C164,ConStruct!A:C,3,FALSE),"-")</f>
        <v>ConStruct</v>
      </c>
      <c r="AR164" t="str">
        <f>_xlfn.IFNA(VLOOKUP(Sheet1!$C164,GEA!A:C,3,FALSE),"-")</f>
        <v>GEA</v>
      </c>
      <c r="AS164" t="str">
        <f>_xlfn.IFNA(VLOOKUP(Sheet1!$C164,MAC_DSUITE!A:D,3,FALSE),"-")</f>
        <v>mac_OK_RRC</v>
      </c>
      <c r="AT164" t="str">
        <f>_xlfn.IFNA(VLOOKUP(Sheet1!$C164,MONG_DSUITE!A:E,2,FALSE),"-")</f>
        <v>macrocarpa_RRC</v>
      </c>
      <c r="AU164" t="str">
        <f>_xlfn.IFNA(VLOOKUP(Sheet1!$C164,MAC_PAINT2!A:D,4,FALSE),"-")</f>
        <v>macpaint</v>
      </c>
      <c r="AV164" t="s">
        <v>9193</v>
      </c>
      <c r="AW164" t="s">
        <v>9193</v>
      </c>
    </row>
    <row r="165" spans="1:49" customFormat="1" x14ac:dyDescent="0.4">
      <c r="A165">
        <v>3616</v>
      </c>
      <c r="B165" t="s">
        <v>1991</v>
      </c>
      <c r="C165" t="s">
        <v>1992</v>
      </c>
      <c r="D165" t="str">
        <f>_xlfn.CONCAT(C165,".bam")</f>
        <v>SYST-MOR-0006853.bam</v>
      </c>
      <c r="E165" t="s">
        <v>1993</v>
      </c>
      <c r="F165" t="s">
        <v>2457</v>
      </c>
      <c r="G165" t="s">
        <v>2458</v>
      </c>
      <c r="H165" t="s">
        <v>2522</v>
      </c>
      <c r="I165" t="s">
        <v>1084</v>
      </c>
      <c r="K165" t="s">
        <v>45</v>
      </c>
      <c r="L165" t="s">
        <v>45</v>
      </c>
      <c r="N165" t="s">
        <v>45</v>
      </c>
      <c r="P165" t="s">
        <v>113</v>
      </c>
      <c r="Q165" t="s">
        <v>46</v>
      </c>
      <c r="R165" t="s">
        <v>2597</v>
      </c>
      <c r="S165" s="1">
        <v>44736</v>
      </c>
      <c r="T165" t="s">
        <v>33</v>
      </c>
      <c r="U165" t="s">
        <v>34</v>
      </c>
      <c r="V165" s="1">
        <v>44738</v>
      </c>
      <c r="W165" t="s">
        <v>35</v>
      </c>
      <c r="X165" t="s">
        <v>1082</v>
      </c>
      <c r="Y165" t="s">
        <v>1083</v>
      </c>
      <c r="Z165" t="s">
        <v>38</v>
      </c>
      <c r="AA165" t="s">
        <v>1084</v>
      </c>
      <c r="AD165" t="s">
        <v>45</v>
      </c>
      <c r="AE165">
        <v>35.456636000000003</v>
      </c>
      <c r="AF165">
        <v>-98.354330000000004</v>
      </c>
      <c r="AG165" t="s">
        <v>40</v>
      </c>
      <c r="AH165" t="s">
        <v>41</v>
      </c>
      <c r="AI165">
        <v>35.456729619800001</v>
      </c>
      <c r="AJ165">
        <v>-98.354410361600003</v>
      </c>
      <c r="AK165">
        <v>9.3619799997668451E-5</v>
      </c>
      <c r="AL165">
        <v>-8.0361599998468591E-5</v>
      </c>
      <c r="AM165" t="str">
        <f>_xlfn.IFNA(VLOOKUP(Sheet1!$C165,ADMIX_ALL!A:B,2,FALSE),"none")</f>
        <v>K6-18</v>
      </c>
      <c r="AN165" t="str">
        <f>_xlfn.IFNA(VLOOKUP(Sheet1!C165,ADMIX_SS!A:B,2,FALSE),"none")</f>
        <v>SubSample</v>
      </c>
      <c r="AO165" t="str">
        <f>_xlfn.IFNA(VLOOKUP(Sheet1!$C165,MONG_PHYLO!A:C,3,FALSE),"-")</f>
        <v>-</v>
      </c>
      <c r="AP165" t="str">
        <f>_xlfn.IFNA(VLOOKUP(Sheet1!$C165,MAC_PHYLO!A:C,3,FALSE),"-")</f>
        <v>-</v>
      </c>
      <c r="AQ165" t="str">
        <f>_xlfn.IFNA(VLOOKUP(Sheet1!$C165,ConStruct!A:C,3,FALSE),"-")</f>
        <v>ConStruct</v>
      </c>
      <c r="AR165" t="str">
        <f>_xlfn.IFNA(VLOOKUP(Sheet1!$C165,GEA!A:C,3,FALSE),"-")</f>
        <v>GEA</v>
      </c>
      <c r="AS165" t="str">
        <f>_xlfn.IFNA(VLOOKUP(Sheet1!$C165,MAC_DSUITE!A:D,3,FALSE),"-")</f>
        <v>mac_OK_RRC</v>
      </c>
      <c r="AT165" t="str">
        <f>_xlfn.IFNA(VLOOKUP(Sheet1!$C165,MONG_DSUITE!A:E,2,FALSE),"-")</f>
        <v>macrocarpa_RRC</v>
      </c>
      <c r="AU165" t="str">
        <f>_xlfn.IFNA(VLOOKUP(Sheet1!$C165,MAC_PAINT2!A:D,4,FALSE),"-")</f>
        <v>macpaint</v>
      </c>
      <c r="AV165" t="s">
        <v>9193</v>
      </c>
      <c r="AW165" t="s">
        <v>9193</v>
      </c>
    </row>
    <row r="166" spans="1:49" customFormat="1" x14ac:dyDescent="0.4">
      <c r="A166">
        <v>3617</v>
      </c>
      <c r="B166" t="s">
        <v>1994</v>
      </c>
      <c r="C166" t="s">
        <v>1995</v>
      </c>
      <c r="D166" t="str">
        <f>_xlfn.CONCAT(C166,".bam")</f>
        <v>SYST-MOR-0006854.bam</v>
      </c>
      <c r="E166" t="s">
        <v>1996</v>
      </c>
      <c r="F166" t="s">
        <v>2457</v>
      </c>
      <c r="G166" t="s">
        <v>2458</v>
      </c>
      <c r="H166" t="s">
        <v>2522</v>
      </c>
      <c r="I166" t="s">
        <v>1084</v>
      </c>
      <c r="K166" t="s">
        <v>45</v>
      </c>
      <c r="L166" t="s">
        <v>45</v>
      </c>
      <c r="N166" t="s">
        <v>45</v>
      </c>
      <c r="P166" t="s">
        <v>113</v>
      </c>
      <c r="Q166" t="s">
        <v>46</v>
      </c>
      <c r="R166" t="s">
        <v>2597</v>
      </c>
      <c r="S166" s="1">
        <v>44736</v>
      </c>
      <c r="T166" t="s">
        <v>33</v>
      </c>
      <c r="U166" t="s">
        <v>34</v>
      </c>
      <c r="V166" s="1">
        <v>44738</v>
      </c>
      <c r="W166" t="s">
        <v>35</v>
      </c>
      <c r="X166" t="s">
        <v>1082</v>
      </c>
      <c r="Y166" t="s">
        <v>1083</v>
      </c>
      <c r="Z166" t="s">
        <v>38</v>
      </c>
      <c r="AA166" t="s">
        <v>1084</v>
      </c>
      <c r="AD166" t="s">
        <v>45</v>
      </c>
      <c r="AE166">
        <v>35.457220999999997</v>
      </c>
      <c r="AF166">
        <v>-98.353656000000001</v>
      </c>
      <c r="AG166" t="s">
        <v>40</v>
      </c>
      <c r="AH166" t="s">
        <v>41</v>
      </c>
      <c r="AI166">
        <v>35.457398327999996</v>
      </c>
      <c r="AJ166">
        <v>-98.353754729100004</v>
      </c>
      <c r="AK166">
        <v>1.7732799999947702E-4</v>
      </c>
      <c r="AL166">
        <v>-9.8729100002969972E-5</v>
      </c>
      <c r="AM166" t="str">
        <f>_xlfn.IFNA(VLOOKUP(Sheet1!$C166,ADMIX_ALL!A:B,2,FALSE),"none")</f>
        <v>K6-18</v>
      </c>
      <c r="AN166" t="str">
        <f>_xlfn.IFNA(VLOOKUP(Sheet1!C166,ADMIX_SS!A:B,2,FALSE),"none")</f>
        <v>SubSample</v>
      </c>
      <c r="AO166" t="str">
        <f>_xlfn.IFNA(VLOOKUP(Sheet1!$C166,MONG_PHYLO!A:C,3,FALSE),"-")</f>
        <v>-</v>
      </c>
      <c r="AP166" t="str">
        <f>_xlfn.IFNA(VLOOKUP(Sheet1!$C166,MAC_PHYLO!A:C,3,FALSE),"-")</f>
        <v>-</v>
      </c>
      <c r="AQ166" t="str">
        <f>_xlfn.IFNA(VLOOKUP(Sheet1!$C166,ConStruct!A:C,3,FALSE),"-")</f>
        <v>ConStruct</v>
      </c>
      <c r="AR166" t="str">
        <f>_xlfn.IFNA(VLOOKUP(Sheet1!$C166,GEA!A:C,3,FALSE),"-")</f>
        <v>GEA</v>
      </c>
      <c r="AS166" t="str">
        <f>_xlfn.IFNA(VLOOKUP(Sheet1!$C166,MAC_DSUITE!A:D,3,FALSE),"-")</f>
        <v>mac_OK_RRC</v>
      </c>
      <c r="AT166" t="str">
        <f>_xlfn.IFNA(VLOOKUP(Sheet1!$C166,MONG_DSUITE!A:E,2,FALSE),"-")</f>
        <v>macrocarpa_RRC</v>
      </c>
      <c r="AU166" t="str">
        <f>_xlfn.IFNA(VLOOKUP(Sheet1!$C166,MAC_PAINT2!A:D,4,FALSE),"-")</f>
        <v>macpaint</v>
      </c>
      <c r="AV166" t="s">
        <v>9193</v>
      </c>
      <c r="AW166" t="s">
        <v>9193</v>
      </c>
    </row>
    <row r="167" spans="1:49" customFormat="1" x14ac:dyDescent="0.4">
      <c r="A167">
        <v>3618</v>
      </c>
      <c r="B167" t="s">
        <v>1997</v>
      </c>
      <c r="C167" t="s">
        <v>1998</v>
      </c>
      <c r="D167" t="str">
        <f>_xlfn.CONCAT(C167,".bam")</f>
        <v>SYST-MOR-0006855.bam</v>
      </c>
      <c r="E167" t="s">
        <v>1999</v>
      </c>
      <c r="F167" t="s">
        <v>2457</v>
      </c>
      <c r="G167" t="s">
        <v>2458</v>
      </c>
      <c r="H167" t="s">
        <v>2522</v>
      </c>
      <c r="I167" t="s">
        <v>1084</v>
      </c>
      <c r="K167" t="s">
        <v>8559</v>
      </c>
      <c r="L167" t="s">
        <v>45</v>
      </c>
      <c r="N167" t="s">
        <v>45</v>
      </c>
      <c r="P167" t="s">
        <v>113</v>
      </c>
      <c r="Q167" t="s">
        <v>46</v>
      </c>
      <c r="R167" t="s">
        <v>2597</v>
      </c>
      <c r="S167" s="1">
        <v>44736</v>
      </c>
      <c r="T167" t="s">
        <v>33</v>
      </c>
      <c r="U167" t="s">
        <v>34</v>
      </c>
      <c r="V167" s="1">
        <v>44738</v>
      </c>
      <c r="W167" t="s">
        <v>35</v>
      </c>
      <c r="X167" t="s">
        <v>1082</v>
      </c>
      <c r="Y167" t="s">
        <v>1083</v>
      </c>
      <c r="Z167" t="s">
        <v>38</v>
      </c>
      <c r="AA167" t="s">
        <v>1084</v>
      </c>
      <c r="AD167" t="s">
        <v>45</v>
      </c>
      <c r="AE167">
        <v>35.457323000000002</v>
      </c>
      <c r="AF167">
        <v>-98.352419999999995</v>
      </c>
      <c r="AG167" t="s">
        <v>40</v>
      </c>
      <c r="AH167" t="s">
        <v>41</v>
      </c>
      <c r="AI167">
        <v>35.457293721900001</v>
      </c>
      <c r="AJ167">
        <v>-98.352469364300006</v>
      </c>
      <c r="AK167">
        <v>-2.9278100001306484E-5</v>
      </c>
      <c r="AL167">
        <v>-4.9364300011234263E-5</v>
      </c>
      <c r="AM167" t="str">
        <f>_xlfn.IFNA(VLOOKUP(Sheet1!$C167,ADMIX_ALL!A:B,2,FALSE),"none")</f>
        <v>K6-18</v>
      </c>
      <c r="AN167" t="str">
        <f>_xlfn.IFNA(VLOOKUP(Sheet1!C167,ADMIX_SS!A:B,2,FALSE),"none")</f>
        <v>SubSample</v>
      </c>
      <c r="AO167" t="str">
        <f>_xlfn.IFNA(VLOOKUP(Sheet1!$C167,MONG_PHYLO!A:C,3,FALSE),"-")</f>
        <v>-</v>
      </c>
      <c r="AP167" t="str">
        <f>_xlfn.IFNA(VLOOKUP(Sheet1!$C167,MAC_PHYLO!A:C,3,FALSE),"-")</f>
        <v>-</v>
      </c>
      <c r="AQ167" t="str">
        <f>_xlfn.IFNA(VLOOKUP(Sheet1!$C167,ConStruct!A:C,3,FALSE),"-")</f>
        <v>ConStruct</v>
      </c>
      <c r="AR167" t="str">
        <f>_xlfn.IFNA(VLOOKUP(Sheet1!$C167,GEA!A:C,3,FALSE),"-")</f>
        <v>-</v>
      </c>
      <c r="AS167" t="str">
        <f>_xlfn.IFNA(VLOOKUP(Sheet1!$C167,MAC_DSUITE!A:D,3,FALSE),"-")</f>
        <v>-</v>
      </c>
      <c r="AT167" t="str">
        <f>_xlfn.IFNA(VLOOKUP(Sheet1!$C167,MONG_DSUITE!A:E,2,FALSE),"-")</f>
        <v>xxx</v>
      </c>
      <c r="AU167" t="str">
        <f>_xlfn.IFNA(VLOOKUP(Sheet1!$C167,MAC_PAINT2!A:D,4,FALSE),"-")</f>
        <v>-</v>
      </c>
      <c r="AV167" t="s">
        <v>9194</v>
      </c>
      <c r="AW167" t="s">
        <v>9198</v>
      </c>
    </row>
    <row r="168" spans="1:49" customFormat="1" x14ac:dyDescent="0.4">
      <c r="A168">
        <v>3619</v>
      </c>
      <c r="B168" t="s">
        <v>2000</v>
      </c>
      <c r="C168" t="s">
        <v>2001</v>
      </c>
      <c r="D168" t="str">
        <f>_xlfn.CONCAT(C168,".bam")</f>
        <v>SYST-MOR-0006856.bam</v>
      </c>
      <c r="E168" t="s">
        <v>2002</v>
      </c>
      <c r="F168" t="s">
        <v>2457</v>
      </c>
      <c r="G168" t="s">
        <v>2458</v>
      </c>
      <c r="H168" t="s">
        <v>2522</v>
      </c>
      <c r="I168" t="s">
        <v>1084</v>
      </c>
      <c r="K168" t="s">
        <v>1079</v>
      </c>
      <c r="L168" t="s">
        <v>1079</v>
      </c>
      <c r="M168" t="s">
        <v>1079</v>
      </c>
      <c r="N168" t="s">
        <v>50</v>
      </c>
      <c r="P168" t="s">
        <v>113</v>
      </c>
      <c r="Q168" t="s">
        <v>1457</v>
      </c>
      <c r="R168" t="s">
        <v>2598</v>
      </c>
      <c r="S168" s="1">
        <v>44736</v>
      </c>
      <c r="T168" t="s">
        <v>33</v>
      </c>
      <c r="U168" t="s">
        <v>34</v>
      </c>
      <c r="V168" s="1">
        <v>44738</v>
      </c>
      <c r="W168" t="s">
        <v>35</v>
      </c>
      <c r="X168" t="s">
        <v>1082</v>
      </c>
      <c r="Y168" t="s">
        <v>1083</v>
      </c>
      <c r="Z168" t="s">
        <v>38</v>
      </c>
      <c r="AA168" t="s">
        <v>1084</v>
      </c>
      <c r="AD168" t="s">
        <v>50</v>
      </c>
      <c r="AE168">
        <v>35.436058000000003</v>
      </c>
      <c r="AF168">
        <v>-98.355745999999996</v>
      </c>
      <c r="AG168" t="s">
        <v>40</v>
      </c>
      <c r="AH168" t="s">
        <v>41</v>
      </c>
      <c r="AI168">
        <v>35.435734876600002</v>
      </c>
      <c r="AJ168">
        <v>-98.355060294300003</v>
      </c>
      <c r="AK168">
        <v>-3.2312340000117956E-4</v>
      </c>
      <c r="AL168">
        <v>6.8570569999337749E-4</v>
      </c>
      <c r="AM168" t="str">
        <f>_xlfn.IFNA(VLOOKUP(Sheet1!$C168,ADMIX_ALL!A:B,2,FALSE),"none")</f>
        <v>K6-18</v>
      </c>
      <c r="AN168" t="str">
        <f>_xlfn.IFNA(VLOOKUP(Sheet1!C168,ADMIX_SS!A:B,2,FALSE),"none")</f>
        <v>SubSample</v>
      </c>
      <c r="AO168" t="str">
        <f>_xlfn.IFNA(VLOOKUP(Sheet1!$C168,MONG_PHYLO!A:C,3,FALSE),"-")</f>
        <v>-</v>
      </c>
      <c r="AP168" t="str">
        <f>_xlfn.IFNA(VLOOKUP(Sheet1!$C168,MAC_PHYLO!A:C,3,FALSE),"-")</f>
        <v>mar</v>
      </c>
      <c r="AQ168" t="str">
        <f>_xlfn.IFNA(VLOOKUP(Sheet1!$C168,ConStruct!A:C,3,FALSE),"-")</f>
        <v>-</v>
      </c>
      <c r="AR168" t="str">
        <f>_xlfn.IFNA(VLOOKUP(Sheet1!$C168,GEA!A:C,3,FALSE),"-")</f>
        <v>-</v>
      </c>
      <c r="AS168" t="str">
        <f>_xlfn.IFNA(VLOOKUP(Sheet1!$C168,MAC_DSUITE!A:D,3,FALSE),"-")</f>
        <v>xxx</v>
      </c>
      <c r="AT168" t="str">
        <f>_xlfn.IFNA(VLOOKUP(Sheet1!$C168,MONG_DSUITE!A:E,2,FALSE),"-")</f>
        <v>xxx</v>
      </c>
      <c r="AU168" t="str">
        <f>_xlfn.IFNA(VLOOKUP(Sheet1!$C168,MAC_PAINT2!A:D,4,FALSE),"-")</f>
        <v>-</v>
      </c>
    </row>
    <row r="169" spans="1:49" customFormat="1" x14ac:dyDescent="0.4">
      <c r="A169">
        <v>3620</v>
      </c>
      <c r="B169" t="s">
        <v>2003</v>
      </c>
      <c r="C169" t="s">
        <v>2004</v>
      </c>
      <c r="D169" t="str">
        <f>_xlfn.CONCAT(C169,".bam")</f>
        <v>SYST-MOR-0006857.bam</v>
      </c>
      <c r="E169" t="s">
        <v>2005</v>
      </c>
      <c r="F169" t="s">
        <v>2457</v>
      </c>
      <c r="G169" t="s">
        <v>2459</v>
      </c>
      <c r="H169" t="s">
        <v>2546</v>
      </c>
      <c r="I169" t="s">
        <v>2007</v>
      </c>
      <c r="K169" t="s">
        <v>45</v>
      </c>
      <c r="L169" t="s">
        <v>45</v>
      </c>
      <c r="N169" t="s">
        <v>45</v>
      </c>
      <c r="P169" t="s">
        <v>113</v>
      </c>
      <c r="Q169" t="s">
        <v>114</v>
      </c>
      <c r="R169" t="s">
        <v>2597</v>
      </c>
      <c r="S169" s="1">
        <v>44737</v>
      </c>
      <c r="T169" t="s">
        <v>33</v>
      </c>
      <c r="U169" t="s">
        <v>34</v>
      </c>
      <c r="V169" s="1">
        <v>44738</v>
      </c>
      <c r="W169" t="s">
        <v>35</v>
      </c>
      <c r="X169" t="s">
        <v>1082</v>
      </c>
      <c r="Y169" t="s">
        <v>2006</v>
      </c>
      <c r="Z169" t="s">
        <v>206</v>
      </c>
      <c r="AA169" t="s">
        <v>2007</v>
      </c>
      <c r="AD169" t="s">
        <v>45</v>
      </c>
      <c r="AE169">
        <v>36.845101</v>
      </c>
      <c r="AF169">
        <v>-96.426447999999993</v>
      </c>
      <c r="AG169" t="s">
        <v>40</v>
      </c>
      <c r="AH169" t="s">
        <v>41</v>
      </c>
      <c r="AI169">
        <v>36.845176499399997</v>
      </c>
      <c r="AJ169">
        <v>-96.426524520000001</v>
      </c>
      <c r="AK169">
        <v>7.5499399997625005E-5</v>
      </c>
      <c r="AL169">
        <v>-7.6520000007462841E-5</v>
      </c>
      <c r="AM169" t="str">
        <f>_xlfn.IFNA(VLOOKUP(Sheet1!$C169,ADMIX_ALL!A:B,2,FALSE),"none")</f>
        <v>K6-18</v>
      </c>
      <c r="AN169" t="str">
        <f>_xlfn.IFNA(VLOOKUP(Sheet1!C169,ADMIX_SS!A:B,2,FALSE),"none")</f>
        <v>SubSample</v>
      </c>
      <c r="AO169" t="str">
        <f>_xlfn.IFNA(VLOOKUP(Sheet1!$C169,MONG_PHYLO!A:C,3,FALSE),"-")</f>
        <v>-</v>
      </c>
      <c r="AP169" t="str">
        <f>_xlfn.IFNA(VLOOKUP(Sheet1!$C169,MAC_PHYLO!A:C,3,FALSE),"-")</f>
        <v>-</v>
      </c>
      <c r="AQ169" t="str">
        <f>_xlfn.IFNA(VLOOKUP(Sheet1!$C169,ConStruct!A:C,3,FALSE),"-")</f>
        <v>ConStruct</v>
      </c>
      <c r="AR169" t="str">
        <f>_xlfn.IFNA(VLOOKUP(Sheet1!$C169,GEA!A:C,3,FALSE),"-")</f>
        <v>GEA</v>
      </c>
      <c r="AS169" t="str">
        <f>_xlfn.IFNA(VLOOKUP(Sheet1!$C169,MAC_DSUITE!A:D,3,FALSE),"-")</f>
        <v>mac_OK_TGP</v>
      </c>
      <c r="AT169" t="str">
        <f>_xlfn.IFNA(VLOOKUP(Sheet1!$C169,MONG_DSUITE!A:E,2,FALSE),"-")</f>
        <v>macrocarpa_TGP</v>
      </c>
      <c r="AU169" t="str">
        <f>_xlfn.IFNA(VLOOKUP(Sheet1!$C169,MAC_PAINT2!A:D,4,FALSE),"-")</f>
        <v>macpaint</v>
      </c>
      <c r="AV169" t="s">
        <v>9193</v>
      </c>
      <c r="AW169" t="s">
        <v>9193</v>
      </c>
    </row>
    <row r="170" spans="1:49" customFormat="1" x14ac:dyDescent="0.4">
      <c r="A170">
        <v>3621</v>
      </c>
      <c r="B170" t="s">
        <v>2008</v>
      </c>
      <c r="C170" t="s">
        <v>2009</v>
      </c>
      <c r="D170" t="str">
        <f>_xlfn.CONCAT(C170,".bam")</f>
        <v>SYST-MOR-0006858.bam</v>
      </c>
      <c r="E170" t="s">
        <v>2010</v>
      </c>
      <c r="F170" t="s">
        <v>2457</v>
      </c>
      <c r="G170" t="s">
        <v>2459</v>
      </c>
      <c r="H170" t="s">
        <v>2546</v>
      </c>
      <c r="I170" t="s">
        <v>2007</v>
      </c>
      <c r="K170" t="s">
        <v>45</v>
      </c>
      <c r="L170" t="s">
        <v>45</v>
      </c>
      <c r="N170" t="s">
        <v>45</v>
      </c>
      <c r="P170" t="s">
        <v>113</v>
      </c>
      <c r="Q170" t="s">
        <v>46</v>
      </c>
      <c r="R170" t="s">
        <v>2597</v>
      </c>
      <c r="S170" s="1">
        <v>44737</v>
      </c>
      <c r="T170" t="s">
        <v>33</v>
      </c>
      <c r="U170" t="s">
        <v>34</v>
      </c>
      <c r="V170" s="1">
        <v>44738</v>
      </c>
      <c r="W170" t="s">
        <v>35</v>
      </c>
      <c r="X170" t="s">
        <v>1082</v>
      </c>
      <c r="Y170" t="s">
        <v>2006</v>
      </c>
      <c r="Z170" t="s">
        <v>206</v>
      </c>
      <c r="AA170" t="s">
        <v>2007</v>
      </c>
      <c r="AD170" t="s">
        <v>139</v>
      </c>
      <c r="AE170">
        <v>36.845784000000002</v>
      </c>
      <c r="AF170">
        <v>-96.426593999999994</v>
      </c>
      <c r="AG170" t="s">
        <v>40</v>
      </c>
      <c r="AH170" t="s">
        <v>41</v>
      </c>
      <c r="AI170">
        <v>36.845570619999997</v>
      </c>
      <c r="AJ170">
        <v>-96.426456959999996</v>
      </c>
      <c r="AK170">
        <v>-2.1338000000525881E-4</v>
      </c>
      <c r="AL170">
        <v>1.3703999999847838E-4</v>
      </c>
      <c r="AM170" t="str">
        <f>_xlfn.IFNA(VLOOKUP(Sheet1!$C170,ADMIX_ALL!A:B,2,FALSE),"none")</f>
        <v>K6-18</v>
      </c>
      <c r="AN170" t="str">
        <f>_xlfn.IFNA(VLOOKUP(Sheet1!C170,ADMIX_SS!A:B,2,FALSE),"none")</f>
        <v>SubSample</v>
      </c>
      <c r="AO170" t="str">
        <f>_xlfn.IFNA(VLOOKUP(Sheet1!$C170,MONG_PHYLO!A:C,3,FALSE),"-")</f>
        <v>-</v>
      </c>
      <c r="AP170" t="str">
        <f>_xlfn.IFNA(VLOOKUP(Sheet1!$C170,MAC_PHYLO!A:C,3,FALSE),"-")</f>
        <v>-</v>
      </c>
      <c r="AQ170" t="str">
        <f>_xlfn.IFNA(VLOOKUP(Sheet1!$C170,ConStruct!A:C,3,FALSE),"-")</f>
        <v>ConStruct</v>
      </c>
      <c r="AR170" t="str">
        <f>_xlfn.IFNA(VLOOKUP(Sheet1!$C170,GEA!A:C,3,FALSE),"-")</f>
        <v>GEA</v>
      </c>
      <c r="AS170" t="str">
        <f>_xlfn.IFNA(VLOOKUP(Sheet1!$C170,MAC_DSUITE!A:D,3,FALSE),"-")</f>
        <v>mac_OK_TGP</v>
      </c>
      <c r="AT170" t="str">
        <f>_xlfn.IFNA(VLOOKUP(Sheet1!$C170,MONG_DSUITE!A:E,2,FALSE),"-")</f>
        <v>macrocarpa_TGP</v>
      </c>
      <c r="AU170" t="str">
        <f>_xlfn.IFNA(VLOOKUP(Sheet1!$C170,MAC_PAINT2!A:D,4,FALSE),"-")</f>
        <v>macpaint</v>
      </c>
      <c r="AV170" t="s">
        <v>9193</v>
      </c>
      <c r="AW170" t="s">
        <v>9193</v>
      </c>
    </row>
    <row r="171" spans="1:49" customFormat="1" x14ac:dyDescent="0.4">
      <c r="A171">
        <v>3622</v>
      </c>
      <c r="B171" t="s">
        <v>2011</v>
      </c>
      <c r="C171" t="s">
        <v>2012</v>
      </c>
      <c r="D171" t="str">
        <f>_xlfn.CONCAT(C171,".bam")</f>
        <v>SYST-MOR-0006859.bam</v>
      </c>
      <c r="E171" t="s">
        <v>2013</v>
      </c>
      <c r="F171" t="s">
        <v>2457</v>
      </c>
      <c r="G171" t="s">
        <v>2459</v>
      </c>
      <c r="H171" t="s">
        <v>2546</v>
      </c>
      <c r="I171" t="s">
        <v>2007</v>
      </c>
      <c r="K171" t="s">
        <v>50</v>
      </c>
      <c r="L171" t="s">
        <v>50</v>
      </c>
      <c r="N171" t="s">
        <v>50</v>
      </c>
      <c r="P171" t="s">
        <v>113</v>
      </c>
      <c r="Q171" t="s">
        <v>51</v>
      </c>
      <c r="R171" t="s">
        <v>2598</v>
      </c>
      <c r="S171" s="1">
        <v>44737</v>
      </c>
      <c r="T171" t="s">
        <v>33</v>
      </c>
      <c r="U171" t="s">
        <v>34</v>
      </c>
      <c r="V171" s="1">
        <v>44738</v>
      </c>
      <c r="W171" t="s">
        <v>35</v>
      </c>
      <c r="X171" t="s">
        <v>1082</v>
      </c>
      <c r="Y171" t="s">
        <v>2006</v>
      </c>
      <c r="Z171" t="s">
        <v>206</v>
      </c>
      <c r="AA171" t="s">
        <v>2007</v>
      </c>
      <c r="AD171" t="s">
        <v>50</v>
      </c>
      <c r="AE171">
        <v>36.845564000000003</v>
      </c>
      <c r="AF171">
        <v>-96.428413000000006</v>
      </c>
      <c r="AG171" t="s">
        <v>40</v>
      </c>
      <c r="AH171" t="s">
        <v>41</v>
      </c>
      <c r="AI171">
        <v>36.845671346800003</v>
      </c>
      <c r="AJ171">
        <v>-96.428460404299997</v>
      </c>
      <c r="AK171">
        <v>1.0734680000012986E-4</v>
      </c>
      <c r="AL171">
        <v>-4.7404299991171683E-5</v>
      </c>
      <c r="AM171" t="str">
        <f>_xlfn.IFNA(VLOOKUP(Sheet1!$C171,ADMIX_ALL!A:B,2,FALSE),"none")</f>
        <v>K6-18</v>
      </c>
      <c r="AN171" t="str">
        <f>_xlfn.IFNA(VLOOKUP(Sheet1!C171,ADMIX_SS!A:B,2,FALSE),"none")</f>
        <v>SubSample</v>
      </c>
      <c r="AO171" t="str">
        <f>_xlfn.IFNA(VLOOKUP(Sheet1!$C171,MONG_PHYLO!A:C,3,FALSE),"-")</f>
        <v>-</v>
      </c>
      <c r="AP171" t="str">
        <f>_xlfn.IFNA(VLOOKUP(Sheet1!$C171,MAC_PHYLO!A:C,3,FALSE),"-")</f>
        <v>-</v>
      </c>
      <c r="AQ171" t="str">
        <f>_xlfn.IFNA(VLOOKUP(Sheet1!$C171,ConStruct!A:C,3,FALSE),"-")</f>
        <v>-</v>
      </c>
      <c r="AR171" t="str">
        <f>_xlfn.IFNA(VLOOKUP(Sheet1!$C171,GEA!A:C,3,FALSE),"-")</f>
        <v>-</v>
      </c>
      <c r="AS171" t="str">
        <f>_xlfn.IFNA(VLOOKUP(Sheet1!$C171,MAC_DSUITE!A:D,3,FALSE),"-")</f>
        <v>-</v>
      </c>
      <c r="AT171" t="str">
        <f>_xlfn.IFNA(VLOOKUP(Sheet1!$C171,MONG_DSUITE!A:E,2,FALSE),"-")</f>
        <v>xxx</v>
      </c>
      <c r="AU171" t="str">
        <f>_xlfn.IFNA(VLOOKUP(Sheet1!$C171,MAC_PAINT2!A:D,4,FALSE),"-")</f>
        <v>-</v>
      </c>
    </row>
    <row r="172" spans="1:49" customFormat="1" x14ac:dyDescent="0.4">
      <c r="A172">
        <v>3623</v>
      </c>
      <c r="B172" t="s">
        <v>2014</v>
      </c>
      <c r="C172" t="s">
        <v>2015</v>
      </c>
      <c r="D172" t="str">
        <f>_xlfn.CONCAT(C172,".bam")</f>
        <v>SYST-MOR-0006860.bam</v>
      </c>
      <c r="E172" t="s">
        <v>2016</v>
      </c>
      <c r="F172" t="s">
        <v>2457</v>
      </c>
      <c r="G172" t="s">
        <v>2459</v>
      </c>
      <c r="H172" t="s">
        <v>2546</v>
      </c>
      <c r="I172" t="s">
        <v>2007</v>
      </c>
      <c r="K172" t="s">
        <v>84</v>
      </c>
      <c r="L172" t="s">
        <v>84</v>
      </c>
      <c r="N172" t="s">
        <v>84</v>
      </c>
      <c r="P172" t="s">
        <v>113</v>
      </c>
      <c r="Q172" t="s">
        <v>85</v>
      </c>
      <c r="R172" t="s">
        <v>2600</v>
      </c>
      <c r="S172" s="1">
        <v>44737</v>
      </c>
      <c r="T172" t="s">
        <v>33</v>
      </c>
      <c r="U172" t="s">
        <v>34</v>
      </c>
      <c r="V172" s="1">
        <v>44738</v>
      </c>
      <c r="W172" t="s">
        <v>35</v>
      </c>
      <c r="X172" t="s">
        <v>1082</v>
      </c>
      <c r="Y172" t="s">
        <v>2006</v>
      </c>
      <c r="Z172" t="s">
        <v>206</v>
      </c>
      <c r="AA172" t="s">
        <v>2007</v>
      </c>
      <c r="AD172" t="s">
        <v>84</v>
      </c>
      <c r="AE172">
        <v>36.845779</v>
      </c>
      <c r="AF172">
        <v>-96.428591999999995</v>
      </c>
      <c r="AG172" t="s">
        <v>40</v>
      </c>
      <c r="AH172" t="s">
        <v>41</v>
      </c>
      <c r="AI172">
        <v>36.845844034099997</v>
      </c>
      <c r="AJ172">
        <v>-96.428687553900005</v>
      </c>
      <c r="AK172">
        <v>6.5034099996807981E-5</v>
      </c>
      <c r="AL172">
        <v>-9.5553900010258985E-5</v>
      </c>
      <c r="AM172" t="str">
        <f>_xlfn.IFNA(VLOOKUP(Sheet1!$C172,ADMIX_ALL!A:B,2,FALSE),"none")</f>
        <v>K6-18</v>
      </c>
      <c r="AN172" t="str">
        <f>_xlfn.IFNA(VLOOKUP(Sheet1!C172,ADMIX_SS!A:B,2,FALSE),"none")</f>
        <v>SubSample</v>
      </c>
      <c r="AO172" t="str">
        <f>_xlfn.IFNA(VLOOKUP(Sheet1!$C172,MONG_PHYLO!A:C,3,FALSE),"-")</f>
        <v>-</v>
      </c>
      <c r="AP172" t="str">
        <f>_xlfn.IFNA(VLOOKUP(Sheet1!$C172,MAC_PHYLO!A:C,3,FALSE),"-")</f>
        <v>-</v>
      </c>
      <c r="AQ172" t="str">
        <f>_xlfn.IFNA(VLOOKUP(Sheet1!$C172,ConStruct!A:C,3,FALSE),"-")</f>
        <v>-</v>
      </c>
      <c r="AR172" t="str">
        <f>_xlfn.IFNA(VLOOKUP(Sheet1!$C172,GEA!A:C,3,FALSE),"-")</f>
        <v>-</v>
      </c>
      <c r="AS172" t="str">
        <f>_xlfn.IFNA(VLOOKUP(Sheet1!$C172,MAC_DSUITE!A:D,3,FALSE),"-")</f>
        <v>-</v>
      </c>
      <c r="AT172" t="str">
        <f>_xlfn.IFNA(VLOOKUP(Sheet1!$C172,MONG_DSUITE!A:E,2,FALSE),"-")</f>
        <v>xxx</v>
      </c>
      <c r="AU172" t="str">
        <f>_xlfn.IFNA(VLOOKUP(Sheet1!$C172,MAC_PAINT2!A:D,4,FALSE),"-")</f>
        <v>-</v>
      </c>
    </row>
    <row r="173" spans="1:49" customFormat="1" x14ac:dyDescent="0.4">
      <c r="A173">
        <v>3624</v>
      </c>
      <c r="B173" t="s">
        <v>2017</v>
      </c>
      <c r="C173" t="s">
        <v>2018</v>
      </c>
      <c r="D173" t="str">
        <f>_xlfn.CONCAT(C173,".bam")</f>
        <v>SYST-MOR-0006861.bam</v>
      </c>
      <c r="E173" t="s">
        <v>2019</v>
      </c>
      <c r="F173" t="s">
        <v>2457</v>
      </c>
      <c r="G173" t="s">
        <v>2459</v>
      </c>
      <c r="H173" t="s">
        <v>2546</v>
      </c>
      <c r="I173" t="s">
        <v>2007</v>
      </c>
      <c r="K173" t="s">
        <v>45</v>
      </c>
      <c r="L173" t="s">
        <v>45</v>
      </c>
      <c r="N173" t="s">
        <v>45</v>
      </c>
      <c r="P173" t="s">
        <v>113</v>
      </c>
      <c r="Q173" t="s">
        <v>114</v>
      </c>
      <c r="R173" t="s">
        <v>2597</v>
      </c>
      <c r="S173" s="1">
        <v>44737</v>
      </c>
      <c r="T173" t="s">
        <v>33</v>
      </c>
      <c r="U173" t="s">
        <v>34</v>
      </c>
      <c r="V173" s="1">
        <v>44738</v>
      </c>
      <c r="W173" t="s">
        <v>35</v>
      </c>
      <c r="X173" t="s">
        <v>1082</v>
      </c>
      <c r="Y173" t="s">
        <v>2006</v>
      </c>
      <c r="Z173" t="s">
        <v>206</v>
      </c>
      <c r="AA173" t="s">
        <v>2007</v>
      </c>
      <c r="AD173" t="s">
        <v>139</v>
      </c>
      <c r="AE173">
        <v>36.846021999999998</v>
      </c>
      <c r="AF173">
        <v>-96.428747000000001</v>
      </c>
      <c r="AG173" t="s">
        <v>40</v>
      </c>
      <c r="AH173" t="s">
        <v>41</v>
      </c>
      <c r="AI173">
        <v>36.8458741281</v>
      </c>
      <c r="AJ173">
        <v>-96.428680275299996</v>
      </c>
      <c r="AK173">
        <v>-1.478718999976536E-4</v>
      </c>
      <c r="AL173">
        <v>6.6724700005238446E-5</v>
      </c>
      <c r="AM173" t="str">
        <f>_xlfn.IFNA(VLOOKUP(Sheet1!$C173,ADMIX_ALL!A:B,2,FALSE),"none")</f>
        <v>K6-18</v>
      </c>
      <c r="AN173" t="str">
        <f>_xlfn.IFNA(VLOOKUP(Sheet1!C173,ADMIX_SS!A:B,2,FALSE),"none")</f>
        <v>SubSample</v>
      </c>
      <c r="AO173" t="str">
        <f>_xlfn.IFNA(VLOOKUP(Sheet1!$C173,MONG_PHYLO!A:C,3,FALSE),"-")</f>
        <v>-</v>
      </c>
      <c r="AP173" t="str">
        <f>_xlfn.IFNA(VLOOKUP(Sheet1!$C173,MAC_PHYLO!A:C,3,FALSE),"-")</f>
        <v>-</v>
      </c>
      <c r="AQ173" t="str">
        <f>_xlfn.IFNA(VLOOKUP(Sheet1!$C173,ConStruct!A:C,3,FALSE),"-")</f>
        <v>ConStruct</v>
      </c>
      <c r="AR173" t="str">
        <f>_xlfn.IFNA(VLOOKUP(Sheet1!$C173,GEA!A:C,3,FALSE),"-")</f>
        <v>GEA</v>
      </c>
      <c r="AS173" t="str">
        <f>_xlfn.IFNA(VLOOKUP(Sheet1!$C173,MAC_DSUITE!A:D,3,FALSE),"-")</f>
        <v>mac_OK_TGP</v>
      </c>
      <c r="AT173" t="str">
        <f>_xlfn.IFNA(VLOOKUP(Sheet1!$C173,MONG_DSUITE!A:E,2,FALSE),"-")</f>
        <v>macrocarpa_TGP</v>
      </c>
      <c r="AU173" t="str">
        <f>_xlfn.IFNA(VLOOKUP(Sheet1!$C173,MAC_PAINT2!A:D,4,FALSE),"-")</f>
        <v>macpaint</v>
      </c>
      <c r="AV173" t="s">
        <v>9193</v>
      </c>
      <c r="AW173" t="s">
        <v>9193</v>
      </c>
    </row>
    <row r="174" spans="1:49" customFormat="1" x14ac:dyDescent="0.4">
      <c r="A174">
        <v>3625</v>
      </c>
      <c r="B174" t="s">
        <v>2020</v>
      </c>
      <c r="C174" t="s">
        <v>2021</v>
      </c>
      <c r="D174" t="str">
        <f>_xlfn.CONCAT(C174,".bam")</f>
        <v>SYST-MOR-0006862.bam</v>
      </c>
      <c r="E174" t="s">
        <v>2022</v>
      </c>
      <c r="F174" t="s">
        <v>2457</v>
      </c>
      <c r="G174" t="s">
        <v>2459</v>
      </c>
      <c r="H174" t="s">
        <v>2546</v>
      </c>
      <c r="I174" t="s">
        <v>2007</v>
      </c>
      <c r="K174" t="s">
        <v>45</v>
      </c>
      <c r="L174" t="s">
        <v>45</v>
      </c>
      <c r="N174" t="s">
        <v>45</v>
      </c>
      <c r="P174" t="s">
        <v>113</v>
      </c>
      <c r="Q174" t="s">
        <v>46</v>
      </c>
      <c r="R174" t="s">
        <v>2597</v>
      </c>
      <c r="S174" s="1">
        <v>44737</v>
      </c>
      <c r="T174" t="s">
        <v>33</v>
      </c>
      <c r="U174" t="s">
        <v>34</v>
      </c>
      <c r="V174" s="1">
        <v>44738</v>
      </c>
      <c r="W174" t="s">
        <v>35</v>
      </c>
      <c r="X174" t="s">
        <v>1082</v>
      </c>
      <c r="Y174" t="s">
        <v>2006</v>
      </c>
      <c r="Z174" t="s">
        <v>206</v>
      </c>
      <c r="AA174" t="s">
        <v>2007</v>
      </c>
      <c r="AD174" t="s">
        <v>45</v>
      </c>
      <c r="AE174">
        <v>36.846654000000001</v>
      </c>
      <c r="AF174">
        <v>-96.429275000000004</v>
      </c>
      <c r="AG174" t="s">
        <v>40</v>
      </c>
      <c r="AH174" t="s">
        <v>41</v>
      </c>
      <c r="AI174">
        <v>36.8466787041</v>
      </c>
      <c r="AJ174">
        <v>-96.429416276599994</v>
      </c>
      <c r="AK174">
        <v>2.4704099999439677E-5</v>
      </c>
      <c r="AL174">
        <v>-1.4127659999019215E-4</v>
      </c>
      <c r="AM174" t="str">
        <f>_xlfn.IFNA(VLOOKUP(Sheet1!$C174,ADMIX_ALL!A:B,2,FALSE),"none")</f>
        <v>K6-18</v>
      </c>
      <c r="AN174" t="str">
        <f>_xlfn.IFNA(VLOOKUP(Sheet1!C174,ADMIX_SS!A:B,2,FALSE),"none")</f>
        <v>SubSample</v>
      </c>
      <c r="AO174" t="str">
        <f>_xlfn.IFNA(VLOOKUP(Sheet1!$C174,MONG_PHYLO!A:C,3,FALSE),"-")</f>
        <v>-</v>
      </c>
      <c r="AP174" t="str">
        <f>_xlfn.IFNA(VLOOKUP(Sheet1!$C174,MAC_PHYLO!A:C,3,FALSE),"-")</f>
        <v>-</v>
      </c>
      <c r="AQ174" t="str">
        <f>_xlfn.IFNA(VLOOKUP(Sheet1!$C174,ConStruct!A:C,3,FALSE),"-")</f>
        <v>ConStruct</v>
      </c>
      <c r="AR174" t="str">
        <f>_xlfn.IFNA(VLOOKUP(Sheet1!$C174,GEA!A:C,3,FALSE),"-")</f>
        <v>GEA</v>
      </c>
      <c r="AS174" t="str">
        <f>_xlfn.IFNA(VLOOKUP(Sheet1!$C174,MAC_DSUITE!A:D,3,FALSE),"-")</f>
        <v>mac_OK_TGP</v>
      </c>
      <c r="AT174" t="str">
        <f>_xlfn.IFNA(VLOOKUP(Sheet1!$C174,MONG_DSUITE!A:E,2,FALSE),"-")</f>
        <v>macrocarpa_TGP</v>
      </c>
      <c r="AU174" t="str">
        <f>_xlfn.IFNA(VLOOKUP(Sheet1!$C174,MAC_PAINT2!A:D,4,FALSE),"-")</f>
        <v>macpaint</v>
      </c>
      <c r="AV174" t="s">
        <v>9193</v>
      </c>
      <c r="AW174" t="s">
        <v>9193</v>
      </c>
    </row>
    <row r="175" spans="1:49" customFormat="1" x14ac:dyDescent="0.4">
      <c r="A175">
        <v>3626</v>
      </c>
      <c r="B175" t="s">
        <v>2023</v>
      </c>
      <c r="C175" t="s">
        <v>2024</v>
      </c>
      <c r="D175" t="str">
        <f>_xlfn.CONCAT(C175,".bam")</f>
        <v>SYST-MOR-0006863.bam</v>
      </c>
      <c r="E175" t="s">
        <v>2025</v>
      </c>
      <c r="F175" t="s">
        <v>2457</v>
      </c>
      <c r="G175" t="s">
        <v>2459</v>
      </c>
      <c r="H175" t="s">
        <v>2546</v>
      </c>
      <c r="I175" t="s">
        <v>2007</v>
      </c>
      <c r="K175" t="s">
        <v>84</v>
      </c>
      <c r="L175" t="s">
        <v>84</v>
      </c>
      <c r="N175" t="s">
        <v>84</v>
      </c>
      <c r="P175" t="s">
        <v>113</v>
      </c>
      <c r="Q175" t="s">
        <v>85</v>
      </c>
      <c r="R175" t="s">
        <v>2600</v>
      </c>
      <c r="S175" s="1">
        <v>44737</v>
      </c>
      <c r="T175" t="s">
        <v>33</v>
      </c>
      <c r="U175" t="s">
        <v>34</v>
      </c>
      <c r="V175" s="1">
        <v>44738</v>
      </c>
      <c r="W175" t="s">
        <v>35</v>
      </c>
      <c r="X175" t="s">
        <v>1082</v>
      </c>
      <c r="Y175" t="s">
        <v>2006</v>
      </c>
      <c r="Z175" t="s">
        <v>206</v>
      </c>
      <c r="AA175" t="s">
        <v>2007</v>
      </c>
      <c r="AD175" t="s">
        <v>84</v>
      </c>
      <c r="AE175">
        <v>36.846612999999998</v>
      </c>
      <c r="AF175">
        <v>-96.429364000000007</v>
      </c>
      <c r="AG175" t="s">
        <v>40</v>
      </c>
      <c r="AH175" t="s">
        <v>41</v>
      </c>
      <c r="AI175">
        <v>36.846688759999999</v>
      </c>
      <c r="AJ175">
        <v>-96.429408480000006</v>
      </c>
      <c r="AK175">
        <v>7.5760000001423577E-5</v>
      </c>
      <c r="AL175">
        <v>-4.4479999999680331E-5</v>
      </c>
      <c r="AM175" t="str">
        <f>_xlfn.IFNA(VLOOKUP(Sheet1!$C175,ADMIX_ALL!A:B,2,FALSE),"none")</f>
        <v>K6-18</v>
      </c>
      <c r="AN175" t="str">
        <f>_xlfn.IFNA(VLOOKUP(Sheet1!C175,ADMIX_SS!A:B,2,FALSE),"none")</f>
        <v>SubSample</v>
      </c>
      <c r="AO175" t="str">
        <f>_xlfn.IFNA(VLOOKUP(Sheet1!$C175,MONG_PHYLO!A:C,3,FALSE),"-")</f>
        <v>-</v>
      </c>
      <c r="AP175" t="str">
        <f>_xlfn.IFNA(VLOOKUP(Sheet1!$C175,MAC_PHYLO!A:C,3,FALSE),"-")</f>
        <v>-</v>
      </c>
      <c r="AQ175" t="str">
        <f>_xlfn.IFNA(VLOOKUP(Sheet1!$C175,ConStruct!A:C,3,FALSE),"-")</f>
        <v>-</v>
      </c>
      <c r="AR175" t="str">
        <f>_xlfn.IFNA(VLOOKUP(Sheet1!$C175,GEA!A:C,3,FALSE),"-")</f>
        <v>-</v>
      </c>
      <c r="AS175" t="str">
        <f>_xlfn.IFNA(VLOOKUP(Sheet1!$C175,MAC_DSUITE!A:D,3,FALSE),"-")</f>
        <v>-</v>
      </c>
      <c r="AT175" t="str">
        <f>_xlfn.IFNA(VLOOKUP(Sheet1!$C175,MONG_DSUITE!A:E,2,FALSE),"-")</f>
        <v>xxx</v>
      </c>
      <c r="AU175" t="str">
        <f>_xlfn.IFNA(VLOOKUP(Sheet1!$C175,MAC_PAINT2!A:D,4,FALSE),"-")</f>
        <v>-</v>
      </c>
    </row>
    <row r="176" spans="1:49" customFormat="1" x14ac:dyDescent="0.4">
      <c r="A176">
        <v>3627</v>
      </c>
      <c r="B176" t="s">
        <v>2026</v>
      </c>
      <c r="C176" t="s">
        <v>2027</v>
      </c>
      <c r="D176" t="str">
        <f>_xlfn.CONCAT(C176,".bam")</f>
        <v>SYST-MOR-0006864.bam</v>
      </c>
      <c r="E176" t="s">
        <v>2028</v>
      </c>
      <c r="F176" t="s">
        <v>2457</v>
      </c>
      <c r="G176" t="s">
        <v>2459</v>
      </c>
      <c r="H176" t="s">
        <v>2546</v>
      </c>
      <c r="I176" t="s">
        <v>2007</v>
      </c>
      <c r="K176" t="s">
        <v>50</v>
      </c>
      <c r="L176" t="s">
        <v>50</v>
      </c>
      <c r="N176" t="s">
        <v>50</v>
      </c>
      <c r="P176" t="s">
        <v>113</v>
      </c>
      <c r="Q176" t="s">
        <v>51</v>
      </c>
      <c r="R176" t="s">
        <v>2598</v>
      </c>
      <c r="S176" s="1">
        <v>44737</v>
      </c>
      <c r="T176" t="s">
        <v>33</v>
      </c>
      <c r="U176" t="s">
        <v>34</v>
      </c>
      <c r="V176" s="1">
        <v>44738</v>
      </c>
      <c r="W176" t="s">
        <v>35</v>
      </c>
      <c r="X176" t="s">
        <v>1082</v>
      </c>
      <c r="Y176" t="s">
        <v>2006</v>
      </c>
      <c r="Z176" t="s">
        <v>206</v>
      </c>
      <c r="AA176" t="s">
        <v>2007</v>
      </c>
      <c r="AD176" t="s">
        <v>50</v>
      </c>
      <c r="AE176">
        <v>36.846825000000003</v>
      </c>
      <c r="AF176">
        <v>-96.429918000000001</v>
      </c>
      <c r="AG176" t="s">
        <v>40</v>
      </c>
      <c r="AH176" t="s">
        <v>41</v>
      </c>
      <c r="AI176">
        <v>36.846804126000002</v>
      </c>
      <c r="AJ176">
        <v>-96.429945677500001</v>
      </c>
      <c r="AK176">
        <v>-2.0874000000503656E-5</v>
      </c>
      <c r="AL176">
        <v>-2.7677500000322652E-5</v>
      </c>
      <c r="AM176" t="str">
        <f>_xlfn.IFNA(VLOOKUP(Sheet1!$C176,ADMIX_ALL!A:B,2,FALSE),"none")</f>
        <v>K6-18</v>
      </c>
      <c r="AN176" t="str">
        <f>_xlfn.IFNA(VLOOKUP(Sheet1!C176,ADMIX_SS!A:B,2,FALSE),"none")</f>
        <v>SubSample</v>
      </c>
      <c r="AO176" t="str">
        <f>_xlfn.IFNA(VLOOKUP(Sheet1!$C176,MONG_PHYLO!A:C,3,FALSE),"-")</f>
        <v>-</v>
      </c>
      <c r="AP176" t="str">
        <f>_xlfn.IFNA(VLOOKUP(Sheet1!$C176,MAC_PHYLO!A:C,3,FALSE),"-")</f>
        <v>ste</v>
      </c>
      <c r="AQ176" t="str">
        <f>_xlfn.IFNA(VLOOKUP(Sheet1!$C176,ConStruct!A:C,3,FALSE),"-")</f>
        <v>-</v>
      </c>
      <c r="AR176" t="str">
        <f>_xlfn.IFNA(VLOOKUP(Sheet1!$C176,GEA!A:C,3,FALSE),"-")</f>
        <v>-</v>
      </c>
      <c r="AS176" t="str">
        <f>_xlfn.IFNA(VLOOKUP(Sheet1!$C176,MAC_DSUITE!A:D,3,FALSE),"-")</f>
        <v>ste</v>
      </c>
      <c r="AT176" t="str">
        <f>_xlfn.IFNA(VLOOKUP(Sheet1!$C176,MONG_DSUITE!A:E,2,FALSE),"-")</f>
        <v>xxx</v>
      </c>
      <c r="AU176" t="str">
        <f>_xlfn.IFNA(VLOOKUP(Sheet1!$C176,MAC_PAINT2!A:D,4,FALSE),"-")</f>
        <v>ste-macpaint</v>
      </c>
    </row>
    <row r="177" spans="1:49" customFormat="1" x14ac:dyDescent="0.4">
      <c r="A177">
        <v>3628</v>
      </c>
      <c r="B177" t="s">
        <v>2029</v>
      </c>
      <c r="C177" t="s">
        <v>2030</v>
      </c>
      <c r="D177" t="str">
        <f>_xlfn.CONCAT(C177,".bam")</f>
        <v>SYST-MOR-0006865.bam</v>
      </c>
      <c r="E177" t="s">
        <v>2031</v>
      </c>
      <c r="F177" t="s">
        <v>2457</v>
      </c>
      <c r="G177" t="s">
        <v>2459</v>
      </c>
      <c r="H177" t="s">
        <v>2546</v>
      </c>
      <c r="I177" t="s">
        <v>2007</v>
      </c>
      <c r="K177" t="s">
        <v>50</v>
      </c>
      <c r="L177" t="s">
        <v>50</v>
      </c>
      <c r="N177" t="s">
        <v>50</v>
      </c>
      <c r="P177" t="s">
        <v>113</v>
      </c>
      <c r="Q177" t="s">
        <v>51</v>
      </c>
      <c r="R177" t="s">
        <v>2598</v>
      </c>
      <c r="S177" s="1">
        <v>44737</v>
      </c>
      <c r="T177" t="s">
        <v>33</v>
      </c>
      <c r="U177" t="s">
        <v>34</v>
      </c>
      <c r="V177" s="1">
        <v>44738</v>
      </c>
      <c r="W177" t="s">
        <v>35</v>
      </c>
      <c r="X177" t="s">
        <v>1082</v>
      </c>
      <c r="Y177" t="s">
        <v>2006</v>
      </c>
      <c r="Z177" t="s">
        <v>206</v>
      </c>
      <c r="AA177" t="s">
        <v>2007</v>
      </c>
      <c r="AD177" t="s">
        <v>50</v>
      </c>
      <c r="AE177">
        <v>36.844152999999999</v>
      </c>
      <c r="AF177">
        <v>-96.427087999999998</v>
      </c>
      <c r="AG177" t="s">
        <v>40</v>
      </c>
      <c r="AH177" t="s">
        <v>41</v>
      </c>
      <c r="AI177">
        <v>36.844436041999998</v>
      </c>
      <c r="AJ177">
        <v>-96.426761141100002</v>
      </c>
      <c r="AK177">
        <v>2.8304199999951152E-4</v>
      </c>
      <c r="AL177">
        <v>3.2685889999584106E-4</v>
      </c>
      <c r="AM177" t="str">
        <f>_xlfn.IFNA(VLOOKUP(Sheet1!$C177,ADMIX_ALL!A:B,2,FALSE),"none")</f>
        <v>K6-18</v>
      </c>
      <c r="AN177" t="str">
        <f>_xlfn.IFNA(VLOOKUP(Sheet1!C177,ADMIX_SS!A:B,2,FALSE),"none")</f>
        <v>Constant</v>
      </c>
      <c r="AO177" t="str">
        <f>_xlfn.IFNA(VLOOKUP(Sheet1!$C177,MONG_PHYLO!A:C,3,FALSE),"-")</f>
        <v>ste</v>
      </c>
      <c r="AP177" t="str">
        <f>_xlfn.IFNA(VLOOKUP(Sheet1!$C177,MAC_PHYLO!A:C,3,FALSE),"-")</f>
        <v>-</v>
      </c>
      <c r="AQ177" t="str">
        <f>_xlfn.IFNA(VLOOKUP(Sheet1!$C177,ConStruct!A:C,3,FALSE),"-")</f>
        <v>-</v>
      </c>
      <c r="AR177" t="str">
        <f>_xlfn.IFNA(VLOOKUP(Sheet1!$C177,GEA!A:C,3,FALSE),"-")</f>
        <v>-</v>
      </c>
      <c r="AS177" t="str">
        <f>_xlfn.IFNA(VLOOKUP(Sheet1!$C177,MAC_DSUITE!A:D,3,FALSE),"-")</f>
        <v>-</v>
      </c>
      <c r="AT177" t="str">
        <f>_xlfn.IFNA(VLOOKUP(Sheet1!$C177,MONG_DSUITE!A:E,2,FALSE),"-")</f>
        <v>stellata</v>
      </c>
      <c r="AU177" t="str">
        <f>_xlfn.IFNA(VLOOKUP(Sheet1!$C177,MAC_PAINT2!A:D,4,FALSE),"-")</f>
        <v>-</v>
      </c>
    </row>
    <row r="178" spans="1:49" customFormat="1" x14ac:dyDescent="0.4">
      <c r="A178">
        <v>3629</v>
      </c>
      <c r="B178" t="s">
        <v>2032</v>
      </c>
      <c r="C178" t="s">
        <v>2033</v>
      </c>
      <c r="D178" t="str">
        <f>_xlfn.CONCAT(C178,".bam")</f>
        <v>SYST-MOR-0006866.bam</v>
      </c>
      <c r="E178" t="s">
        <v>2034</v>
      </c>
      <c r="F178" t="s">
        <v>2457</v>
      </c>
      <c r="G178" t="s">
        <v>2459</v>
      </c>
      <c r="H178" t="s">
        <v>2546</v>
      </c>
      <c r="I178" t="s">
        <v>2007</v>
      </c>
      <c r="K178" t="s">
        <v>45</v>
      </c>
      <c r="L178" t="s">
        <v>45</v>
      </c>
      <c r="N178" t="s">
        <v>45</v>
      </c>
      <c r="P178" t="s">
        <v>113</v>
      </c>
      <c r="Q178" t="s">
        <v>46</v>
      </c>
      <c r="R178" t="s">
        <v>2597</v>
      </c>
      <c r="S178" s="1">
        <v>44737</v>
      </c>
      <c r="T178" t="s">
        <v>33</v>
      </c>
      <c r="U178" t="s">
        <v>34</v>
      </c>
      <c r="V178" s="1">
        <v>44738</v>
      </c>
      <c r="W178" t="s">
        <v>35</v>
      </c>
      <c r="X178" t="s">
        <v>1082</v>
      </c>
      <c r="Y178" t="s">
        <v>2006</v>
      </c>
      <c r="Z178" t="s">
        <v>206</v>
      </c>
      <c r="AA178" t="s">
        <v>2007</v>
      </c>
      <c r="AD178" t="s">
        <v>45</v>
      </c>
      <c r="AE178">
        <v>36.844363000000001</v>
      </c>
      <c r="AF178">
        <v>-96.426753000000005</v>
      </c>
      <c r="AG178" t="s">
        <v>40</v>
      </c>
      <c r="AH178" t="s">
        <v>41</v>
      </c>
      <c r="AI178">
        <v>36.844408256000001</v>
      </c>
      <c r="AJ178">
        <v>-96.426784945700007</v>
      </c>
      <c r="AK178">
        <v>4.5255999999938012E-5</v>
      </c>
      <c r="AL178">
        <v>-3.194570000175645E-5</v>
      </c>
      <c r="AM178" t="str">
        <f>_xlfn.IFNA(VLOOKUP(Sheet1!$C178,ADMIX_ALL!A:B,2,FALSE),"none")</f>
        <v>K6-18</v>
      </c>
      <c r="AN178" t="str">
        <f>_xlfn.IFNA(VLOOKUP(Sheet1!C178,ADMIX_SS!A:B,2,FALSE),"none")</f>
        <v>SubSample</v>
      </c>
      <c r="AO178" t="str">
        <f>_xlfn.IFNA(VLOOKUP(Sheet1!$C178,MONG_PHYLO!A:C,3,FALSE),"-")</f>
        <v>-</v>
      </c>
      <c r="AP178" t="str">
        <f>_xlfn.IFNA(VLOOKUP(Sheet1!$C178,MAC_PHYLO!A:C,3,FALSE),"-")</f>
        <v>-</v>
      </c>
      <c r="AQ178" t="str">
        <f>_xlfn.IFNA(VLOOKUP(Sheet1!$C178,ConStruct!A:C,3,FALSE),"-")</f>
        <v>ConStruct</v>
      </c>
      <c r="AR178" t="str">
        <f>_xlfn.IFNA(VLOOKUP(Sheet1!$C178,GEA!A:C,3,FALSE),"-")</f>
        <v>GEA</v>
      </c>
      <c r="AS178" t="str">
        <f>_xlfn.IFNA(VLOOKUP(Sheet1!$C178,MAC_DSUITE!A:D,3,FALSE),"-")</f>
        <v>mac_OK_TGP</v>
      </c>
      <c r="AT178" t="str">
        <f>_xlfn.IFNA(VLOOKUP(Sheet1!$C178,MONG_DSUITE!A:E,2,FALSE),"-")</f>
        <v>macrocarpa_TGP</v>
      </c>
      <c r="AU178" t="str">
        <f>_xlfn.IFNA(VLOOKUP(Sheet1!$C178,MAC_PAINT2!A:D,4,FALSE),"-")</f>
        <v>macpaint</v>
      </c>
      <c r="AV178" t="s">
        <v>9193</v>
      </c>
      <c r="AW178" t="s">
        <v>9193</v>
      </c>
    </row>
    <row r="179" spans="1:49" customFormat="1" x14ac:dyDescent="0.4">
      <c r="A179">
        <v>3630</v>
      </c>
      <c r="B179" t="s">
        <v>2035</v>
      </c>
      <c r="C179" t="s">
        <v>2036</v>
      </c>
      <c r="D179" t="str">
        <f>_xlfn.CONCAT(C179,".bam")</f>
        <v>SYST-MOR-0006867.bam</v>
      </c>
      <c r="E179" t="s">
        <v>2037</v>
      </c>
      <c r="F179" t="s">
        <v>2457</v>
      </c>
      <c r="G179" t="s">
        <v>2459</v>
      </c>
      <c r="H179" t="s">
        <v>2546</v>
      </c>
      <c r="I179" t="s">
        <v>2007</v>
      </c>
      <c r="K179" t="s">
        <v>50</v>
      </c>
      <c r="L179" t="s">
        <v>50</v>
      </c>
      <c r="N179" t="s">
        <v>50</v>
      </c>
      <c r="P179" t="s">
        <v>113</v>
      </c>
      <c r="Q179" t="s">
        <v>51</v>
      </c>
      <c r="R179" t="s">
        <v>2598</v>
      </c>
      <c r="S179" s="1">
        <v>44737</v>
      </c>
      <c r="T179" t="s">
        <v>33</v>
      </c>
      <c r="U179" t="s">
        <v>34</v>
      </c>
      <c r="V179" s="1">
        <v>44738</v>
      </c>
      <c r="W179" t="s">
        <v>35</v>
      </c>
      <c r="X179" t="s">
        <v>1082</v>
      </c>
      <c r="Y179" t="s">
        <v>2006</v>
      </c>
      <c r="Z179" t="s">
        <v>206</v>
      </c>
      <c r="AA179" t="s">
        <v>2007</v>
      </c>
      <c r="AD179" t="s">
        <v>50</v>
      </c>
      <c r="AE179">
        <v>36.855210999999997</v>
      </c>
      <c r="AF179">
        <v>-96.423107000000002</v>
      </c>
      <c r="AG179" t="s">
        <v>40</v>
      </c>
      <c r="AH179" t="s">
        <v>41</v>
      </c>
      <c r="AI179">
        <v>36.8552689813</v>
      </c>
      <c r="AJ179">
        <v>-96.4231565037</v>
      </c>
      <c r="AK179">
        <v>5.7981300003007163E-5</v>
      </c>
      <c r="AL179">
        <v>-4.9503699997899275E-5</v>
      </c>
      <c r="AM179" t="str">
        <f>_xlfn.IFNA(VLOOKUP(Sheet1!$C179,ADMIX_ALL!A:B,2,FALSE),"none")</f>
        <v>K6-18</v>
      </c>
      <c r="AN179" t="str">
        <f>_xlfn.IFNA(VLOOKUP(Sheet1!C179,ADMIX_SS!A:B,2,FALSE),"none")</f>
        <v>SubSample</v>
      </c>
      <c r="AO179" t="str">
        <f>_xlfn.IFNA(VLOOKUP(Sheet1!$C179,MONG_PHYLO!A:C,3,FALSE),"-")</f>
        <v>-</v>
      </c>
      <c r="AP179" t="str">
        <f>_xlfn.IFNA(VLOOKUP(Sheet1!$C179,MAC_PHYLO!A:C,3,FALSE),"-")</f>
        <v>mar</v>
      </c>
      <c r="AQ179" t="str">
        <f>_xlfn.IFNA(VLOOKUP(Sheet1!$C179,ConStruct!A:C,3,FALSE),"-")</f>
        <v>-</v>
      </c>
      <c r="AR179" t="str">
        <f>_xlfn.IFNA(VLOOKUP(Sheet1!$C179,GEA!A:C,3,FALSE),"-")</f>
        <v>-</v>
      </c>
      <c r="AS179" t="str">
        <f>_xlfn.IFNA(VLOOKUP(Sheet1!$C179,MAC_DSUITE!A:D,3,FALSE),"-")</f>
        <v>xxx</v>
      </c>
      <c r="AT179" t="str">
        <f>_xlfn.IFNA(VLOOKUP(Sheet1!$C179,MONG_DSUITE!A:E,2,FALSE),"-")</f>
        <v>xxx</v>
      </c>
      <c r="AU179" t="str">
        <f>_xlfn.IFNA(VLOOKUP(Sheet1!$C179,MAC_PAINT2!A:D,4,FALSE),"-")</f>
        <v>-</v>
      </c>
    </row>
    <row r="180" spans="1:49" customFormat="1" x14ac:dyDescent="0.4">
      <c r="A180">
        <v>3631</v>
      </c>
      <c r="B180" t="s">
        <v>2038</v>
      </c>
      <c r="C180" t="s">
        <v>2039</v>
      </c>
      <c r="D180" t="str">
        <f>_xlfn.CONCAT(C180,".bam")</f>
        <v>SYST-MOR-0006868.bam</v>
      </c>
      <c r="E180" t="s">
        <v>2040</v>
      </c>
      <c r="F180" t="s">
        <v>2457</v>
      </c>
      <c r="G180" t="s">
        <v>2459</v>
      </c>
      <c r="H180" t="s">
        <v>2546</v>
      </c>
      <c r="I180" t="s">
        <v>2007</v>
      </c>
      <c r="K180" t="s">
        <v>50</v>
      </c>
      <c r="L180" t="s">
        <v>50</v>
      </c>
      <c r="N180" t="s">
        <v>50</v>
      </c>
      <c r="P180" t="s">
        <v>113</v>
      </c>
      <c r="Q180" t="s">
        <v>51</v>
      </c>
      <c r="R180" t="s">
        <v>2598</v>
      </c>
      <c r="S180" s="1">
        <v>44737</v>
      </c>
      <c r="T180" t="s">
        <v>33</v>
      </c>
      <c r="U180" t="s">
        <v>34</v>
      </c>
      <c r="V180" s="1">
        <v>44738</v>
      </c>
      <c r="W180" t="s">
        <v>35</v>
      </c>
      <c r="X180" t="s">
        <v>1082</v>
      </c>
      <c r="Y180" t="s">
        <v>2006</v>
      </c>
      <c r="Z180" t="s">
        <v>206</v>
      </c>
      <c r="AA180" t="s">
        <v>2007</v>
      </c>
      <c r="AD180" t="s">
        <v>50</v>
      </c>
      <c r="AE180">
        <v>36.847630000000002</v>
      </c>
      <c r="AF180">
        <v>-96.422002000000006</v>
      </c>
      <c r="AG180" t="s">
        <v>40</v>
      </c>
      <c r="AH180" t="s">
        <v>41</v>
      </c>
      <c r="AI180">
        <v>36.847740062500002</v>
      </c>
      <c r="AJ180">
        <v>-96.421649605100001</v>
      </c>
      <c r="AK180">
        <v>1.1006249999923057E-4</v>
      </c>
      <c r="AL180">
        <v>3.5239490000549267E-4</v>
      </c>
      <c r="AM180" t="str">
        <f>_xlfn.IFNA(VLOOKUP(Sheet1!$C180,ADMIX_ALL!A:B,2,FALSE),"none")</f>
        <v>K6-18</v>
      </c>
      <c r="AN180" t="str">
        <f>_xlfn.IFNA(VLOOKUP(Sheet1!C180,ADMIX_SS!A:B,2,FALSE),"none")</f>
        <v>SubSample</v>
      </c>
      <c r="AO180" t="str">
        <f>_xlfn.IFNA(VLOOKUP(Sheet1!$C180,MONG_PHYLO!A:C,3,FALSE),"-")</f>
        <v>-</v>
      </c>
      <c r="AP180" t="str">
        <f>_xlfn.IFNA(VLOOKUP(Sheet1!$C180,MAC_PHYLO!A:C,3,FALSE),"-")</f>
        <v>ste</v>
      </c>
      <c r="AQ180" t="str">
        <f>_xlfn.IFNA(VLOOKUP(Sheet1!$C180,ConStruct!A:C,3,FALSE),"-")</f>
        <v>-</v>
      </c>
      <c r="AR180" t="str">
        <f>_xlfn.IFNA(VLOOKUP(Sheet1!$C180,GEA!A:C,3,FALSE),"-")</f>
        <v>-</v>
      </c>
      <c r="AS180" t="str">
        <f>_xlfn.IFNA(VLOOKUP(Sheet1!$C180,MAC_DSUITE!A:D,3,FALSE),"-")</f>
        <v>ste</v>
      </c>
      <c r="AT180" t="str">
        <f>_xlfn.IFNA(VLOOKUP(Sheet1!$C180,MONG_DSUITE!A:E,2,FALSE),"-")</f>
        <v>xxx</v>
      </c>
      <c r="AU180" t="str">
        <f>_xlfn.IFNA(VLOOKUP(Sheet1!$C180,MAC_PAINT2!A:D,4,FALSE),"-")</f>
        <v>ste-macpaint</v>
      </c>
    </row>
    <row r="181" spans="1:49" customFormat="1" x14ac:dyDescent="0.4">
      <c r="A181">
        <v>3632</v>
      </c>
      <c r="B181" t="s">
        <v>2041</v>
      </c>
      <c r="C181" t="s">
        <v>2042</v>
      </c>
      <c r="D181" t="str">
        <f>_xlfn.CONCAT(C181,".bam")</f>
        <v>SYST-MOR-0006869.bam</v>
      </c>
      <c r="E181" t="s">
        <v>2043</v>
      </c>
      <c r="F181" t="s">
        <v>2457</v>
      </c>
      <c r="G181" t="s">
        <v>2459</v>
      </c>
      <c r="H181" t="s">
        <v>2546</v>
      </c>
      <c r="I181" t="s">
        <v>2007</v>
      </c>
      <c r="K181" t="s">
        <v>84</v>
      </c>
      <c r="L181" t="s">
        <v>84</v>
      </c>
      <c r="N181" t="s">
        <v>84</v>
      </c>
      <c r="P181" t="s">
        <v>113</v>
      </c>
      <c r="Q181" t="s">
        <v>85</v>
      </c>
      <c r="R181" t="s">
        <v>2600</v>
      </c>
      <c r="S181" s="1">
        <v>44737</v>
      </c>
      <c r="T181" t="s">
        <v>33</v>
      </c>
      <c r="U181" t="s">
        <v>34</v>
      </c>
      <c r="V181" s="1">
        <v>44738</v>
      </c>
      <c r="W181" t="s">
        <v>35</v>
      </c>
      <c r="X181" t="s">
        <v>1082</v>
      </c>
      <c r="Y181" t="s">
        <v>2006</v>
      </c>
      <c r="Z181" t="s">
        <v>206</v>
      </c>
      <c r="AA181" t="s">
        <v>2007</v>
      </c>
      <c r="AD181" t="s">
        <v>84</v>
      </c>
      <c r="AE181">
        <v>36.845999999999997</v>
      </c>
      <c r="AF181">
        <v>-96.428886000000006</v>
      </c>
      <c r="AG181" t="s">
        <v>40</v>
      </c>
      <c r="AH181" t="s">
        <v>41</v>
      </c>
      <c r="AI181">
        <v>36.845894660799999</v>
      </c>
      <c r="AJ181">
        <v>-96.428982596899999</v>
      </c>
      <c r="AK181">
        <v>-1.0533919999744512E-4</v>
      </c>
      <c r="AL181">
        <v>-9.6596899993528496E-5</v>
      </c>
      <c r="AM181" t="str">
        <f>_xlfn.IFNA(VLOOKUP(Sheet1!$C181,ADMIX_ALL!A:B,2,FALSE),"none")</f>
        <v>K6-18</v>
      </c>
      <c r="AN181" t="str">
        <f>_xlfn.IFNA(VLOOKUP(Sheet1!C181,ADMIX_SS!A:B,2,FALSE),"none")</f>
        <v>SubSample</v>
      </c>
      <c r="AO181" t="str">
        <f>_xlfn.IFNA(VLOOKUP(Sheet1!$C181,MONG_PHYLO!A:C,3,FALSE),"-")</f>
        <v>-</v>
      </c>
      <c r="AP181" t="str">
        <f>_xlfn.IFNA(VLOOKUP(Sheet1!$C181,MAC_PHYLO!A:C,3,FALSE),"-")</f>
        <v>-</v>
      </c>
      <c r="AQ181" t="str">
        <f>_xlfn.IFNA(VLOOKUP(Sheet1!$C181,ConStruct!A:C,3,FALSE),"-")</f>
        <v>-</v>
      </c>
      <c r="AR181" t="str">
        <f>_xlfn.IFNA(VLOOKUP(Sheet1!$C181,GEA!A:C,3,FALSE),"-")</f>
        <v>-</v>
      </c>
      <c r="AS181" t="str">
        <f>_xlfn.IFNA(VLOOKUP(Sheet1!$C181,MAC_DSUITE!A:D,3,FALSE),"-")</f>
        <v>-</v>
      </c>
      <c r="AT181" t="str">
        <f>_xlfn.IFNA(VLOOKUP(Sheet1!$C181,MONG_DSUITE!A:E,2,FALSE),"-")</f>
        <v>xxx</v>
      </c>
      <c r="AU181" t="str">
        <f>_xlfn.IFNA(VLOOKUP(Sheet1!$C181,MAC_PAINT2!A:D,4,FALSE),"-")</f>
        <v>-</v>
      </c>
    </row>
    <row r="182" spans="1:49" customFormat="1" x14ac:dyDescent="0.4">
      <c r="A182">
        <v>3633</v>
      </c>
      <c r="B182" t="s">
        <v>2100</v>
      </c>
      <c r="C182" t="s">
        <v>2101</v>
      </c>
      <c r="D182" t="str">
        <f>_xlfn.CONCAT(C182,".bam")</f>
        <v>SYST-MOR-0006870.bam</v>
      </c>
      <c r="E182" t="s">
        <v>2102</v>
      </c>
      <c r="F182" t="s">
        <v>2460</v>
      </c>
      <c r="G182" t="s">
        <v>2461</v>
      </c>
      <c r="H182" t="s">
        <v>2549</v>
      </c>
      <c r="I182" t="s">
        <v>2106</v>
      </c>
      <c r="K182" t="s">
        <v>45</v>
      </c>
      <c r="L182" t="s">
        <v>45</v>
      </c>
      <c r="N182" t="s">
        <v>45</v>
      </c>
      <c r="P182" t="s">
        <v>113</v>
      </c>
      <c r="Q182" t="s">
        <v>46</v>
      </c>
      <c r="R182" t="s">
        <v>2597</v>
      </c>
      <c r="S182" s="1">
        <v>44753</v>
      </c>
      <c r="T182" t="s">
        <v>2103</v>
      </c>
      <c r="U182" t="s">
        <v>34</v>
      </c>
      <c r="V182" s="1">
        <v>44757</v>
      </c>
      <c r="W182" t="s">
        <v>35</v>
      </c>
      <c r="X182" t="s">
        <v>2104</v>
      </c>
      <c r="Y182" t="s">
        <v>2105</v>
      </c>
      <c r="Z182" t="s">
        <v>38</v>
      </c>
      <c r="AA182" t="s">
        <v>2106</v>
      </c>
      <c r="AD182" t="s">
        <v>45</v>
      </c>
      <c r="AE182">
        <v>36.375796999999999</v>
      </c>
      <c r="AF182">
        <v>-86.357923</v>
      </c>
      <c r="AG182" t="s">
        <v>40</v>
      </c>
      <c r="AH182" t="s">
        <v>41</v>
      </c>
      <c r="AI182">
        <v>36.376004079399998</v>
      </c>
      <c r="AJ182">
        <v>-86.358015462799997</v>
      </c>
      <c r="AK182">
        <v>2.0707939999908831E-4</v>
      </c>
      <c r="AL182">
        <v>-9.2462799997861111E-5</v>
      </c>
      <c r="AM182" t="str">
        <f>_xlfn.IFNA(VLOOKUP(Sheet1!$C182,ADMIX_ALL!A:B,2,FALSE),"none")</f>
        <v>K6-18</v>
      </c>
      <c r="AN182" t="str">
        <f>_xlfn.IFNA(VLOOKUP(Sheet1!C182,ADMIX_SS!A:B,2,FALSE),"none")</f>
        <v>SubSample</v>
      </c>
      <c r="AO182" t="str">
        <f>_xlfn.IFNA(VLOOKUP(Sheet1!$C182,MONG_PHYLO!A:C,3,FALSE),"-")</f>
        <v>-</v>
      </c>
      <c r="AP182" t="str">
        <f>_xlfn.IFNA(VLOOKUP(Sheet1!$C182,MAC_PHYLO!A:C,3,FALSE),"-")</f>
        <v>-</v>
      </c>
      <c r="AQ182" t="str">
        <f>_xlfn.IFNA(VLOOKUP(Sheet1!$C182,ConStruct!A:C,3,FALSE),"-")</f>
        <v>ConStruct</v>
      </c>
      <c r="AR182" t="str">
        <f>_xlfn.IFNA(VLOOKUP(Sheet1!$C182,GEA!A:C,3,FALSE),"-")</f>
        <v>GEA</v>
      </c>
      <c r="AS182" t="str">
        <f>_xlfn.IFNA(VLOOKUP(Sheet1!$C182,MAC_DSUITE!A:D,3,FALSE),"-")</f>
        <v>mac_TN_BCP</v>
      </c>
      <c r="AT182" t="str">
        <f>_xlfn.IFNA(VLOOKUP(Sheet1!$C182,MONG_DSUITE!A:E,2,FALSE),"-")</f>
        <v>macrocarpa_BCP</v>
      </c>
      <c r="AU182" t="str">
        <f>_xlfn.IFNA(VLOOKUP(Sheet1!$C182,MAC_PAINT2!A:D,4,FALSE),"-")</f>
        <v>macpaint</v>
      </c>
      <c r="AV182" t="s">
        <v>9193</v>
      </c>
      <c r="AW182" t="s">
        <v>9193</v>
      </c>
    </row>
    <row r="183" spans="1:49" customFormat="1" x14ac:dyDescent="0.4">
      <c r="A183">
        <v>3634</v>
      </c>
      <c r="B183" t="s">
        <v>2107</v>
      </c>
      <c r="C183" t="s">
        <v>2108</v>
      </c>
      <c r="D183" t="str">
        <f>_xlfn.CONCAT(C183,".bam")</f>
        <v>SYST-MOR-0006871.bam</v>
      </c>
      <c r="E183" t="s">
        <v>2109</v>
      </c>
      <c r="F183" t="s">
        <v>2460</v>
      </c>
      <c r="G183" t="s">
        <v>2461</v>
      </c>
      <c r="H183" t="s">
        <v>2549</v>
      </c>
      <c r="I183" t="s">
        <v>2106</v>
      </c>
      <c r="K183" t="s">
        <v>84</v>
      </c>
      <c r="L183" t="s">
        <v>84</v>
      </c>
      <c r="N183" t="s">
        <v>84</v>
      </c>
      <c r="P183" t="s">
        <v>113</v>
      </c>
      <c r="Q183" t="s">
        <v>85</v>
      </c>
      <c r="R183" t="s">
        <v>2600</v>
      </c>
      <c r="S183" s="1">
        <v>44753</v>
      </c>
      <c r="T183" t="s">
        <v>2103</v>
      </c>
      <c r="U183" t="s">
        <v>34</v>
      </c>
      <c r="V183" s="1">
        <v>44757</v>
      </c>
      <c r="W183" t="s">
        <v>35</v>
      </c>
      <c r="X183" t="s">
        <v>2104</v>
      </c>
      <c r="Y183" t="s">
        <v>2105</v>
      </c>
      <c r="Z183" t="s">
        <v>38</v>
      </c>
      <c r="AA183" t="s">
        <v>2106</v>
      </c>
      <c r="AD183" t="s">
        <v>84</v>
      </c>
      <c r="AE183">
        <v>36.375636</v>
      </c>
      <c r="AF183">
        <v>-86.357896999999994</v>
      </c>
      <c r="AG183" t="s">
        <v>40</v>
      </c>
      <c r="AH183" t="s">
        <v>41</v>
      </c>
      <c r="AI183">
        <v>36.375574003899999</v>
      </c>
      <c r="AJ183">
        <v>-86.357898451500006</v>
      </c>
      <c r="AK183">
        <v>-6.1996100001238119E-5</v>
      </c>
      <c r="AL183">
        <v>-1.4515000117398813E-6</v>
      </c>
      <c r="AM183" t="str">
        <f>_xlfn.IFNA(VLOOKUP(Sheet1!$C183,ADMIX_ALL!A:B,2,FALSE),"none")</f>
        <v>K6-18</v>
      </c>
      <c r="AN183" t="str">
        <f>_xlfn.IFNA(VLOOKUP(Sheet1!C183,ADMIX_SS!A:B,2,FALSE),"none")</f>
        <v>SubSample</v>
      </c>
      <c r="AO183" t="str">
        <f>_xlfn.IFNA(VLOOKUP(Sheet1!$C183,MONG_PHYLO!A:C,3,FALSE),"-")</f>
        <v>-</v>
      </c>
      <c r="AP183" t="str">
        <f>_xlfn.IFNA(VLOOKUP(Sheet1!$C183,MAC_PHYLO!A:C,3,FALSE),"-")</f>
        <v>-</v>
      </c>
      <c r="AQ183" t="str">
        <f>_xlfn.IFNA(VLOOKUP(Sheet1!$C183,ConStruct!A:C,3,FALSE),"-")</f>
        <v>-</v>
      </c>
      <c r="AR183" t="str">
        <f>_xlfn.IFNA(VLOOKUP(Sheet1!$C183,GEA!A:C,3,FALSE),"-")</f>
        <v>-</v>
      </c>
      <c r="AS183" t="str">
        <f>_xlfn.IFNA(VLOOKUP(Sheet1!$C183,MAC_DSUITE!A:D,3,FALSE),"-")</f>
        <v>-</v>
      </c>
      <c r="AT183" t="str">
        <f>_xlfn.IFNA(VLOOKUP(Sheet1!$C183,MONG_DSUITE!A:E,2,FALSE),"-")</f>
        <v>xxx</v>
      </c>
      <c r="AU183" t="str">
        <f>_xlfn.IFNA(VLOOKUP(Sheet1!$C183,MAC_PAINT2!A:D,4,FALSE),"-")</f>
        <v>-</v>
      </c>
    </row>
    <row r="184" spans="1:49" customFormat="1" x14ac:dyDescent="0.4">
      <c r="A184">
        <v>3635</v>
      </c>
      <c r="B184" t="s">
        <v>2110</v>
      </c>
      <c r="C184" t="s">
        <v>2111</v>
      </c>
      <c r="D184" t="str">
        <f>_xlfn.CONCAT(C184,".bam")</f>
        <v>SYST-MOR-0006872.bam</v>
      </c>
      <c r="E184" t="s">
        <v>2112</v>
      </c>
      <c r="F184" t="s">
        <v>2460</v>
      </c>
      <c r="G184" t="s">
        <v>2461</v>
      </c>
      <c r="H184" t="s">
        <v>2549</v>
      </c>
      <c r="I184" t="s">
        <v>2106</v>
      </c>
      <c r="K184" t="s">
        <v>45</v>
      </c>
      <c r="L184" t="s">
        <v>45</v>
      </c>
      <c r="N184" t="s">
        <v>45</v>
      </c>
      <c r="P184" t="s">
        <v>113</v>
      </c>
      <c r="Q184" t="s">
        <v>46</v>
      </c>
      <c r="R184" t="s">
        <v>2597</v>
      </c>
      <c r="S184" s="1">
        <v>44753</v>
      </c>
      <c r="T184" t="s">
        <v>2103</v>
      </c>
      <c r="U184" t="s">
        <v>34</v>
      </c>
      <c r="V184" s="1">
        <v>44757</v>
      </c>
      <c r="W184" t="s">
        <v>35</v>
      </c>
      <c r="X184" t="s">
        <v>2104</v>
      </c>
      <c r="Y184" t="s">
        <v>2105</v>
      </c>
      <c r="Z184" t="s">
        <v>38</v>
      </c>
      <c r="AA184" t="s">
        <v>2106</v>
      </c>
      <c r="AD184" t="s">
        <v>45</v>
      </c>
      <c r="AE184">
        <v>36.375554999999999</v>
      </c>
      <c r="AF184">
        <v>-86.357896999999994</v>
      </c>
      <c r="AG184" t="s">
        <v>40</v>
      </c>
      <c r="AH184" t="s">
        <v>41</v>
      </c>
      <c r="AI184">
        <v>36.375566041100001</v>
      </c>
      <c r="AJ184">
        <v>-86.357932817299996</v>
      </c>
      <c r="AK184">
        <v>1.1041100002273652E-5</v>
      </c>
      <c r="AL184">
        <v>-3.5817300002349839E-5</v>
      </c>
      <c r="AM184" t="str">
        <f>_xlfn.IFNA(VLOOKUP(Sheet1!$C184,ADMIX_ALL!A:B,2,FALSE),"none")</f>
        <v>K6-18</v>
      </c>
      <c r="AN184" t="str">
        <f>_xlfn.IFNA(VLOOKUP(Sheet1!C184,ADMIX_SS!A:B,2,FALSE),"none")</f>
        <v>SubSample</v>
      </c>
      <c r="AO184" t="str">
        <f>_xlfn.IFNA(VLOOKUP(Sheet1!$C184,MONG_PHYLO!A:C,3,FALSE),"-")</f>
        <v>-</v>
      </c>
      <c r="AP184" t="str">
        <f>_xlfn.IFNA(VLOOKUP(Sheet1!$C184,MAC_PHYLO!A:C,3,FALSE),"-")</f>
        <v>-</v>
      </c>
      <c r="AQ184" t="str">
        <f>_xlfn.IFNA(VLOOKUP(Sheet1!$C184,ConStruct!A:C,3,FALSE),"-")</f>
        <v>ConStruct</v>
      </c>
      <c r="AR184" t="str">
        <f>_xlfn.IFNA(VLOOKUP(Sheet1!$C184,GEA!A:C,3,FALSE),"-")</f>
        <v>GEA</v>
      </c>
      <c r="AS184" t="str">
        <f>_xlfn.IFNA(VLOOKUP(Sheet1!$C184,MAC_DSUITE!A:D,3,FALSE),"-")</f>
        <v>mac_TN_BCP</v>
      </c>
      <c r="AT184" t="str">
        <f>_xlfn.IFNA(VLOOKUP(Sheet1!$C184,MONG_DSUITE!A:E,2,FALSE),"-")</f>
        <v>macrocarpa_BCP</v>
      </c>
      <c r="AU184" t="str">
        <f>_xlfn.IFNA(VLOOKUP(Sheet1!$C184,MAC_PAINT2!A:D,4,FALSE),"-")</f>
        <v>macpaint</v>
      </c>
      <c r="AV184" t="s">
        <v>9193</v>
      </c>
      <c r="AW184" t="s">
        <v>9193</v>
      </c>
    </row>
    <row r="185" spans="1:49" customFormat="1" x14ac:dyDescent="0.4">
      <c r="A185">
        <v>3636</v>
      </c>
      <c r="B185" t="s">
        <v>2113</v>
      </c>
      <c r="C185" t="s">
        <v>2114</v>
      </c>
      <c r="D185" t="str">
        <f>_xlfn.CONCAT(C185,".bam")</f>
        <v>SYST-MOR-0006873.bam</v>
      </c>
      <c r="E185" t="s">
        <v>2115</v>
      </c>
      <c r="F185" t="s">
        <v>2460</v>
      </c>
      <c r="G185" t="s">
        <v>2461</v>
      </c>
      <c r="H185" t="s">
        <v>2549</v>
      </c>
      <c r="I185" t="s">
        <v>2106</v>
      </c>
      <c r="K185" t="s">
        <v>45</v>
      </c>
      <c r="L185" t="s">
        <v>45</v>
      </c>
      <c r="N185" t="s">
        <v>45</v>
      </c>
      <c r="P185" t="s">
        <v>113</v>
      </c>
      <c r="Q185" t="s">
        <v>46</v>
      </c>
      <c r="R185" t="s">
        <v>2597</v>
      </c>
      <c r="S185" s="1">
        <v>44753</v>
      </c>
      <c r="T185" t="s">
        <v>2103</v>
      </c>
      <c r="U185" t="s">
        <v>34</v>
      </c>
      <c r="V185" s="1">
        <v>44757</v>
      </c>
      <c r="W185" t="s">
        <v>35</v>
      </c>
      <c r="X185" t="s">
        <v>2104</v>
      </c>
      <c r="Y185" t="s">
        <v>2105</v>
      </c>
      <c r="Z185" t="s">
        <v>38</v>
      </c>
      <c r="AA185" t="s">
        <v>2106</v>
      </c>
      <c r="AD185" t="s">
        <v>45</v>
      </c>
      <c r="AE185">
        <v>36.376500999999998</v>
      </c>
      <c r="AF185">
        <v>-86.352131</v>
      </c>
      <c r="AG185" t="s">
        <v>40</v>
      </c>
      <c r="AH185" t="s">
        <v>41</v>
      </c>
      <c r="AI185">
        <v>36.376564287900003</v>
      </c>
      <c r="AJ185">
        <v>-86.352108964400003</v>
      </c>
      <c r="AK185">
        <v>6.3287900005093434E-5</v>
      </c>
      <c r="AL185">
        <v>2.2035599997138888E-5</v>
      </c>
      <c r="AM185" t="str">
        <f>_xlfn.IFNA(VLOOKUP(Sheet1!$C185,ADMIX_ALL!A:B,2,FALSE),"none")</f>
        <v>K6-18</v>
      </c>
      <c r="AN185" t="str">
        <f>_xlfn.IFNA(VLOOKUP(Sheet1!C185,ADMIX_SS!A:B,2,FALSE),"none")</f>
        <v>Constant</v>
      </c>
      <c r="AO185" t="str">
        <f>_xlfn.IFNA(VLOOKUP(Sheet1!$C185,MONG_PHYLO!A:C,3,FALSE),"-")</f>
        <v>macS</v>
      </c>
      <c r="AP185" t="str">
        <f>_xlfn.IFNA(VLOOKUP(Sheet1!$C185,MAC_PHYLO!A:C,3,FALSE),"-")</f>
        <v>-</v>
      </c>
      <c r="AQ185" t="str">
        <f>_xlfn.IFNA(VLOOKUP(Sheet1!$C185,ConStruct!A:C,3,FALSE),"-")</f>
        <v>ConStruct</v>
      </c>
      <c r="AR185" t="str">
        <f>_xlfn.IFNA(VLOOKUP(Sheet1!$C185,GEA!A:C,3,FALSE),"-")</f>
        <v>GEA</v>
      </c>
      <c r="AS185" t="str">
        <f>_xlfn.IFNA(VLOOKUP(Sheet1!$C185,MAC_DSUITE!A:D,3,FALSE),"-")</f>
        <v>mac_TN_BCP</v>
      </c>
      <c r="AT185" t="str">
        <f>_xlfn.IFNA(VLOOKUP(Sheet1!$C185,MONG_DSUITE!A:E,2,FALSE),"-")</f>
        <v>macrocarpa_BCP</v>
      </c>
      <c r="AU185" t="str">
        <f>_xlfn.IFNA(VLOOKUP(Sheet1!$C185,MAC_PAINT2!A:D,4,FALSE),"-")</f>
        <v>macpaint</v>
      </c>
      <c r="AV185" t="s">
        <v>9193</v>
      </c>
      <c r="AW185" t="s">
        <v>9193</v>
      </c>
    </row>
    <row r="186" spans="1:49" customFormat="1" x14ac:dyDescent="0.4">
      <c r="A186">
        <v>3637</v>
      </c>
      <c r="B186" t="s">
        <v>2116</v>
      </c>
      <c r="C186" t="s">
        <v>2117</v>
      </c>
      <c r="D186" t="str">
        <f>_xlfn.CONCAT(C186,".bam")</f>
        <v>SYST-MOR-0006874.bam</v>
      </c>
      <c r="E186" t="s">
        <v>2118</v>
      </c>
      <c r="F186" t="s">
        <v>2460</v>
      </c>
      <c r="G186" t="s">
        <v>2461</v>
      </c>
      <c r="H186" t="s">
        <v>2549</v>
      </c>
      <c r="I186" t="s">
        <v>2106</v>
      </c>
      <c r="K186" t="s">
        <v>84</v>
      </c>
      <c r="L186" t="s">
        <v>84</v>
      </c>
      <c r="N186" t="s">
        <v>84</v>
      </c>
      <c r="P186" t="s">
        <v>113</v>
      </c>
      <c r="Q186" t="s">
        <v>85</v>
      </c>
      <c r="R186" t="s">
        <v>2600</v>
      </c>
      <c r="S186" s="1">
        <v>44753</v>
      </c>
      <c r="T186" t="s">
        <v>2103</v>
      </c>
      <c r="U186" t="s">
        <v>34</v>
      </c>
      <c r="V186" s="1">
        <v>44757</v>
      </c>
      <c r="W186" t="s">
        <v>35</v>
      </c>
      <c r="X186" t="s">
        <v>2104</v>
      </c>
      <c r="Y186" t="s">
        <v>2105</v>
      </c>
      <c r="Z186" t="s">
        <v>38</v>
      </c>
      <c r="AA186" t="s">
        <v>2106</v>
      </c>
      <c r="AD186" t="s">
        <v>84</v>
      </c>
      <c r="AE186">
        <v>36.376674999999999</v>
      </c>
      <c r="AF186">
        <v>-86.352078000000006</v>
      </c>
      <c r="AG186" t="s">
        <v>40</v>
      </c>
      <c r="AH186" t="s">
        <v>41</v>
      </c>
      <c r="AI186">
        <v>36.376709734499997</v>
      </c>
      <c r="AJ186">
        <v>-86.352029437900001</v>
      </c>
      <c r="AK186">
        <v>3.4734499998023693E-5</v>
      </c>
      <c r="AL186">
        <v>4.856210000525607E-5</v>
      </c>
      <c r="AM186" t="str">
        <f>_xlfn.IFNA(VLOOKUP(Sheet1!$C186,ADMIX_ALL!A:B,2,FALSE),"none")</f>
        <v>K6-18</v>
      </c>
      <c r="AN186" t="str">
        <f>_xlfn.IFNA(VLOOKUP(Sheet1!C186,ADMIX_SS!A:B,2,FALSE),"none")</f>
        <v>SubSample</v>
      </c>
      <c r="AO186" t="str">
        <f>_xlfn.IFNA(VLOOKUP(Sheet1!$C186,MONG_PHYLO!A:C,3,FALSE),"-")</f>
        <v>-</v>
      </c>
      <c r="AP186" t="str">
        <f>_xlfn.IFNA(VLOOKUP(Sheet1!$C186,MAC_PHYLO!A:C,3,FALSE),"-")</f>
        <v>-</v>
      </c>
      <c r="AQ186" t="str">
        <f>_xlfn.IFNA(VLOOKUP(Sheet1!$C186,ConStruct!A:C,3,FALSE),"-")</f>
        <v>-</v>
      </c>
      <c r="AR186" t="str">
        <f>_xlfn.IFNA(VLOOKUP(Sheet1!$C186,GEA!A:C,3,FALSE),"-")</f>
        <v>-</v>
      </c>
      <c r="AS186" t="str">
        <f>_xlfn.IFNA(VLOOKUP(Sheet1!$C186,MAC_DSUITE!A:D,3,FALSE),"-")</f>
        <v>-</v>
      </c>
      <c r="AT186" t="str">
        <f>_xlfn.IFNA(VLOOKUP(Sheet1!$C186,MONG_DSUITE!A:E,2,FALSE),"-")</f>
        <v>xxx</v>
      </c>
      <c r="AU186" t="str">
        <f>_xlfn.IFNA(VLOOKUP(Sheet1!$C186,MAC_PAINT2!A:D,4,FALSE),"-")</f>
        <v>-</v>
      </c>
    </row>
    <row r="187" spans="1:49" customFormat="1" x14ac:dyDescent="0.4">
      <c r="A187">
        <v>3638</v>
      </c>
      <c r="B187" t="s">
        <v>2119</v>
      </c>
      <c r="C187" t="s">
        <v>2120</v>
      </c>
      <c r="D187" t="str">
        <f>_xlfn.CONCAT(C187,".bam")</f>
        <v>SYST-MOR-0006875.bam</v>
      </c>
      <c r="E187" t="s">
        <v>2121</v>
      </c>
      <c r="F187" t="s">
        <v>2460</v>
      </c>
      <c r="G187" t="s">
        <v>2461</v>
      </c>
      <c r="H187" t="s">
        <v>2549</v>
      </c>
      <c r="I187" t="s">
        <v>2106</v>
      </c>
      <c r="K187" t="s">
        <v>45</v>
      </c>
      <c r="L187" t="s">
        <v>45</v>
      </c>
      <c r="N187" t="s">
        <v>45</v>
      </c>
      <c r="P187" t="s">
        <v>113</v>
      </c>
      <c r="Q187" t="s">
        <v>46</v>
      </c>
      <c r="R187" t="s">
        <v>2597</v>
      </c>
      <c r="S187" s="1">
        <v>44753</v>
      </c>
      <c r="T187" t="s">
        <v>2103</v>
      </c>
      <c r="U187" t="s">
        <v>34</v>
      </c>
      <c r="V187" s="1">
        <v>44757</v>
      </c>
      <c r="W187" t="s">
        <v>35</v>
      </c>
      <c r="X187" t="s">
        <v>2104</v>
      </c>
      <c r="Y187" t="s">
        <v>2105</v>
      </c>
      <c r="Z187" t="s">
        <v>38</v>
      </c>
      <c r="AA187" t="s">
        <v>2106</v>
      </c>
      <c r="AD187" t="s">
        <v>45</v>
      </c>
      <c r="AE187">
        <v>36.376798000000001</v>
      </c>
      <c r="AF187">
        <v>-86.351910000000004</v>
      </c>
      <c r="AG187" t="s">
        <v>40</v>
      </c>
      <c r="AH187" t="s">
        <v>41</v>
      </c>
      <c r="AI187">
        <v>36.376797801800002</v>
      </c>
      <c r="AJ187">
        <v>-86.351840150599998</v>
      </c>
      <c r="AK187">
        <v>-1.9819999863557314E-7</v>
      </c>
      <c r="AL187">
        <v>6.9849400006205542E-5</v>
      </c>
      <c r="AM187" t="str">
        <f>_xlfn.IFNA(VLOOKUP(Sheet1!$C187,ADMIX_ALL!A:B,2,FALSE),"none")</f>
        <v>K6-18</v>
      </c>
      <c r="AN187" t="str">
        <f>_xlfn.IFNA(VLOOKUP(Sheet1!C187,ADMIX_SS!A:B,2,FALSE),"none")</f>
        <v>SubSample</v>
      </c>
      <c r="AO187" t="str">
        <f>_xlfn.IFNA(VLOOKUP(Sheet1!$C187,MONG_PHYLO!A:C,3,FALSE),"-")</f>
        <v>-</v>
      </c>
      <c r="AP187" t="str">
        <f>_xlfn.IFNA(VLOOKUP(Sheet1!$C187,MAC_PHYLO!A:C,3,FALSE),"-")</f>
        <v>-</v>
      </c>
      <c r="AQ187" t="str">
        <f>_xlfn.IFNA(VLOOKUP(Sheet1!$C187,ConStruct!A:C,3,FALSE),"-")</f>
        <v>ConStruct</v>
      </c>
      <c r="AR187" t="str">
        <f>_xlfn.IFNA(VLOOKUP(Sheet1!$C187,GEA!A:C,3,FALSE),"-")</f>
        <v>GEA</v>
      </c>
      <c r="AS187" t="str">
        <f>_xlfn.IFNA(VLOOKUP(Sheet1!$C187,MAC_DSUITE!A:D,3,FALSE),"-")</f>
        <v>mac_TN_BCP</v>
      </c>
      <c r="AT187" t="str">
        <f>_xlfn.IFNA(VLOOKUP(Sheet1!$C187,MONG_DSUITE!A:E,2,FALSE),"-")</f>
        <v>macrocarpa_BCP</v>
      </c>
      <c r="AU187" t="str">
        <f>_xlfn.IFNA(VLOOKUP(Sheet1!$C187,MAC_PAINT2!A:D,4,FALSE),"-")</f>
        <v>macpaint</v>
      </c>
      <c r="AV187" t="s">
        <v>9193</v>
      </c>
      <c r="AW187" t="s">
        <v>9193</v>
      </c>
    </row>
    <row r="188" spans="1:49" customFormat="1" x14ac:dyDescent="0.4">
      <c r="A188">
        <v>3639</v>
      </c>
      <c r="B188" t="s">
        <v>2122</v>
      </c>
      <c r="C188" t="s">
        <v>2123</v>
      </c>
      <c r="D188" t="str">
        <f>_xlfn.CONCAT(C188,".bam")</f>
        <v>SYST-MOR-0006876.bam</v>
      </c>
      <c r="E188" t="s">
        <v>2124</v>
      </c>
      <c r="F188" t="s">
        <v>2460</v>
      </c>
      <c r="G188" t="s">
        <v>2461</v>
      </c>
      <c r="H188" t="s">
        <v>2549</v>
      </c>
      <c r="I188" t="s">
        <v>2106</v>
      </c>
      <c r="K188" t="s">
        <v>84</v>
      </c>
      <c r="L188" t="s">
        <v>84</v>
      </c>
      <c r="N188" t="s">
        <v>84</v>
      </c>
      <c r="P188" t="s">
        <v>113</v>
      </c>
      <c r="Q188" t="s">
        <v>85</v>
      </c>
      <c r="R188" t="s">
        <v>2600</v>
      </c>
      <c r="S188" s="1">
        <v>44753</v>
      </c>
      <c r="T188" t="s">
        <v>2103</v>
      </c>
      <c r="U188" t="s">
        <v>34</v>
      </c>
      <c r="V188" s="1">
        <v>44757</v>
      </c>
      <c r="W188" t="s">
        <v>35</v>
      </c>
      <c r="X188" t="s">
        <v>2104</v>
      </c>
      <c r="Y188" t="s">
        <v>2105</v>
      </c>
      <c r="Z188" t="s">
        <v>38</v>
      </c>
      <c r="AA188" t="s">
        <v>2106</v>
      </c>
      <c r="AD188" t="s">
        <v>84</v>
      </c>
      <c r="AE188">
        <v>36.376933000000001</v>
      </c>
      <c r="AF188">
        <v>-86.351783999999995</v>
      </c>
      <c r="AG188" t="s">
        <v>40</v>
      </c>
      <c r="AH188" t="s">
        <v>41</v>
      </c>
      <c r="AI188">
        <v>36.376954972199997</v>
      </c>
      <c r="AJ188">
        <v>-86.351742970000004</v>
      </c>
      <c r="AK188">
        <v>2.1972199995445862E-5</v>
      </c>
      <c r="AL188">
        <v>4.1029999991337718E-5</v>
      </c>
      <c r="AM188" t="str">
        <f>_xlfn.IFNA(VLOOKUP(Sheet1!$C188,ADMIX_ALL!A:B,2,FALSE),"none")</f>
        <v>K6-18</v>
      </c>
      <c r="AN188" t="str">
        <f>_xlfn.IFNA(VLOOKUP(Sheet1!C188,ADMIX_SS!A:B,2,FALSE),"none")</f>
        <v>SubSample</v>
      </c>
      <c r="AO188" t="str">
        <f>_xlfn.IFNA(VLOOKUP(Sheet1!$C188,MONG_PHYLO!A:C,3,FALSE),"-")</f>
        <v>-</v>
      </c>
      <c r="AP188" t="str">
        <f>_xlfn.IFNA(VLOOKUP(Sheet1!$C188,MAC_PHYLO!A:C,3,FALSE),"-")</f>
        <v>-</v>
      </c>
      <c r="AQ188" t="str">
        <f>_xlfn.IFNA(VLOOKUP(Sheet1!$C188,ConStruct!A:C,3,FALSE),"-")</f>
        <v>-</v>
      </c>
      <c r="AR188" t="str">
        <f>_xlfn.IFNA(VLOOKUP(Sheet1!$C188,GEA!A:C,3,FALSE),"-")</f>
        <v>-</v>
      </c>
      <c r="AS188" t="str">
        <f>_xlfn.IFNA(VLOOKUP(Sheet1!$C188,MAC_DSUITE!A:D,3,FALSE),"-")</f>
        <v>-</v>
      </c>
      <c r="AT188" t="str">
        <f>_xlfn.IFNA(VLOOKUP(Sheet1!$C188,MONG_DSUITE!A:E,2,FALSE),"-")</f>
        <v>xxx</v>
      </c>
      <c r="AU188" t="str">
        <f>_xlfn.IFNA(VLOOKUP(Sheet1!$C188,MAC_PAINT2!A:D,4,FALSE),"-")</f>
        <v>-</v>
      </c>
    </row>
    <row r="189" spans="1:49" customFormat="1" x14ac:dyDescent="0.4">
      <c r="A189">
        <v>3640</v>
      </c>
      <c r="B189" t="s">
        <v>2125</v>
      </c>
      <c r="C189" t="s">
        <v>2126</v>
      </c>
      <c r="D189" t="str">
        <f>_xlfn.CONCAT(C189,".bam")</f>
        <v>SYST-MOR-0006877.bam</v>
      </c>
      <c r="E189" t="s">
        <v>2127</v>
      </c>
      <c r="F189" t="s">
        <v>2460</v>
      </c>
      <c r="G189" t="s">
        <v>2461</v>
      </c>
      <c r="H189" t="s">
        <v>2549</v>
      </c>
      <c r="I189" t="s">
        <v>2106</v>
      </c>
      <c r="K189" t="s">
        <v>64</v>
      </c>
      <c r="L189" t="s">
        <v>64</v>
      </c>
      <c r="N189" t="s">
        <v>64</v>
      </c>
      <c r="P189" t="s">
        <v>113</v>
      </c>
      <c r="Q189" t="s">
        <v>155</v>
      </c>
      <c r="R189" t="s">
        <v>2599</v>
      </c>
      <c r="S189" s="1">
        <v>44753</v>
      </c>
      <c r="T189" t="s">
        <v>2103</v>
      </c>
      <c r="U189" t="s">
        <v>34</v>
      </c>
      <c r="V189" s="1">
        <v>44757</v>
      </c>
      <c r="W189" t="s">
        <v>35</v>
      </c>
      <c r="X189" t="s">
        <v>2104</v>
      </c>
      <c r="Y189" t="s">
        <v>2105</v>
      </c>
      <c r="Z189" t="s">
        <v>38</v>
      </c>
      <c r="AA189" t="s">
        <v>2106</v>
      </c>
      <c r="AD189" t="s">
        <v>64</v>
      </c>
      <c r="AE189">
        <v>36.377459000000002</v>
      </c>
      <c r="AF189">
        <v>-86.351259999999996</v>
      </c>
      <c r="AG189" t="s">
        <v>40</v>
      </c>
      <c r="AH189" t="s">
        <v>41</v>
      </c>
      <c r="AI189">
        <v>36.377469442900001</v>
      </c>
      <c r="AJ189">
        <v>-86.351291724299998</v>
      </c>
      <c r="AK189">
        <v>1.044289999896364E-5</v>
      </c>
      <c r="AL189">
        <v>-3.17243000012013E-5</v>
      </c>
      <c r="AM189" t="str">
        <f>_xlfn.IFNA(VLOOKUP(Sheet1!$C189,ADMIX_ALL!A:B,2,FALSE),"none")</f>
        <v>K6-18</v>
      </c>
      <c r="AN189" t="str">
        <f>_xlfn.IFNA(VLOOKUP(Sheet1!C189,ADMIX_SS!A:B,2,FALSE),"none")</f>
        <v>SubSample</v>
      </c>
      <c r="AO189" t="str">
        <f>_xlfn.IFNA(VLOOKUP(Sheet1!$C189,MONG_PHYLO!A:C,3,FALSE),"-")</f>
        <v>-</v>
      </c>
      <c r="AP189" t="str">
        <f>_xlfn.IFNA(VLOOKUP(Sheet1!$C189,MAC_PHYLO!A:C,3,FALSE),"-")</f>
        <v>-</v>
      </c>
      <c r="AQ189" t="str">
        <f>_xlfn.IFNA(VLOOKUP(Sheet1!$C189,ConStruct!A:C,3,FALSE),"-")</f>
        <v>-</v>
      </c>
      <c r="AR189" t="str">
        <f>_xlfn.IFNA(VLOOKUP(Sheet1!$C189,GEA!A:C,3,FALSE),"-")</f>
        <v>-</v>
      </c>
      <c r="AS189" t="str">
        <f>_xlfn.IFNA(VLOOKUP(Sheet1!$C189,MAC_DSUITE!A:D,3,FALSE),"-")</f>
        <v>-</v>
      </c>
      <c r="AT189" t="str">
        <f>_xlfn.IFNA(VLOOKUP(Sheet1!$C189,MONG_DSUITE!A:E,2,FALSE),"-")</f>
        <v>xxx</v>
      </c>
      <c r="AU189" t="str">
        <f>_xlfn.IFNA(VLOOKUP(Sheet1!$C189,MAC_PAINT2!A:D,4,FALSE),"-")</f>
        <v>-</v>
      </c>
    </row>
    <row r="190" spans="1:49" customFormat="1" x14ac:dyDescent="0.4">
      <c r="A190">
        <v>3641</v>
      </c>
      <c r="B190" t="s">
        <v>2128</v>
      </c>
      <c r="C190" t="s">
        <v>2129</v>
      </c>
      <c r="D190" t="str">
        <f>_xlfn.CONCAT(C190,".bam")</f>
        <v>SYST-MOR-0006878.bam</v>
      </c>
      <c r="E190" t="s">
        <v>2130</v>
      </c>
      <c r="F190" t="s">
        <v>2460</v>
      </c>
      <c r="G190" t="s">
        <v>2461</v>
      </c>
      <c r="H190" t="s">
        <v>2549</v>
      </c>
      <c r="I190" t="s">
        <v>2106</v>
      </c>
      <c r="K190" t="s">
        <v>45</v>
      </c>
      <c r="L190" t="s">
        <v>45</v>
      </c>
      <c r="N190" t="s">
        <v>45</v>
      </c>
      <c r="P190" t="s">
        <v>113</v>
      </c>
      <c r="Q190" t="s">
        <v>46</v>
      </c>
      <c r="R190" t="s">
        <v>2597</v>
      </c>
      <c r="S190" s="1">
        <v>44753</v>
      </c>
      <c r="T190" t="s">
        <v>2103</v>
      </c>
      <c r="U190" t="s">
        <v>34</v>
      </c>
      <c r="V190" s="1">
        <v>44757</v>
      </c>
      <c r="W190" t="s">
        <v>35</v>
      </c>
      <c r="X190" t="s">
        <v>2104</v>
      </c>
      <c r="Y190" t="s">
        <v>2105</v>
      </c>
      <c r="Z190" t="s">
        <v>38</v>
      </c>
      <c r="AA190" t="s">
        <v>2106</v>
      </c>
      <c r="AD190" t="s">
        <v>45</v>
      </c>
      <c r="AE190">
        <v>36.377782000000003</v>
      </c>
      <c r="AF190">
        <v>-86.351107999999996</v>
      </c>
      <c r="AG190" t="s">
        <v>40</v>
      </c>
      <c r="AH190" t="s">
        <v>41</v>
      </c>
      <c r="AI190">
        <v>36.377750082200002</v>
      </c>
      <c r="AJ190">
        <v>-86.351050449599995</v>
      </c>
      <c r="AK190">
        <v>-3.191780000122435E-5</v>
      </c>
      <c r="AL190">
        <v>5.7550400001105118E-5</v>
      </c>
      <c r="AM190" t="str">
        <f>_xlfn.IFNA(VLOOKUP(Sheet1!$C190,ADMIX_ALL!A:B,2,FALSE),"none")</f>
        <v>K6-18</v>
      </c>
      <c r="AN190" t="str">
        <f>_xlfn.IFNA(VLOOKUP(Sheet1!C190,ADMIX_SS!A:B,2,FALSE),"none")</f>
        <v>SubSample</v>
      </c>
      <c r="AO190" t="str">
        <f>_xlfn.IFNA(VLOOKUP(Sheet1!$C190,MONG_PHYLO!A:C,3,FALSE),"-")</f>
        <v>-</v>
      </c>
      <c r="AP190" t="str">
        <f>_xlfn.IFNA(VLOOKUP(Sheet1!$C190,MAC_PHYLO!A:C,3,FALSE),"-")</f>
        <v>-</v>
      </c>
      <c r="AQ190" t="str">
        <f>_xlfn.IFNA(VLOOKUP(Sheet1!$C190,ConStruct!A:C,3,FALSE),"-")</f>
        <v>ConStruct</v>
      </c>
      <c r="AR190" t="str">
        <f>_xlfn.IFNA(VLOOKUP(Sheet1!$C190,GEA!A:C,3,FALSE),"-")</f>
        <v>GEA</v>
      </c>
      <c r="AS190" t="str">
        <f>_xlfn.IFNA(VLOOKUP(Sheet1!$C190,MAC_DSUITE!A:D,3,FALSE),"-")</f>
        <v>mac_TN_BCP</v>
      </c>
      <c r="AT190" t="str">
        <f>_xlfn.IFNA(VLOOKUP(Sheet1!$C190,MONG_DSUITE!A:E,2,FALSE),"-")</f>
        <v>macrocarpa_BCP</v>
      </c>
      <c r="AU190" t="str">
        <f>_xlfn.IFNA(VLOOKUP(Sheet1!$C190,MAC_PAINT2!A:D,4,FALSE),"-")</f>
        <v>macpaint</v>
      </c>
      <c r="AV190" t="s">
        <v>9193</v>
      </c>
      <c r="AW190" t="s">
        <v>9193</v>
      </c>
    </row>
    <row r="191" spans="1:49" customFormat="1" x14ac:dyDescent="0.4">
      <c r="A191">
        <v>3642</v>
      </c>
      <c r="B191" t="s">
        <v>2131</v>
      </c>
      <c r="C191" t="s">
        <v>2132</v>
      </c>
      <c r="D191" t="str">
        <f>_xlfn.CONCAT(C191,".bam")</f>
        <v>SYST-MOR-0006879.bam</v>
      </c>
      <c r="E191" t="s">
        <v>2133</v>
      </c>
      <c r="F191" t="s">
        <v>2460</v>
      </c>
      <c r="G191" t="s">
        <v>2461</v>
      </c>
      <c r="H191" t="s">
        <v>2549</v>
      </c>
      <c r="I191" t="s">
        <v>2106</v>
      </c>
      <c r="K191" t="s">
        <v>64</v>
      </c>
      <c r="L191" t="s">
        <v>64</v>
      </c>
      <c r="N191" t="s">
        <v>64</v>
      </c>
      <c r="P191" t="s">
        <v>113</v>
      </c>
      <c r="Q191" t="s">
        <v>155</v>
      </c>
      <c r="R191" t="s">
        <v>2599</v>
      </c>
      <c r="S191" s="1">
        <v>44753</v>
      </c>
      <c r="T191" t="s">
        <v>2103</v>
      </c>
      <c r="U191" t="s">
        <v>34</v>
      </c>
      <c r="V191" s="1">
        <v>44757</v>
      </c>
      <c r="W191" t="s">
        <v>35</v>
      </c>
      <c r="X191" t="s">
        <v>2104</v>
      </c>
      <c r="Y191" t="s">
        <v>2105</v>
      </c>
      <c r="Z191" t="s">
        <v>38</v>
      </c>
      <c r="AA191" t="s">
        <v>2106</v>
      </c>
      <c r="AD191" t="s">
        <v>64</v>
      </c>
      <c r="AE191">
        <v>36.377797999999999</v>
      </c>
      <c r="AF191">
        <v>-86.351110000000006</v>
      </c>
      <c r="AG191" t="s">
        <v>40</v>
      </c>
      <c r="AH191" t="s">
        <v>41</v>
      </c>
      <c r="AI191">
        <v>36.377688722400002</v>
      </c>
      <c r="AJ191">
        <v>-86.351041053900005</v>
      </c>
      <c r="AK191">
        <v>-1.0927759999646014E-4</v>
      </c>
      <c r="AL191">
        <v>6.8946100000744082E-5</v>
      </c>
      <c r="AM191" t="str">
        <f>_xlfn.IFNA(VLOOKUP(Sheet1!$C191,ADMIX_ALL!A:B,2,FALSE),"none")</f>
        <v>K6-18</v>
      </c>
      <c r="AN191" t="str">
        <f>_xlfn.IFNA(VLOOKUP(Sheet1!C191,ADMIX_SS!A:B,2,FALSE),"none")</f>
        <v>SubSample</v>
      </c>
      <c r="AO191" t="str">
        <f>_xlfn.IFNA(VLOOKUP(Sheet1!$C191,MONG_PHYLO!A:C,3,FALSE),"-")</f>
        <v>-</v>
      </c>
      <c r="AP191" t="str">
        <f>_xlfn.IFNA(VLOOKUP(Sheet1!$C191,MAC_PHYLO!A:C,3,FALSE),"-")</f>
        <v>-</v>
      </c>
      <c r="AQ191" t="str">
        <f>_xlfn.IFNA(VLOOKUP(Sheet1!$C191,ConStruct!A:C,3,FALSE),"-")</f>
        <v>-</v>
      </c>
      <c r="AR191" t="str">
        <f>_xlfn.IFNA(VLOOKUP(Sheet1!$C191,GEA!A:C,3,FALSE),"-")</f>
        <v>-</v>
      </c>
      <c r="AS191" t="str">
        <f>_xlfn.IFNA(VLOOKUP(Sheet1!$C191,MAC_DSUITE!A:D,3,FALSE),"-")</f>
        <v>-</v>
      </c>
      <c r="AT191" t="str">
        <f>_xlfn.IFNA(VLOOKUP(Sheet1!$C191,MONG_DSUITE!A:E,2,FALSE),"-")</f>
        <v>xxx</v>
      </c>
      <c r="AU191" t="str">
        <f>_xlfn.IFNA(VLOOKUP(Sheet1!$C191,MAC_PAINT2!A:D,4,FALSE),"-")</f>
        <v>-</v>
      </c>
    </row>
    <row r="192" spans="1:49" customFormat="1" x14ac:dyDescent="0.4">
      <c r="A192">
        <v>3643</v>
      </c>
      <c r="B192" t="s">
        <v>2134</v>
      </c>
      <c r="C192" t="s">
        <v>2135</v>
      </c>
      <c r="D192" t="str">
        <f>_xlfn.CONCAT(C192,".bam")</f>
        <v>SYST-MOR-0006880.bam</v>
      </c>
      <c r="E192" t="s">
        <v>2136</v>
      </c>
      <c r="F192" t="s">
        <v>2460</v>
      </c>
      <c r="G192" t="s">
        <v>2461</v>
      </c>
      <c r="H192" t="s">
        <v>2549</v>
      </c>
      <c r="I192" t="s">
        <v>2106</v>
      </c>
      <c r="K192" t="s">
        <v>84</v>
      </c>
      <c r="L192" t="s">
        <v>84</v>
      </c>
      <c r="N192" t="s">
        <v>84</v>
      </c>
      <c r="P192" t="s">
        <v>113</v>
      </c>
      <c r="Q192" t="s">
        <v>85</v>
      </c>
      <c r="R192" t="s">
        <v>2600</v>
      </c>
      <c r="S192" s="1">
        <v>44753</v>
      </c>
      <c r="T192" t="s">
        <v>2103</v>
      </c>
      <c r="U192" t="s">
        <v>34</v>
      </c>
      <c r="V192" s="1">
        <v>44757</v>
      </c>
      <c r="W192" t="s">
        <v>35</v>
      </c>
      <c r="X192" t="s">
        <v>2104</v>
      </c>
      <c r="Y192" t="s">
        <v>2105</v>
      </c>
      <c r="Z192" t="s">
        <v>38</v>
      </c>
      <c r="AA192" t="s">
        <v>2106</v>
      </c>
      <c r="AD192" t="s">
        <v>84</v>
      </c>
      <c r="AE192">
        <v>36.377740000000003</v>
      </c>
      <c r="AF192">
        <v>-86.351055000000002</v>
      </c>
      <c r="AG192" t="s">
        <v>40</v>
      </c>
      <c r="AH192" t="s">
        <v>41</v>
      </c>
      <c r="AI192">
        <v>36.377769516400001</v>
      </c>
      <c r="AJ192">
        <v>-86.350959168900005</v>
      </c>
      <c r="AK192">
        <v>2.9516399997930876E-5</v>
      </c>
      <c r="AL192">
        <v>9.5831099997667479E-5</v>
      </c>
      <c r="AM192" t="str">
        <f>_xlfn.IFNA(VLOOKUP(Sheet1!$C192,ADMIX_ALL!A:B,2,FALSE),"none")</f>
        <v>K6-18</v>
      </c>
      <c r="AN192" t="str">
        <f>_xlfn.IFNA(VLOOKUP(Sheet1!C192,ADMIX_SS!A:B,2,FALSE),"none")</f>
        <v>SubSample</v>
      </c>
      <c r="AO192" t="str">
        <f>_xlfn.IFNA(VLOOKUP(Sheet1!$C192,MONG_PHYLO!A:C,3,FALSE),"-")</f>
        <v>-</v>
      </c>
      <c r="AP192" t="str">
        <f>_xlfn.IFNA(VLOOKUP(Sheet1!$C192,MAC_PHYLO!A:C,3,FALSE),"-")</f>
        <v>mue</v>
      </c>
      <c r="AQ192" t="str">
        <f>_xlfn.IFNA(VLOOKUP(Sheet1!$C192,ConStruct!A:C,3,FALSE),"-")</f>
        <v>-</v>
      </c>
      <c r="AR192" t="str">
        <f>_xlfn.IFNA(VLOOKUP(Sheet1!$C192,GEA!A:C,3,FALSE),"-")</f>
        <v>-</v>
      </c>
      <c r="AS192" t="str">
        <f>_xlfn.IFNA(VLOOKUP(Sheet1!$C192,MAC_DSUITE!A:D,3,FALSE),"-")</f>
        <v>mue</v>
      </c>
      <c r="AT192" t="str">
        <f>_xlfn.IFNA(VLOOKUP(Sheet1!$C192,MONG_DSUITE!A:E,2,FALSE),"-")</f>
        <v>xxx</v>
      </c>
      <c r="AU192" t="str">
        <f>_xlfn.IFNA(VLOOKUP(Sheet1!$C192,MAC_PAINT2!A:D,4,FALSE),"-")</f>
        <v>mue-macpaint</v>
      </c>
    </row>
    <row r="193" spans="1:49" customFormat="1" x14ac:dyDescent="0.4">
      <c r="A193">
        <v>3644</v>
      </c>
      <c r="B193" t="s">
        <v>2137</v>
      </c>
      <c r="C193" t="s">
        <v>2138</v>
      </c>
      <c r="D193" t="str">
        <f>_xlfn.CONCAT(C193,".bam")</f>
        <v>SYST-MOR-0006881.bam</v>
      </c>
      <c r="E193" t="s">
        <v>2139</v>
      </c>
      <c r="F193" t="s">
        <v>2460</v>
      </c>
      <c r="G193" t="s">
        <v>2461</v>
      </c>
      <c r="H193" t="s">
        <v>2549</v>
      </c>
      <c r="I193" t="s">
        <v>2106</v>
      </c>
      <c r="K193" t="s">
        <v>64</v>
      </c>
      <c r="L193" t="s">
        <v>64</v>
      </c>
      <c r="N193" t="s">
        <v>64</v>
      </c>
      <c r="P193" t="s">
        <v>113</v>
      </c>
      <c r="Q193" t="s">
        <v>155</v>
      </c>
      <c r="R193" t="s">
        <v>2599</v>
      </c>
      <c r="S193" s="1">
        <v>44753</v>
      </c>
      <c r="T193" t="s">
        <v>2103</v>
      </c>
      <c r="U193" t="s">
        <v>34</v>
      </c>
      <c r="V193" s="1">
        <v>44757</v>
      </c>
      <c r="W193" t="s">
        <v>35</v>
      </c>
      <c r="X193" t="s">
        <v>2104</v>
      </c>
      <c r="Y193" t="s">
        <v>2105</v>
      </c>
      <c r="Z193" t="s">
        <v>38</v>
      </c>
      <c r="AA193" t="s">
        <v>2106</v>
      </c>
      <c r="AD193" t="s">
        <v>64</v>
      </c>
      <c r="AE193">
        <v>36.378008999999999</v>
      </c>
      <c r="AF193">
        <v>-86.350874000000005</v>
      </c>
      <c r="AG193" t="s">
        <v>40</v>
      </c>
      <c r="AH193" t="s">
        <v>41</v>
      </c>
      <c r="AI193">
        <v>36.377984183000002</v>
      </c>
      <c r="AJ193">
        <v>-86.350783660999994</v>
      </c>
      <c r="AK193">
        <v>-2.4816999996346567E-5</v>
      </c>
      <c r="AL193">
        <v>9.0339000010430937E-5</v>
      </c>
      <c r="AM193" t="str">
        <f>_xlfn.IFNA(VLOOKUP(Sheet1!$C193,ADMIX_ALL!A:B,2,FALSE),"none")</f>
        <v>K6-18</v>
      </c>
      <c r="AN193" t="str">
        <f>_xlfn.IFNA(VLOOKUP(Sheet1!C193,ADMIX_SS!A:B,2,FALSE),"none")</f>
        <v>SubSample</v>
      </c>
      <c r="AO193" t="str">
        <f>_xlfn.IFNA(VLOOKUP(Sheet1!$C193,MONG_PHYLO!A:C,3,FALSE),"-")</f>
        <v>-</v>
      </c>
      <c r="AP193" t="str">
        <f>_xlfn.IFNA(VLOOKUP(Sheet1!$C193,MAC_PHYLO!A:C,3,FALSE),"-")</f>
        <v>-</v>
      </c>
      <c r="AQ193" t="str">
        <f>_xlfn.IFNA(VLOOKUP(Sheet1!$C193,ConStruct!A:C,3,FALSE),"-")</f>
        <v>-</v>
      </c>
      <c r="AR193" t="str">
        <f>_xlfn.IFNA(VLOOKUP(Sheet1!$C193,GEA!A:C,3,FALSE),"-")</f>
        <v>-</v>
      </c>
      <c r="AS193" t="str">
        <f>_xlfn.IFNA(VLOOKUP(Sheet1!$C193,MAC_DSUITE!A:D,3,FALSE),"-")</f>
        <v>-</v>
      </c>
      <c r="AT193" t="str">
        <f>_xlfn.IFNA(VLOOKUP(Sheet1!$C193,MONG_DSUITE!A:E,2,FALSE),"-")</f>
        <v>xxx</v>
      </c>
      <c r="AU193" t="str">
        <f>_xlfn.IFNA(VLOOKUP(Sheet1!$C193,MAC_PAINT2!A:D,4,FALSE),"-")</f>
        <v>-</v>
      </c>
    </row>
    <row r="194" spans="1:49" customFormat="1" x14ac:dyDescent="0.4">
      <c r="A194">
        <v>3645</v>
      </c>
      <c r="B194" t="s">
        <v>2140</v>
      </c>
      <c r="C194" t="s">
        <v>2141</v>
      </c>
      <c r="D194" t="str">
        <f>_xlfn.CONCAT(C194,".bam")</f>
        <v>SYST-MOR-0006882.bam</v>
      </c>
      <c r="E194" t="s">
        <v>2142</v>
      </c>
      <c r="F194" t="s">
        <v>2460</v>
      </c>
      <c r="G194" t="s">
        <v>2461</v>
      </c>
      <c r="H194" t="s">
        <v>2549</v>
      </c>
      <c r="I194" t="s">
        <v>2106</v>
      </c>
      <c r="K194" t="s">
        <v>84</v>
      </c>
      <c r="L194" t="s">
        <v>84</v>
      </c>
      <c r="N194" t="s">
        <v>84</v>
      </c>
      <c r="P194" t="s">
        <v>113</v>
      </c>
      <c r="Q194" t="s">
        <v>85</v>
      </c>
      <c r="R194" t="s">
        <v>2600</v>
      </c>
      <c r="S194" s="1">
        <v>44753</v>
      </c>
      <c r="T194" t="s">
        <v>2103</v>
      </c>
      <c r="U194" t="s">
        <v>34</v>
      </c>
      <c r="V194" s="1">
        <v>44757</v>
      </c>
      <c r="W194" t="s">
        <v>35</v>
      </c>
      <c r="X194" t="s">
        <v>2104</v>
      </c>
      <c r="Y194" t="s">
        <v>2105</v>
      </c>
      <c r="Z194" t="s">
        <v>38</v>
      </c>
      <c r="AA194" t="s">
        <v>2106</v>
      </c>
      <c r="AD194" t="s">
        <v>84</v>
      </c>
      <c r="AE194">
        <v>36.378014999999998</v>
      </c>
      <c r="AF194">
        <v>-86.350899999999996</v>
      </c>
      <c r="AG194" t="s">
        <v>40</v>
      </c>
      <c r="AH194" t="s">
        <v>41</v>
      </c>
      <c r="AI194">
        <v>36.378031597000003</v>
      </c>
      <c r="AJ194">
        <v>-86.350899624600004</v>
      </c>
      <c r="AK194">
        <v>1.6597000005447171E-5</v>
      </c>
      <c r="AL194">
        <v>3.7539999198088481E-7</v>
      </c>
      <c r="AM194" t="str">
        <f>_xlfn.IFNA(VLOOKUP(Sheet1!$C194,ADMIX_ALL!A:B,2,FALSE),"none")</f>
        <v>K6-18</v>
      </c>
      <c r="AN194" t="str">
        <f>_xlfn.IFNA(VLOOKUP(Sheet1!C194,ADMIX_SS!A:B,2,FALSE),"none")</f>
        <v>SubSample</v>
      </c>
      <c r="AO194" t="str">
        <f>_xlfn.IFNA(VLOOKUP(Sheet1!$C194,MONG_PHYLO!A:C,3,FALSE),"-")</f>
        <v>-</v>
      </c>
      <c r="AP194" t="str">
        <f>_xlfn.IFNA(VLOOKUP(Sheet1!$C194,MAC_PHYLO!A:C,3,FALSE),"-")</f>
        <v>-</v>
      </c>
      <c r="AQ194" t="str">
        <f>_xlfn.IFNA(VLOOKUP(Sheet1!$C194,ConStruct!A:C,3,FALSE),"-")</f>
        <v>-</v>
      </c>
      <c r="AR194" t="str">
        <f>_xlfn.IFNA(VLOOKUP(Sheet1!$C194,GEA!A:C,3,FALSE),"-")</f>
        <v>-</v>
      </c>
      <c r="AS194" t="str">
        <f>_xlfn.IFNA(VLOOKUP(Sheet1!$C194,MAC_DSUITE!A:D,3,FALSE),"-")</f>
        <v>-</v>
      </c>
      <c r="AT194" t="str">
        <f>_xlfn.IFNA(VLOOKUP(Sheet1!$C194,MONG_DSUITE!A:E,2,FALSE),"-")</f>
        <v>xxx</v>
      </c>
      <c r="AU194" t="str">
        <f>_xlfn.IFNA(VLOOKUP(Sheet1!$C194,MAC_PAINT2!A:D,4,FALSE),"-")</f>
        <v>-</v>
      </c>
    </row>
    <row r="195" spans="1:49" customFormat="1" x14ac:dyDescent="0.4">
      <c r="A195">
        <v>3646</v>
      </c>
      <c r="B195" t="s">
        <v>2143</v>
      </c>
      <c r="C195" t="s">
        <v>2144</v>
      </c>
      <c r="D195" t="str">
        <f>_xlfn.CONCAT(C195,".bam")</f>
        <v>SYST-MOR-0006883.bam</v>
      </c>
      <c r="E195" t="s">
        <v>2145</v>
      </c>
      <c r="F195" t="s">
        <v>2460</v>
      </c>
      <c r="G195" t="s">
        <v>2461</v>
      </c>
      <c r="H195" t="s">
        <v>2549</v>
      </c>
      <c r="I195" t="s">
        <v>2106</v>
      </c>
      <c r="K195" t="s">
        <v>64</v>
      </c>
      <c r="L195" t="s">
        <v>64</v>
      </c>
      <c r="N195" t="s">
        <v>64</v>
      </c>
      <c r="P195" t="s">
        <v>113</v>
      </c>
      <c r="Q195" t="s">
        <v>155</v>
      </c>
      <c r="R195" t="s">
        <v>2599</v>
      </c>
      <c r="S195" s="1">
        <v>44753</v>
      </c>
      <c r="T195" t="s">
        <v>2103</v>
      </c>
      <c r="U195" t="s">
        <v>34</v>
      </c>
      <c r="V195" s="1">
        <v>44757</v>
      </c>
      <c r="W195" t="s">
        <v>35</v>
      </c>
      <c r="X195" t="s">
        <v>2104</v>
      </c>
      <c r="Y195" t="s">
        <v>2105</v>
      </c>
      <c r="Z195" t="s">
        <v>38</v>
      </c>
      <c r="AA195" t="s">
        <v>2106</v>
      </c>
      <c r="AD195" t="s">
        <v>64</v>
      </c>
      <c r="AE195">
        <v>36.378266000000004</v>
      </c>
      <c r="AF195">
        <v>-86.350746999999998</v>
      </c>
      <c r="AG195" t="s">
        <v>40</v>
      </c>
      <c r="AH195" t="s">
        <v>41</v>
      </c>
      <c r="AI195">
        <v>36.378324689700001</v>
      </c>
      <c r="AJ195">
        <v>-86.350729385799994</v>
      </c>
      <c r="AK195">
        <v>5.8689699997671596E-5</v>
      </c>
      <c r="AL195">
        <v>1.7614200004345548E-5</v>
      </c>
      <c r="AM195" t="str">
        <f>_xlfn.IFNA(VLOOKUP(Sheet1!$C195,ADMIX_ALL!A:B,2,FALSE),"none")</f>
        <v>K6-18</v>
      </c>
      <c r="AN195" t="str">
        <f>_xlfn.IFNA(VLOOKUP(Sheet1!C195,ADMIX_SS!A:B,2,FALSE),"none")</f>
        <v>SubSample</v>
      </c>
      <c r="AO195" t="str">
        <f>_xlfn.IFNA(VLOOKUP(Sheet1!$C195,MONG_PHYLO!A:C,3,FALSE),"-")</f>
        <v>-</v>
      </c>
      <c r="AP195" t="str">
        <f>_xlfn.IFNA(VLOOKUP(Sheet1!$C195,MAC_PHYLO!A:C,3,FALSE),"-")</f>
        <v>-</v>
      </c>
      <c r="AQ195" t="str">
        <f>_xlfn.IFNA(VLOOKUP(Sheet1!$C195,ConStruct!A:C,3,FALSE),"-")</f>
        <v>-</v>
      </c>
      <c r="AR195" t="str">
        <f>_xlfn.IFNA(VLOOKUP(Sheet1!$C195,GEA!A:C,3,FALSE),"-")</f>
        <v>-</v>
      </c>
      <c r="AS195" t="str">
        <f>_xlfn.IFNA(VLOOKUP(Sheet1!$C195,MAC_DSUITE!A:D,3,FALSE),"-")</f>
        <v>-</v>
      </c>
      <c r="AT195" t="str">
        <f>_xlfn.IFNA(VLOOKUP(Sheet1!$C195,MONG_DSUITE!A:E,2,FALSE),"-")</f>
        <v>xxx</v>
      </c>
      <c r="AU195" t="str">
        <f>_xlfn.IFNA(VLOOKUP(Sheet1!$C195,MAC_PAINT2!A:D,4,FALSE),"-")</f>
        <v>-</v>
      </c>
    </row>
    <row r="196" spans="1:49" customFormat="1" x14ac:dyDescent="0.4">
      <c r="A196">
        <v>3647</v>
      </c>
      <c r="B196" t="s">
        <v>2146</v>
      </c>
      <c r="C196" t="s">
        <v>2147</v>
      </c>
      <c r="D196" t="str">
        <f>_xlfn.CONCAT(C196,".bam")</f>
        <v>SYST-MOR-0006884.bam</v>
      </c>
      <c r="E196" t="s">
        <v>2148</v>
      </c>
      <c r="F196" t="s">
        <v>2460</v>
      </c>
      <c r="G196" t="s">
        <v>2461</v>
      </c>
      <c r="H196" t="s">
        <v>2549</v>
      </c>
      <c r="I196" t="s">
        <v>2106</v>
      </c>
      <c r="K196" t="s">
        <v>64</v>
      </c>
      <c r="L196" t="s">
        <v>64</v>
      </c>
      <c r="N196" t="s">
        <v>64</v>
      </c>
      <c r="P196" t="s">
        <v>113</v>
      </c>
      <c r="Q196" t="s">
        <v>155</v>
      </c>
      <c r="R196" t="s">
        <v>2599</v>
      </c>
      <c r="S196" s="1">
        <v>44753</v>
      </c>
      <c r="T196" t="s">
        <v>2103</v>
      </c>
      <c r="U196" t="s">
        <v>34</v>
      </c>
      <c r="V196" s="1">
        <v>44757</v>
      </c>
      <c r="W196" t="s">
        <v>35</v>
      </c>
      <c r="X196" t="s">
        <v>2104</v>
      </c>
      <c r="Y196" t="s">
        <v>2105</v>
      </c>
      <c r="Z196" t="s">
        <v>38</v>
      </c>
      <c r="AA196" t="s">
        <v>2106</v>
      </c>
      <c r="AD196" t="s">
        <v>64</v>
      </c>
      <c r="AE196">
        <v>36.376907000000003</v>
      </c>
      <c r="AF196">
        <v>-86.358224000000007</v>
      </c>
      <c r="AG196" t="s">
        <v>40</v>
      </c>
      <c r="AH196" t="s">
        <v>41</v>
      </c>
      <c r="AI196">
        <v>36.376807401000001</v>
      </c>
      <c r="AJ196">
        <v>-86.358141359000001</v>
      </c>
      <c r="AK196">
        <v>-9.959900000211519E-5</v>
      </c>
      <c r="AL196">
        <v>8.2641000005878595E-5</v>
      </c>
      <c r="AM196" t="str">
        <f>_xlfn.IFNA(VLOOKUP(Sheet1!$C196,ADMIX_ALL!A:B,2,FALSE),"none")</f>
        <v>K6-18</v>
      </c>
      <c r="AN196" t="str">
        <f>_xlfn.IFNA(VLOOKUP(Sheet1!C196,ADMIX_SS!A:B,2,FALSE),"none")</f>
        <v>SubSample</v>
      </c>
      <c r="AO196" t="str">
        <f>_xlfn.IFNA(VLOOKUP(Sheet1!$C196,MONG_PHYLO!A:C,3,FALSE),"-")</f>
        <v>-</v>
      </c>
      <c r="AP196" t="str">
        <f>_xlfn.IFNA(VLOOKUP(Sheet1!$C196,MAC_PHYLO!A:C,3,FALSE),"-")</f>
        <v>-</v>
      </c>
      <c r="AQ196" t="str">
        <f>_xlfn.IFNA(VLOOKUP(Sheet1!$C196,ConStruct!A:C,3,FALSE),"-")</f>
        <v>-</v>
      </c>
      <c r="AR196" t="str">
        <f>_xlfn.IFNA(VLOOKUP(Sheet1!$C196,GEA!A:C,3,FALSE),"-")</f>
        <v>-</v>
      </c>
      <c r="AS196" t="str">
        <f>_xlfn.IFNA(VLOOKUP(Sheet1!$C196,MAC_DSUITE!A:D,3,FALSE),"-")</f>
        <v>-</v>
      </c>
      <c r="AT196" t="str">
        <f>_xlfn.IFNA(VLOOKUP(Sheet1!$C196,MONG_DSUITE!A:E,2,FALSE),"-")</f>
        <v>xxx</v>
      </c>
      <c r="AU196" t="str">
        <f>_xlfn.IFNA(VLOOKUP(Sheet1!$C196,MAC_PAINT2!A:D,4,FALSE),"-")</f>
        <v>-</v>
      </c>
    </row>
    <row r="197" spans="1:49" customFormat="1" x14ac:dyDescent="0.4">
      <c r="A197">
        <v>3648</v>
      </c>
      <c r="B197" t="s">
        <v>2149</v>
      </c>
      <c r="C197" t="s">
        <v>2150</v>
      </c>
      <c r="D197" t="str">
        <f>_xlfn.CONCAT(C197,".bam")</f>
        <v>SYST-MOR-0006885.bam</v>
      </c>
      <c r="E197" t="s">
        <v>2151</v>
      </c>
      <c r="F197" t="s">
        <v>2460</v>
      </c>
      <c r="G197" t="s">
        <v>2462</v>
      </c>
      <c r="H197" t="s">
        <v>2550</v>
      </c>
      <c r="I197" t="s">
        <v>2153</v>
      </c>
      <c r="K197" t="s">
        <v>84</v>
      </c>
      <c r="L197" t="s">
        <v>84</v>
      </c>
      <c r="N197" t="s">
        <v>84</v>
      </c>
      <c r="P197" t="s">
        <v>113</v>
      </c>
      <c r="Q197" t="s">
        <v>85</v>
      </c>
      <c r="R197" t="s">
        <v>2600</v>
      </c>
      <c r="S197" s="1">
        <v>44753</v>
      </c>
      <c r="T197" t="s">
        <v>770</v>
      </c>
      <c r="U197" t="s">
        <v>34</v>
      </c>
      <c r="V197" s="1">
        <v>44757</v>
      </c>
      <c r="W197" t="s">
        <v>35</v>
      </c>
      <c r="X197" t="s">
        <v>2104</v>
      </c>
      <c r="Y197" t="s">
        <v>2152</v>
      </c>
      <c r="Z197" t="s">
        <v>38</v>
      </c>
      <c r="AA197" t="s">
        <v>2153</v>
      </c>
      <c r="AD197" t="s">
        <v>84</v>
      </c>
      <c r="AE197">
        <v>36.072969999999998</v>
      </c>
      <c r="AF197">
        <v>-86.313800000000001</v>
      </c>
      <c r="AG197" t="s">
        <v>40</v>
      </c>
      <c r="AH197" t="s">
        <v>41</v>
      </c>
      <c r="AI197">
        <v>36.0729364042</v>
      </c>
      <c r="AJ197">
        <v>-86.313884071999993</v>
      </c>
      <c r="AK197">
        <v>-3.3595799997954146E-5</v>
      </c>
      <c r="AL197">
        <v>-8.407199999282966E-5</v>
      </c>
      <c r="AM197" t="str">
        <f>_xlfn.IFNA(VLOOKUP(Sheet1!$C197,ADMIX_ALL!A:B,2,FALSE),"none")</f>
        <v>K6-18</v>
      </c>
      <c r="AN197" t="str">
        <f>_xlfn.IFNA(VLOOKUP(Sheet1!C197,ADMIX_SS!A:B,2,FALSE),"none")</f>
        <v>SubSample</v>
      </c>
      <c r="AO197" t="str">
        <f>_xlfn.IFNA(VLOOKUP(Sheet1!$C197,MONG_PHYLO!A:C,3,FALSE),"-")</f>
        <v>-</v>
      </c>
      <c r="AP197" t="str">
        <f>_xlfn.IFNA(VLOOKUP(Sheet1!$C197,MAC_PHYLO!A:C,3,FALSE),"-")</f>
        <v>-</v>
      </c>
      <c r="AQ197" t="str">
        <f>_xlfn.IFNA(VLOOKUP(Sheet1!$C197,ConStruct!A:C,3,FALSE),"-")</f>
        <v>-</v>
      </c>
      <c r="AR197" t="str">
        <f>_xlfn.IFNA(VLOOKUP(Sheet1!$C197,GEA!A:C,3,FALSE),"-")</f>
        <v>-</v>
      </c>
      <c r="AS197" t="str">
        <f>_xlfn.IFNA(VLOOKUP(Sheet1!$C197,MAC_DSUITE!A:D,3,FALSE),"-")</f>
        <v>-</v>
      </c>
      <c r="AT197" t="str">
        <f>_xlfn.IFNA(VLOOKUP(Sheet1!$C197,MONG_DSUITE!A:E,2,FALSE),"-")</f>
        <v>xxx</v>
      </c>
      <c r="AU197" t="str">
        <f>_xlfn.IFNA(VLOOKUP(Sheet1!$C197,MAC_PAINT2!A:D,4,FALSE),"-")</f>
        <v>-</v>
      </c>
    </row>
    <row r="198" spans="1:49" customFormat="1" x14ac:dyDescent="0.4">
      <c r="A198">
        <v>3649</v>
      </c>
      <c r="B198" t="s">
        <v>2154</v>
      </c>
      <c r="C198" t="s">
        <v>2155</v>
      </c>
      <c r="D198" t="str">
        <f>_xlfn.CONCAT(C198,".bam")</f>
        <v>SYST-MOR-0006886.bam</v>
      </c>
      <c r="E198" t="s">
        <v>2156</v>
      </c>
      <c r="F198" t="s">
        <v>2460</v>
      </c>
      <c r="G198" t="s">
        <v>2462</v>
      </c>
      <c r="H198" t="s">
        <v>2550</v>
      </c>
      <c r="I198" t="s">
        <v>2153</v>
      </c>
      <c r="K198" t="s">
        <v>50</v>
      </c>
      <c r="L198" t="s">
        <v>50</v>
      </c>
      <c r="N198" t="s">
        <v>50</v>
      </c>
      <c r="P198" t="s">
        <v>113</v>
      </c>
      <c r="Q198" t="s">
        <v>51</v>
      </c>
      <c r="R198" t="s">
        <v>2598</v>
      </c>
      <c r="S198" s="1">
        <v>44753</v>
      </c>
      <c r="T198" t="s">
        <v>770</v>
      </c>
      <c r="U198" t="s">
        <v>34</v>
      </c>
      <c r="V198" s="1">
        <v>44757</v>
      </c>
      <c r="W198" t="s">
        <v>35</v>
      </c>
      <c r="X198" t="s">
        <v>2104</v>
      </c>
      <c r="Y198" t="s">
        <v>2152</v>
      </c>
      <c r="Z198" t="s">
        <v>38</v>
      </c>
      <c r="AA198" t="s">
        <v>2153</v>
      </c>
      <c r="AD198" t="s">
        <v>50</v>
      </c>
      <c r="AE198">
        <v>36.073056999999999</v>
      </c>
      <c r="AF198">
        <v>-86.313585000000003</v>
      </c>
      <c r="AG198" t="s">
        <v>40</v>
      </c>
      <c r="AH198" t="s">
        <v>41</v>
      </c>
      <c r="AI198">
        <v>36.073028979100002</v>
      </c>
      <c r="AJ198">
        <v>-86.313585261599997</v>
      </c>
      <c r="AK198">
        <v>-2.8020899996761273E-5</v>
      </c>
      <c r="AL198">
        <v>-2.6159999322317162E-7</v>
      </c>
      <c r="AM198" t="str">
        <f>_xlfn.IFNA(VLOOKUP(Sheet1!$C198,ADMIX_ALL!A:B,2,FALSE),"none")</f>
        <v>K6-18</v>
      </c>
      <c r="AN198" t="str">
        <f>_xlfn.IFNA(VLOOKUP(Sheet1!C198,ADMIX_SS!A:B,2,FALSE),"none")</f>
        <v>Constant</v>
      </c>
      <c r="AO198" t="str">
        <f>_xlfn.IFNA(VLOOKUP(Sheet1!$C198,MONG_PHYLO!A:C,3,FALSE),"-")</f>
        <v>ste</v>
      </c>
      <c r="AP198" t="str">
        <f>_xlfn.IFNA(VLOOKUP(Sheet1!$C198,MAC_PHYLO!A:C,3,FALSE),"-")</f>
        <v>ste</v>
      </c>
      <c r="AQ198" t="str">
        <f>_xlfn.IFNA(VLOOKUP(Sheet1!$C198,ConStruct!A:C,3,FALSE),"-")</f>
        <v>-</v>
      </c>
      <c r="AR198" t="str">
        <f>_xlfn.IFNA(VLOOKUP(Sheet1!$C198,GEA!A:C,3,FALSE),"-")</f>
        <v>-</v>
      </c>
      <c r="AS198" t="str">
        <f>_xlfn.IFNA(VLOOKUP(Sheet1!$C198,MAC_DSUITE!A:D,3,FALSE),"-")</f>
        <v>ste</v>
      </c>
      <c r="AT198" t="str">
        <f>_xlfn.IFNA(VLOOKUP(Sheet1!$C198,MONG_DSUITE!A:E,2,FALSE),"-")</f>
        <v>stellata</v>
      </c>
      <c r="AU198" t="str">
        <f>_xlfn.IFNA(VLOOKUP(Sheet1!$C198,MAC_PAINT2!A:D,4,FALSE),"-")</f>
        <v>ste-macpaint</v>
      </c>
    </row>
    <row r="199" spans="1:49" customFormat="1" x14ac:dyDescent="0.4">
      <c r="A199">
        <v>3650</v>
      </c>
      <c r="B199" t="s">
        <v>2157</v>
      </c>
      <c r="C199" t="s">
        <v>2158</v>
      </c>
      <c r="D199" t="str">
        <f>_xlfn.CONCAT(C199,".bam")</f>
        <v>SYST-MOR-0006887.bam</v>
      </c>
      <c r="E199" t="s">
        <v>2159</v>
      </c>
      <c r="F199" t="s">
        <v>2460</v>
      </c>
      <c r="G199" t="s">
        <v>2462</v>
      </c>
      <c r="H199" t="s">
        <v>2550</v>
      </c>
      <c r="I199" t="s">
        <v>2153</v>
      </c>
      <c r="K199" t="s">
        <v>84</v>
      </c>
      <c r="L199" t="s">
        <v>84</v>
      </c>
      <c r="N199" t="s">
        <v>84</v>
      </c>
      <c r="P199" t="s">
        <v>113</v>
      </c>
      <c r="Q199" t="s">
        <v>85</v>
      </c>
      <c r="R199" t="s">
        <v>2600</v>
      </c>
      <c r="S199" s="1">
        <v>44753</v>
      </c>
      <c r="T199" t="s">
        <v>770</v>
      </c>
      <c r="U199" t="s">
        <v>34</v>
      </c>
      <c r="V199" s="1">
        <v>44757</v>
      </c>
      <c r="W199" t="s">
        <v>35</v>
      </c>
      <c r="X199" t="s">
        <v>2104</v>
      </c>
      <c r="Y199" t="s">
        <v>2152</v>
      </c>
      <c r="Z199" t="s">
        <v>38</v>
      </c>
      <c r="AA199" t="s">
        <v>2153</v>
      </c>
      <c r="AD199" t="s">
        <v>84</v>
      </c>
      <c r="AE199">
        <v>36.074587999999999</v>
      </c>
      <c r="AF199">
        <v>-86.314466999999993</v>
      </c>
      <c r="AG199" t="s">
        <v>40</v>
      </c>
      <c r="AH199" t="s">
        <v>41</v>
      </c>
      <c r="AI199">
        <v>36.074613011499999</v>
      </c>
      <c r="AJ199">
        <v>-86.314372653199996</v>
      </c>
      <c r="AK199">
        <v>2.5011500000005071E-5</v>
      </c>
      <c r="AL199">
        <v>9.4346799997424569E-5</v>
      </c>
      <c r="AM199" t="str">
        <f>_xlfn.IFNA(VLOOKUP(Sheet1!$C199,ADMIX_ALL!A:B,2,FALSE),"none")</f>
        <v>K6-18</v>
      </c>
      <c r="AN199" t="str">
        <f>_xlfn.IFNA(VLOOKUP(Sheet1!C199,ADMIX_SS!A:B,2,FALSE),"none")</f>
        <v>SubSample</v>
      </c>
      <c r="AO199" t="str">
        <f>_xlfn.IFNA(VLOOKUP(Sheet1!$C199,MONG_PHYLO!A:C,3,FALSE),"-")</f>
        <v>-</v>
      </c>
      <c r="AP199" t="str">
        <f>_xlfn.IFNA(VLOOKUP(Sheet1!$C199,MAC_PHYLO!A:C,3,FALSE),"-")</f>
        <v>-</v>
      </c>
      <c r="AQ199" t="str">
        <f>_xlfn.IFNA(VLOOKUP(Sheet1!$C199,ConStruct!A:C,3,FALSE),"-")</f>
        <v>-</v>
      </c>
      <c r="AR199" t="str">
        <f>_xlfn.IFNA(VLOOKUP(Sheet1!$C199,GEA!A:C,3,FALSE),"-")</f>
        <v>-</v>
      </c>
      <c r="AS199" t="str">
        <f>_xlfn.IFNA(VLOOKUP(Sheet1!$C199,MAC_DSUITE!A:D,3,FALSE),"-")</f>
        <v>-</v>
      </c>
      <c r="AT199" t="str">
        <f>_xlfn.IFNA(VLOOKUP(Sheet1!$C199,MONG_DSUITE!A:E,2,FALSE),"-")</f>
        <v>xxx</v>
      </c>
      <c r="AU199" t="str">
        <f>_xlfn.IFNA(VLOOKUP(Sheet1!$C199,MAC_PAINT2!A:D,4,FALSE),"-")</f>
        <v>-</v>
      </c>
    </row>
    <row r="200" spans="1:49" customFormat="1" x14ac:dyDescent="0.4">
      <c r="A200">
        <v>3651</v>
      </c>
      <c r="B200" t="s">
        <v>2160</v>
      </c>
      <c r="C200" t="s">
        <v>2161</v>
      </c>
      <c r="D200" t="str">
        <f>_xlfn.CONCAT(C200,".bam")</f>
        <v>SYST-MOR-0006888.bam</v>
      </c>
      <c r="E200" t="s">
        <v>2162</v>
      </c>
      <c r="F200" t="s">
        <v>2460</v>
      </c>
      <c r="G200" t="s">
        <v>2462</v>
      </c>
      <c r="H200" t="s">
        <v>2550</v>
      </c>
      <c r="I200" t="s">
        <v>2153</v>
      </c>
      <c r="K200" t="s">
        <v>50</v>
      </c>
      <c r="L200" t="s">
        <v>50</v>
      </c>
      <c r="N200" t="s">
        <v>50</v>
      </c>
      <c r="P200" t="s">
        <v>113</v>
      </c>
      <c r="Q200" t="s">
        <v>51</v>
      </c>
      <c r="R200" t="s">
        <v>2598</v>
      </c>
      <c r="S200" s="1">
        <v>44753</v>
      </c>
      <c r="T200" t="s">
        <v>770</v>
      </c>
      <c r="U200" t="s">
        <v>34</v>
      </c>
      <c r="V200" s="1">
        <v>44757</v>
      </c>
      <c r="W200" t="s">
        <v>35</v>
      </c>
      <c r="X200" t="s">
        <v>2104</v>
      </c>
      <c r="Y200" t="s">
        <v>2152</v>
      </c>
      <c r="Z200" t="s">
        <v>38</v>
      </c>
      <c r="AA200" t="s">
        <v>2153</v>
      </c>
      <c r="AD200" t="s">
        <v>50</v>
      </c>
      <c r="AE200">
        <v>36.074626000000002</v>
      </c>
      <c r="AF200">
        <v>-86.314306000000002</v>
      </c>
      <c r="AG200" t="s">
        <v>40</v>
      </c>
      <c r="AH200" t="s">
        <v>41</v>
      </c>
      <c r="AI200">
        <v>36.074651149099999</v>
      </c>
      <c r="AJ200">
        <v>-86.3143314143</v>
      </c>
      <c r="AK200">
        <v>2.5149099997179292E-5</v>
      </c>
      <c r="AL200">
        <v>-2.5414299997805756E-5</v>
      </c>
      <c r="AM200" t="str">
        <f>_xlfn.IFNA(VLOOKUP(Sheet1!$C200,ADMIX_ALL!A:B,2,FALSE),"none")</f>
        <v>K6-18</v>
      </c>
      <c r="AN200" t="str">
        <f>_xlfn.IFNA(VLOOKUP(Sheet1!C200,ADMIX_SS!A:B,2,FALSE),"none")</f>
        <v>SubSample</v>
      </c>
      <c r="AO200" t="str">
        <f>_xlfn.IFNA(VLOOKUP(Sheet1!$C200,MONG_PHYLO!A:C,3,FALSE),"-")</f>
        <v>-</v>
      </c>
      <c r="AP200" t="str">
        <f>_xlfn.IFNA(VLOOKUP(Sheet1!$C200,MAC_PHYLO!A:C,3,FALSE),"-")</f>
        <v>-</v>
      </c>
      <c r="AQ200" t="str">
        <f>_xlfn.IFNA(VLOOKUP(Sheet1!$C200,ConStruct!A:C,3,FALSE),"-")</f>
        <v>-</v>
      </c>
      <c r="AR200" t="str">
        <f>_xlfn.IFNA(VLOOKUP(Sheet1!$C200,GEA!A:C,3,FALSE),"-")</f>
        <v>-</v>
      </c>
      <c r="AS200" t="str">
        <f>_xlfn.IFNA(VLOOKUP(Sheet1!$C200,MAC_DSUITE!A:D,3,FALSE),"-")</f>
        <v>-</v>
      </c>
      <c r="AT200" t="str">
        <f>_xlfn.IFNA(VLOOKUP(Sheet1!$C200,MONG_DSUITE!A:E,2,FALSE),"-")</f>
        <v>xxx</v>
      </c>
      <c r="AU200" t="str">
        <f>_xlfn.IFNA(VLOOKUP(Sheet1!$C200,MAC_PAINT2!A:D,4,FALSE),"-")</f>
        <v>-</v>
      </c>
    </row>
    <row r="201" spans="1:49" customFormat="1" x14ac:dyDescent="0.4">
      <c r="A201">
        <v>3652</v>
      </c>
      <c r="B201" t="s">
        <v>2163</v>
      </c>
      <c r="C201" t="s">
        <v>2164</v>
      </c>
      <c r="D201" t="str">
        <f>_xlfn.CONCAT(C201,".bam")</f>
        <v>SYST-MOR-0006889.bam</v>
      </c>
      <c r="E201" t="s">
        <v>2165</v>
      </c>
      <c r="F201" t="s">
        <v>2460</v>
      </c>
      <c r="G201" t="s">
        <v>2462</v>
      </c>
      <c r="H201" t="s">
        <v>2550</v>
      </c>
      <c r="I201" t="s">
        <v>2153</v>
      </c>
      <c r="K201" t="s">
        <v>64</v>
      </c>
      <c r="L201" t="s">
        <v>64</v>
      </c>
      <c r="N201" t="s">
        <v>64</v>
      </c>
      <c r="P201" t="s">
        <v>113</v>
      </c>
      <c r="Q201" t="s">
        <v>155</v>
      </c>
      <c r="R201" t="s">
        <v>2599</v>
      </c>
      <c r="S201" s="1">
        <v>44753</v>
      </c>
      <c r="T201" t="s">
        <v>770</v>
      </c>
      <c r="U201" t="s">
        <v>34</v>
      </c>
      <c r="V201" s="1">
        <v>44757</v>
      </c>
      <c r="W201" t="s">
        <v>35</v>
      </c>
      <c r="X201" t="s">
        <v>2104</v>
      </c>
      <c r="Y201" t="s">
        <v>2152</v>
      </c>
      <c r="Z201" t="s">
        <v>38</v>
      </c>
      <c r="AA201" t="s">
        <v>2153</v>
      </c>
      <c r="AD201" t="s">
        <v>64</v>
      </c>
      <c r="AE201">
        <v>36.075606000000001</v>
      </c>
      <c r="AF201">
        <v>-86.313963999999999</v>
      </c>
      <c r="AG201" t="s">
        <v>40</v>
      </c>
      <c r="AH201" t="s">
        <v>41</v>
      </c>
      <c r="AI201">
        <v>36.075697126800002</v>
      </c>
      <c r="AJ201">
        <v>-86.313970992400002</v>
      </c>
      <c r="AK201">
        <v>9.1126800001006814E-5</v>
      </c>
      <c r="AL201">
        <v>-6.9924000030141542E-6</v>
      </c>
      <c r="AM201" t="str">
        <f>_xlfn.IFNA(VLOOKUP(Sheet1!$C201,ADMIX_ALL!A:B,2,FALSE),"none")</f>
        <v>K6-18</v>
      </c>
      <c r="AN201" t="str">
        <f>_xlfn.IFNA(VLOOKUP(Sheet1!C201,ADMIX_SS!A:B,2,FALSE),"none")</f>
        <v>SubSample</v>
      </c>
      <c r="AO201" t="str">
        <f>_xlfn.IFNA(VLOOKUP(Sheet1!$C201,MONG_PHYLO!A:C,3,FALSE),"-")</f>
        <v>-</v>
      </c>
      <c r="AP201" t="str">
        <f>_xlfn.IFNA(VLOOKUP(Sheet1!$C201,MAC_PHYLO!A:C,3,FALSE),"-")</f>
        <v>-</v>
      </c>
      <c r="AQ201" t="str">
        <f>_xlfn.IFNA(VLOOKUP(Sheet1!$C201,ConStruct!A:C,3,FALSE),"-")</f>
        <v>-</v>
      </c>
      <c r="AR201" t="str">
        <f>_xlfn.IFNA(VLOOKUP(Sheet1!$C201,GEA!A:C,3,FALSE),"-")</f>
        <v>-</v>
      </c>
      <c r="AS201" t="str">
        <f>_xlfn.IFNA(VLOOKUP(Sheet1!$C201,MAC_DSUITE!A:D,3,FALSE),"-")</f>
        <v>-</v>
      </c>
      <c r="AT201" t="str">
        <f>_xlfn.IFNA(VLOOKUP(Sheet1!$C201,MONG_DSUITE!A:E,2,FALSE),"-")</f>
        <v>xxx</v>
      </c>
      <c r="AU201" t="str">
        <f>_xlfn.IFNA(VLOOKUP(Sheet1!$C201,MAC_PAINT2!A:D,4,FALSE),"-")</f>
        <v>-</v>
      </c>
    </row>
    <row r="202" spans="1:49" customFormat="1" x14ac:dyDescent="0.4">
      <c r="A202">
        <v>3653</v>
      </c>
      <c r="B202" t="s">
        <v>880</v>
      </c>
      <c r="C202" t="s">
        <v>881</v>
      </c>
      <c r="D202" t="str">
        <f>_xlfn.CONCAT(C202,".bam")</f>
        <v>SYST-MOR-0006890.bam</v>
      </c>
      <c r="E202" t="s">
        <v>882</v>
      </c>
      <c r="F202" t="s">
        <v>2424</v>
      </c>
      <c r="G202" t="s">
        <v>2430</v>
      </c>
      <c r="H202" t="s">
        <v>2514</v>
      </c>
      <c r="I202" t="s">
        <v>883</v>
      </c>
      <c r="K202" t="s">
        <v>45</v>
      </c>
      <c r="L202" t="s">
        <v>45</v>
      </c>
      <c r="N202" t="s">
        <v>45</v>
      </c>
      <c r="P202" t="s">
        <v>31</v>
      </c>
      <c r="Q202" t="s">
        <v>46</v>
      </c>
      <c r="R202" t="s">
        <v>2597</v>
      </c>
      <c r="S202" s="1">
        <v>44754</v>
      </c>
      <c r="T202" t="s">
        <v>770</v>
      </c>
      <c r="U202" t="s">
        <v>34</v>
      </c>
      <c r="V202" s="1">
        <v>44757</v>
      </c>
      <c r="W202" t="s">
        <v>35</v>
      </c>
      <c r="X202" t="s">
        <v>737</v>
      </c>
      <c r="Y202" t="s">
        <v>738</v>
      </c>
      <c r="Z202" t="s">
        <v>206</v>
      </c>
      <c r="AA202" t="s">
        <v>883</v>
      </c>
      <c r="AD202" t="s">
        <v>45</v>
      </c>
      <c r="AE202">
        <v>38.059359000000001</v>
      </c>
      <c r="AF202">
        <v>-86.513459999999995</v>
      </c>
      <c r="AG202" t="s">
        <v>40</v>
      </c>
      <c r="AH202" t="s">
        <v>41</v>
      </c>
      <c r="AI202">
        <v>38.059436115499999</v>
      </c>
      <c r="AJ202">
        <v>-84.513545148199995</v>
      </c>
      <c r="AK202">
        <v>7.7115499998114956E-5</v>
      </c>
      <c r="AL202">
        <v>1.9999148517999998</v>
      </c>
      <c r="AM202" t="str">
        <f>_xlfn.IFNA(VLOOKUP(Sheet1!$C202,ADMIX_ALL!A:B,2,FALSE),"none")</f>
        <v>K6-18</v>
      </c>
      <c r="AN202" t="str">
        <f>_xlfn.IFNA(VLOOKUP(Sheet1!C202,ADMIX_SS!A:B,2,FALSE),"none")</f>
        <v>SubSample</v>
      </c>
      <c r="AO202" t="str">
        <f>_xlfn.IFNA(VLOOKUP(Sheet1!$C202,MONG_PHYLO!A:C,3,FALSE),"-")</f>
        <v>-</v>
      </c>
      <c r="AP202" t="str">
        <f>_xlfn.IFNA(VLOOKUP(Sheet1!$C202,MAC_PHYLO!A:C,3,FALSE),"-")</f>
        <v>-</v>
      </c>
      <c r="AQ202" t="str">
        <f>_xlfn.IFNA(VLOOKUP(Sheet1!$C202,ConStruct!A:C,3,FALSE),"-")</f>
        <v>ConStruct</v>
      </c>
      <c r="AR202" t="str">
        <f>_xlfn.IFNA(VLOOKUP(Sheet1!$C202,GEA!A:C,3,FALSE),"-")</f>
        <v>GEA</v>
      </c>
      <c r="AS202" t="str">
        <f>_xlfn.IFNA(VLOOKUP(Sheet1!$C202,MAC_DSUITE!A:D,3,FALSE),"-")</f>
        <v>mac_KY_LXC</v>
      </c>
      <c r="AT202" t="str">
        <f>_xlfn.IFNA(VLOOKUP(Sheet1!$C202,MONG_DSUITE!A:E,2,FALSE),"-")</f>
        <v>macrocarpa_LXC</v>
      </c>
      <c r="AU202" t="str">
        <f>_xlfn.IFNA(VLOOKUP(Sheet1!$C202,MAC_PAINT2!A:D,4,FALSE),"-")</f>
        <v>macpaint</v>
      </c>
      <c r="AV202" t="s">
        <v>9193</v>
      </c>
      <c r="AW202" t="s">
        <v>9193</v>
      </c>
    </row>
    <row r="203" spans="1:49" s="16" customFormat="1" x14ac:dyDescent="0.4">
      <c r="A203" s="16">
        <v>3654</v>
      </c>
      <c r="B203" s="16" t="s">
        <v>884</v>
      </c>
      <c r="C203" s="16" t="s">
        <v>885</v>
      </c>
      <c r="D203" s="16" t="str">
        <f>_xlfn.CONCAT(C203,".bam")</f>
        <v>SYST-MOR-0006891.bam</v>
      </c>
      <c r="E203" s="16" t="s">
        <v>886</v>
      </c>
      <c r="F203" s="16" t="s">
        <v>2424</v>
      </c>
      <c r="G203" s="16" t="s">
        <v>2430</v>
      </c>
      <c r="H203" s="16" t="s">
        <v>2514</v>
      </c>
      <c r="I203" s="16" t="s">
        <v>883</v>
      </c>
      <c r="K203" s="16" t="s">
        <v>45</v>
      </c>
      <c r="L203" s="16" t="s">
        <v>45</v>
      </c>
      <c r="N203" s="16" t="s">
        <v>45</v>
      </c>
      <c r="P203" s="16" t="s">
        <v>31</v>
      </c>
      <c r="Q203" s="16" t="s">
        <v>114</v>
      </c>
      <c r="R203" s="16" t="s">
        <v>2597</v>
      </c>
      <c r="S203" s="17">
        <v>44754</v>
      </c>
      <c r="T203" s="16" t="s">
        <v>770</v>
      </c>
      <c r="U203" s="16" t="s">
        <v>34</v>
      </c>
      <c r="V203" s="17">
        <v>44757</v>
      </c>
      <c r="W203" s="16" t="s">
        <v>35</v>
      </c>
      <c r="X203" s="16" t="s">
        <v>737</v>
      </c>
      <c r="Y203" s="16" t="s">
        <v>738</v>
      </c>
      <c r="Z203" s="16" t="s">
        <v>206</v>
      </c>
      <c r="AA203" s="16" t="s">
        <v>883</v>
      </c>
      <c r="AD203" s="16" t="s">
        <v>45</v>
      </c>
      <c r="AE203" s="16">
        <v>38.061765000000001</v>
      </c>
      <c r="AF203" s="16">
        <v>-84.506476000000006</v>
      </c>
      <c r="AG203" s="16" t="s">
        <v>40</v>
      </c>
      <c r="AH203" s="16" t="s">
        <v>41</v>
      </c>
      <c r="AI203" s="16">
        <v>38.0621759012</v>
      </c>
      <c r="AJ203" s="16">
        <v>-84.505813503699997</v>
      </c>
      <c r="AK203" s="16">
        <v>4.1090119999864783E-4</v>
      </c>
      <c r="AL203" s="16">
        <v>6.6249630000925208E-4</v>
      </c>
      <c r="AM203" s="16" t="str">
        <f>_xlfn.IFNA(VLOOKUP(Sheet1!$C203,ADMIX_ALL!A:B,2,FALSE),"none")</f>
        <v>K6-18</v>
      </c>
      <c r="AN203" s="16" t="str">
        <f>_xlfn.IFNA(VLOOKUP(Sheet1!C203,ADMIX_SS!A:B,2,FALSE),"none")</f>
        <v>SubSample</v>
      </c>
      <c r="AO203" s="16" t="str">
        <f>_xlfn.IFNA(VLOOKUP(Sheet1!$C203,MONG_PHYLO!A:C,3,FALSE),"-")</f>
        <v>-</v>
      </c>
      <c r="AP203" s="16" t="str">
        <f>_xlfn.IFNA(VLOOKUP(Sheet1!$C203,MAC_PHYLO!A:C,3,FALSE),"-")</f>
        <v>-</v>
      </c>
      <c r="AQ203" s="16" t="str">
        <f>_xlfn.IFNA(VLOOKUP(Sheet1!$C203,ConStruct!A:C,3,FALSE),"-")</f>
        <v>ConStruct</v>
      </c>
      <c r="AR203" s="16" t="str">
        <f>_xlfn.IFNA(VLOOKUP(Sheet1!$C203,GEA!A:C,3,FALSE),"-")</f>
        <v>GEA</v>
      </c>
      <c r="AS203" s="16" t="str">
        <f>_xlfn.IFNA(VLOOKUP(Sheet1!$C203,MAC_DSUITE!A:D,3,FALSE),"-")</f>
        <v>mac_KY_LXC</v>
      </c>
      <c r="AT203" s="16" t="str">
        <f>_xlfn.IFNA(VLOOKUP(Sheet1!$C203,MONG_DSUITE!A:E,2,FALSE),"-")</f>
        <v>macrocarpa_LXC</v>
      </c>
      <c r="AU203" s="16" t="str">
        <f>_xlfn.IFNA(VLOOKUP(Sheet1!$C203,MAC_PAINT2!A:D,4,FALSE),"-")</f>
        <v>-</v>
      </c>
      <c r="AV203" s="16" t="s">
        <v>9195</v>
      </c>
      <c r="AW203" s="16" t="s">
        <v>9193</v>
      </c>
    </row>
    <row r="204" spans="1:49" customFormat="1" x14ac:dyDescent="0.4">
      <c r="A204">
        <v>3655</v>
      </c>
      <c r="B204" t="s">
        <v>887</v>
      </c>
      <c r="C204" t="s">
        <v>888</v>
      </c>
      <c r="D204" t="str">
        <f>_xlfn.CONCAT(C204,".bam")</f>
        <v>SYST-MOR-0006892.bam</v>
      </c>
      <c r="E204" t="s">
        <v>889</v>
      </c>
      <c r="F204" t="s">
        <v>2424</v>
      </c>
      <c r="G204" t="s">
        <v>2430</v>
      </c>
      <c r="H204" t="s">
        <v>2514</v>
      </c>
      <c r="I204" t="s">
        <v>883</v>
      </c>
      <c r="K204" t="s">
        <v>45</v>
      </c>
      <c r="L204" t="s">
        <v>45</v>
      </c>
      <c r="N204" t="s">
        <v>45</v>
      </c>
      <c r="P204" t="s">
        <v>31</v>
      </c>
      <c r="Q204" t="s">
        <v>46</v>
      </c>
      <c r="R204" t="s">
        <v>2597</v>
      </c>
      <c r="S204" s="1">
        <v>44754</v>
      </c>
      <c r="T204" t="s">
        <v>770</v>
      </c>
      <c r="U204" t="s">
        <v>34</v>
      </c>
      <c r="V204" s="1">
        <v>44757</v>
      </c>
      <c r="W204" t="s">
        <v>35</v>
      </c>
      <c r="X204" t="s">
        <v>737</v>
      </c>
      <c r="Y204" t="s">
        <v>738</v>
      </c>
      <c r="Z204" t="s">
        <v>206</v>
      </c>
      <c r="AA204" t="s">
        <v>883</v>
      </c>
      <c r="AD204" t="s">
        <v>45</v>
      </c>
      <c r="AE204">
        <v>38.061055000000003</v>
      </c>
      <c r="AF204">
        <v>-84.507112000000006</v>
      </c>
      <c r="AG204" t="s">
        <v>40</v>
      </c>
      <c r="AH204" t="s">
        <v>41</v>
      </c>
      <c r="AI204">
        <v>38.061023647900001</v>
      </c>
      <c r="AJ204">
        <v>-84.507037773799993</v>
      </c>
      <c r="AK204">
        <v>-3.1352100002379757E-5</v>
      </c>
      <c r="AL204">
        <v>7.422620001307223E-5</v>
      </c>
      <c r="AM204" t="str">
        <f>_xlfn.IFNA(VLOOKUP(Sheet1!$C204,ADMIX_ALL!A:B,2,FALSE),"none")</f>
        <v>K6-18</v>
      </c>
      <c r="AN204" t="str">
        <f>_xlfn.IFNA(VLOOKUP(Sheet1!C204,ADMIX_SS!A:B,2,FALSE),"none")</f>
        <v>SubSample</v>
      </c>
      <c r="AO204" t="str">
        <f>_xlfn.IFNA(VLOOKUP(Sheet1!$C204,MONG_PHYLO!A:C,3,FALSE),"-")</f>
        <v>-</v>
      </c>
      <c r="AP204" t="str">
        <f>_xlfn.IFNA(VLOOKUP(Sheet1!$C204,MAC_PHYLO!A:C,3,FALSE),"-")</f>
        <v>-</v>
      </c>
      <c r="AQ204" t="str">
        <f>_xlfn.IFNA(VLOOKUP(Sheet1!$C204,ConStruct!A:C,3,FALSE),"-")</f>
        <v>ConStruct</v>
      </c>
      <c r="AR204" t="str">
        <f>_xlfn.IFNA(VLOOKUP(Sheet1!$C204,GEA!A:C,3,FALSE),"-")</f>
        <v>GEA</v>
      </c>
      <c r="AS204" t="str">
        <f>_xlfn.IFNA(VLOOKUP(Sheet1!$C204,MAC_DSUITE!A:D,3,FALSE),"-")</f>
        <v>mac_KY_LXC</v>
      </c>
      <c r="AT204" t="str">
        <f>_xlfn.IFNA(VLOOKUP(Sheet1!$C204,MONG_DSUITE!A:E,2,FALSE),"-")</f>
        <v>macrocarpa_LXC</v>
      </c>
      <c r="AU204" t="str">
        <f>_xlfn.IFNA(VLOOKUP(Sheet1!$C204,MAC_PAINT2!A:D,4,FALSE),"-")</f>
        <v>macpaint</v>
      </c>
      <c r="AV204" t="s">
        <v>9193</v>
      </c>
      <c r="AW204" t="s">
        <v>9193</v>
      </c>
    </row>
    <row r="205" spans="1:49" customFormat="1" x14ac:dyDescent="0.4">
      <c r="A205">
        <v>3656</v>
      </c>
      <c r="B205" t="s">
        <v>890</v>
      </c>
      <c r="C205" t="s">
        <v>891</v>
      </c>
      <c r="D205" t="str">
        <f>_xlfn.CONCAT(C205,".bam")</f>
        <v>SYST-MOR-0006893.bam</v>
      </c>
      <c r="E205" t="s">
        <v>892</v>
      </c>
      <c r="F205" t="s">
        <v>2424</v>
      </c>
      <c r="G205" t="s">
        <v>2430</v>
      </c>
      <c r="H205" t="s">
        <v>2514</v>
      </c>
      <c r="I205" t="s">
        <v>883</v>
      </c>
      <c r="K205" t="s">
        <v>45</v>
      </c>
      <c r="L205" t="s">
        <v>45</v>
      </c>
      <c r="N205" t="s">
        <v>45</v>
      </c>
      <c r="P205" t="s">
        <v>31</v>
      </c>
      <c r="Q205" t="s">
        <v>114</v>
      </c>
      <c r="R205" t="s">
        <v>2597</v>
      </c>
      <c r="S205" s="1">
        <v>44754</v>
      </c>
      <c r="T205" t="s">
        <v>770</v>
      </c>
      <c r="U205" t="s">
        <v>34</v>
      </c>
      <c r="V205" s="1">
        <v>44757</v>
      </c>
      <c r="W205" t="s">
        <v>35</v>
      </c>
      <c r="X205" t="s">
        <v>737</v>
      </c>
      <c r="Y205" t="s">
        <v>738</v>
      </c>
      <c r="Z205" t="s">
        <v>206</v>
      </c>
      <c r="AA205" t="s">
        <v>883</v>
      </c>
      <c r="AD205" t="s">
        <v>45</v>
      </c>
      <c r="AE205">
        <v>38.058273999999997</v>
      </c>
      <c r="AF205">
        <v>-84.508550999999997</v>
      </c>
      <c r="AG205" t="s">
        <v>40</v>
      </c>
      <c r="AH205" t="s">
        <v>41</v>
      </c>
      <c r="AI205">
        <v>38.058172669299999</v>
      </c>
      <c r="AJ205">
        <v>-84.508623043200004</v>
      </c>
      <c r="AK205">
        <v>-1.0133069999795907E-4</v>
      </c>
      <c r="AL205">
        <v>-7.204320000653297E-5</v>
      </c>
      <c r="AM205" t="str">
        <f>_xlfn.IFNA(VLOOKUP(Sheet1!$C205,ADMIX_ALL!A:B,2,FALSE),"none")</f>
        <v>K6-18</v>
      </c>
      <c r="AN205" t="str">
        <f>_xlfn.IFNA(VLOOKUP(Sheet1!C205,ADMIX_SS!A:B,2,FALSE),"none")</f>
        <v>SubSample</v>
      </c>
      <c r="AO205" t="str">
        <f>_xlfn.IFNA(VLOOKUP(Sheet1!$C205,MONG_PHYLO!A:C,3,FALSE),"-")</f>
        <v>-</v>
      </c>
      <c r="AP205" t="str">
        <f>_xlfn.IFNA(VLOOKUP(Sheet1!$C205,MAC_PHYLO!A:C,3,FALSE),"-")</f>
        <v>-</v>
      </c>
      <c r="AQ205" t="str">
        <f>_xlfn.IFNA(VLOOKUP(Sheet1!$C205,ConStruct!A:C,3,FALSE),"-")</f>
        <v>ConStruct</v>
      </c>
      <c r="AR205" t="str">
        <f>_xlfn.IFNA(VLOOKUP(Sheet1!$C205,GEA!A:C,3,FALSE),"-")</f>
        <v>GEA</v>
      </c>
      <c r="AS205" t="str">
        <f>_xlfn.IFNA(VLOOKUP(Sheet1!$C205,MAC_DSUITE!A:D,3,FALSE),"-")</f>
        <v>mac_KY_LXC</v>
      </c>
      <c r="AT205" t="str">
        <f>_xlfn.IFNA(VLOOKUP(Sheet1!$C205,MONG_DSUITE!A:E,2,FALSE),"-")</f>
        <v>macrocarpa_LXC</v>
      </c>
      <c r="AU205" t="str">
        <f>_xlfn.IFNA(VLOOKUP(Sheet1!$C205,MAC_PAINT2!A:D,4,FALSE),"-")</f>
        <v>macpaint</v>
      </c>
      <c r="AV205" t="s">
        <v>9193</v>
      </c>
      <c r="AW205" t="s">
        <v>9193</v>
      </c>
    </row>
    <row r="206" spans="1:49" customFormat="1" x14ac:dyDescent="0.4">
      <c r="A206">
        <v>3657</v>
      </c>
      <c r="B206" t="s">
        <v>799</v>
      </c>
      <c r="C206" t="s">
        <v>800</v>
      </c>
      <c r="D206" t="str">
        <f>_xlfn.CONCAT(C206,".bam")</f>
        <v>SYST-MOR-0006894.bam</v>
      </c>
      <c r="E206" t="s">
        <v>801</v>
      </c>
      <c r="F206" t="s">
        <v>2424</v>
      </c>
      <c r="G206" t="s">
        <v>2427</v>
      </c>
      <c r="H206" t="s">
        <v>2511</v>
      </c>
      <c r="I206" t="s">
        <v>802</v>
      </c>
      <c r="K206" t="s">
        <v>45</v>
      </c>
      <c r="L206" t="s">
        <v>45</v>
      </c>
      <c r="N206" t="s">
        <v>45</v>
      </c>
      <c r="P206" t="s">
        <v>31</v>
      </c>
      <c r="Q206" t="s">
        <v>114</v>
      </c>
      <c r="R206" t="s">
        <v>2597</v>
      </c>
      <c r="S206" s="1">
        <v>44754</v>
      </c>
      <c r="T206" t="s">
        <v>770</v>
      </c>
      <c r="U206" t="s">
        <v>34</v>
      </c>
      <c r="V206" s="1">
        <v>44757</v>
      </c>
      <c r="W206" t="s">
        <v>35</v>
      </c>
      <c r="X206" t="s">
        <v>737</v>
      </c>
      <c r="Y206" t="s">
        <v>738</v>
      </c>
      <c r="Z206" t="s">
        <v>206</v>
      </c>
      <c r="AA206" t="s">
        <v>802</v>
      </c>
      <c r="AD206" t="s">
        <v>45</v>
      </c>
      <c r="AE206">
        <v>38.055833999999997</v>
      </c>
      <c r="AF206">
        <v>-84.476246000000003</v>
      </c>
      <c r="AG206" t="s">
        <v>40</v>
      </c>
      <c r="AH206" t="s">
        <v>41</v>
      </c>
      <c r="AI206">
        <v>38.055889145499997</v>
      </c>
      <c r="AJ206">
        <v>-84.476248109799997</v>
      </c>
      <c r="AK206">
        <v>5.5145499999298409E-5</v>
      </c>
      <c r="AL206">
        <v>-2.1097999933772371E-6</v>
      </c>
      <c r="AM206" t="str">
        <f>_xlfn.IFNA(VLOOKUP(Sheet1!$C206,ADMIX_ALL!A:B,2,FALSE),"none")</f>
        <v>K6-18</v>
      </c>
      <c r="AN206" t="str">
        <f>_xlfn.IFNA(VLOOKUP(Sheet1!C206,ADMIX_SS!A:B,2,FALSE),"none")</f>
        <v>SubSample</v>
      </c>
      <c r="AO206" t="str">
        <f>_xlfn.IFNA(VLOOKUP(Sheet1!$C206,MONG_PHYLO!A:C,3,FALSE),"-")</f>
        <v>-</v>
      </c>
      <c r="AP206" t="str">
        <f>_xlfn.IFNA(VLOOKUP(Sheet1!$C206,MAC_PHYLO!A:C,3,FALSE),"-")</f>
        <v>-</v>
      </c>
      <c r="AQ206" t="str">
        <f>_xlfn.IFNA(VLOOKUP(Sheet1!$C206,ConStruct!A:C,3,FALSE),"-")</f>
        <v>ConStruct</v>
      </c>
      <c r="AR206" t="str">
        <f>_xlfn.IFNA(VLOOKUP(Sheet1!$C206,GEA!A:C,3,FALSE),"-")</f>
        <v>GEA</v>
      </c>
      <c r="AS206" t="str">
        <f>_xlfn.IFNA(VLOOKUP(Sheet1!$C206,MAC_DSUITE!A:D,3,FALSE),"-")</f>
        <v>xxx</v>
      </c>
      <c r="AT206" t="str">
        <f>_xlfn.IFNA(VLOOKUP(Sheet1!$C206,MONG_DSUITE!A:E,2,FALSE),"-")</f>
        <v>macrocarpa_CSW</v>
      </c>
      <c r="AU206" t="str">
        <f>_xlfn.IFNA(VLOOKUP(Sheet1!$C206,MAC_PAINT2!A:D,4,FALSE),"-")</f>
        <v>macpaint</v>
      </c>
      <c r="AV206" t="s">
        <v>9193</v>
      </c>
      <c r="AW206" t="s">
        <v>9193</v>
      </c>
    </row>
    <row r="207" spans="1:49" customFormat="1" x14ac:dyDescent="0.4">
      <c r="A207">
        <v>3658</v>
      </c>
      <c r="B207" t="s">
        <v>803</v>
      </c>
      <c r="C207" t="s">
        <v>804</v>
      </c>
      <c r="D207" t="str">
        <f>_xlfn.CONCAT(C207,".bam")</f>
        <v>SYST-MOR-0006895.bam</v>
      </c>
      <c r="E207" t="s">
        <v>805</v>
      </c>
      <c r="F207" t="s">
        <v>2424</v>
      </c>
      <c r="G207" t="s">
        <v>2427</v>
      </c>
      <c r="H207" t="s">
        <v>2511</v>
      </c>
      <c r="I207" t="s">
        <v>802</v>
      </c>
      <c r="K207" t="s">
        <v>84</v>
      </c>
      <c r="L207" t="s">
        <v>84</v>
      </c>
      <c r="N207" t="s">
        <v>84</v>
      </c>
      <c r="P207" t="s">
        <v>31</v>
      </c>
      <c r="Q207" t="s">
        <v>85</v>
      </c>
      <c r="R207" t="s">
        <v>2600</v>
      </c>
      <c r="S207" s="1">
        <v>44754</v>
      </c>
      <c r="T207" t="s">
        <v>770</v>
      </c>
      <c r="U207" t="s">
        <v>34</v>
      </c>
      <c r="V207" s="1">
        <v>44757</v>
      </c>
      <c r="W207" t="s">
        <v>35</v>
      </c>
      <c r="X207" t="s">
        <v>737</v>
      </c>
      <c r="Y207" t="s">
        <v>738</v>
      </c>
      <c r="Z207" t="s">
        <v>206</v>
      </c>
      <c r="AA207" t="s">
        <v>802</v>
      </c>
      <c r="AD207" t="s">
        <v>84</v>
      </c>
      <c r="AE207">
        <v>38.055771999999997</v>
      </c>
      <c r="AF207">
        <v>-84.476893000000004</v>
      </c>
      <c r="AG207" t="s">
        <v>40</v>
      </c>
      <c r="AH207" t="s">
        <v>41</v>
      </c>
      <c r="AI207">
        <v>38.055807044799998</v>
      </c>
      <c r="AJ207">
        <v>-84.476956799700005</v>
      </c>
      <c r="AK207">
        <v>3.5044800000605392E-5</v>
      </c>
      <c r="AL207">
        <v>-6.3799700001254678E-5</v>
      </c>
      <c r="AM207" t="str">
        <f>_xlfn.IFNA(VLOOKUP(Sheet1!$C207,ADMIX_ALL!A:B,2,FALSE),"none")</f>
        <v>K6-18</v>
      </c>
      <c r="AN207" t="str">
        <f>_xlfn.IFNA(VLOOKUP(Sheet1!C207,ADMIX_SS!A:B,2,FALSE),"none")</f>
        <v>SubSample</v>
      </c>
      <c r="AO207" t="str">
        <f>_xlfn.IFNA(VLOOKUP(Sheet1!$C207,MONG_PHYLO!A:C,3,FALSE),"-")</f>
        <v>-</v>
      </c>
      <c r="AP207" t="str">
        <f>_xlfn.IFNA(VLOOKUP(Sheet1!$C207,MAC_PHYLO!A:C,3,FALSE),"-")</f>
        <v>-</v>
      </c>
      <c r="AQ207" t="str">
        <f>_xlfn.IFNA(VLOOKUP(Sheet1!$C207,ConStruct!A:C,3,FALSE),"-")</f>
        <v>-</v>
      </c>
      <c r="AR207" t="str">
        <f>_xlfn.IFNA(VLOOKUP(Sheet1!$C207,GEA!A:C,3,FALSE),"-")</f>
        <v>-</v>
      </c>
      <c r="AS207" t="str">
        <f>_xlfn.IFNA(VLOOKUP(Sheet1!$C207,MAC_DSUITE!A:D,3,FALSE),"-")</f>
        <v>-</v>
      </c>
      <c r="AT207" t="str">
        <f>_xlfn.IFNA(VLOOKUP(Sheet1!$C207,MONG_DSUITE!A:E,2,FALSE),"-")</f>
        <v>xxx</v>
      </c>
      <c r="AU207" t="str">
        <f>_xlfn.IFNA(VLOOKUP(Sheet1!$C207,MAC_PAINT2!A:D,4,FALSE),"-")</f>
        <v>-</v>
      </c>
    </row>
    <row r="208" spans="1:49" customFormat="1" x14ac:dyDescent="0.4">
      <c r="A208">
        <v>3659</v>
      </c>
      <c r="B208" t="s">
        <v>806</v>
      </c>
      <c r="C208" t="s">
        <v>807</v>
      </c>
      <c r="D208" t="str">
        <f>_xlfn.CONCAT(C208,".bam")</f>
        <v>SYST-MOR-0006896.bam</v>
      </c>
      <c r="E208" t="s">
        <v>808</v>
      </c>
      <c r="F208" t="s">
        <v>2424</v>
      </c>
      <c r="G208" t="s">
        <v>2427</v>
      </c>
      <c r="H208" t="s">
        <v>2511</v>
      </c>
      <c r="I208" t="s">
        <v>802</v>
      </c>
      <c r="K208" t="s">
        <v>84</v>
      </c>
      <c r="L208" t="s">
        <v>84</v>
      </c>
      <c r="N208" t="s">
        <v>84</v>
      </c>
      <c r="P208" t="s">
        <v>31</v>
      </c>
      <c r="Q208" t="s">
        <v>85</v>
      </c>
      <c r="R208" t="s">
        <v>2600</v>
      </c>
      <c r="S208" s="1">
        <v>44754</v>
      </c>
      <c r="T208" t="s">
        <v>770</v>
      </c>
      <c r="U208" t="s">
        <v>34</v>
      </c>
      <c r="V208" s="1">
        <v>44757</v>
      </c>
      <c r="W208" t="s">
        <v>35</v>
      </c>
      <c r="X208" t="s">
        <v>737</v>
      </c>
      <c r="Y208" t="s">
        <v>738</v>
      </c>
      <c r="Z208" t="s">
        <v>206</v>
      </c>
      <c r="AA208" t="s">
        <v>802</v>
      </c>
      <c r="AD208" t="s">
        <v>84</v>
      </c>
      <c r="AE208">
        <v>38.054630000000003</v>
      </c>
      <c r="AF208">
        <v>-84.475660000000005</v>
      </c>
      <c r="AG208" t="s">
        <v>40</v>
      </c>
      <c r="AH208" t="s">
        <v>41</v>
      </c>
      <c r="AI208">
        <v>38.054675152599998</v>
      </c>
      <c r="AJ208">
        <v>-84.475605301599998</v>
      </c>
      <c r="AK208">
        <v>4.5152599994935372E-5</v>
      </c>
      <c r="AL208">
        <v>5.469840000671411E-5</v>
      </c>
      <c r="AM208" t="str">
        <f>_xlfn.IFNA(VLOOKUP(Sheet1!$C208,ADMIX_ALL!A:B,2,FALSE),"none")</f>
        <v>K6-18</v>
      </c>
      <c r="AN208" t="str">
        <f>_xlfn.IFNA(VLOOKUP(Sheet1!C208,ADMIX_SS!A:B,2,FALSE),"none")</f>
        <v>SubSample</v>
      </c>
      <c r="AO208" t="str">
        <f>_xlfn.IFNA(VLOOKUP(Sheet1!$C208,MONG_PHYLO!A:C,3,FALSE),"-")</f>
        <v>-</v>
      </c>
      <c r="AP208" t="str">
        <f>_xlfn.IFNA(VLOOKUP(Sheet1!$C208,MAC_PHYLO!A:C,3,FALSE),"-")</f>
        <v>-</v>
      </c>
      <c r="AQ208" t="str">
        <f>_xlfn.IFNA(VLOOKUP(Sheet1!$C208,ConStruct!A:C,3,FALSE),"-")</f>
        <v>-</v>
      </c>
      <c r="AR208" t="str">
        <f>_xlfn.IFNA(VLOOKUP(Sheet1!$C208,GEA!A:C,3,FALSE),"-")</f>
        <v>-</v>
      </c>
      <c r="AS208" t="str">
        <f>_xlfn.IFNA(VLOOKUP(Sheet1!$C208,MAC_DSUITE!A:D,3,FALSE),"-")</f>
        <v>-</v>
      </c>
      <c r="AT208" t="str">
        <f>_xlfn.IFNA(VLOOKUP(Sheet1!$C208,MONG_DSUITE!A:E,2,FALSE),"-")</f>
        <v>xxx</v>
      </c>
      <c r="AU208" t="str">
        <f>_xlfn.IFNA(VLOOKUP(Sheet1!$C208,MAC_PAINT2!A:D,4,FALSE),"-")</f>
        <v>-</v>
      </c>
    </row>
    <row r="209" spans="1:49" customFormat="1" x14ac:dyDescent="0.4">
      <c r="A209">
        <v>3660</v>
      </c>
      <c r="B209" t="s">
        <v>767</v>
      </c>
      <c r="C209" t="s">
        <v>768</v>
      </c>
      <c r="D209" t="str">
        <f>_xlfn.CONCAT(C209,".bam")</f>
        <v>SYST-MOR-0006897.bam</v>
      </c>
      <c r="E209" t="s">
        <v>769</v>
      </c>
      <c r="F209" t="s">
        <v>2424</v>
      </c>
      <c r="G209" t="s">
        <v>2426</v>
      </c>
      <c r="H209" t="s">
        <v>2510</v>
      </c>
      <c r="I209" t="s">
        <v>771</v>
      </c>
      <c r="K209" t="s">
        <v>45</v>
      </c>
      <c r="L209" t="s">
        <v>45</v>
      </c>
      <c r="N209" t="s">
        <v>45</v>
      </c>
      <c r="P209" t="s">
        <v>31</v>
      </c>
      <c r="Q209" t="s">
        <v>46</v>
      </c>
      <c r="R209" t="s">
        <v>2597</v>
      </c>
      <c r="S209" s="1">
        <v>44755</v>
      </c>
      <c r="T209" t="s">
        <v>770</v>
      </c>
      <c r="U209" t="s">
        <v>34</v>
      </c>
      <c r="V209" s="1">
        <v>44757</v>
      </c>
      <c r="W209" t="s">
        <v>35</v>
      </c>
      <c r="X209" t="s">
        <v>737</v>
      </c>
      <c r="Y209" t="s">
        <v>738</v>
      </c>
      <c r="Z209" t="s">
        <v>206</v>
      </c>
      <c r="AA209" t="s">
        <v>771</v>
      </c>
      <c r="AD209" t="s">
        <v>45</v>
      </c>
      <c r="AE209">
        <v>38.278213999999998</v>
      </c>
      <c r="AF209">
        <v>-84.203992</v>
      </c>
      <c r="AG209" t="s">
        <v>40</v>
      </c>
      <c r="AH209" t="s">
        <v>41</v>
      </c>
      <c r="AI209">
        <v>38.278160160399999</v>
      </c>
      <c r="AJ209">
        <v>-84.204003727100002</v>
      </c>
      <c r="AK209">
        <v>-5.3839599999605525E-5</v>
      </c>
      <c r="AL209">
        <v>-1.1727100002190127E-5</v>
      </c>
      <c r="AM209" t="str">
        <f>_xlfn.IFNA(VLOOKUP(Sheet1!$C209,ADMIX_ALL!A:B,2,FALSE),"none")</f>
        <v>K6-18</v>
      </c>
      <c r="AN209" t="str">
        <f>_xlfn.IFNA(VLOOKUP(Sheet1!C209,ADMIX_SS!A:B,2,FALSE),"none")</f>
        <v>SubSample</v>
      </c>
      <c r="AO209" t="str">
        <f>_xlfn.IFNA(VLOOKUP(Sheet1!$C209,MONG_PHYLO!A:C,3,FALSE),"-")</f>
        <v>-</v>
      </c>
      <c r="AP209" t="str">
        <f>_xlfn.IFNA(VLOOKUP(Sheet1!$C209,MAC_PHYLO!A:C,3,FALSE),"-")</f>
        <v>-</v>
      </c>
      <c r="AQ209" t="str">
        <f>_xlfn.IFNA(VLOOKUP(Sheet1!$C209,ConStruct!A:C,3,FALSE),"-")</f>
        <v>ConStruct</v>
      </c>
      <c r="AR209" t="str">
        <f>_xlfn.IFNA(VLOOKUP(Sheet1!$C209,GEA!A:C,3,FALSE),"-")</f>
        <v>GEA</v>
      </c>
      <c r="AS209" t="str">
        <f>_xlfn.IFNA(VLOOKUP(Sheet1!$C209,MAC_DSUITE!A:D,3,FALSE),"-")</f>
        <v>mac_KY_BBF</v>
      </c>
      <c r="AT209" t="str">
        <f>_xlfn.IFNA(VLOOKUP(Sheet1!$C209,MONG_DSUITE!A:E,2,FALSE),"-")</f>
        <v>macrocarpa_BBF</v>
      </c>
      <c r="AU209" t="str">
        <f>_xlfn.IFNA(VLOOKUP(Sheet1!$C209,MAC_PAINT2!A:D,4,FALSE),"-")</f>
        <v>macpaint</v>
      </c>
      <c r="AV209" t="s">
        <v>9193</v>
      </c>
      <c r="AW209" t="s">
        <v>9193</v>
      </c>
    </row>
    <row r="210" spans="1:49" customFormat="1" x14ac:dyDescent="0.4">
      <c r="A210">
        <v>3661</v>
      </c>
      <c r="B210" t="s">
        <v>772</v>
      </c>
      <c r="C210" t="s">
        <v>773</v>
      </c>
      <c r="D210" t="str">
        <f>_xlfn.CONCAT(C210,".bam")</f>
        <v>SYST-MOR-0006898.bam</v>
      </c>
      <c r="E210" t="s">
        <v>774</v>
      </c>
      <c r="F210" t="s">
        <v>2424</v>
      </c>
      <c r="G210" t="s">
        <v>2426</v>
      </c>
      <c r="H210" t="s">
        <v>2510</v>
      </c>
      <c r="I210" t="s">
        <v>771</v>
      </c>
      <c r="K210" t="s">
        <v>84</v>
      </c>
      <c r="L210" t="s">
        <v>84</v>
      </c>
      <c r="N210" t="s">
        <v>84</v>
      </c>
      <c r="P210" t="s">
        <v>31</v>
      </c>
      <c r="Q210" t="s">
        <v>85</v>
      </c>
      <c r="R210" t="s">
        <v>2600</v>
      </c>
      <c r="S210" s="1">
        <v>44755</v>
      </c>
      <c r="T210" t="s">
        <v>770</v>
      </c>
      <c r="U210" t="s">
        <v>34</v>
      </c>
      <c r="V210" s="1">
        <v>44757</v>
      </c>
      <c r="W210" t="s">
        <v>35</v>
      </c>
      <c r="X210" t="s">
        <v>737</v>
      </c>
      <c r="Y210" t="s">
        <v>738</v>
      </c>
      <c r="Z210" t="s">
        <v>206</v>
      </c>
      <c r="AA210" t="s">
        <v>771</v>
      </c>
      <c r="AD210" t="s">
        <v>84</v>
      </c>
      <c r="AE210">
        <v>38.218246000000001</v>
      </c>
      <c r="AF210">
        <v>-84.203367999999998</v>
      </c>
      <c r="AG210" t="s">
        <v>40</v>
      </c>
      <c r="AH210" t="s">
        <v>41</v>
      </c>
      <c r="AI210">
        <v>38.278215718600002</v>
      </c>
      <c r="AJ210">
        <v>-84.203373297100001</v>
      </c>
      <c r="AK210">
        <v>5.9969718600001443E-2</v>
      </c>
      <c r="AL210">
        <v>-5.2971000030765936E-6</v>
      </c>
      <c r="AM210" t="str">
        <f>_xlfn.IFNA(VLOOKUP(Sheet1!$C210,ADMIX_ALL!A:B,2,FALSE),"none")</f>
        <v>K6-18</v>
      </c>
      <c r="AN210" t="str">
        <f>_xlfn.IFNA(VLOOKUP(Sheet1!C210,ADMIX_SS!A:B,2,FALSE),"none")</f>
        <v>SubSample</v>
      </c>
      <c r="AO210" t="str">
        <f>_xlfn.IFNA(VLOOKUP(Sheet1!$C210,MONG_PHYLO!A:C,3,FALSE),"-")</f>
        <v>-</v>
      </c>
      <c r="AP210" t="str">
        <f>_xlfn.IFNA(VLOOKUP(Sheet1!$C210,MAC_PHYLO!A:C,3,FALSE),"-")</f>
        <v>mue</v>
      </c>
      <c r="AQ210" t="str">
        <f>_xlfn.IFNA(VLOOKUP(Sheet1!$C210,ConStruct!A:C,3,FALSE),"-")</f>
        <v>-</v>
      </c>
      <c r="AR210" t="str">
        <f>_xlfn.IFNA(VLOOKUP(Sheet1!$C210,GEA!A:C,3,FALSE),"-")</f>
        <v>-</v>
      </c>
      <c r="AS210" t="str">
        <f>_xlfn.IFNA(VLOOKUP(Sheet1!$C210,MAC_DSUITE!A:D,3,FALSE),"-")</f>
        <v>mue</v>
      </c>
      <c r="AT210" t="str">
        <f>_xlfn.IFNA(VLOOKUP(Sheet1!$C210,MONG_DSUITE!A:E,2,FALSE),"-")</f>
        <v>xxx</v>
      </c>
      <c r="AU210" t="str">
        <f>_xlfn.IFNA(VLOOKUP(Sheet1!$C210,MAC_PAINT2!A:D,4,FALSE),"-")</f>
        <v>mue-macpaint</v>
      </c>
    </row>
    <row r="211" spans="1:49" customFormat="1" x14ac:dyDescent="0.4">
      <c r="A211">
        <v>3662</v>
      </c>
      <c r="B211" t="s">
        <v>775</v>
      </c>
      <c r="C211" t="s">
        <v>776</v>
      </c>
      <c r="D211" t="str">
        <f>_xlfn.CONCAT(C211,".bam")</f>
        <v>SYST-MOR-0006899.bam</v>
      </c>
      <c r="E211" t="s">
        <v>777</v>
      </c>
      <c r="F211" t="s">
        <v>2424</v>
      </c>
      <c r="G211" t="s">
        <v>2426</v>
      </c>
      <c r="H211" t="s">
        <v>2510</v>
      </c>
      <c r="I211" t="s">
        <v>771</v>
      </c>
      <c r="K211" t="s">
        <v>45</v>
      </c>
      <c r="L211" t="s">
        <v>45</v>
      </c>
      <c r="N211" t="s">
        <v>45</v>
      </c>
      <c r="P211" t="s">
        <v>31</v>
      </c>
      <c r="Q211" t="s">
        <v>46</v>
      </c>
      <c r="R211" t="s">
        <v>2597</v>
      </c>
      <c r="S211" s="1">
        <v>44755</v>
      </c>
      <c r="T211" t="s">
        <v>770</v>
      </c>
      <c r="U211" t="s">
        <v>34</v>
      </c>
      <c r="V211" s="1">
        <v>44757</v>
      </c>
      <c r="W211" t="s">
        <v>35</v>
      </c>
      <c r="X211" t="s">
        <v>737</v>
      </c>
      <c r="Y211" t="s">
        <v>738</v>
      </c>
      <c r="Z211" t="s">
        <v>206</v>
      </c>
      <c r="AA211" t="s">
        <v>771</v>
      </c>
      <c r="AD211" t="s">
        <v>45</v>
      </c>
      <c r="AE211">
        <v>38.278441000000001</v>
      </c>
      <c r="AF211">
        <v>-84.203367999999998</v>
      </c>
      <c r="AG211" t="s">
        <v>40</v>
      </c>
      <c r="AH211" t="s">
        <v>41</v>
      </c>
      <c r="AI211">
        <v>38.278194652000003</v>
      </c>
      <c r="AJ211">
        <v>-84.203404421100004</v>
      </c>
      <c r="AK211">
        <v>-2.4634799999745383E-4</v>
      </c>
      <c r="AL211">
        <v>-3.6421100006123197E-5</v>
      </c>
      <c r="AM211" t="str">
        <f>_xlfn.IFNA(VLOOKUP(Sheet1!$C211,ADMIX_ALL!A:B,2,FALSE),"none")</f>
        <v>K6-18</v>
      </c>
      <c r="AN211" t="str">
        <f>_xlfn.IFNA(VLOOKUP(Sheet1!C211,ADMIX_SS!A:B,2,FALSE),"none")</f>
        <v>SubSample</v>
      </c>
      <c r="AO211" t="str">
        <f>_xlfn.IFNA(VLOOKUP(Sheet1!$C211,MONG_PHYLO!A:C,3,FALSE),"-")</f>
        <v>-</v>
      </c>
      <c r="AP211" t="str">
        <f>_xlfn.IFNA(VLOOKUP(Sheet1!$C211,MAC_PHYLO!A:C,3,FALSE),"-")</f>
        <v>-</v>
      </c>
      <c r="AQ211" t="str">
        <f>_xlfn.IFNA(VLOOKUP(Sheet1!$C211,ConStruct!A:C,3,FALSE),"-")</f>
        <v>ConStruct</v>
      </c>
      <c r="AR211" t="str">
        <f>_xlfn.IFNA(VLOOKUP(Sheet1!$C211,GEA!A:C,3,FALSE),"-")</f>
        <v>GEA</v>
      </c>
      <c r="AS211" t="str">
        <f>_xlfn.IFNA(VLOOKUP(Sheet1!$C211,MAC_DSUITE!A:D,3,FALSE),"-")</f>
        <v>mac_KY_BBF</v>
      </c>
      <c r="AT211" t="str">
        <f>_xlfn.IFNA(VLOOKUP(Sheet1!$C211,MONG_DSUITE!A:E,2,FALSE),"-")</f>
        <v>macrocarpa_BBF</v>
      </c>
      <c r="AU211" t="str">
        <f>_xlfn.IFNA(VLOOKUP(Sheet1!$C211,MAC_PAINT2!A:D,4,FALSE),"-")</f>
        <v>macpaint</v>
      </c>
      <c r="AV211" t="s">
        <v>9193</v>
      </c>
      <c r="AW211" t="s">
        <v>9193</v>
      </c>
    </row>
    <row r="212" spans="1:49" customFormat="1" x14ac:dyDescent="0.4">
      <c r="A212">
        <v>3663</v>
      </c>
      <c r="B212" t="s">
        <v>778</v>
      </c>
      <c r="C212" t="s">
        <v>779</v>
      </c>
      <c r="D212" t="str">
        <f>_xlfn.CONCAT(C212,".bam")</f>
        <v>SYST-MOR-0006900.bam</v>
      </c>
      <c r="E212" t="s">
        <v>780</v>
      </c>
      <c r="F212" t="s">
        <v>2424</v>
      </c>
      <c r="G212" t="s">
        <v>2426</v>
      </c>
      <c r="H212" t="s">
        <v>2510</v>
      </c>
      <c r="I212" t="s">
        <v>771</v>
      </c>
      <c r="K212" t="s">
        <v>84</v>
      </c>
      <c r="L212" t="s">
        <v>84</v>
      </c>
      <c r="N212" t="s">
        <v>84</v>
      </c>
      <c r="P212" t="s">
        <v>31</v>
      </c>
      <c r="Q212" t="s">
        <v>85</v>
      </c>
      <c r="R212" t="s">
        <v>2600</v>
      </c>
      <c r="S212" s="1">
        <v>44755</v>
      </c>
      <c r="T212" t="s">
        <v>770</v>
      </c>
      <c r="U212" t="s">
        <v>34</v>
      </c>
      <c r="V212" s="1">
        <v>44757</v>
      </c>
      <c r="W212" t="s">
        <v>35</v>
      </c>
      <c r="X212" t="s">
        <v>737</v>
      </c>
      <c r="Y212" t="s">
        <v>738</v>
      </c>
      <c r="Z212" t="s">
        <v>206</v>
      </c>
      <c r="AA212" t="s">
        <v>771</v>
      </c>
      <c r="AD212" t="s">
        <v>84</v>
      </c>
      <c r="AE212">
        <v>38.277377999999999</v>
      </c>
      <c r="AF212">
        <v>-84.201969000000005</v>
      </c>
      <c r="AG212" t="s">
        <v>40</v>
      </c>
      <c r="AH212" t="s">
        <v>41</v>
      </c>
      <c r="AI212">
        <v>38.277407800799999</v>
      </c>
      <c r="AJ212">
        <v>-84.201987795600004</v>
      </c>
      <c r="AK212">
        <v>2.9800800000145955E-5</v>
      </c>
      <c r="AL212">
        <v>-1.8795599999066326E-5</v>
      </c>
      <c r="AM212" t="str">
        <f>_xlfn.IFNA(VLOOKUP(Sheet1!$C212,ADMIX_ALL!A:B,2,FALSE),"none")</f>
        <v>K6-18</v>
      </c>
      <c r="AN212" t="str">
        <f>_xlfn.IFNA(VLOOKUP(Sheet1!C212,ADMIX_SS!A:B,2,FALSE),"none")</f>
        <v>SubSample</v>
      </c>
      <c r="AO212" t="str">
        <f>_xlfn.IFNA(VLOOKUP(Sheet1!$C212,MONG_PHYLO!A:C,3,FALSE),"-")</f>
        <v>-</v>
      </c>
      <c r="AP212" t="str">
        <f>_xlfn.IFNA(VLOOKUP(Sheet1!$C212,MAC_PHYLO!A:C,3,FALSE),"-")</f>
        <v>-</v>
      </c>
      <c r="AQ212" t="str">
        <f>_xlfn.IFNA(VLOOKUP(Sheet1!$C212,ConStruct!A:C,3,FALSE),"-")</f>
        <v>-</v>
      </c>
      <c r="AR212" t="str">
        <f>_xlfn.IFNA(VLOOKUP(Sheet1!$C212,GEA!A:C,3,FALSE),"-")</f>
        <v>-</v>
      </c>
      <c r="AS212" t="str">
        <f>_xlfn.IFNA(VLOOKUP(Sheet1!$C212,MAC_DSUITE!A:D,3,FALSE),"-")</f>
        <v>-</v>
      </c>
      <c r="AT212" t="str">
        <f>_xlfn.IFNA(VLOOKUP(Sheet1!$C212,MONG_DSUITE!A:E,2,FALSE),"-")</f>
        <v>xxx</v>
      </c>
      <c r="AU212" t="str">
        <f>_xlfn.IFNA(VLOOKUP(Sheet1!$C212,MAC_PAINT2!A:D,4,FALSE),"-")</f>
        <v>-</v>
      </c>
    </row>
    <row r="213" spans="1:49" customFormat="1" x14ac:dyDescent="0.4">
      <c r="A213">
        <v>3664</v>
      </c>
      <c r="B213" t="s">
        <v>781</v>
      </c>
      <c r="C213" t="s">
        <v>782</v>
      </c>
      <c r="D213" t="str">
        <f>_xlfn.CONCAT(C213,".bam")</f>
        <v>SYST-MOR-0006901.bam</v>
      </c>
      <c r="E213" t="s">
        <v>783</v>
      </c>
      <c r="F213" t="s">
        <v>2424</v>
      </c>
      <c r="G213" t="s">
        <v>2426</v>
      </c>
      <c r="H213" t="s">
        <v>2510</v>
      </c>
      <c r="I213" t="s">
        <v>771</v>
      </c>
      <c r="K213" t="s">
        <v>84</v>
      </c>
      <c r="L213" t="s">
        <v>84</v>
      </c>
      <c r="N213" t="s">
        <v>84</v>
      </c>
      <c r="P213" t="s">
        <v>31</v>
      </c>
      <c r="Q213" t="s">
        <v>85</v>
      </c>
      <c r="R213" t="s">
        <v>2600</v>
      </c>
      <c r="S213" s="1">
        <v>44755</v>
      </c>
      <c r="T213" t="s">
        <v>770</v>
      </c>
      <c r="U213" t="s">
        <v>34</v>
      </c>
      <c r="V213" s="1">
        <v>44757</v>
      </c>
      <c r="W213" t="s">
        <v>35</v>
      </c>
      <c r="X213" t="s">
        <v>737</v>
      </c>
      <c r="Y213" t="s">
        <v>738</v>
      </c>
      <c r="Z213" t="s">
        <v>206</v>
      </c>
      <c r="AA213" t="s">
        <v>771</v>
      </c>
      <c r="AD213" t="s">
        <v>84</v>
      </c>
      <c r="AE213">
        <v>38.271569999999997</v>
      </c>
      <c r="AF213">
        <v>-84.207532</v>
      </c>
      <c r="AG213" t="s">
        <v>40</v>
      </c>
      <c r="AH213" t="s">
        <v>41</v>
      </c>
      <c r="AI213">
        <v>38.271614944100001</v>
      </c>
      <c r="AJ213">
        <v>-84.2074907744</v>
      </c>
      <c r="AK213">
        <v>4.4944100004329357E-5</v>
      </c>
      <c r="AL213">
        <v>4.1225600000416307E-5</v>
      </c>
      <c r="AM213" t="str">
        <f>_xlfn.IFNA(VLOOKUP(Sheet1!$C213,ADMIX_ALL!A:B,2,FALSE),"none")</f>
        <v>K6-18</v>
      </c>
      <c r="AN213" t="str">
        <f>_xlfn.IFNA(VLOOKUP(Sheet1!C213,ADMIX_SS!A:B,2,FALSE),"none")</f>
        <v>SubSample</v>
      </c>
      <c r="AO213" t="str">
        <f>_xlfn.IFNA(VLOOKUP(Sheet1!$C213,MONG_PHYLO!A:C,3,FALSE),"-")</f>
        <v>-</v>
      </c>
      <c r="AP213" t="str">
        <f>_xlfn.IFNA(VLOOKUP(Sheet1!$C213,MAC_PHYLO!A:C,3,FALSE),"-")</f>
        <v>-</v>
      </c>
      <c r="AQ213" t="str">
        <f>_xlfn.IFNA(VLOOKUP(Sheet1!$C213,ConStruct!A:C,3,FALSE),"-")</f>
        <v>-</v>
      </c>
      <c r="AR213" t="str">
        <f>_xlfn.IFNA(VLOOKUP(Sheet1!$C213,GEA!A:C,3,FALSE),"-")</f>
        <v>-</v>
      </c>
      <c r="AS213" t="str">
        <f>_xlfn.IFNA(VLOOKUP(Sheet1!$C213,MAC_DSUITE!A:D,3,FALSE),"-")</f>
        <v>-</v>
      </c>
      <c r="AT213" t="str">
        <f>_xlfn.IFNA(VLOOKUP(Sheet1!$C213,MONG_DSUITE!A:E,2,FALSE),"-")</f>
        <v>xxx</v>
      </c>
      <c r="AU213" t="str">
        <f>_xlfn.IFNA(VLOOKUP(Sheet1!$C213,MAC_PAINT2!A:D,4,FALSE),"-")</f>
        <v>-</v>
      </c>
    </row>
    <row r="214" spans="1:49" customFormat="1" x14ac:dyDescent="0.4">
      <c r="A214">
        <v>3665</v>
      </c>
      <c r="B214" t="s">
        <v>784</v>
      </c>
      <c r="C214" t="s">
        <v>785</v>
      </c>
      <c r="D214" t="str">
        <f>_xlfn.CONCAT(C214,".bam")</f>
        <v>SYST-MOR-0006902.bam</v>
      </c>
      <c r="E214" t="s">
        <v>786</v>
      </c>
      <c r="F214" t="s">
        <v>2424</v>
      </c>
      <c r="G214" t="s">
        <v>2426</v>
      </c>
      <c r="H214" t="s">
        <v>2510</v>
      </c>
      <c r="I214" t="s">
        <v>771</v>
      </c>
      <c r="K214" t="s">
        <v>84</v>
      </c>
      <c r="L214" t="s">
        <v>84</v>
      </c>
      <c r="N214" t="s">
        <v>84</v>
      </c>
      <c r="P214" t="s">
        <v>31</v>
      </c>
      <c r="Q214" t="s">
        <v>85</v>
      </c>
      <c r="R214" t="s">
        <v>2600</v>
      </c>
      <c r="S214" s="1">
        <v>44755</v>
      </c>
      <c r="T214" t="s">
        <v>736</v>
      </c>
      <c r="U214" t="s">
        <v>34</v>
      </c>
      <c r="V214" s="1">
        <v>44757</v>
      </c>
      <c r="W214" t="s">
        <v>35</v>
      </c>
      <c r="X214" t="s">
        <v>737</v>
      </c>
      <c r="Y214" t="s">
        <v>738</v>
      </c>
      <c r="Z214" t="s">
        <v>206</v>
      </c>
      <c r="AA214" t="s">
        <v>771</v>
      </c>
      <c r="AD214" t="s">
        <v>84</v>
      </c>
      <c r="AE214">
        <v>38.272506999999997</v>
      </c>
      <c r="AF214">
        <v>-84.208583000000004</v>
      </c>
      <c r="AG214" t="s">
        <v>40</v>
      </c>
      <c r="AH214" t="s">
        <v>41</v>
      </c>
      <c r="AI214">
        <v>38.272487408000003</v>
      </c>
      <c r="AJ214">
        <v>-84.208627000000007</v>
      </c>
      <c r="AK214">
        <v>-1.9591999993906484E-5</v>
      </c>
      <c r="AL214">
        <v>-4.4000000002597517E-5</v>
      </c>
      <c r="AM214" t="str">
        <f>_xlfn.IFNA(VLOOKUP(Sheet1!$C214,ADMIX_ALL!A:B,2,FALSE),"none")</f>
        <v>K6-18</v>
      </c>
      <c r="AN214" t="str">
        <f>_xlfn.IFNA(VLOOKUP(Sheet1!C214,ADMIX_SS!A:B,2,FALSE),"none")</f>
        <v>SubSample</v>
      </c>
      <c r="AO214" t="str">
        <f>_xlfn.IFNA(VLOOKUP(Sheet1!$C214,MONG_PHYLO!A:C,3,FALSE),"-")</f>
        <v>-</v>
      </c>
      <c r="AP214" t="str">
        <f>_xlfn.IFNA(VLOOKUP(Sheet1!$C214,MAC_PHYLO!A:C,3,FALSE),"-")</f>
        <v>-</v>
      </c>
      <c r="AQ214" t="str">
        <f>_xlfn.IFNA(VLOOKUP(Sheet1!$C214,ConStruct!A:C,3,FALSE),"-")</f>
        <v>-</v>
      </c>
      <c r="AR214" t="str">
        <f>_xlfn.IFNA(VLOOKUP(Sheet1!$C214,GEA!A:C,3,FALSE),"-")</f>
        <v>-</v>
      </c>
      <c r="AS214" t="str">
        <f>_xlfn.IFNA(VLOOKUP(Sheet1!$C214,MAC_DSUITE!A:D,3,FALSE),"-")</f>
        <v>-</v>
      </c>
      <c r="AT214" t="str">
        <f>_xlfn.IFNA(VLOOKUP(Sheet1!$C214,MONG_DSUITE!A:E,2,FALSE),"-")</f>
        <v>xxx</v>
      </c>
      <c r="AU214" t="str">
        <f>_xlfn.IFNA(VLOOKUP(Sheet1!$C214,MAC_PAINT2!A:D,4,FALSE),"-")</f>
        <v>-</v>
      </c>
    </row>
    <row r="215" spans="1:49" customFormat="1" x14ac:dyDescent="0.4">
      <c r="A215">
        <v>3666</v>
      </c>
      <c r="B215" t="s">
        <v>787</v>
      </c>
      <c r="C215" t="s">
        <v>788</v>
      </c>
      <c r="D215" t="str">
        <f>_xlfn.CONCAT(C215,".bam")</f>
        <v>SYST-MOR-0006903.bam</v>
      </c>
      <c r="E215" t="s">
        <v>789</v>
      </c>
      <c r="F215" t="s">
        <v>2424</v>
      </c>
      <c r="G215" t="s">
        <v>2426</v>
      </c>
      <c r="H215" t="s">
        <v>2510</v>
      </c>
      <c r="I215" t="s">
        <v>771</v>
      </c>
      <c r="K215" t="s">
        <v>45</v>
      </c>
      <c r="L215" t="s">
        <v>45</v>
      </c>
      <c r="N215" t="s">
        <v>45</v>
      </c>
      <c r="P215" t="s">
        <v>31</v>
      </c>
      <c r="Q215" t="s">
        <v>46</v>
      </c>
      <c r="R215" t="s">
        <v>2597</v>
      </c>
      <c r="S215" s="1">
        <v>44755</v>
      </c>
      <c r="T215" t="s">
        <v>736</v>
      </c>
      <c r="U215" t="s">
        <v>34</v>
      </c>
      <c r="V215" s="1">
        <v>44757</v>
      </c>
      <c r="W215" t="s">
        <v>35</v>
      </c>
      <c r="X215" t="s">
        <v>737</v>
      </c>
      <c r="Y215" t="s">
        <v>738</v>
      </c>
      <c r="Z215" t="s">
        <v>206</v>
      </c>
      <c r="AA215" t="s">
        <v>771</v>
      </c>
      <c r="AD215" t="s">
        <v>45</v>
      </c>
      <c r="AE215">
        <v>38.272666999999998</v>
      </c>
      <c r="AF215">
        <v>-84.209079000000003</v>
      </c>
      <c r="AG215" t="s">
        <v>40</v>
      </c>
      <c r="AH215" t="s">
        <v>41</v>
      </c>
      <c r="AI215">
        <v>38.272653671800001</v>
      </c>
      <c r="AJ215">
        <v>-84.2090486978</v>
      </c>
      <c r="AK215">
        <v>-1.3328199997886259E-5</v>
      </c>
      <c r="AL215">
        <v>3.0302200002552127E-5</v>
      </c>
      <c r="AM215" t="str">
        <f>_xlfn.IFNA(VLOOKUP(Sheet1!$C215,ADMIX_ALL!A:B,2,FALSE),"none")</f>
        <v>K6-18</v>
      </c>
      <c r="AN215" t="str">
        <f>_xlfn.IFNA(VLOOKUP(Sheet1!C215,ADMIX_SS!A:B,2,FALSE),"none")</f>
        <v>SubSample</v>
      </c>
      <c r="AO215" t="str">
        <f>_xlfn.IFNA(VLOOKUP(Sheet1!$C215,MONG_PHYLO!A:C,3,FALSE),"-")</f>
        <v>-</v>
      </c>
      <c r="AP215" t="str">
        <f>_xlfn.IFNA(VLOOKUP(Sheet1!$C215,MAC_PHYLO!A:C,3,FALSE),"-")</f>
        <v>-</v>
      </c>
      <c r="AQ215" t="str">
        <f>_xlfn.IFNA(VLOOKUP(Sheet1!$C215,ConStruct!A:C,3,FALSE),"-")</f>
        <v>ConStruct</v>
      </c>
      <c r="AR215" t="str">
        <f>_xlfn.IFNA(VLOOKUP(Sheet1!$C215,GEA!A:C,3,FALSE),"-")</f>
        <v>GEA</v>
      </c>
      <c r="AS215" t="str">
        <f>_xlfn.IFNA(VLOOKUP(Sheet1!$C215,MAC_DSUITE!A:D,3,FALSE),"-")</f>
        <v>mac_KY_BBF</v>
      </c>
      <c r="AT215" t="str">
        <f>_xlfn.IFNA(VLOOKUP(Sheet1!$C215,MONG_DSUITE!A:E,2,FALSE),"-")</f>
        <v>macrocarpa_BBF</v>
      </c>
      <c r="AU215" t="str">
        <f>_xlfn.IFNA(VLOOKUP(Sheet1!$C215,MAC_PAINT2!A:D,4,FALSE),"-")</f>
        <v>macpaint</v>
      </c>
      <c r="AV215" t="s">
        <v>9193</v>
      </c>
      <c r="AW215" t="s">
        <v>9193</v>
      </c>
    </row>
    <row r="216" spans="1:49" customFormat="1" x14ac:dyDescent="0.4">
      <c r="A216">
        <v>3667</v>
      </c>
      <c r="B216" t="s">
        <v>790</v>
      </c>
      <c r="C216" t="s">
        <v>791</v>
      </c>
      <c r="D216" t="str">
        <f>_xlfn.CONCAT(C216,".bam")</f>
        <v>SYST-MOR-0006904.bam</v>
      </c>
      <c r="E216" t="s">
        <v>792</v>
      </c>
      <c r="F216" t="s">
        <v>2424</v>
      </c>
      <c r="G216" t="s">
        <v>2426</v>
      </c>
      <c r="H216" t="s">
        <v>2510</v>
      </c>
      <c r="I216" t="s">
        <v>771</v>
      </c>
      <c r="K216" t="s">
        <v>45</v>
      </c>
      <c r="L216" t="s">
        <v>45</v>
      </c>
      <c r="N216" t="s">
        <v>45</v>
      </c>
      <c r="P216" t="s">
        <v>31</v>
      </c>
      <c r="Q216" t="s">
        <v>46</v>
      </c>
      <c r="R216" t="s">
        <v>2597</v>
      </c>
      <c r="S216" s="1">
        <v>44755</v>
      </c>
      <c r="T216" t="s">
        <v>736</v>
      </c>
      <c r="U216" t="s">
        <v>34</v>
      </c>
      <c r="V216" s="1">
        <v>44757</v>
      </c>
      <c r="W216" t="s">
        <v>35</v>
      </c>
      <c r="X216" t="s">
        <v>737</v>
      </c>
      <c r="Y216" t="s">
        <v>738</v>
      </c>
      <c r="Z216" t="s">
        <v>206</v>
      </c>
      <c r="AA216" t="s">
        <v>771</v>
      </c>
      <c r="AD216" t="s">
        <v>45</v>
      </c>
      <c r="AE216">
        <v>38.273397000000003</v>
      </c>
      <c r="AF216">
        <v>-84.208157999999997</v>
      </c>
      <c r="AG216" t="s">
        <v>40</v>
      </c>
      <c r="AH216" t="s">
        <v>41</v>
      </c>
      <c r="AI216">
        <v>38.27340865</v>
      </c>
      <c r="AJ216">
        <v>-84.208170261800007</v>
      </c>
      <c r="AK216">
        <v>1.1649999997587202E-5</v>
      </c>
      <c r="AL216">
        <v>-1.226180000912791E-5</v>
      </c>
      <c r="AM216" t="str">
        <f>_xlfn.IFNA(VLOOKUP(Sheet1!$C216,ADMIX_ALL!A:B,2,FALSE),"none")</f>
        <v>K6-18</v>
      </c>
      <c r="AN216" t="str">
        <f>_xlfn.IFNA(VLOOKUP(Sheet1!C216,ADMIX_SS!A:B,2,FALSE),"none")</f>
        <v>SubSample</v>
      </c>
      <c r="AO216" t="str">
        <f>_xlfn.IFNA(VLOOKUP(Sheet1!$C216,MONG_PHYLO!A:C,3,FALSE),"-")</f>
        <v>-</v>
      </c>
      <c r="AP216" t="str">
        <f>_xlfn.IFNA(VLOOKUP(Sheet1!$C216,MAC_PHYLO!A:C,3,FALSE),"-")</f>
        <v>-</v>
      </c>
      <c r="AQ216" t="str">
        <f>_xlfn.IFNA(VLOOKUP(Sheet1!$C216,ConStruct!A:C,3,FALSE),"-")</f>
        <v>ConStruct</v>
      </c>
      <c r="AR216" t="str">
        <f>_xlfn.IFNA(VLOOKUP(Sheet1!$C216,GEA!A:C,3,FALSE),"-")</f>
        <v>GEA</v>
      </c>
      <c r="AS216" t="str">
        <f>_xlfn.IFNA(VLOOKUP(Sheet1!$C216,MAC_DSUITE!A:D,3,FALSE),"-")</f>
        <v>mac_KY_BBF</v>
      </c>
      <c r="AT216" t="str">
        <f>_xlfn.IFNA(VLOOKUP(Sheet1!$C216,MONG_DSUITE!A:E,2,FALSE),"-")</f>
        <v>macrocarpa_BBF</v>
      </c>
      <c r="AU216" t="str">
        <f>_xlfn.IFNA(VLOOKUP(Sheet1!$C216,MAC_PAINT2!A:D,4,FALSE),"-")</f>
        <v>macpaint</v>
      </c>
      <c r="AV216" t="s">
        <v>9193</v>
      </c>
      <c r="AW216" t="s">
        <v>9193</v>
      </c>
    </row>
    <row r="217" spans="1:49" customFormat="1" x14ac:dyDescent="0.4">
      <c r="A217">
        <v>3668</v>
      </c>
      <c r="B217" t="s">
        <v>793</v>
      </c>
      <c r="C217" t="s">
        <v>794</v>
      </c>
      <c r="D217" t="str">
        <f>_xlfn.CONCAT(C217,".bam")</f>
        <v>SYST-MOR-0006905.bam</v>
      </c>
      <c r="E217" t="s">
        <v>795</v>
      </c>
      <c r="F217" t="s">
        <v>2424</v>
      </c>
      <c r="G217" t="s">
        <v>2426</v>
      </c>
      <c r="H217" t="s">
        <v>2510</v>
      </c>
      <c r="I217" t="s">
        <v>771</v>
      </c>
      <c r="K217" t="s">
        <v>84</v>
      </c>
      <c r="L217" t="s">
        <v>84</v>
      </c>
      <c r="N217" t="s">
        <v>84</v>
      </c>
      <c r="P217" t="s">
        <v>31</v>
      </c>
      <c r="Q217" t="s">
        <v>85</v>
      </c>
      <c r="R217" t="s">
        <v>2600</v>
      </c>
      <c r="S217" s="1">
        <v>44755</v>
      </c>
      <c r="T217" t="s">
        <v>736</v>
      </c>
      <c r="U217" t="s">
        <v>34</v>
      </c>
      <c r="V217" s="1">
        <v>44757</v>
      </c>
      <c r="W217" t="s">
        <v>35</v>
      </c>
      <c r="X217" t="s">
        <v>737</v>
      </c>
      <c r="Y217" t="s">
        <v>738</v>
      </c>
      <c r="Z217" t="s">
        <v>206</v>
      </c>
      <c r="AA217" t="s">
        <v>771</v>
      </c>
      <c r="AD217" t="s">
        <v>84</v>
      </c>
      <c r="AE217">
        <v>38.273643</v>
      </c>
      <c r="AF217">
        <v>-84.208108999999993</v>
      </c>
      <c r="AG217" t="s">
        <v>40</v>
      </c>
      <c r="AH217" t="s">
        <v>41</v>
      </c>
      <c r="AI217">
        <v>38.273647095800001</v>
      </c>
      <c r="AJ217">
        <v>-84.208063505400006</v>
      </c>
      <c r="AK217">
        <v>4.0958000013802121E-6</v>
      </c>
      <c r="AL217">
        <v>4.5494599987705442E-5</v>
      </c>
      <c r="AM217" t="str">
        <f>_xlfn.IFNA(VLOOKUP(Sheet1!$C217,ADMIX_ALL!A:B,2,FALSE),"none")</f>
        <v>K6-18</v>
      </c>
      <c r="AN217" t="str">
        <f>_xlfn.IFNA(VLOOKUP(Sheet1!C217,ADMIX_SS!A:B,2,FALSE),"none")</f>
        <v>SubSample</v>
      </c>
      <c r="AO217" t="str">
        <f>_xlfn.IFNA(VLOOKUP(Sheet1!$C217,MONG_PHYLO!A:C,3,FALSE),"-")</f>
        <v>-</v>
      </c>
      <c r="AP217" t="str">
        <f>_xlfn.IFNA(VLOOKUP(Sheet1!$C217,MAC_PHYLO!A:C,3,FALSE),"-")</f>
        <v>-</v>
      </c>
      <c r="AQ217" t="str">
        <f>_xlfn.IFNA(VLOOKUP(Sheet1!$C217,ConStruct!A:C,3,FALSE),"-")</f>
        <v>-</v>
      </c>
      <c r="AR217" t="str">
        <f>_xlfn.IFNA(VLOOKUP(Sheet1!$C217,GEA!A:C,3,FALSE),"-")</f>
        <v>-</v>
      </c>
      <c r="AS217" t="str">
        <f>_xlfn.IFNA(VLOOKUP(Sheet1!$C217,MAC_DSUITE!A:D,3,FALSE),"-")</f>
        <v>-</v>
      </c>
      <c r="AT217" t="str">
        <f>_xlfn.IFNA(VLOOKUP(Sheet1!$C217,MONG_DSUITE!A:E,2,FALSE),"-")</f>
        <v>xxx</v>
      </c>
      <c r="AU217" t="str">
        <f>_xlfn.IFNA(VLOOKUP(Sheet1!$C217,MAC_PAINT2!A:D,4,FALSE),"-")</f>
        <v>-</v>
      </c>
    </row>
    <row r="218" spans="1:49" customFormat="1" x14ac:dyDescent="0.4">
      <c r="A218">
        <v>3669</v>
      </c>
      <c r="B218" t="s">
        <v>796</v>
      </c>
      <c r="C218" t="s">
        <v>797</v>
      </c>
      <c r="D218" t="str">
        <f>_xlfn.CONCAT(C218,".bam")</f>
        <v>SYST-MOR-0006906.bam</v>
      </c>
      <c r="E218" t="s">
        <v>798</v>
      </c>
      <c r="F218" t="s">
        <v>2424</v>
      </c>
      <c r="G218" t="s">
        <v>2426</v>
      </c>
      <c r="H218" t="s">
        <v>2510</v>
      </c>
      <c r="I218" t="s">
        <v>771</v>
      </c>
      <c r="K218" t="s">
        <v>45</v>
      </c>
      <c r="L218" t="s">
        <v>45</v>
      </c>
      <c r="N218" t="s">
        <v>45</v>
      </c>
      <c r="P218" t="s">
        <v>31</v>
      </c>
      <c r="Q218" t="s">
        <v>46</v>
      </c>
      <c r="R218" t="s">
        <v>2597</v>
      </c>
      <c r="S218" s="1">
        <v>44755</v>
      </c>
      <c r="T218" t="s">
        <v>736</v>
      </c>
      <c r="U218" t="s">
        <v>34</v>
      </c>
      <c r="V218" s="1">
        <v>44757</v>
      </c>
      <c r="W218" t="s">
        <v>35</v>
      </c>
      <c r="X218" t="s">
        <v>737</v>
      </c>
      <c r="Y218" t="s">
        <v>738</v>
      </c>
      <c r="Z218" t="s">
        <v>206</v>
      </c>
      <c r="AA218" t="s">
        <v>771</v>
      </c>
      <c r="AD218" t="s">
        <v>45</v>
      </c>
      <c r="AE218">
        <v>38.274020999999998</v>
      </c>
      <c r="AF218">
        <v>-84.209338000000002</v>
      </c>
      <c r="AG218" t="s">
        <v>40</v>
      </c>
      <c r="AH218" t="s">
        <v>41</v>
      </c>
      <c r="AI218">
        <v>38.274101517200002</v>
      </c>
      <c r="AJ218">
        <v>-84.209408378299997</v>
      </c>
      <c r="AK218">
        <v>8.0517200004237566E-5</v>
      </c>
      <c r="AL218">
        <v>-7.0378299994899862E-5</v>
      </c>
      <c r="AM218" t="str">
        <f>_xlfn.IFNA(VLOOKUP(Sheet1!$C218,ADMIX_ALL!A:B,2,FALSE),"none")</f>
        <v>K6-18</v>
      </c>
      <c r="AN218" t="str">
        <f>_xlfn.IFNA(VLOOKUP(Sheet1!C218,ADMIX_SS!A:B,2,FALSE),"none")</f>
        <v>SubSample</v>
      </c>
      <c r="AO218" t="str">
        <f>_xlfn.IFNA(VLOOKUP(Sheet1!$C218,MONG_PHYLO!A:C,3,FALSE),"-")</f>
        <v>-</v>
      </c>
      <c r="AP218" t="str">
        <f>_xlfn.IFNA(VLOOKUP(Sheet1!$C218,MAC_PHYLO!A:C,3,FALSE),"-")</f>
        <v>-</v>
      </c>
      <c r="AQ218" t="str">
        <f>_xlfn.IFNA(VLOOKUP(Sheet1!$C218,ConStruct!A:C,3,FALSE),"-")</f>
        <v>ConStruct</v>
      </c>
      <c r="AR218" t="str">
        <f>_xlfn.IFNA(VLOOKUP(Sheet1!$C218,GEA!A:C,3,FALSE),"-")</f>
        <v>GEA</v>
      </c>
      <c r="AS218" t="str">
        <f>_xlfn.IFNA(VLOOKUP(Sheet1!$C218,MAC_DSUITE!A:D,3,FALSE),"-")</f>
        <v>mac_KY_BBF</v>
      </c>
      <c r="AT218" t="str">
        <f>_xlfn.IFNA(VLOOKUP(Sheet1!$C218,MONG_DSUITE!A:E,2,FALSE),"-")</f>
        <v>macrocarpa_BBF</v>
      </c>
      <c r="AU218" t="str">
        <f>_xlfn.IFNA(VLOOKUP(Sheet1!$C218,MAC_PAINT2!A:D,4,FALSE),"-")</f>
        <v>macpaint</v>
      </c>
      <c r="AV218" t="s">
        <v>9193</v>
      </c>
      <c r="AW218" t="s">
        <v>9193</v>
      </c>
    </row>
    <row r="219" spans="1:49" customFormat="1" x14ac:dyDescent="0.4">
      <c r="A219">
        <v>3670</v>
      </c>
      <c r="B219" t="s">
        <v>733</v>
      </c>
      <c r="C219" t="s">
        <v>734</v>
      </c>
      <c r="D219" t="str">
        <f>_xlfn.CONCAT(C219,".bam")</f>
        <v>SYST-MOR-0006907.bam</v>
      </c>
      <c r="E219" t="s">
        <v>735</v>
      </c>
      <c r="F219" t="s">
        <v>2424</v>
      </c>
      <c r="G219" t="s">
        <v>2425</v>
      </c>
      <c r="H219" t="s">
        <v>2509</v>
      </c>
      <c r="I219" t="s">
        <v>739</v>
      </c>
      <c r="K219" t="s">
        <v>45</v>
      </c>
      <c r="L219" t="s">
        <v>45</v>
      </c>
      <c r="N219" t="s">
        <v>45</v>
      </c>
      <c r="P219" t="s">
        <v>31</v>
      </c>
      <c r="Q219" t="s">
        <v>46</v>
      </c>
      <c r="R219" t="s">
        <v>2597</v>
      </c>
      <c r="S219" s="1">
        <v>44755</v>
      </c>
      <c r="T219" t="s">
        <v>736</v>
      </c>
      <c r="U219" t="s">
        <v>34</v>
      </c>
      <c r="V219" s="1">
        <v>44757</v>
      </c>
      <c r="W219" t="s">
        <v>35</v>
      </c>
      <c r="X219" t="s">
        <v>737</v>
      </c>
      <c r="Y219" t="s">
        <v>738</v>
      </c>
      <c r="Z219" t="s">
        <v>206</v>
      </c>
      <c r="AA219" t="s">
        <v>739</v>
      </c>
      <c r="AD219" t="s">
        <v>45</v>
      </c>
      <c r="AE219">
        <v>38.139609999999998</v>
      </c>
      <c r="AF219">
        <v>-84.759088000000006</v>
      </c>
      <c r="AG219" t="s">
        <v>40</v>
      </c>
      <c r="AH219" t="s">
        <v>41</v>
      </c>
      <c r="AI219">
        <v>38.139536599700001</v>
      </c>
      <c r="AJ219">
        <v>-84.759016642399999</v>
      </c>
      <c r="AK219">
        <v>-7.3400299996251306E-5</v>
      </c>
      <c r="AL219">
        <v>7.1357600006649591E-5</v>
      </c>
      <c r="AM219" t="str">
        <f>_xlfn.IFNA(VLOOKUP(Sheet1!$C219,ADMIX_ALL!A:B,2,FALSE),"none")</f>
        <v>K6-18</v>
      </c>
      <c r="AN219" t="str">
        <f>_xlfn.IFNA(VLOOKUP(Sheet1!C219,ADMIX_SS!A:B,2,FALSE),"none")</f>
        <v>SubSample</v>
      </c>
      <c r="AO219" t="str">
        <f>_xlfn.IFNA(VLOOKUP(Sheet1!$C219,MONG_PHYLO!A:C,3,FALSE),"-")</f>
        <v>-</v>
      </c>
      <c r="AP219" t="str">
        <f>_xlfn.IFNA(VLOOKUP(Sheet1!$C219,MAC_PHYLO!A:C,3,FALSE),"-")</f>
        <v>-</v>
      </c>
      <c r="AQ219" t="str">
        <f>_xlfn.IFNA(VLOOKUP(Sheet1!$C219,ConStruct!A:C,3,FALSE),"-")</f>
        <v>ConStruct</v>
      </c>
      <c r="AR219" t="str">
        <f>_xlfn.IFNA(VLOOKUP(Sheet1!$C219,GEA!A:C,3,FALSE),"-")</f>
        <v>GEA</v>
      </c>
      <c r="AS219" t="str">
        <f>_xlfn.IFNA(VLOOKUP(Sheet1!$C219,MAC_DSUITE!A:D,3,FALSE),"-")</f>
        <v>mac_KY_ASF</v>
      </c>
      <c r="AT219" t="str">
        <f>_xlfn.IFNA(VLOOKUP(Sheet1!$C219,MONG_DSUITE!A:E,2,FALSE),"-")</f>
        <v>macrocarpa_ASF</v>
      </c>
      <c r="AU219" t="str">
        <f>_xlfn.IFNA(VLOOKUP(Sheet1!$C219,MAC_PAINT2!A:D,4,FALSE),"-")</f>
        <v>macpaint</v>
      </c>
      <c r="AV219" t="s">
        <v>9193</v>
      </c>
      <c r="AW219" t="s">
        <v>9193</v>
      </c>
    </row>
    <row r="220" spans="1:49" customFormat="1" x14ac:dyDescent="0.4">
      <c r="A220">
        <v>3671</v>
      </c>
      <c r="B220" t="s">
        <v>740</v>
      </c>
      <c r="C220" t="s">
        <v>741</v>
      </c>
      <c r="D220" t="str">
        <f>_xlfn.CONCAT(C220,".bam")</f>
        <v>SYST-MOR-0006908.bam</v>
      </c>
      <c r="E220" t="s">
        <v>742</v>
      </c>
      <c r="F220" t="s">
        <v>2424</v>
      </c>
      <c r="G220" t="s">
        <v>2425</v>
      </c>
      <c r="H220" t="s">
        <v>2509</v>
      </c>
      <c r="I220" t="s">
        <v>739</v>
      </c>
      <c r="K220" t="s">
        <v>45</v>
      </c>
      <c r="L220" t="s">
        <v>45</v>
      </c>
      <c r="N220" t="s">
        <v>45</v>
      </c>
      <c r="P220" t="s">
        <v>31</v>
      </c>
      <c r="Q220" t="s">
        <v>46</v>
      </c>
      <c r="R220" t="s">
        <v>2597</v>
      </c>
      <c r="S220" s="1">
        <v>44755</v>
      </c>
      <c r="T220" t="s">
        <v>736</v>
      </c>
      <c r="U220" t="s">
        <v>34</v>
      </c>
      <c r="V220" s="1">
        <v>44757</v>
      </c>
      <c r="W220" t="s">
        <v>35</v>
      </c>
      <c r="X220" t="s">
        <v>737</v>
      </c>
      <c r="Y220" t="s">
        <v>738</v>
      </c>
      <c r="Z220" t="s">
        <v>206</v>
      </c>
      <c r="AA220" t="s">
        <v>739</v>
      </c>
      <c r="AD220" t="s">
        <v>45</v>
      </c>
      <c r="AE220">
        <v>38.139913</v>
      </c>
      <c r="AF220">
        <v>-84.759962999999999</v>
      </c>
      <c r="AG220" t="s">
        <v>40</v>
      </c>
      <c r="AH220" t="s">
        <v>41</v>
      </c>
      <c r="AI220">
        <v>38.139891531400004</v>
      </c>
      <c r="AJ220">
        <v>-84.759974610100002</v>
      </c>
      <c r="AK220">
        <v>-2.1468599996410376E-5</v>
      </c>
      <c r="AL220">
        <v>-1.1610100003167645E-5</v>
      </c>
      <c r="AM220" t="str">
        <f>_xlfn.IFNA(VLOOKUP(Sheet1!$C220,ADMIX_ALL!A:B,2,FALSE),"none")</f>
        <v>K6-18</v>
      </c>
      <c r="AN220" t="str">
        <f>_xlfn.IFNA(VLOOKUP(Sheet1!C220,ADMIX_SS!A:B,2,FALSE),"none")</f>
        <v>SubSample</v>
      </c>
      <c r="AO220" t="str">
        <f>_xlfn.IFNA(VLOOKUP(Sheet1!$C220,MONG_PHYLO!A:C,3,FALSE),"-")</f>
        <v>-</v>
      </c>
      <c r="AP220" t="str">
        <f>_xlfn.IFNA(VLOOKUP(Sheet1!$C220,MAC_PHYLO!A:C,3,FALSE),"-")</f>
        <v>-</v>
      </c>
      <c r="AQ220" t="str">
        <f>_xlfn.IFNA(VLOOKUP(Sheet1!$C220,ConStruct!A:C,3,FALSE),"-")</f>
        <v>ConStruct</v>
      </c>
      <c r="AR220" t="str">
        <f>_xlfn.IFNA(VLOOKUP(Sheet1!$C220,GEA!A:C,3,FALSE),"-")</f>
        <v>GEA</v>
      </c>
      <c r="AS220" t="str">
        <f>_xlfn.IFNA(VLOOKUP(Sheet1!$C220,MAC_DSUITE!A:D,3,FALSE),"-")</f>
        <v>mac_KY_ASF</v>
      </c>
      <c r="AT220" t="str">
        <f>_xlfn.IFNA(VLOOKUP(Sheet1!$C220,MONG_DSUITE!A:E,2,FALSE),"-")</f>
        <v>macrocarpa_ASF</v>
      </c>
      <c r="AU220" t="str">
        <f>_xlfn.IFNA(VLOOKUP(Sheet1!$C220,MAC_PAINT2!A:D,4,FALSE),"-")</f>
        <v>macpaint</v>
      </c>
      <c r="AV220" t="s">
        <v>9193</v>
      </c>
      <c r="AW220" t="s">
        <v>9193</v>
      </c>
    </row>
    <row r="221" spans="1:49" customFormat="1" x14ac:dyDescent="0.4">
      <c r="A221">
        <v>3672</v>
      </c>
      <c r="B221" t="s">
        <v>743</v>
      </c>
      <c r="C221" t="s">
        <v>744</v>
      </c>
      <c r="D221" t="str">
        <f>_xlfn.CONCAT(C221,".bam")</f>
        <v>SYST-MOR-0006909.bam</v>
      </c>
      <c r="E221" t="s">
        <v>745</v>
      </c>
      <c r="F221" t="s">
        <v>2424</v>
      </c>
      <c r="G221" t="s">
        <v>2425</v>
      </c>
      <c r="H221" t="s">
        <v>2509</v>
      </c>
      <c r="I221" t="s">
        <v>739</v>
      </c>
      <c r="K221" t="s">
        <v>45</v>
      </c>
      <c r="L221" t="s">
        <v>45</v>
      </c>
      <c r="N221" t="s">
        <v>45</v>
      </c>
      <c r="P221" t="s">
        <v>31</v>
      </c>
      <c r="Q221" t="s">
        <v>46</v>
      </c>
      <c r="R221" t="s">
        <v>2597</v>
      </c>
      <c r="S221" s="1">
        <v>44755</v>
      </c>
      <c r="T221" t="s">
        <v>736</v>
      </c>
      <c r="U221" t="s">
        <v>34</v>
      </c>
      <c r="V221" s="1">
        <v>44757</v>
      </c>
      <c r="W221" t="s">
        <v>35</v>
      </c>
      <c r="X221" t="s">
        <v>737</v>
      </c>
      <c r="Y221" t="s">
        <v>738</v>
      </c>
      <c r="Z221" t="s">
        <v>206</v>
      </c>
      <c r="AA221" t="s">
        <v>739</v>
      </c>
      <c r="AD221" t="s">
        <v>45</v>
      </c>
      <c r="AE221">
        <v>38.139006000000002</v>
      </c>
      <c r="AF221">
        <v>-84.760327000000004</v>
      </c>
      <c r="AG221" t="s">
        <v>40</v>
      </c>
      <c r="AH221" t="s">
        <v>41</v>
      </c>
      <c r="AI221">
        <v>38.138911477299999</v>
      </c>
      <c r="AJ221">
        <v>-84.760249620400003</v>
      </c>
      <c r="AK221">
        <v>-9.4522700003096816E-5</v>
      </c>
      <c r="AL221">
        <v>7.7379600000426763E-5</v>
      </c>
      <c r="AM221" t="str">
        <f>_xlfn.IFNA(VLOOKUP(Sheet1!$C221,ADMIX_ALL!A:B,2,FALSE),"none")</f>
        <v>K6-18</v>
      </c>
      <c r="AN221" t="str">
        <f>_xlfn.IFNA(VLOOKUP(Sheet1!C221,ADMIX_SS!A:B,2,FALSE),"none")</f>
        <v>SubSample</v>
      </c>
      <c r="AO221" t="str">
        <f>_xlfn.IFNA(VLOOKUP(Sheet1!$C221,MONG_PHYLO!A:C,3,FALSE),"-")</f>
        <v>-</v>
      </c>
      <c r="AP221" t="str">
        <f>_xlfn.IFNA(VLOOKUP(Sheet1!$C221,MAC_PHYLO!A:C,3,FALSE),"-")</f>
        <v>-</v>
      </c>
      <c r="AQ221" t="str">
        <f>_xlfn.IFNA(VLOOKUP(Sheet1!$C221,ConStruct!A:C,3,FALSE),"-")</f>
        <v>ConStruct</v>
      </c>
      <c r="AR221" t="str">
        <f>_xlfn.IFNA(VLOOKUP(Sheet1!$C221,GEA!A:C,3,FALSE),"-")</f>
        <v>GEA</v>
      </c>
      <c r="AS221" t="str">
        <f>_xlfn.IFNA(VLOOKUP(Sheet1!$C221,MAC_DSUITE!A:D,3,FALSE),"-")</f>
        <v>mac_KY_ASF</v>
      </c>
      <c r="AT221" t="str">
        <f>_xlfn.IFNA(VLOOKUP(Sheet1!$C221,MONG_DSUITE!A:E,2,FALSE),"-")</f>
        <v>macrocarpa_ASF</v>
      </c>
      <c r="AU221" t="str">
        <f>_xlfn.IFNA(VLOOKUP(Sheet1!$C221,MAC_PAINT2!A:D,4,FALSE),"-")</f>
        <v>macpaint</v>
      </c>
      <c r="AV221" t="s">
        <v>9193</v>
      </c>
      <c r="AW221" t="s">
        <v>9193</v>
      </c>
    </row>
    <row r="222" spans="1:49" customFormat="1" x14ac:dyDescent="0.4">
      <c r="A222">
        <v>3673</v>
      </c>
      <c r="B222" t="s">
        <v>746</v>
      </c>
      <c r="C222" t="s">
        <v>747</v>
      </c>
      <c r="D222" t="str">
        <f>_xlfn.CONCAT(C222,".bam")</f>
        <v>SYST-MOR-0006910.bam</v>
      </c>
      <c r="E222" t="s">
        <v>748</v>
      </c>
      <c r="F222" t="s">
        <v>2424</v>
      </c>
      <c r="G222" t="s">
        <v>2425</v>
      </c>
      <c r="H222" t="s">
        <v>2509</v>
      </c>
      <c r="I222" t="s">
        <v>739</v>
      </c>
      <c r="K222" t="s">
        <v>84</v>
      </c>
      <c r="L222" t="s">
        <v>84</v>
      </c>
      <c r="N222" t="s">
        <v>84</v>
      </c>
      <c r="P222" t="s">
        <v>31</v>
      </c>
      <c r="Q222" t="s">
        <v>85</v>
      </c>
      <c r="R222" t="s">
        <v>2600</v>
      </c>
      <c r="S222" s="1">
        <v>44755</v>
      </c>
      <c r="T222" t="s">
        <v>736</v>
      </c>
      <c r="U222" t="s">
        <v>34</v>
      </c>
      <c r="V222" s="1">
        <v>44757</v>
      </c>
      <c r="W222" t="s">
        <v>35</v>
      </c>
      <c r="X222" t="s">
        <v>737</v>
      </c>
      <c r="Y222" t="s">
        <v>738</v>
      </c>
      <c r="Z222" t="s">
        <v>206</v>
      </c>
      <c r="AA222" t="s">
        <v>739</v>
      </c>
      <c r="AD222" t="s">
        <v>84</v>
      </c>
      <c r="AE222">
        <v>38.137672000000002</v>
      </c>
      <c r="AF222">
        <v>-84.735528000000002</v>
      </c>
      <c r="AG222" t="s">
        <v>40</v>
      </c>
      <c r="AH222" t="s">
        <v>41</v>
      </c>
      <c r="AI222">
        <v>38.137925053099998</v>
      </c>
      <c r="AJ222">
        <v>-84.735556617499995</v>
      </c>
      <c r="AK222">
        <v>2.530530999962366E-4</v>
      </c>
      <c r="AL222">
        <v>-2.8617499992833473E-5</v>
      </c>
      <c r="AM222" t="str">
        <f>_xlfn.IFNA(VLOOKUP(Sheet1!$C222,ADMIX_ALL!A:B,2,FALSE),"none")</f>
        <v>K6-18</v>
      </c>
      <c r="AN222" t="str">
        <f>_xlfn.IFNA(VLOOKUP(Sheet1!C222,ADMIX_SS!A:B,2,FALSE),"none")</f>
        <v>SubSample</v>
      </c>
      <c r="AO222" t="str">
        <f>_xlfn.IFNA(VLOOKUP(Sheet1!$C222,MONG_PHYLO!A:C,3,FALSE),"-")</f>
        <v>-</v>
      </c>
      <c r="AP222" t="str">
        <f>_xlfn.IFNA(VLOOKUP(Sheet1!$C222,MAC_PHYLO!A:C,3,FALSE),"-")</f>
        <v>-</v>
      </c>
      <c r="AQ222" t="str">
        <f>_xlfn.IFNA(VLOOKUP(Sheet1!$C222,ConStruct!A:C,3,FALSE),"-")</f>
        <v>-</v>
      </c>
      <c r="AR222" t="str">
        <f>_xlfn.IFNA(VLOOKUP(Sheet1!$C222,GEA!A:C,3,FALSE),"-")</f>
        <v>-</v>
      </c>
      <c r="AS222" t="str">
        <f>_xlfn.IFNA(VLOOKUP(Sheet1!$C222,MAC_DSUITE!A:D,3,FALSE),"-")</f>
        <v>-</v>
      </c>
      <c r="AT222" t="str">
        <f>_xlfn.IFNA(VLOOKUP(Sheet1!$C222,MONG_DSUITE!A:E,2,FALSE),"-")</f>
        <v>xxx</v>
      </c>
      <c r="AU222" t="str">
        <f>_xlfn.IFNA(VLOOKUP(Sheet1!$C222,MAC_PAINT2!A:D,4,FALSE),"-")</f>
        <v>-</v>
      </c>
    </row>
    <row r="223" spans="1:49" customFormat="1" x14ac:dyDescent="0.4">
      <c r="A223">
        <v>3674</v>
      </c>
      <c r="B223" t="s">
        <v>749</v>
      </c>
      <c r="C223" t="s">
        <v>750</v>
      </c>
      <c r="D223" t="str">
        <f>_xlfn.CONCAT(C223,".bam")</f>
        <v>SYST-MOR-0006911.bam</v>
      </c>
      <c r="E223" t="s">
        <v>751</v>
      </c>
      <c r="F223" t="s">
        <v>2424</v>
      </c>
      <c r="G223" t="s">
        <v>2425</v>
      </c>
      <c r="H223" t="s">
        <v>2509</v>
      </c>
      <c r="I223" t="s">
        <v>739</v>
      </c>
      <c r="K223" t="s">
        <v>45</v>
      </c>
      <c r="L223" t="s">
        <v>45</v>
      </c>
      <c r="N223" t="s">
        <v>45</v>
      </c>
      <c r="P223" t="s">
        <v>31</v>
      </c>
      <c r="Q223" t="s">
        <v>46</v>
      </c>
      <c r="R223" t="s">
        <v>2597</v>
      </c>
      <c r="S223" s="1">
        <v>44755</v>
      </c>
      <c r="T223" t="s">
        <v>736</v>
      </c>
      <c r="U223" t="s">
        <v>34</v>
      </c>
      <c r="V223" s="1">
        <v>44757</v>
      </c>
      <c r="W223" t="s">
        <v>35</v>
      </c>
      <c r="X223" t="s">
        <v>737</v>
      </c>
      <c r="Y223" t="s">
        <v>738</v>
      </c>
      <c r="Z223" t="s">
        <v>206</v>
      </c>
      <c r="AA223" t="s">
        <v>739</v>
      </c>
      <c r="AD223" t="s">
        <v>45</v>
      </c>
      <c r="AE223">
        <v>38.137895</v>
      </c>
      <c r="AF223">
        <v>-84.735489999999999</v>
      </c>
      <c r="AG223" t="s">
        <v>40</v>
      </c>
      <c r="AH223" t="s">
        <v>41</v>
      </c>
      <c r="AI223">
        <v>38.137846598899998</v>
      </c>
      <c r="AJ223">
        <v>-84.735576594099996</v>
      </c>
      <c r="AK223">
        <v>-4.8401100002593012E-5</v>
      </c>
      <c r="AL223">
        <v>-8.6594099997228113E-5</v>
      </c>
      <c r="AM223" t="str">
        <f>_xlfn.IFNA(VLOOKUP(Sheet1!$C223,ADMIX_ALL!A:B,2,FALSE),"none")</f>
        <v>K6-18</v>
      </c>
      <c r="AN223" t="str">
        <f>_xlfn.IFNA(VLOOKUP(Sheet1!C223,ADMIX_SS!A:B,2,FALSE),"none")</f>
        <v>SubSample</v>
      </c>
      <c r="AO223" t="str">
        <f>_xlfn.IFNA(VLOOKUP(Sheet1!$C223,MONG_PHYLO!A:C,3,FALSE),"-")</f>
        <v>-</v>
      </c>
      <c r="AP223" t="str">
        <f>_xlfn.IFNA(VLOOKUP(Sheet1!$C223,MAC_PHYLO!A:C,3,FALSE),"-")</f>
        <v>-</v>
      </c>
      <c r="AQ223" t="str">
        <f>_xlfn.IFNA(VLOOKUP(Sheet1!$C223,ConStruct!A:C,3,FALSE),"-")</f>
        <v>ConStruct</v>
      </c>
      <c r="AR223" t="str">
        <f>_xlfn.IFNA(VLOOKUP(Sheet1!$C223,GEA!A:C,3,FALSE),"-")</f>
        <v>GEA</v>
      </c>
      <c r="AS223" t="str">
        <f>_xlfn.IFNA(VLOOKUP(Sheet1!$C223,MAC_DSUITE!A:D,3,FALSE),"-")</f>
        <v>mac_KY_ASF</v>
      </c>
      <c r="AT223" t="str">
        <f>_xlfn.IFNA(VLOOKUP(Sheet1!$C223,MONG_DSUITE!A:E,2,FALSE),"-")</f>
        <v>macrocarpa_ASF</v>
      </c>
      <c r="AU223" t="str">
        <f>_xlfn.IFNA(VLOOKUP(Sheet1!$C223,MAC_PAINT2!A:D,4,FALSE),"-")</f>
        <v>macpaint</v>
      </c>
      <c r="AV223" t="s">
        <v>9193</v>
      </c>
      <c r="AW223" t="s">
        <v>9193</v>
      </c>
    </row>
    <row r="224" spans="1:49" customFormat="1" x14ac:dyDescent="0.4">
      <c r="A224">
        <v>3675</v>
      </c>
      <c r="B224" t="s">
        <v>752</v>
      </c>
      <c r="C224" t="s">
        <v>753</v>
      </c>
      <c r="D224" t="str">
        <f>_xlfn.CONCAT(C224,".bam")</f>
        <v>SYST-MOR-0006912.bam</v>
      </c>
      <c r="E224" t="s">
        <v>754</v>
      </c>
      <c r="F224" t="s">
        <v>2424</v>
      </c>
      <c r="G224" t="s">
        <v>2425</v>
      </c>
      <c r="H224" t="s">
        <v>2509</v>
      </c>
      <c r="I224" t="s">
        <v>739</v>
      </c>
      <c r="K224" t="s">
        <v>45</v>
      </c>
      <c r="L224" t="s">
        <v>45</v>
      </c>
      <c r="N224" t="s">
        <v>45</v>
      </c>
      <c r="P224" t="s">
        <v>31</v>
      </c>
      <c r="Q224" t="s">
        <v>46</v>
      </c>
      <c r="R224" t="s">
        <v>2597</v>
      </c>
      <c r="S224" s="1">
        <v>44755</v>
      </c>
      <c r="T224" t="s">
        <v>736</v>
      </c>
      <c r="U224" t="s">
        <v>34</v>
      </c>
      <c r="V224" s="1">
        <v>44757</v>
      </c>
      <c r="W224" t="s">
        <v>35</v>
      </c>
      <c r="X224" t="s">
        <v>737</v>
      </c>
      <c r="Y224" t="s">
        <v>738</v>
      </c>
      <c r="Z224" t="s">
        <v>206</v>
      </c>
      <c r="AA224" t="s">
        <v>739</v>
      </c>
      <c r="AC224">
        <v>119</v>
      </c>
      <c r="AD224" t="s">
        <v>45</v>
      </c>
      <c r="AE224">
        <v>38.138075000000001</v>
      </c>
      <c r="AF224">
        <v>-84.734804999999994</v>
      </c>
      <c r="AG224" t="s">
        <v>40</v>
      </c>
      <c r="AH224" t="s">
        <v>41</v>
      </c>
      <c r="AI224">
        <v>38.138087623399997</v>
      </c>
      <c r="AJ224">
        <v>-84.734862228899999</v>
      </c>
      <c r="AK224">
        <v>1.2623399996414264E-5</v>
      </c>
      <c r="AL224">
        <v>-5.7228900004702155E-5</v>
      </c>
      <c r="AM224" t="str">
        <f>_xlfn.IFNA(VLOOKUP(Sheet1!$C224,ADMIX_ALL!A:B,2,FALSE),"none")</f>
        <v>K6-18</v>
      </c>
      <c r="AN224" t="str">
        <f>_xlfn.IFNA(VLOOKUP(Sheet1!C224,ADMIX_SS!A:B,2,FALSE),"none")</f>
        <v>SubSample</v>
      </c>
      <c r="AO224" t="str">
        <f>_xlfn.IFNA(VLOOKUP(Sheet1!$C224,MONG_PHYLO!A:C,3,FALSE),"-")</f>
        <v>-</v>
      </c>
      <c r="AP224" t="str">
        <f>_xlfn.IFNA(VLOOKUP(Sheet1!$C224,MAC_PHYLO!A:C,3,FALSE),"-")</f>
        <v>-</v>
      </c>
      <c r="AQ224" t="str">
        <f>_xlfn.IFNA(VLOOKUP(Sheet1!$C224,ConStruct!A:C,3,FALSE),"-")</f>
        <v>ConStruct</v>
      </c>
      <c r="AR224" t="str">
        <f>_xlfn.IFNA(VLOOKUP(Sheet1!$C224,GEA!A:C,3,FALSE),"-")</f>
        <v>GEA</v>
      </c>
      <c r="AS224" t="str">
        <f>_xlfn.IFNA(VLOOKUP(Sheet1!$C224,MAC_DSUITE!A:D,3,FALSE),"-")</f>
        <v>mac_KY_ASF</v>
      </c>
      <c r="AT224" t="str">
        <f>_xlfn.IFNA(VLOOKUP(Sheet1!$C224,MONG_DSUITE!A:E,2,FALSE),"-")</f>
        <v>macrocarpa_ASF</v>
      </c>
      <c r="AU224" t="str">
        <f>_xlfn.IFNA(VLOOKUP(Sheet1!$C224,MAC_PAINT2!A:D,4,FALSE),"-")</f>
        <v>macpaint</v>
      </c>
      <c r="AV224" t="s">
        <v>9193</v>
      </c>
      <c r="AW224" t="s">
        <v>9193</v>
      </c>
    </row>
    <row r="225" spans="1:47" customFormat="1" x14ac:dyDescent="0.4">
      <c r="A225">
        <v>3676</v>
      </c>
      <c r="B225" t="s">
        <v>755</v>
      </c>
      <c r="C225" t="s">
        <v>756</v>
      </c>
      <c r="D225" t="str">
        <f>_xlfn.CONCAT(C225,".bam")</f>
        <v>SYST-MOR-0006913.bam</v>
      </c>
      <c r="E225" t="s">
        <v>757</v>
      </c>
      <c r="F225" t="s">
        <v>2424</v>
      </c>
      <c r="G225" t="s">
        <v>2425</v>
      </c>
      <c r="H225" t="s">
        <v>2509</v>
      </c>
      <c r="I225" t="s">
        <v>739</v>
      </c>
      <c r="K225" t="s">
        <v>84</v>
      </c>
      <c r="L225" t="s">
        <v>84</v>
      </c>
      <c r="N225" t="s">
        <v>84</v>
      </c>
      <c r="P225" t="s">
        <v>31</v>
      </c>
      <c r="Q225" t="s">
        <v>85</v>
      </c>
      <c r="R225" t="s">
        <v>2600</v>
      </c>
      <c r="S225" s="1">
        <v>44755</v>
      </c>
      <c r="T225" t="s">
        <v>736</v>
      </c>
      <c r="U225" t="s">
        <v>34</v>
      </c>
      <c r="V225" s="1">
        <v>44757</v>
      </c>
      <c r="W225" t="s">
        <v>35</v>
      </c>
      <c r="X225" t="s">
        <v>737</v>
      </c>
      <c r="Y225" t="s">
        <v>738</v>
      </c>
      <c r="Z225" t="s">
        <v>206</v>
      </c>
      <c r="AA225" t="s">
        <v>739</v>
      </c>
      <c r="AC225">
        <v>157</v>
      </c>
      <c r="AD225" t="s">
        <v>84</v>
      </c>
      <c r="AE225">
        <v>38.136884999999999</v>
      </c>
      <c r="AF225">
        <v>-84.734226000000007</v>
      </c>
      <c r="AG225" t="s">
        <v>40</v>
      </c>
      <c r="AH225" t="s">
        <v>41</v>
      </c>
      <c r="AI225">
        <v>38.136906358399997</v>
      </c>
      <c r="AJ225">
        <v>-84.734260356099995</v>
      </c>
      <c r="AK225">
        <v>2.1358399997950528E-5</v>
      </c>
      <c r="AL225">
        <v>-3.4356099988031019E-5</v>
      </c>
      <c r="AM225" t="str">
        <f>_xlfn.IFNA(VLOOKUP(Sheet1!$C225,ADMIX_ALL!A:B,2,FALSE),"none")</f>
        <v>K6-18</v>
      </c>
      <c r="AN225" t="str">
        <f>_xlfn.IFNA(VLOOKUP(Sheet1!C225,ADMIX_SS!A:B,2,FALSE),"none")</f>
        <v>SubSample</v>
      </c>
      <c r="AO225" t="str">
        <f>_xlfn.IFNA(VLOOKUP(Sheet1!$C225,MONG_PHYLO!A:C,3,FALSE),"-")</f>
        <v>-</v>
      </c>
      <c r="AP225" t="str">
        <f>_xlfn.IFNA(VLOOKUP(Sheet1!$C225,MAC_PHYLO!A:C,3,FALSE),"-")</f>
        <v>-</v>
      </c>
      <c r="AQ225" t="str">
        <f>_xlfn.IFNA(VLOOKUP(Sheet1!$C225,ConStruct!A:C,3,FALSE),"-")</f>
        <v>-</v>
      </c>
      <c r="AR225" t="str">
        <f>_xlfn.IFNA(VLOOKUP(Sheet1!$C225,GEA!A:C,3,FALSE),"-")</f>
        <v>-</v>
      </c>
      <c r="AS225" t="str">
        <f>_xlfn.IFNA(VLOOKUP(Sheet1!$C225,MAC_DSUITE!A:D,3,FALSE),"-")</f>
        <v>-</v>
      </c>
      <c r="AT225" t="str">
        <f>_xlfn.IFNA(VLOOKUP(Sheet1!$C225,MONG_DSUITE!A:E,2,FALSE),"-")</f>
        <v>xxx</v>
      </c>
      <c r="AU225" t="str">
        <f>_xlfn.IFNA(VLOOKUP(Sheet1!$C225,MAC_PAINT2!A:D,4,FALSE),"-")</f>
        <v>-</v>
      </c>
    </row>
    <row r="226" spans="1:47" customFormat="1" x14ac:dyDescent="0.4">
      <c r="A226">
        <v>3677</v>
      </c>
      <c r="B226" t="s">
        <v>758</v>
      </c>
      <c r="C226" t="s">
        <v>759</v>
      </c>
      <c r="D226" t="str">
        <f>_xlfn.CONCAT(C226,".bam")</f>
        <v>SYST-MOR-0006914.bam</v>
      </c>
      <c r="E226" t="s">
        <v>760</v>
      </c>
      <c r="F226" t="s">
        <v>2424</v>
      </c>
      <c r="G226" t="s">
        <v>2425</v>
      </c>
      <c r="H226" t="s">
        <v>2509</v>
      </c>
      <c r="I226" t="s">
        <v>739</v>
      </c>
      <c r="K226" t="s">
        <v>84</v>
      </c>
      <c r="L226" t="s">
        <v>84</v>
      </c>
      <c r="N226" t="s">
        <v>84</v>
      </c>
      <c r="P226" t="s">
        <v>31</v>
      </c>
      <c r="Q226" t="s">
        <v>85</v>
      </c>
      <c r="R226" t="s">
        <v>2600</v>
      </c>
      <c r="S226" s="1">
        <v>44755</v>
      </c>
      <c r="T226" t="s">
        <v>736</v>
      </c>
      <c r="U226" t="s">
        <v>34</v>
      </c>
      <c r="V226" s="1">
        <v>44757</v>
      </c>
      <c r="W226" t="s">
        <v>35</v>
      </c>
      <c r="X226" t="s">
        <v>737</v>
      </c>
      <c r="Y226" t="s">
        <v>738</v>
      </c>
      <c r="Z226" t="s">
        <v>206</v>
      </c>
      <c r="AA226" t="s">
        <v>739</v>
      </c>
      <c r="AD226" t="s">
        <v>84</v>
      </c>
      <c r="AE226">
        <v>38.135331999999998</v>
      </c>
      <c r="AF226">
        <v>-84.733104999999995</v>
      </c>
      <c r="AG226" t="s">
        <v>40</v>
      </c>
      <c r="AH226" t="s">
        <v>41</v>
      </c>
      <c r="AI226">
        <v>38.135596476499998</v>
      </c>
      <c r="AJ226">
        <v>-84.732992090400003</v>
      </c>
      <c r="AK226">
        <v>2.6447649999994383E-4</v>
      </c>
      <c r="AL226">
        <v>1.1290959999143979E-4</v>
      </c>
      <c r="AM226" t="str">
        <f>_xlfn.IFNA(VLOOKUP(Sheet1!$C226,ADMIX_ALL!A:B,2,FALSE),"none")</f>
        <v>K6-18</v>
      </c>
      <c r="AN226" t="str">
        <f>_xlfn.IFNA(VLOOKUP(Sheet1!C226,ADMIX_SS!A:B,2,FALSE),"none")</f>
        <v>SubSample</v>
      </c>
      <c r="AO226" t="str">
        <f>_xlfn.IFNA(VLOOKUP(Sheet1!$C226,MONG_PHYLO!A:C,3,FALSE),"-")</f>
        <v>-</v>
      </c>
      <c r="AP226" t="str">
        <f>_xlfn.IFNA(VLOOKUP(Sheet1!$C226,MAC_PHYLO!A:C,3,FALSE),"-")</f>
        <v>-</v>
      </c>
      <c r="AQ226" t="str">
        <f>_xlfn.IFNA(VLOOKUP(Sheet1!$C226,ConStruct!A:C,3,FALSE),"-")</f>
        <v>-</v>
      </c>
      <c r="AR226" t="str">
        <f>_xlfn.IFNA(VLOOKUP(Sheet1!$C226,GEA!A:C,3,FALSE),"-")</f>
        <v>-</v>
      </c>
      <c r="AS226" t="str">
        <f>_xlfn.IFNA(VLOOKUP(Sheet1!$C226,MAC_DSUITE!A:D,3,FALSE),"-")</f>
        <v>-</v>
      </c>
      <c r="AT226" t="str">
        <f>_xlfn.IFNA(VLOOKUP(Sheet1!$C226,MONG_DSUITE!A:E,2,FALSE),"-")</f>
        <v>xxx</v>
      </c>
      <c r="AU226" t="str">
        <f>_xlfn.IFNA(VLOOKUP(Sheet1!$C226,MAC_PAINT2!A:D,4,FALSE),"-")</f>
        <v>-</v>
      </c>
    </row>
    <row r="227" spans="1:47" customFormat="1" x14ac:dyDescent="0.4">
      <c r="A227">
        <v>3678</v>
      </c>
      <c r="B227" t="s">
        <v>761</v>
      </c>
      <c r="C227" t="s">
        <v>762</v>
      </c>
      <c r="D227" t="str">
        <f>_xlfn.CONCAT(C227,".bam")</f>
        <v>SYST-MOR-0006915.bam</v>
      </c>
      <c r="E227" t="s">
        <v>763</v>
      </c>
      <c r="F227" t="s">
        <v>2424</v>
      </c>
      <c r="G227" t="s">
        <v>2425</v>
      </c>
      <c r="H227" t="s">
        <v>2509</v>
      </c>
      <c r="I227" t="s">
        <v>739</v>
      </c>
      <c r="K227" t="s">
        <v>84</v>
      </c>
      <c r="L227" t="s">
        <v>84</v>
      </c>
      <c r="N227" t="s">
        <v>84</v>
      </c>
      <c r="P227" t="s">
        <v>31</v>
      </c>
      <c r="Q227" t="s">
        <v>85</v>
      </c>
      <c r="R227" t="s">
        <v>2600</v>
      </c>
      <c r="S227" s="1">
        <v>44755</v>
      </c>
      <c r="T227" t="s">
        <v>736</v>
      </c>
      <c r="U227" t="s">
        <v>34</v>
      </c>
      <c r="V227" s="1">
        <v>44757</v>
      </c>
      <c r="W227" t="s">
        <v>35</v>
      </c>
      <c r="X227" t="s">
        <v>737</v>
      </c>
      <c r="Y227" t="s">
        <v>738</v>
      </c>
      <c r="Z227" t="s">
        <v>206</v>
      </c>
      <c r="AA227" t="s">
        <v>739</v>
      </c>
      <c r="AD227" t="s">
        <v>84</v>
      </c>
      <c r="AE227">
        <v>38.137234999999997</v>
      </c>
      <c r="AF227">
        <v>-84.733179000000007</v>
      </c>
      <c r="AG227" t="s">
        <v>40</v>
      </c>
      <c r="AH227" t="s">
        <v>41</v>
      </c>
      <c r="AI227">
        <v>38.137161294000002</v>
      </c>
      <c r="AJ227">
        <v>-84.733173809999997</v>
      </c>
      <c r="AK227">
        <v>-7.3705999994899685E-5</v>
      </c>
      <c r="AL227">
        <v>5.1900000102023114E-6</v>
      </c>
      <c r="AM227" t="str">
        <f>_xlfn.IFNA(VLOOKUP(Sheet1!$C227,ADMIX_ALL!A:B,2,FALSE),"none")</f>
        <v>K6-18</v>
      </c>
      <c r="AN227" t="str">
        <f>_xlfn.IFNA(VLOOKUP(Sheet1!C227,ADMIX_SS!A:B,2,FALSE),"none")</f>
        <v>SubSample</v>
      </c>
      <c r="AO227" t="str">
        <f>_xlfn.IFNA(VLOOKUP(Sheet1!$C227,MONG_PHYLO!A:C,3,FALSE),"-")</f>
        <v>-</v>
      </c>
      <c r="AP227" t="str">
        <f>_xlfn.IFNA(VLOOKUP(Sheet1!$C227,MAC_PHYLO!A:C,3,FALSE),"-")</f>
        <v>-</v>
      </c>
      <c r="AQ227" t="str">
        <f>_xlfn.IFNA(VLOOKUP(Sheet1!$C227,ConStruct!A:C,3,FALSE),"-")</f>
        <v>-</v>
      </c>
      <c r="AR227" t="str">
        <f>_xlfn.IFNA(VLOOKUP(Sheet1!$C227,GEA!A:C,3,FALSE),"-")</f>
        <v>-</v>
      </c>
      <c r="AS227" t="str">
        <f>_xlfn.IFNA(VLOOKUP(Sheet1!$C227,MAC_DSUITE!A:D,3,FALSE),"-")</f>
        <v>-</v>
      </c>
      <c r="AT227" t="str">
        <f>_xlfn.IFNA(VLOOKUP(Sheet1!$C227,MONG_DSUITE!A:E,2,FALSE),"-")</f>
        <v>xxx</v>
      </c>
      <c r="AU227" t="str">
        <f>_xlfn.IFNA(VLOOKUP(Sheet1!$C227,MAC_PAINT2!A:D,4,FALSE),"-")</f>
        <v>-</v>
      </c>
    </row>
    <row r="228" spans="1:47" customFormat="1" x14ac:dyDescent="0.4">
      <c r="A228">
        <v>3679</v>
      </c>
      <c r="B228" t="s">
        <v>764</v>
      </c>
      <c r="C228" t="s">
        <v>765</v>
      </c>
      <c r="D228" t="str">
        <f>_xlfn.CONCAT(C228,".bam")</f>
        <v>SYST-MOR-0006916.bam</v>
      </c>
      <c r="E228" t="s">
        <v>766</v>
      </c>
      <c r="F228" t="s">
        <v>2424</v>
      </c>
      <c r="G228" t="s">
        <v>2425</v>
      </c>
      <c r="H228" t="s">
        <v>2509</v>
      </c>
      <c r="I228" t="s">
        <v>739</v>
      </c>
      <c r="K228" t="s">
        <v>84</v>
      </c>
      <c r="L228" t="s">
        <v>84</v>
      </c>
      <c r="N228" t="s">
        <v>84</v>
      </c>
      <c r="P228" t="s">
        <v>31</v>
      </c>
      <c r="Q228" t="s">
        <v>85</v>
      </c>
      <c r="R228" t="s">
        <v>2600</v>
      </c>
      <c r="S228" s="1">
        <v>44755</v>
      </c>
      <c r="T228" t="s">
        <v>736</v>
      </c>
      <c r="U228" t="s">
        <v>34</v>
      </c>
      <c r="V228" s="1">
        <v>44757</v>
      </c>
      <c r="W228" t="s">
        <v>35</v>
      </c>
      <c r="X228" t="s">
        <v>737</v>
      </c>
      <c r="Y228" t="s">
        <v>738</v>
      </c>
      <c r="Z228" t="s">
        <v>206</v>
      </c>
      <c r="AA228" t="s">
        <v>739</v>
      </c>
      <c r="AC228">
        <v>21</v>
      </c>
      <c r="AD228" t="s">
        <v>84</v>
      </c>
      <c r="AE228">
        <v>38.136532000000003</v>
      </c>
      <c r="AF228">
        <v>-84.735518999999996</v>
      </c>
      <c r="AG228" t="s">
        <v>40</v>
      </c>
      <c r="AH228" t="s">
        <v>41</v>
      </c>
      <c r="AI228">
        <v>38.136432529499999</v>
      </c>
      <c r="AJ228">
        <v>-84.7356742156</v>
      </c>
      <c r="AK228">
        <v>-9.947050000391755E-5</v>
      </c>
      <c r="AL228">
        <v>-1.5521560000308909E-4</v>
      </c>
      <c r="AM228" t="str">
        <f>_xlfn.IFNA(VLOOKUP(Sheet1!$C228,ADMIX_ALL!A:B,2,FALSE),"none")</f>
        <v>K6-18</v>
      </c>
      <c r="AN228" t="str">
        <f>_xlfn.IFNA(VLOOKUP(Sheet1!C228,ADMIX_SS!A:B,2,FALSE),"none")</f>
        <v>SubSample</v>
      </c>
      <c r="AO228" t="str">
        <f>_xlfn.IFNA(VLOOKUP(Sheet1!$C228,MONG_PHYLO!A:C,3,FALSE),"-")</f>
        <v>-</v>
      </c>
      <c r="AP228" t="str">
        <f>_xlfn.IFNA(VLOOKUP(Sheet1!$C228,MAC_PHYLO!A:C,3,FALSE),"-")</f>
        <v>-</v>
      </c>
      <c r="AQ228" t="str">
        <f>_xlfn.IFNA(VLOOKUP(Sheet1!$C228,ConStruct!A:C,3,FALSE),"-")</f>
        <v>-</v>
      </c>
      <c r="AR228" t="str">
        <f>_xlfn.IFNA(VLOOKUP(Sheet1!$C228,GEA!A:C,3,FALSE),"-")</f>
        <v>-</v>
      </c>
      <c r="AS228" t="str">
        <f>_xlfn.IFNA(VLOOKUP(Sheet1!$C228,MAC_DSUITE!A:D,3,FALSE),"-")</f>
        <v>-</v>
      </c>
      <c r="AT228" t="str">
        <f>_xlfn.IFNA(VLOOKUP(Sheet1!$C228,MONG_DSUITE!A:E,2,FALSE),"-")</f>
        <v>xxx</v>
      </c>
      <c r="AU228" t="str">
        <f>_xlfn.IFNA(VLOOKUP(Sheet1!$C228,MAC_PAINT2!A:D,4,FALSE),"-")</f>
        <v>-</v>
      </c>
    </row>
    <row r="229" spans="1:47" customFormat="1" x14ac:dyDescent="0.4">
      <c r="A229">
        <v>3680</v>
      </c>
      <c r="B229" t="s">
        <v>829</v>
      </c>
      <c r="C229" t="s">
        <v>830</v>
      </c>
      <c r="D229" t="str">
        <f>_xlfn.CONCAT(C229,".bam")</f>
        <v>SYST-MOR-0006917.bam</v>
      </c>
      <c r="E229" t="s">
        <v>831</v>
      </c>
      <c r="F229" t="s">
        <v>2424</v>
      </c>
      <c r="G229" t="s">
        <v>2429</v>
      </c>
      <c r="H229" t="s">
        <v>2513</v>
      </c>
      <c r="I229" t="s">
        <v>832</v>
      </c>
      <c r="K229" t="s">
        <v>239</v>
      </c>
      <c r="L229" t="s">
        <v>239</v>
      </c>
      <c r="N229" t="s">
        <v>239</v>
      </c>
      <c r="P229" t="s">
        <v>113</v>
      </c>
      <c r="Q229" t="s">
        <v>240</v>
      </c>
      <c r="R229" t="s">
        <v>2602</v>
      </c>
      <c r="S229" s="1">
        <v>44756</v>
      </c>
      <c r="T229" t="s">
        <v>812</v>
      </c>
      <c r="U229" t="s">
        <v>34</v>
      </c>
      <c r="V229" s="1">
        <v>44757</v>
      </c>
      <c r="W229" t="s">
        <v>35</v>
      </c>
      <c r="X229" t="s">
        <v>737</v>
      </c>
      <c r="Y229" t="s">
        <v>813</v>
      </c>
      <c r="Z229" t="s">
        <v>206</v>
      </c>
      <c r="AA229" t="s">
        <v>832</v>
      </c>
      <c r="AD229" t="s">
        <v>239</v>
      </c>
      <c r="AE229">
        <v>37.890421000000003</v>
      </c>
      <c r="AF229">
        <v>-87.539696000000006</v>
      </c>
      <c r="AG229" t="s">
        <v>40</v>
      </c>
      <c r="AH229" t="s">
        <v>41</v>
      </c>
      <c r="AI229">
        <v>37.890516181000002</v>
      </c>
      <c r="AJ229">
        <v>-87.5397437811</v>
      </c>
      <c r="AK229">
        <v>9.5180999998945026E-5</v>
      </c>
      <c r="AL229">
        <v>-4.7781099993926546E-5</v>
      </c>
      <c r="AM229" t="str">
        <f>_xlfn.IFNA(VLOOKUP(Sheet1!$C229,ADMIX_ALL!A:B,2,FALSE),"none")</f>
        <v>K6-18</v>
      </c>
      <c r="AN229" t="str">
        <f>_xlfn.IFNA(VLOOKUP(Sheet1!C229,ADMIX_SS!A:B,2,FALSE),"none")</f>
        <v>SubSample</v>
      </c>
      <c r="AO229" t="str">
        <f>_xlfn.IFNA(VLOOKUP(Sheet1!$C229,MONG_PHYLO!A:C,3,FALSE),"-")</f>
        <v>-</v>
      </c>
      <c r="AP229" t="str">
        <f>_xlfn.IFNA(VLOOKUP(Sheet1!$C229,MAC_PHYLO!A:C,3,FALSE),"-")</f>
        <v>-</v>
      </c>
      <c r="AQ229" t="str">
        <f>_xlfn.IFNA(VLOOKUP(Sheet1!$C229,ConStruct!A:C,3,FALSE),"-")</f>
        <v>-</v>
      </c>
      <c r="AR229" t="str">
        <f>_xlfn.IFNA(VLOOKUP(Sheet1!$C229,GEA!A:C,3,FALSE),"-")</f>
        <v>-</v>
      </c>
      <c r="AS229" t="str">
        <f>_xlfn.IFNA(VLOOKUP(Sheet1!$C229,MAC_DSUITE!A:D,3,FALSE),"-")</f>
        <v>-</v>
      </c>
      <c r="AT229" t="str">
        <f>_xlfn.IFNA(VLOOKUP(Sheet1!$C229,MONG_DSUITE!A:E,2,FALSE),"-")</f>
        <v>xxx</v>
      </c>
      <c r="AU229" t="str">
        <f>_xlfn.IFNA(VLOOKUP(Sheet1!$C229,MAC_PAINT2!A:D,4,FALSE),"-")</f>
        <v>-</v>
      </c>
    </row>
    <row r="230" spans="1:47" customFormat="1" x14ac:dyDescent="0.4">
      <c r="A230">
        <v>3681</v>
      </c>
      <c r="B230" t="s">
        <v>833</v>
      </c>
      <c r="C230" t="s">
        <v>834</v>
      </c>
      <c r="D230" t="str">
        <f>_xlfn.CONCAT(C230,".bam")</f>
        <v>SYST-MOR-0006918.bam</v>
      </c>
      <c r="E230" t="s">
        <v>835</v>
      </c>
      <c r="F230" t="s">
        <v>2424</v>
      </c>
      <c r="G230" t="s">
        <v>2429</v>
      </c>
      <c r="H230" t="s">
        <v>2513</v>
      </c>
      <c r="I230" t="s">
        <v>832</v>
      </c>
      <c r="K230" t="s">
        <v>30</v>
      </c>
      <c r="L230" t="s">
        <v>30</v>
      </c>
      <c r="N230" t="s">
        <v>30</v>
      </c>
      <c r="P230" t="s">
        <v>113</v>
      </c>
      <c r="Q230" t="s">
        <v>32</v>
      </c>
      <c r="R230" t="s">
        <v>2596</v>
      </c>
      <c r="S230" s="1">
        <v>44756</v>
      </c>
      <c r="T230" t="s">
        <v>812</v>
      </c>
      <c r="U230" t="s">
        <v>34</v>
      </c>
      <c r="V230" s="1">
        <v>44757</v>
      </c>
      <c r="W230" t="s">
        <v>35</v>
      </c>
      <c r="X230" t="s">
        <v>737</v>
      </c>
      <c r="Y230" t="s">
        <v>813</v>
      </c>
      <c r="Z230" t="s">
        <v>206</v>
      </c>
      <c r="AA230" t="s">
        <v>832</v>
      </c>
      <c r="AB230" t="s">
        <v>836</v>
      </c>
      <c r="AD230" t="s">
        <v>30</v>
      </c>
      <c r="AE230">
        <v>37.892356999999997</v>
      </c>
      <c r="AF230">
        <v>-87.539500000000004</v>
      </c>
      <c r="AG230" t="s">
        <v>40</v>
      </c>
      <c r="AH230" t="s">
        <v>41</v>
      </c>
      <c r="AI230">
        <v>37.891767320100001</v>
      </c>
      <c r="AJ230">
        <v>-87.539268707399998</v>
      </c>
      <c r="AK230">
        <v>-5.8967989999558768E-4</v>
      </c>
      <c r="AL230">
        <v>2.3129260000587237E-4</v>
      </c>
      <c r="AM230" t="str">
        <f>_xlfn.IFNA(VLOOKUP(Sheet1!$C230,ADMIX_ALL!A:B,2,FALSE),"none")</f>
        <v>K6-18</v>
      </c>
      <c r="AN230" t="str">
        <f>_xlfn.IFNA(VLOOKUP(Sheet1!C230,ADMIX_SS!A:B,2,FALSE),"none")</f>
        <v>SubSample</v>
      </c>
      <c r="AO230" t="str">
        <f>_xlfn.IFNA(VLOOKUP(Sheet1!$C230,MONG_PHYLO!A:C,3,FALSE),"-")</f>
        <v>-</v>
      </c>
      <c r="AP230" t="str">
        <f>_xlfn.IFNA(VLOOKUP(Sheet1!$C230,MAC_PHYLO!A:C,3,FALSE),"-")</f>
        <v>-</v>
      </c>
      <c r="AQ230" t="str">
        <f>_xlfn.IFNA(VLOOKUP(Sheet1!$C230,ConStruct!A:C,3,FALSE),"-")</f>
        <v>-</v>
      </c>
      <c r="AR230" t="str">
        <f>_xlfn.IFNA(VLOOKUP(Sheet1!$C230,GEA!A:C,3,FALSE),"-")</f>
        <v>-</v>
      </c>
      <c r="AS230" t="str">
        <f>_xlfn.IFNA(VLOOKUP(Sheet1!$C230,MAC_DSUITE!A:D,3,FALSE),"-")</f>
        <v>-</v>
      </c>
      <c r="AT230" t="str">
        <f>_xlfn.IFNA(VLOOKUP(Sheet1!$C230,MONG_DSUITE!A:E,2,FALSE),"-")</f>
        <v>xxx</v>
      </c>
      <c r="AU230" t="str">
        <f>_xlfn.IFNA(VLOOKUP(Sheet1!$C230,MAC_PAINT2!A:D,4,FALSE),"-")</f>
        <v>-</v>
      </c>
    </row>
    <row r="231" spans="1:47" customFormat="1" x14ac:dyDescent="0.4">
      <c r="A231">
        <v>3682</v>
      </c>
      <c r="B231" t="s">
        <v>837</v>
      </c>
      <c r="C231" t="s">
        <v>838</v>
      </c>
      <c r="D231" t="str">
        <f>_xlfn.CONCAT(C231,".bam")</f>
        <v>SYST-MOR-0006919.bam</v>
      </c>
      <c r="E231" t="s">
        <v>839</v>
      </c>
      <c r="F231" t="s">
        <v>2424</v>
      </c>
      <c r="G231" t="s">
        <v>2429</v>
      </c>
      <c r="H231" t="s">
        <v>2513</v>
      </c>
      <c r="I231" t="s">
        <v>832</v>
      </c>
      <c r="K231" t="s">
        <v>8555</v>
      </c>
      <c r="L231" t="s">
        <v>239</v>
      </c>
      <c r="N231" t="s">
        <v>239</v>
      </c>
      <c r="P231" t="s">
        <v>113</v>
      </c>
      <c r="Q231" t="s">
        <v>240</v>
      </c>
      <c r="R231" t="s">
        <v>2602</v>
      </c>
      <c r="S231" s="1">
        <v>44756</v>
      </c>
      <c r="T231" t="s">
        <v>812</v>
      </c>
      <c r="U231" t="s">
        <v>34</v>
      </c>
      <c r="V231" s="1">
        <v>44757</v>
      </c>
      <c r="W231" t="s">
        <v>35</v>
      </c>
      <c r="X231" t="s">
        <v>737</v>
      </c>
      <c r="Y231" t="s">
        <v>813</v>
      </c>
      <c r="Z231" t="s">
        <v>206</v>
      </c>
      <c r="AA231" t="s">
        <v>832</v>
      </c>
      <c r="AD231" t="s">
        <v>239</v>
      </c>
      <c r="AE231">
        <v>37.894174999999997</v>
      </c>
      <c r="AF231">
        <v>-87.538855999999996</v>
      </c>
      <c r="AG231" t="s">
        <v>40</v>
      </c>
      <c r="AH231" t="s">
        <v>41</v>
      </c>
      <c r="AI231">
        <v>37.894277251399998</v>
      </c>
      <c r="AJ231">
        <v>-87.538865609200002</v>
      </c>
      <c r="AK231">
        <v>1.022514000013075E-4</v>
      </c>
      <c r="AL231">
        <v>-9.6092000063663363E-6</v>
      </c>
      <c r="AM231" t="str">
        <f>_xlfn.IFNA(VLOOKUP(Sheet1!$C231,ADMIX_ALL!A:B,2,FALSE),"none")</f>
        <v>K6-18</v>
      </c>
      <c r="AN231" t="str">
        <f>_xlfn.IFNA(VLOOKUP(Sheet1!C231,ADMIX_SS!A:B,2,FALSE),"none")</f>
        <v>SubSample</v>
      </c>
      <c r="AO231" t="str">
        <f>_xlfn.IFNA(VLOOKUP(Sheet1!$C231,MONG_PHYLO!A:C,3,FALSE),"-")</f>
        <v>-</v>
      </c>
      <c r="AP231" t="str">
        <f>_xlfn.IFNA(VLOOKUP(Sheet1!$C231,MAC_PHYLO!A:C,3,FALSE),"-")</f>
        <v>-</v>
      </c>
      <c r="AQ231" t="str">
        <f>_xlfn.IFNA(VLOOKUP(Sheet1!$C231,ConStruct!A:C,3,FALSE),"-")</f>
        <v>-</v>
      </c>
      <c r="AR231" t="str">
        <f>_xlfn.IFNA(VLOOKUP(Sheet1!$C231,GEA!A:C,3,FALSE),"-")</f>
        <v>-</v>
      </c>
      <c r="AS231" t="str">
        <f>_xlfn.IFNA(VLOOKUP(Sheet1!$C231,MAC_DSUITE!A:D,3,FALSE),"-")</f>
        <v>-</v>
      </c>
      <c r="AT231" t="str">
        <f>_xlfn.IFNA(VLOOKUP(Sheet1!$C231,MONG_DSUITE!A:E,2,FALSE),"-")</f>
        <v>xxx</v>
      </c>
      <c r="AU231" t="str">
        <f>_xlfn.IFNA(VLOOKUP(Sheet1!$C231,MAC_PAINT2!A:D,4,FALSE),"-")</f>
        <v>-</v>
      </c>
    </row>
    <row r="232" spans="1:47" customFormat="1" x14ac:dyDescent="0.4">
      <c r="A232">
        <v>3683</v>
      </c>
      <c r="B232" t="s">
        <v>840</v>
      </c>
      <c r="C232" t="s">
        <v>841</v>
      </c>
      <c r="D232" t="str">
        <f>_xlfn.CONCAT(C232,".bam")</f>
        <v>SYST-MOR-0006920.bam</v>
      </c>
      <c r="E232" t="s">
        <v>842</v>
      </c>
      <c r="F232" t="s">
        <v>2424</v>
      </c>
      <c r="G232" t="s">
        <v>2429</v>
      </c>
      <c r="H232" t="s">
        <v>2513</v>
      </c>
      <c r="I232" t="s">
        <v>832</v>
      </c>
      <c r="K232" t="s">
        <v>239</v>
      </c>
      <c r="L232" t="s">
        <v>239</v>
      </c>
      <c r="N232" t="s">
        <v>239</v>
      </c>
      <c r="P232" t="s">
        <v>113</v>
      </c>
      <c r="Q232" t="s">
        <v>240</v>
      </c>
      <c r="R232" t="s">
        <v>2602</v>
      </c>
      <c r="S232" s="1">
        <v>44756</v>
      </c>
      <c r="T232" t="s">
        <v>812</v>
      </c>
      <c r="U232" t="s">
        <v>34</v>
      </c>
      <c r="V232" s="1">
        <v>44757</v>
      </c>
      <c r="W232" t="s">
        <v>35</v>
      </c>
      <c r="X232" t="s">
        <v>737</v>
      </c>
      <c r="Y232" t="s">
        <v>813</v>
      </c>
      <c r="Z232" t="s">
        <v>206</v>
      </c>
      <c r="AA232" t="s">
        <v>832</v>
      </c>
      <c r="AD232" t="s">
        <v>239</v>
      </c>
      <c r="AE232">
        <v>37.894157999999997</v>
      </c>
      <c r="AF232">
        <v>-87.538287999999994</v>
      </c>
      <c r="AG232" t="s">
        <v>40</v>
      </c>
      <c r="AH232" t="s">
        <v>41</v>
      </c>
      <c r="AI232">
        <v>37.894155869800002</v>
      </c>
      <c r="AJ232">
        <v>-87.5382600967</v>
      </c>
      <c r="AK232">
        <v>-2.1301999950651407E-6</v>
      </c>
      <c r="AL232">
        <v>2.7903299994136432E-5</v>
      </c>
      <c r="AM232" t="str">
        <f>_xlfn.IFNA(VLOOKUP(Sheet1!$C232,ADMIX_ALL!A:B,2,FALSE),"none")</f>
        <v>K6-18</v>
      </c>
      <c r="AN232" t="str">
        <f>_xlfn.IFNA(VLOOKUP(Sheet1!C232,ADMIX_SS!A:B,2,FALSE),"none")</f>
        <v>SubSample</v>
      </c>
      <c r="AO232" t="str">
        <f>_xlfn.IFNA(VLOOKUP(Sheet1!$C232,MONG_PHYLO!A:C,3,FALSE),"-")</f>
        <v>-</v>
      </c>
      <c r="AP232" t="str">
        <f>_xlfn.IFNA(VLOOKUP(Sheet1!$C232,MAC_PHYLO!A:C,3,FALSE),"-")</f>
        <v>-</v>
      </c>
      <c r="AQ232" t="str">
        <f>_xlfn.IFNA(VLOOKUP(Sheet1!$C232,ConStruct!A:C,3,FALSE),"-")</f>
        <v>-</v>
      </c>
      <c r="AR232" t="str">
        <f>_xlfn.IFNA(VLOOKUP(Sheet1!$C232,GEA!A:C,3,FALSE),"-")</f>
        <v>-</v>
      </c>
      <c r="AS232" t="str">
        <f>_xlfn.IFNA(VLOOKUP(Sheet1!$C232,MAC_DSUITE!A:D,3,FALSE),"-")</f>
        <v>-</v>
      </c>
      <c r="AT232" t="str">
        <f>_xlfn.IFNA(VLOOKUP(Sheet1!$C232,MONG_DSUITE!A:E,2,FALSE),"-")</f>
        <v>xxx</v>
      </c>
      <c r="AU232" t="str">
        <f>_xlfn.IFNA(VLOOKUP(Sheet1!$C232,MAC_PAINT2!A:D,4,FALSE),"-")</f>
        <v>-</v>
      </c>
    </row>
    <row r="233" spans="1:47" customFormat="1" x14ac:dyDescent="0.4">
      <c r="A233">
        <v>3684</v>
      </c>
      <c r="B233" t="s">
        <v>843</v>
      </c>
      <c r="C233" t="s">
        <v>844</v>
      </c>
      <c r="D233" t="str">
        <f>_xlfn.CONCAT(C233,".bam")</f>
        <v>SYST-MOR-0006921.bam</v>
      </c>
      <c r="E233" t="s">
        <v>845</v>
      </c>
      <c r="F233" t="s">
        <v>2424</v>
      </c>
      <c r="G233" t="s">
        <v>2429</v>
      </c>
      <c r="H233" t="s">
        <v>2513</v>
      </c>
      <c r="I233" t="s">
        <v>832</v>
      </c>
      <c r="K233" t="s">
        <v>30</v>
      </c>
      <c r="L233" t="s">
        <v>30</v>
      </c>
      <c r="N233" t="s">
        <v>30</v>
      </c>
      <c r="P233" t="s">
        <v>113</v>
      </c>
      <c r="Q233" t="s">
        <v>32</v>
      </c>
      <c r="R233" t="s">
        <v>2596</v>
      </c>
      <c r="S233" s="1">
        <v>44756</v>
      </c>
      <c r="T233" t="s">
        <v>812</v>
      </c>
      <c r="U233" t="s">
        <v>34</v>
      </c>
      <c r="V233" s="1">
        <v>44757</v>
      </c>
      <c r="W233" t="s">
        <v>35</v>
      </c>
      <c r="X233" t="s">
        <v>737</v>
      </c>
      <c r="Y233" t="s">
        <v>813</v>
      </c>
      <c r="Z233" t="s">
        <v>206</v>
      </c>
      <c r="AA233" t="s">
        <v>832</v>
      </c>
      <c r="AD233" t="s">
        <v>30</v>
      </c>
      <c r="AE233">
        <v>37.894136000000003</v>
      </c>
      <c r="AF233">
        <v>-87.538228000000004</v>
      </c>
      <c r="AG233" t="s">
        <v>40</v>
      </c>
      <c r="AH233" t="s">
        <v>41</v>
      </c>
      <c r="AI233">
        <v>37.894141296900003</v>
      </c>
      <c r="AJ233">
        <v>-87.5382742659</v>
      </c>
      <c r="AK233">
        <v>5.2968999995073318E-6</v>
      </c>
      <c r="AL233">
        <v>-4.6265899996456028E-5</v>
      </c>
      <c r="AM233" t="str">
        <f>_xlfn.IFNA(VLOOKUP(Sheet1!$C233,ADMIX_ALL!A:B,2,FALSE),"none")</f>
        <v>K6-18</v>
      </c>
      <c r="AN233" t="str">
        <f>_xlfn.IFNA(VLOOKUP(Sheet1!C233,ADMIX_SS!A:B,2,FALSE),"none")</f>
        <v>SubSample</v>
      </c>
      <c r="AO233" t="str">
        <f>_xlfn.IFNA(VLOOKUP(Sheet1!$C233,MONG_PHYLO!A:C,3,FALSE),"-")</f>
        <v>-</v>
      </c>
      <c r="AP233" t="str">
        <f>_xlfn.IFNA(VLOOKUP(Sheet1!$C233,MAC_PHYLO!A:C,3,FALSE),"-")</f>
        <v>lyr</v>
      </c>
      <c r="AQ233" t="str">
        <f>_xlfn.IFNA(VLOOKUP(Sheet1!$C233,ConStruct!A:C,3,FALSE),"-")</f>
        <v>-</v>
      </c>
      <c r="AR233" t="str">
        <f>_xlfn.IFNA(VLOOKUP(Sheet1!$C233,GEA!A:C,3,FALSE),"-")</f>
        <v>-</v>
      </c>
      <c r="AS233" t="str">
        <f>_xlfn.IFNA(VLOOKUP(Sheet1!$C233,MAC_DSUITE!A:D,3,FALSE),"-")</f>
        <v>lyr</v>
      </c>
      <c r="AT233" t="str">
        <f>_xlfn.IFNA(VLOOKUP(Sheet1!$C233,MONG_DSUITE!A:E,2,FALSE),"-")</f>
        <v>xxx</v>
      </c>
      <c r="AU233" t="str">
        <f>_xlfn.IFNA(VLOOKUP(Sheet1!$C233,MAC_PAINT2!A:D,4,FALSE),"-")</f>
        <v>lyr-macpaint</v>
      </c>
    </row>
    <row r="234" spans="1:47" customFormat="1" x14ac:dyDescent="0.4">
      <c r="A234">
        <v>3685</v>
      </c>
      <c r="B234" t="s">
        <v>846</v>
      </c>
      <c r="C234" t="s">
        <v>847</v>
      </c>
      <c r="D234" t="str">
        <f>_xlfn.CONCAT(C234,".bam")</f>
        <v>SYST-MOR-0006922.bam</v>
      </c>
      <c r="E234" t="s">
        <v>848</v>
      </c>
      <c r="F234" t="s">
        <v>2424</v>
      </c>
      <c r="G234" t="s">
        <v>2429</v>
      </c>
      <c r="H234" t="s">
        <v>2513</v>
      </c>
      <c r="I234" t="s">
        <v>832</v>
      </c>
      <c r="K234" t="s">
        <v>64</v>
      </c>
      <c r="L234" t="s">
        <v>64</v>
      </c>
      <c r="N234" t="s">
        <v>64</v>
      </c>
      <c r="P234" t="s">
        <v>113</v>
      </c>
      <c r="Q234" t="s">
        <v>155</v>
      </c>
      <c r="R234" t="s">
        <v>2599</v>
      </c>
      <c r="S234" s="1">
        <v>44756</v>
      </c>
      <c r="T234" t="s">
        <v>812</v>
      </c>
      <c r="U234" t="s">
        <v>34</v>
      </c>
      <c r="V234" s="1">
        <v>44757</v>
      </c>
      <c r="W234" t="s">
        <v>35</v>
      </c>
      <c r="X234" t="s">
        <v>737</v>
      </c>
      <c r="Y234" t="s">
        <v>813</v>
      </c>
      <c r="Z234" t="s">
        <v>206</v>
      </c>
      <c r="AA234" t="s">
        <v>832</v>
      </c>
      <c r="AD234" t="s">
        <v>64</v>
      </c>
      <c r="AE234">
        <v>37.894244999999998</v>
      </c>
      <c r="AF234">
        <v>-87.537823000000003</v>
      </c>
      <c r="AG234" t="s">
        <v>40</v>
      </c>
      <c r="AH234" t="s">
        <v>41</v>
      </c>
      <c r="AI234">
        <v>37.894195695400001</v>
      </c>
      <c r="AJ234">
        <v>-87.537808232100005</v>
      </c>
      <c r="AK234">
        <v>-4.9304599997412879E-5</v>
      </c>
      <c r="AL234">
        <v>1.4767899997991663E-5</v>
      </c>
      <c r="AM234" t="str">
        <f>_xlfn.IFNA(VLOOKUP(Sheet1!$C234,ADMIX_ALL!A:B,2,FALSE),"none")</f>
        <v>K6-18</v>
      </c>
      <c r="AN234" t="str">
        <f>_xlfn.IFNA(VLOOKUP(Sheet1!C234,ADMIX_SS!A:B,2,FALSE),"none")</f>
        <v>SubSample</v>
      </c>
      <c r="AO234" t="str">
        <f>_xlfn.IFNA(VLOOKUP(Sheet1!$C234,MONG_PHYLO!A:C,3,FALSE),"-")</f>
        <v>-</v>
      </c>
      <c r="AP234" t="str">
        <f>_xlfn.IFNA(VLOOKUP(Sheet1!$C234,MAC_PHYLO!A:C,3,FALSE),"-")</f>
        <v>-</v>
      </c>
      <c r="AQ234" t="str">
        <f>_xlfn.IFNA(VLOOKUP(Sheet1!$C234,ConStruct!A:C,3,FALSE),"-")</f>
        <v>-</v>
      </c>
      <c r="AR234" t="str">
        <f>_xlfn.IFNA(VLOOKUP(Sheet1!$C234,GEA!A:C,3,FALSE),"-")</f>
        <v>-</v>
      </c>
      <c r="AS234" t="str">
        <f>_xlfn.IFNA(VLOOKUP(Sheet1!$C234,MAC_DSUITE!A:D,3,FALSE),"-")</f>
        <v>-</v>
      </c>
      <c r="AT234" t="str">
        <f>_xlfn.IFNA(VLOOKUP(Sheet1!$C234,MONG_DSUITE!A:E,2,FALSE),"-")</f>
        <v>xxx</v>
      </c>
      <c r="AU234" t="str">
        <f>_xlfn.IFNA(VLOOKUP(Sheet1!$C234,MAC_PAINT2!A:D,4,FALSE),"-")</f>
        <v>-</v>
      </c>
    </row>
    <row r="235" spans="1:47" customFormat="1" x14ac:dyDescent="0.4">
      <c r="A235">
        <v>3686</v>
      </c>
      <c r="B235" t="s">
        <v>849</v>
      </c>
      <c r="C235" t="s">
        <v>850</v>
      </c>
      <c r="D235" t="str">
        <f>_xlfn.CONCAT(C235,".bam")</f>
        <v>SYST-MOR-0006923.bam</v>
      </c>
      <c r="E235" t="s">
        <v>851</v>
      </c>
      <c r="F235" t="s">
        <v>2424</v>
      </c>
      <c r="G235" t="s">
        <v>2429</v>
      </c>
      <c r="H235" t="s">
        <v>2513</v>
      </c>
      <c r="I235" t="s">
        <v>832</v>
      </c>
      <c r="K235" t="s">
        <v>8556</v>
      </c>
      <c r="L235" t="s">
        <v>852</v>
      </c>
      <c r="N235" t="s">
        <v>852</v>
      </c>
      <c r="P235" t="s">
        <v>113</v>
      </c>
      <c r="Q235" t="s">
        <v>853</v>
      </c>
      <c r="R235" t="s">
        <v>2599</v>
      </c>
      <c r="S235" s="1">
        <v>44756</v>
      </c>
      <c r="T235" t="s">
        <v>812</v>
      </c>
      <c r="U235" t="s">
        <v>34</v>
      </c>
      <c r="V235" s="1">
        <v>44757</v>
      </c>
      <c r="W235" t="s">
        <v>35</v>
      </c>
      <c r="X235" t="s">
        <v>737</v>
      </c>
      <c r="Y235" t="s">
        <v>813</v>
      </c>
      <c r="Z235" t="s">
        <v>206</v>
      </c>
      <c r="AA235" t="s">
        <v>832</v>
      </c>
      <c r="AD235" t="s">
        <v>852</v>
      </c>
      <c r="AE235">
        <v>37.894219</v>
      </c>
      <c r="AF235">
        <v>-87.537845000000004</v>
      </c>
      <c r="AG235" t="s">
        <v>40</v>
      </c>
      <c r="AH235" t="s">
        <v>41</v>
      </c>
      <c r="AI235">
        <v>37.8942793565</v>
      </c>
      <c r="AJ235">
        <v>-87.537857551900004</v>
      </c>
      <c r="AK235">
        <v>6.0356500000580127E-5</v>
      </c>
      <c r="AL235">
        <v>-1.2551899999380112E-5</v>
      </c>
      <c r="AM235" t="str">
        <f>_xlfn.IFNA(VLOOKUP(Sheet1!$C235,ADMIX_ALL!A:B,2,FALSE),"none")</f>
        <v>K6-18</v>
      </c>
      <c r="AN235" t="str">
        <f>_xlfn.IFNA(VLOOKUP(Sheet1!C235,ADMIX_SS!A:B,2,FALSE),"none")</f>
        <v>none</v>
      </c>
      <c r="AO235" t="str">
        <f>_xlfn.IFNA(VLOOKUP(Sheet1!$C235,MONG_PHYLO!A:C,3,FALSE),"-")</f>
        <v>-</v>
      </c>
      <c r="AP235" t="str">
        <f>_xlfn.IFNA(VLOOKUP(Sheet1!$C235,MAC_PHYLO!A:C,3,FALSE),"-")</f>
        <v>-</v>
      </c>
      <c r="AQ235" t="str">
        <f>_xlfn.IFNA(VLOOKUP(Sheet1!$C235,ConStruct!A:C,3,FALSE),"-")</f>
        <v>-</v>
      </c>
      <c r="AR235" t="str">
        <f>_xlfn.IFNA(VLOOKUP(Sheet1!$C235,GEA!A:C,3,FALSE),"-")</f>
        <v>-</v>
      </c>
      <c r="AS235" t="str">
        <f>_xlfn.IFNA(VLOOKUP(Sheet1!$C235,MAC_DSUITE!A:D,3,FALSE),"-")</f>
        <v>-</v>
      </c>
      <c r="AT235" t="str">
        <f>_xlfn.IFNA(VLOOKUP(Sheet1!$C235,MONG_DSUITE!A:E,2,FALSE),"-")</f>
        <v>xxx</v>
      </c>
      <c r="AU235" t="str">
        <f>_xlfn.IFNA(VLOOKUP(Sheet1!$C235,MAC_PAINT2!A:D,4,FALSE),"-")</f>
        <v>-</v>
      </c>
    </row>
    <row r="236" spans="1:47" customFormat="1" x14ac:dyDescent="0.4">
      <c r="A236">
        <v>3687</v>
      </c>
      <c r="B236" t="s">
        <v>854</v>
      </c>
      <c r="C236" t="s">
        <v>855</v>
      </c>
      <c r="D236" t="str">
        <f>_xlfn.CONCAT(C236,".bam")</f>
        <v>SYST-MOR-0006924.bam</v>
      </c>
      <c r="E236" t="s">
        <v>856</v>
      </c>
      <c r="F236" t="s">
        <v>2424</v>
      </c>
      <c r="G236" t="s">
        <v>2429</v>
      </c>
      <c r="H236" t="s">
        <v>2513</v>
      </c>
      <c r="I236" t="s">
        <v>832</v>
      </c>
      <c r="K236" t="s">
        <v>239</v>
      </c>
      <c r="L236" t="s">
        <v>239</v>
      </c>
      <c r="N236" t="s">
        <v>239</v>
      </c>
      <c r="P236" t="s">
        <v>113</v>
      </c>
      <c r="Q236" t="s">
        <v>240</v>
      </c>
      <c r="R236" t="s">
        <v>2602</v>
      </c>
      <c r="S236" s="1">
        <v>44756</v>
      </c>
      <c r="T236" t="s">
        <v>812</v>
      </c>
      <c r="U236" t="s">
        <v>34</v>
      </c>
      <c r="V236" s="1">
        <v>44757</v>
      </c>
      <c r="W236" t="s">
        <v>35</v>
      </c>
      <c r="X236" t="s">
        <v>737</v>
      </c>
      <c r="Y236" t="s">
        <v>813</v>
      </c>
      <c r="Z236" t="s">
        <v>206</v>
      </c>
      <c r="AA236" t="s">
        <v>832</v>
      </c>
      <c r="AD236" t="s">
        <v>239</v>
      </c>
      <c r="AE236">
        <v>37.894291000000003</v>
      </c>
      <c r="AF236">
        <v>-87.537802999999997</v>
      </c>
      <c r="AG236" t="s">
        <v>40</v>
      </c>
      <c r="AH236" t="s">
        <v>41</v>
      </c>
      <c r="AI236">
        <v>37.894376624899998</v>
      </c>
      <c r="AJ236">
        <v>-87.537805095600007</v>
      </c>
      <c r="AK236">
        <v>8.5624899995195847E-5</v>
      </c>
      <c r="AL236">
        <v>-2.0956000099658922E-6</v>
      </c>
      <c r="AM236" t="str">
        <f>_xlfn.IFNA(VLOOKUP(Sheet1!$C236,ADMIX_ALL!A:B,2,FALSE),"none")</f>
        <v>K6-18</v>
      </c>
      <c r="AN236" t="str">
        <f>_xlfn.IFNA(VLOOKUP(Sheet1!C236,ADMIX_SS!A:B,2,FALSE),"none")</f>
        <v>Constant</v>
      </c>
      <c r="AO236" t="str">
        <f>_xlfn.IFNA(VLOOKUP(Sheet1!$C236,MONG_PHYLO!A:C,3,FALSE),"-")</f>
        <v>mic</v>
      </c>
      <c r="AP236" t="str">
        <f>_xlfn.IFNA(VLOOKUP(Sheet1!$C236,MAC_PHYLO!A:C,3,FALSE),"-")</f>
        <v>mic</v>
      </c>
      <c r="AQ236" t="str">
        <f>_xlfn.IFNA(VLOOKUP(Sheet1!$C236,ConStruct!A:C,3,FALSE),"-")</f>
        <v>-</v>
      </c>
      <c r="AR236" t="str">
        <f>_xlfn.IFNA(VLOOKUP(Sheet1!$C236,GEA!A:C,3,FALSE),"-")</f>
        <v>-</v>
      </c>
      <c r="AS236" t="str">
        <f>_xlfn.IFNA(VLOOKUP(Sheet1!$C236,MAC_DSUITE!A:D,3,FALSE),"-")</f>
        <v>xxx</v>
      </c>
      <c r="AT236" t="str">
        <f>_xlfn.IFNA(VLOOKUP(Sheet1!$C236,MONG_DSUITE!A:E,2,FALSE),"-")</f>
        <v>michauxii</v>
      </c>
      <c r="AU236" t="str">
        <f>_xlfn.IFNA(VLOOKUP(Sheet1!$C236,MAC_PAINT2!A:D,4,FALSE),"-")</f>
        <v>-</v>
      </c>
    </row>
    <row r="237" spans="1:47" customFormat="1" x14ac:dyDescent="0.4">
      <c r="A237">
        <v>3688</v>
      </c>
      <c r="B237" t="s">
        <v>857</v>
      </c>
      <c r="C237" t="s">
        <v>858</v>
      </c>
      <c r="D237" t="str">
        <f>_xlfn.CONCAT(C237,".bam")</f>
        <v>SYST-MOR-0006925.bam</v>
      </c>
      <c r="E237" t="s">
        <v>859</v>
      </c>
      <c r="F237" t="s">
        <v>2424</v>
      </c>
      <c r="G237" t="s">
        <v>2429</v>
      </c>
      <c r="H237" t="s">
        <v>2513</v>
      </c>
      <c r="I237" t="s">
        <v>832</v>
      </c>
      <c r="K237" t="s">
        <v>30</v>
      </c>
      <c r="L237" t="s">
        <v>30</v>
      </c>
      <c r="N237" t="s">
        <v>30</v>
      </c>
      <c r="P237" t="s">
        <v>113</v>
      </c>
      <c r="Q237" t="s">
        <v>32</v>
      </c>
      <c r="R237" t="s">
        <v>2596</v>
      </c>
      <c r="S237" s="1">
        <v>44756</v>
      </c>
      <c r="T237" t="s">
        <v>812</v>
      </c>
      <c r="U237" t="s">
        <v>34</v>
      </c>
      <c r="V237" s="1">
        <v>44757</v>
      </c>
      <c r="W237" t="s">
        <v>35</v>
      </c>
      <c r="X237" t="s">
        <v>737</v>
      </c>
      <c r="Y237" t="s">
        <v>813</v>
      </c>
      <c r="Z237" t="s">
        <v>206</v>
      </c>
      <c r="AA237" t="s">
        <v>832</v>
      </c>
      <c r="AD237" t="s">
        <v>30</v>
      </c>
      <c r="AE237">
        <v>37.894409000000003</v>
      </c>
      <c r="AF237">
        <v>-87.537690999999995</v>
      </c>
      <c r="AG237" t="s">
        <v>40</v>
      </c>
      <c r="AH237" t="s">
        <v>41</v>
      </c>
      <c r="AI237">
        <v>37.894406461099997</v>
      </c>
      <c r="AJ237">
        <v>-87.5376391498</v>
      </c>
      <c r="AK237">
        <v>-2.5389000057884914E-6</v>
      </c>
      <c r="AL237">
        <v>5.1850199994873947E-5</v>
      </c>
      <c r="AM237" t="str">
        <f>_xlfn.IFNA(VLOOKUP(Sheet1!$C237,ADMIX_ALL!A:B,2,FALSE),"none")</f>
        <v>K6-18</v>
      </c>
      <c r="AN237" t="str">
        <f>_xlfn.IFNA(VLOOKUP(Sheet1!C237,ADMIX_SS!A:B,2,FALSE),"none")</f>
        <v>Constant</v>
      </c>
      <c r="AO237" t="str">
        <f>_xlfn.IFNA(VLOOKUP(Sheet1!$C237,MONG_PHYLO!A:C,3,FALSE),"-")</f>
        <v>lyr</v>
      </c>
      <c r="AP237" t="str">
        <f>_xlfn.IFNA(VLOOKUP(Sheet1!$C237,MAC_PHYLO!A:C,3,FALSE),"-")</f>
        <v>lyr</v>
      </c>
      <c r="AQ237" t="str">
        <f>_xlfn.IFNA(VLOOKUP(Sheet1!$C237,ConStruct!A:C,3,FALSE),"-")</f>
        <v>-</v>
      </c>
      <c r="AR237" t="str">
        <f>_xlfn.IFNA(VLOOKUP(Sheet1!$C237,GEA!A:C,3,FALSE),"-")</f>
        <v>-</v>
      </c>
      <c r="AS237" t="str">
        <f>_xlfn.IFNA(VLOOKUP(Sheet1!$C237,MAC_DSUITE!A:D,3,FALSE),"-")</f>
        <v>lyr</v>
      </c>
      <c r="AT237" t="str">
        <f>_xlfn.IFNA(VLOOKUP(Sheet1!$C237,MONG_DSUITE!A:E,2,FALSE),"-")</f>
        <v>lyrata</v>
      </c>
      <c r="AU237" t="str">
        <f>_xlfn.IFNA(VLOOKUP(Sheet1!$C237,MAC_PAINT2!A:D,4,FALSE),"-")</f>
        <v>lyr-macpaint</v>
      </c>
    </row>
    <row r="238" spans="1:47" customFormat="1" x14ac:dyDescent="0.4">
      <c r="A238">
        <v>3689</v>
      </c>
      <c r="B238" t="s">
        <v>860</v>
      </c>
      <c r="C238" t="s">
        <v>861</v>
      </c>
      <c r="D238" t="str">
        <f>_xlfn.CONCAT(C238,".bam")</f>
        <v>SYST-MOR-0006926.bam</v>
      </c>
      <c r="E238" t="s">
        <v>862</v>
      </c>
      <c r="F238" t="s">
        <v>2424</v>
      </c>
      <c r="G238" t="s">
        <v>2429</v>
      </c>
      <c r="H238" t="s">
        <v>2513</v>
      </c>
      <c r="I238" t="s">
        <v>832</v>
      </c>
      <c r="K238" t="s">
        <v>64</v>
      </c>
      <c r="L238" t="s">
        <v>64</v>
      </c>
      <c r="N238" t="s">
        <v>64</v>
      </c>
      <c r="P238" t="s">
        <v>113</v>
      </c>
      <c r="Q238" t="s">
        <v>65</v>
      </c>
      <c r="R238" t="s">
        <v>2599</v>
      </c>
      <c r="S238" s="1">
        <v>44756</v>
      </c>
      <c r="T238" t="s">
        <v>812</v>
      </c>
      <c r="U238" t="s">
        <v>34</v>
      </c>
      <c r="V238" s="1">
        <v>44757</v>
      </c>
      <c r="W238" t="s">
        <v>35</v>
      </c>
      <c r="X238" t="s">
        <v>737</v>
      </c>
      <c r="Y238" t="s">
        <v>813</v>
      </c>
      <c r="Z238" t="s">
        <v>206</v>
      </c>
      <c r="AA238" t="s">
        <v>832</v>
      </c>
      <c r="AD238" t="s">
        <v>64</v>
      </c>
      <c r="AE238">
        <v>37.894531000000001</v>
      </c>
      <c r="AF238">
        <v>-87.537704000000005</v>
      </c>
      <c r="AG238" t="s">
        <v>40</v>
      </c>
      <c r="AH238" t="s">
        <v>41</v>
      </c>
      <c r="AI238">
        <v>37.894650455600001</v>
      </c>
      <c r="AJ238">
        <v>-87.537683593200001</v>
      </c>
      <c r="AK238">
        <v>1.1945560000015121E-4</v>
      </c>
      <c r="AL238">
        <v>2.0406800004479919E-5</v>
      </c>
      <c r="AM238" t="str">
        <f>_xlfn.IFNA(VLOOKUP(Sheet1!$C238,ADMIX_ALL!A:B,2,FALSE),"none")</f>
        <v>K6-18</v>
      </c>
      <c r="AN238" t="str">
        <f>_xlfn.IFNA(VLOOKUP(Sheet1!C238,ADMIX_SS!A:B,2,FALSE),"none")</f>
        <v>SubSample</v>
      </c>
      <c r="AO238" t="str">
        <f>_xlfn.IFNA(VLOOKUP(Sheet1!$C238,MONG_PHYLO!A:C,3,FALSE),"-")</f>
        <v>-</v>
      </c>
      <c r="AP238" t="str">
        <f>_xlfn.IFNA(VLOOKUP(Sheet1!$C238,MAC_PHYLO!A:C,3,FALSE),"-")</f>
        <v>-</v>
      </c>
      <c r="AQ238" t="str">
        <f>_xlfn.IFNA(VLOOKUP(Sheet1!$C238,ConStruct!A:C,3,FALSE),"-")</f>
        <v>-</v>
      </c>
      <c r="AR238" t="str">
        <f>_xlfn.IFNA(VLOOKUP(Sheet1!$C238,GEA!A:C,3,FALSE),"-")</f>
        <v>-</v>
      </c>
      <c r="AS238" t="str">
        <f>_xlfn.IFNA(VLOOKUP(Sheet1!$C238,MAC_DSUITE!A:D,3,FALSE),"-")</f>
        <v>-</v>
      </c>
      <c r="AT238" t="str">
        <f>_xlfn.IFNA(VLOOKUP(Sheet1!$C238,MONG_DSUITE!A:E,2,FALSE),"-")</f>
        <v>xxx</v>
      </c>
      <c r="AU238" t="str">
        <f>_xlfn.IFNA(VLOOKUP(Sheet1!$C238,MAC_PAINT2!A:D,4,FALSE),"-")</f>
        <v>-</v>
      </c>
    </row>
    <row r="239" spans="1:47" customFormat="1" x14ac:dyDescent="0.4">
      <c r="A239">
        <v>3690</v>
      </c>
      <c r="B239" t="s">
        <v>863</v>
      </c>
      <c r="C239" t="s">
        <v>864</v>
      </c>
      <c r="D239" t="str">
        <f>_xlfn.CONCAT(C239,".bam")</f>
        <v>SYST-MOR-0006927.bam</v>
      </c>
      <c r="E239" t="s">
        <v>865</v>
      </c>
      <c r="F239" t="s">
        <v>2424</v>
      </c>
      <c r="G239" t="s">
        <v>2429</v>
      </c>
      <c r="H239" t="s">
        <v>2513</v>
      </c>
      <c r="I239" t="s">
        <v>832</v>
      </c>
      <c r="K239" t="s">
        <v>30</v>
      </c>
      <c r="L239" t="s">
        <v>30</v>
      </c>
      <c r="N239" t="s">
        <v>30</v>
      </c>
      <c r="P239" t="s">
        <v>113</v>
      </c>
      <c r="Q239" t="s">
        <v>32</v>
      </c>
      <c r="R239" t="s">
        <v>2596</v>
      </c>
      <c r="S239" s="1">
        <v>44756</v>
      </c>
      <c r="T239" t="s">
        <v>812</v>
      </c>
      <c r="U239" t="s">
        <v>34</v>
      </c>
      <c r="V239" s="1">
        <v>44757</v>
      </c>
      <c r="W239" t="s">
        <v>35</v>
      </c>
      <c r="X239" t="s">
        <v>737</v>
      </c>
      <c r="Y239" t="s">
        <v>813</v>
      </c>
      <c r="Z239" t="s">
        <v>206</v>
      </c>
      <c r="AA239" t="s">
        <v>832</v>
      </c>
      <c r="AD239" t="s">
        <v>30</v>
      </c>
      <c r="AE239">
        <v>37.894907000000003</v>
      </c>
      <c r="AF239">
        <v>-87.540391</v>
      </c>
      <c r="AG239" t="s">
        <v>40</v>
      </c>
      <c r="AH239" t="s">
        <v>41</v>
      </c>
      <c r="AI239">
        <v>37.895047129200002</v>
      </c>
      <c r="AJ239">
        <v>-87.540201014000004</v>
      </c>
      <c r="AK239">
        <v>1.4012919999828455E-4</v>
      </c>
      <c r="AL239">
        <v>1.8998599999520138E-4</v>
      </c>
      <c r="AM239" t="str">
        <f>_xlfn.IFNA(VLOOKUP(Sheet1!$C239,ADMIX_ALL!A:B,2,FALSE),"none")</f>
        <v>K6-18</v>
      </c>
      <c r="AN239" t="str">
        <f>_xlfn.IFNA(VLOOKUP(Sheet1!C239,ADMIX_SS!A:B,2,FALSE),"none")</f>
        <v>SubSample</v>
      </c>
      <c r="AO239" t="str">
        <f>_xlfn.IFNA(VLOOKUP(Sheet1!$C239,MONG_PHYLO!A:C,3,FALSE),"-")</f>
        <v>-</v>
      </c>
      <c r="AP239" t="str">
        <f>_xlfn.IFNA(VLOOKUP(Sheet1!$C239,MAC_PHYLO!A:C,3,FALSE),"-")</f>
        <v>-</v>
      </c>
      <c r="AQ239" t="str">
        <f>_xlfn.IFNA(VLOOKUP(Sheet1!$C239,ConStruct!A:C,3,FALSE),"-")</f>
        <v>-</v>
      </c>
      <c r="AR239" t="str">
        <f>_xlfn.IFNA(VLOOKUP(Sheet1!$C239,GEA!A:C,3,FALSE),"-")</f>
        <v>-</v>
      </c>
      <c r="AS239" t="str">
        <f>_xlfn.IFNA(VLOOKUP(Sheet1!$C239,MAC_DSUITE!A:D,3,FALSE),"-")</f>
        <v>-</v>
      </c>
      <c r="AT239" t="str">
        <f>_xlfn.IFNA(VLOOKUP(Sheet1!$C239,MONG_DSUITE!A:E,2,FALSE),"-")</f>
        <v>xxx</v>
      </c>
      <c r="AU239" t="str">
        <f>_xlfn.IFNA(VLOOKUP(Sheet1!$C239,MAC_PAINT2!A:D,4,FALSE),"-")</f>
        <v>-</v>
      </c>
    </row>
    <row r="240" spans="1:47" customFormat="1" x14ac:dyDescent="0.4">
      <c r="A240">
        <v>3691</v>
      </c>
      <c r="B240" t="s">
        <v>866</v>
      </c>
      <c r="C240" t="s">
        <v>867</v>
      </c>
      <c r="D240" t="str">
        <f>_xlfn.CONCAT(C240,".bam")</f>
        <v>SYST-MOR-0006928.bam</v>
      </c>
      <c r="E240" t="s">
        <v>868</v>
      </c>
      <c r="F240" t="s">
        <v>2424</v>
      </c>
      <c r="G240" t="s">
        <v>2429</v>
      </c>
      <c r="H240" t="s">
        <v>2513</v>
      </c>
      <c r="I240" t="s">
        <v>832</v>
      </c>
      <c r="K240" t="s">
        <v>64</v>
      </c>
      <c r="L240" t="s">
        <v>64</v>
      </c>
      <c r="N240" t="s">
        <v>64</v>
      </c>
      <c r="P240" t="s">
        <v>113</v>
      </c>
      <c r="Q240" t="s">
        <v>155</v>
      </c>
      <c r="R240" t="s">
        <v>2599</v>
      </c>
      <c r="S240" s="1">
        <v>44756</v>
      </c>
      <c r="T240" t="s">
        <v>812</v>
      </c>
      <c r="U240" t="s">
        <v>34</v>
      </c>
      <c r="V240" s="1">
        <v>44757</v>
      </c>
      <c r="W240" t="s">
        <v>35</v>
      </c>
      <c r="X240" t="s">
        <v>737</v>
      </c>
      <c r="Y240" t="s">
        <v>813</v>
      </c>
      <c r="Z240" t="s">
        <v>206</v>
      </c>
      <c r="AA240" t="s">
        <v>832</v>
      </c>
      <c r="AD240" t="s">
        <v>64</v>
      </c>
      <c r="AE240">
        <v>37.894607000000001</v>
      </c>
      <c r="AF240">
        <v>-87.543357</v>
      </c>
      <c r="AG240" t="s">
        <v>40</v>
      </c>
      <c r="AH240" t="s">
        <v>41</v>
      </c>
      <c r="AI240">
        <v>37.894344558</v>
      </c>
      <c r="AJ240">
        <v>-87.543374318700003</v>
      </c>
      <c r="AK240">
        <v>-2.6244200000036244E-4</v>
      </c>
      <c r="AL240">
        <v>-1.7318700002988408E-5</v>
      </c>
      <c r="AM240" t="str">
        <f>_xlfn.IFNA(VLOOKUP(Sheet1!$C240,ADMIX_ALL!A:B,2,FALSE),"none")</f>
        <v>K6-18</v>
      </c>
      <c r="AN240" t="str">
        <f>_xlfn.IFNA(VLOOKUP(Sheet1!C240,ADMIX_SS!A:B,2,FALSE),"none")</f>
        <v>SubSample</v>
      </c>
      <c r="AO240" t="str">
        <f>_xlfn.IFNA(VLOOKUP(Sheet1!$C240,MONG_PHYLO!A:C,3,FALSE),"-")</f>
        <v>-</v>
      </c>
      <c r="AP240" t="str">
        <f>_xlfn.IFNA(VLOOKUP(Sheet1!$C240,MAC_PHYLO!A:C,3,FALSE),"-")</f>
        <v>-</v>
      </c>
      <c r="AQ240" t="str">
        <f>_xlfn.IFNA(VLOOKUP(Sheet1!$C240,ConStruct!A:C,3,FALSE),"-")</f>
        <v>-</v>
      </c>
      <c r="AR240" t="str">
        <f>_xlfn.IFNA(VLOOKUP(Sheet1!$C240,GEA!A:C,3,FALSE),"-")</f>
        <v>-</v>
      </c>
      <c r="AS240" t="str">
        <f>_xlfn.IFNA(VLOOKUP(Sheet1!$C240,MAC_DSUITE!A:D,3,FALSE),"-")</f>
        <v>-</v>
      </c>
      <c r="AT240" t="str">
        <f>_xlfn.IFNA(VLOOKUP(Sheet1!$C240,MONG_DSUITE!A:E,2,FALSE),"-")</f>
        <v>xxx</v>
      </c>
      <c r="AU240" t="str">
        <f>_xlfn.IFNA(VLOOKUP(Sheet1!$C240,MAC_PAINT2!A:D,4,FALSE),"-")</f>
        <v>-</v>
      </c>
    </row>
    <row r="241" spans="1:49" customFormat="1" x14ac:dyDescent="0.4">
      <c r="A241">
        <v>3692</v>
      </c>
      <c r="B241" t="s">
        <v>869</v>
      </c>
      <c r="C241" t="s">
        <v>870</v>
      </c>
      <c r="D241" t="str">
        <f>_xlfn.CONCAT(C241,".bam")</f>
        <v>SYST-MOR-0006929.bam</v>
      </c>
      <c r="E241" t="s">
        <v>871</v>
      </c>
      <c r="F241" t="s">
        <v>2424</v>
      </c>
      <c r="G241" t="s">
        <v>2429</v>
      </c>
      <c r="H241" t="s">
        <v>2513</v>
      </c>
      <c r="I241" t="s">
        <v>832</v>
      </c>
      <c r="K241" t="s">
        <v>84</v>
      </c>
      <c r="L241" t="s">
        <v>84</v>
      </c>
      <c r="N241" t="s">
        <v>84</v>
      </c>
      <c r="P241" t="s">
        <v>113</v>
      </c>
      <c r="Q241" t="s">
        <v>85</v>
      </c>
      <c r="R241" t="s">
        <v>2600</v>
      </c>
      <c r="S241" s="1">
        <v>44756</v>
      </c>
      <c r="T241" t="s">
        <v>812</v>
      </c>
      <c r="U241" t="s">
        <v>34</v>
      </c>
      <c r="V241" s="1">
        <v>44757</v>
      </c>
      <c r="W241" t="s">
        <v>35</v>
      </c>
      <c r="X241" t="s">
        <v>737</v>
      </c>
      <c r="Y241" t="s">
        <v>813</v>
      </c>
      <c r="Z241" t="s">
        <v>206</v>
      </c>
      <c r="AA241" t="s">
        <v>832</v>
      </c>
      <c r="AB241" t="s">
        <v>872</v>
      </c>
      <c r="AD241" t="s">
        <v>84</v>
      </c>
      <c r="AE241">
        <v>37.883276000000002</v>
      </c>
      <c r="AF241">
        <v>-87.553537000000006</v>
      </c>
      <c r="AG241" t="s">
        <v>40</v>
      </c>
      <c r="AH241" t="s">
        <v>41</v>
      </c>
      <c r="AI241">
        <v>37.8832388716</v>
      </c>
      <c r="AJ241">
        <v>-87.553521618299996</v>
      </c>
      <c r="AK241">
        <v>-3.7128400002472972E-5</v>
      </c>
      <c r="AL241">
        <v>1.5381700009697852E-5</v>
      </c>
      <c r="AM241" t="str">
        <f>_xlfn.IFNA(VLOOKUP(Sheet1!$C241,ADMIX_ALL!A:B,2,FALSE),"none")</f>
        <v>K6-18</v>
      </c>
      <c r="AN241" t="str">
        <f>_xlfn.IFNA(VLOOKUP(Sheet1!C241,ADMIX_SS!A:B,2,FALSE),"none")</f>
        <v>SubSample</v>
      </c>
      <c r="AO241" t="str">
        <f>_xlfn.IFNA(VLOOKUP(Sheet1!$C241,MONG_PHYLO!A:C,3,FALSE),"-")</f>
        <v>-</v>
      </c>
      <c r="AP241" t="str">
        <f>_xlfn.IFNA(VLOOKUP(Sheet1!$C241,MAC_PHYLO!A:C,3,FALSE),"-")</f>
        <v>-</v>
      </c>
      <c r="AQ241" t="str">
        <f>_xlfn.IFNA(VLOOKUP(Sheet1!$C241,ConStruct!A:C,3,FALSE),"-")</f>
        <v>-</v>
      </c>
      <c r="AR241" t="str">
        <f>_xlfn.IFNA(VLOOKUP(Sheet1!$C241,GEA!A:C,3,FALSE),"-")</f>
        <v>-</v>
      </c>
      <c r="AS241" t="str">
        <f>_xlfn.IFNA(VLOOKUP(Sheet1!$C241,MAC_DSUITE!A:D,3,FALSE),"-")</f>
        <v>-</v>
      </c>
      <c r="AT241" t="str">
        <f>_xlfn.IFNA(VLOOKUP(Sheet1!$C241,MONG_DSUITE!A:E,2,FALSE),"-")</f>
        <v>xxx</v>
      </c>
      <c r="AU241" t="str">
        <f>_xlfn.IFNA(VLOOKUP(Sheet1!$C241,MAC_PAINT2!A:D,4,FALSE),"-")</f>
        <v>-</v>
      </c>
    </row>
    <row r="242" spans="1:49" customFormat="1" x14ac:dyDescent="0.4">
      <c r="A242">
        <v>3693</v>
      </c>
      <c r="B242" t="s">
        <v>873</v>
      </c>
      <c r="C242" t="s">
        <v>874</v>
      </c>
      <c r="D242" t="str">
        <f>_xlfn.CONCAT(C242,".bam")</f>
        <v>SYST-MOR-0006930.bam</v>
      </c>
      <c r="E242" t="s">
        <v>875</v>
      </c>
      <c r="F242" t="s">
        <v>2424</v>
      </c>
      <c r="G242" t="s">
        <v>2429</v>
      </c>
      <c r="H242" t="s">
        <v>2513</v>
      </c>
      <c r="I242" t="s">
        <v>832</v>
      </c>
      <c r="K242" t="s">
        <v>84</v>
      </c>
      <c r="L242" t="s">
        <v>84</v>
      </c>
      <c r="N242" t="s">
        <v>84</v>
      </c>
      <c r="P242" t="s">
        <v>113</v>
      </c>
      <c r="Q242" t="s">
        <v>85</v>
      </c>
      <c r="R242" t="s">
        <v>2600</v>
      </c>
      <c r="S242" s="1">
        <v>44756</v>
      </c>
      <c r="T242" t="s">
        <v>812</v>
      </c>
      <c r="U242" t="s">
        <v>34</v>
      </c>
      <c r="V242" s="1">
        <v>44757</v>
      </c>
      <c r="W242" t="s">
        <v>35</v>
      </c>
      <c r="X242" t="s">
        <v>737</v>
      </c>
      <c r="Y242" t="s">
        <v>813</v>
      </c>
      <c r="Z242" t="s">
        <v>206</v>
      </c>
      <c r="AA242" t="s">
        <v>832</v>
      </c>
      <c r="AD242" t="s">
        <v>84</v>
      </c>
      <c r="AE242">
        <v>37.885952000000003</v>
      </c>
      <c r="AF242">
        <v>-87.553352000000004</v>
      </c>
      <c r="AG242" t="s">
        <v>40</v>
      </c>
      <c r="AH242" t="s">
        <v>41</v>
      </c>
      <c r="AI242">
        <v>37.8859053519</v>
      </c>
      <c r="AJ242">
        <v>-87.553339775599994</v>
      </c>
      <c r="AK242">
        <v>-4.6648100003210402E-5</v>
      </c>
      <c r="AL242">
        <v>1.2224400009586134E-5</v>
      </c>
      <c r="AM242" t="str">
        <f>_xlfn.IFNA(VLOOKUP(Sheet1!$C242,ADMIX_ALL!A:B,2,FALSE),"none")</f>
        <v>K6-18</v>
      </c>
      <c r="AN242" t="str">
        <f>_xlfn.IFNA(VLOOKUP(Sheet1!C242,ADMIX_SS!A:B,2,FALSE),"none")</f>
        <v>SubSample</v>
      </c>
      <c r="AO242" t="str">
        <f>_xlfn.IFNA(VLOOKUP(Sheet1!$C242,MONG_PHYLO!A:C,3,FALSE),"-")</f>
        <v>-</v>
      </c>
      <c r="AP242" t="str">
        <f>_xlfn.IFNA(VLOOKUP(Sheet1!$C242,MAC_PHYLO!A:C,3,FALSE),"-")</f>
        <v>-</v>
      </c>
      <c r="AQ242" t="str">
        <f>_xlfn.IFNA(VLOOKUP(Sheet1!$C242,ConStruct!A:C,3,FALSE),"-")</f>
        <v>-</v>
      </c>
      <c r="AR242" t="str">
        <f>_xlfn.IFNA(VLOOKUP(Sheet1!$C242,GEA!A:C,3,FALSE),"-")</f>
        <v>-</v>
      </c>
      <c r="AS242" t="str">
        <f>_xlfn.IFNA(VLOOKUP(Sheet1!$C242,MAC_DSUITE!A:D,3,FALSE),"-")</f>
        <v>-</v>
      </c>
      <c r="AT242" t="str">
        <f>_xlfn.IFNA(VLOOKUP(Sheet1!$C242,MONG_DSUITE!A:E,2,FALSE),"-")</f>
        <v>xxx</v>
      </c>
      <c r="AU242" t="str">
        <f>_xlfn.IFNA(VLOOKUP(Sheet1!$C242,MAC_PAINT2!A:D,4,FALSE),"-")</f>
        <v>-</v>
      </c>
    </row>
    <row r="243" spans="1:49" customFormat="1" x14ac:dyDescent="0.4">
      <c r="A243">
        <v>3694</v>
      </c>
      <c r="B243" t="s">
        <v>876</v>
      </c>
      <c r="C243" t="s">
        <v>877</v>
      </c>
      <c r="D243" t="str">
        <f>_xlfn.CONCAT(C243,".bam")</f>
        <v>SYST-MOR-0006931.bam</v>
      </c>
      <c r="E243" t="s">
        <v>878</v>
      </c>
      <c r="F243" t="s">
        <v>2424</v>
      </c>
      <c r="G243" t="s">
        <v>2429</v>
      </c>
      <c r="H243" t="s">
        <v>2513</v>
      </c>
      <c r="I243" t="s">
        <v>832</v>
      </c>
      <c r="K243" t="s">
        <v>84</v>
      </c>
      <c r="L243" t="s">
        <v>84</v>
      </c>
      <c r="N243" t="s">
        <v>84</v>
      </c>
      <c r="P243" t="s">
        <v>113</v>
      </c>
      <c r="Q243" t="s">
        <v>85</v>
      </c>
      <c r="R243" t="s">
        <v>2600</v>
      </c>
      <c r="S243" s="1">
        <v>44756</v>
      </c>
      <c r="T243" t="s">
        <v>812</v>
      </c>
      <c r="U243" t="s">
        <v>34</v>
      </c>
      <c r="V243" s="1">
        <v>44757</v>
      </c>
      <c r="W243" t="s">
        <v>35</v>
      </c>
      <c r="X243" t="s">
        <v>737</v>
      </c>
      <c r="Y243" t="s">
        <v>813</v>
      </c>
      <c r="Z243" t="s">
        <v>206</v>
      </c>
      <c r="AA243" t="s">
        <v>832</v>
      </c>
      <c r="AB243" t="s">
        <v>879</v>
      </c>
      <c r="AD243" t="s">
        <v>84</v>
      </c>
      <c r="AE243">
        <v>37.881841000000001</v>
      </c>
      <c r="AF243">
        <v>-87.557665999999998</v>
      </c>
      <c r="AG243" t="s">
        <v>40</v>
      </c>
      <c r="AH243" t="s">
        <v>41</v>
      </c>
      <c r="AI243">
        <v>37.8818983958</v>
      </c>
      <c r="AJ243">
        <v>-87.557738805300005</v>
      </c>
      <c r="AK243">
        <v>5.7395799998971597E-5</v>
      </c>
      <c r="AL243">
        <v>-7.2805300007416918E-5</v>
      </c>
      <c r="AM243" t="str">
        <f>_xlfn.IFNA(VLOOKUP(Sheet1!$C243,ADMIX_ALL!A:B,2,FALSE),"none")</f>
        <v>K6-18</v>
      </c>
      <c r="AN243" t="str">
        <f>_xlfn.IFNA(VLOOKUP(Sheet1!C243,ADMIX_SS!A:B,2,FALSE),"none")</f>
        <v>SubSample</v>
      </c>
      <c r="AO243" t="str">
        <f>_xlfn.IFNA(VLOOKUP(Sheet1!$C243,MONG_PHYLO!A:C,3,FALSE),"-")</f>
        <v>-</v>
      </c>
      <c r="AP243" t="str">
        <f>_xlfn.IFNA(VLOOKUP(Sheet1!$C243,MAC_PHYLO!A:C,3,FALSE),"-")</f>
        <v>-</v>
      </c>
      <c r="AQ243" t="str">
        <f>_xlfn.IFNA(VLOOKUP(Sheet1!$C243,ConStruct!A:C,3,FALSE),"-")</f>
        <v>-</v>
      </c>
      <c r="AR243" t="str">
        <f>_xlfn.IFNA(VLOOKUP(Sheet1!$C243,GEA!A:C,3,FALSE),"-")</f>
        <v>-</v>
      </c>
      <c r="AS243" t="str">
        <f>_xlfn.IFNA(VLOOKUP(Sheet1!$C243,MAC_DSUITE!A:D,3,FALSE),"-")</f>
        <v>-</v>
      </c>
      <c r="AT243" t="str">
        <f>_xlfn.IFNA(VLOOKUP(Sheet1!$C243,MONG_DSUITE!A:E,2,FALSE),"-")</f>
        <v>xxx</v>
      </c>
      <c r="AU243" t="str">
        <f>_xlfn.IFNA(VLOOKUP(Sheet1!$C243,MAC_PAINT2!A:D,4,FALSE),"-")</f>
        <v>-</v>
      </c>
    </row>
    <row r="244" spans="1:49" customFormat="1" x14ac:dyDescent="0.4">
      <c r="A244">
        <v>3695</v>
      </c>
      <c r="B244" t="s">
        <v>809</v>
      </c>
      <c r="C244" t="s">
        <v>810</v>
      </c>
      <c r="D244" t="str">
        <f>_xlfn.CONCAT(C244,".bam")</f>
        <v>SYST-MOR-0006932.bam</v>
      </c>
      <c r="E244" t="s">
        <v>811</v>
      </c>
      <c r="F244" t="s">
        <v>2424</v>
      </c>
      <c r="G244" t="s">
        <v>2428</v>
      </c>
      <c r="H244" t="s">
        <v>2512</v>
      </c>
      <c r="I244" t="s">
        <v>814</v>
      </c>
      <c r="K244" t="s">
        <v>45</v>
      </c>
      <c r="L244" t="s">
        <v>45</v>
      </c>
      <c r="N244" t="s">
        <v>45</v>
      </c>
      <c r="P244" t="s">
        <v>113</v>
      </c>
      <c r="Q244" t="s">
        <v>46</v>
      </c>
      <c r="R244" t="s">
        <v>2597</v>
      </c>
      <c r="S244" s="1">
        <v>44756</v>
      </c>
      <c r="T244" t="s">
        <v>812</v>
      </c>
      <c r="U244" t="s">
        <v>34</v>
      </c>
      <c r="V244" s="1">
        <v>44757</v>
      </c>
      <c r="W244" t="s">
        <v>35</v>
      </c>
      <c r="X244" t="s">
        <v>737</v>
      </c>
      <c r="Y244" t="s">
        <v>813</v>
      </c>
      <c r="Z244" t="s">
        <v>206</v>
      </c>
      <c r="AA244" t="s">
        <v>814</v>
      </c>
      <c r="AB244" t="s">
        <v>815</v>
      </c>
      <c r="AD244" t="s">
        <v>45</v>
      </c>
      <c r="AE244">
        <v>37.899307</v>
      </c>
      <c r="AF244">
        <v>-87.506533000000005</v>
      </c>
      <c r="AG244" t="s">
        <v>40</v>
      </c>
      <c r="AH244" t="s">
        <v>41</v>
      </c>
      <c r="AI244">
        <v>37.899306780099998</v>
      </c>
      <c r="AJ244">
        <v>-87.506574363499993</v>
      </c>
      <c r="AK244">
        <v>-2.1990000220739603E-7</v>
      </c>
      <c r="AL244">
        <v>-4.1363499988733565E-5</v>
      </c>
      <c r="AM244" t="str">
        <f>_xlfn.IFNA(VLOOKUP(Sheet1!$C244,ADMIX_ALL!A:B,2,FALSE),"none")</f>
        <v>K6-18</v>
      </c>
      <c r="AN244" t="str">
        <f>_xlfn.IFNA(VLOOKUP(Sheet1!C244,ADMIX_SS!A:B,2,FALSE),"none")</f>
        <v>SubSample</v>
      </c>
      <c r="AO244" t="str">
        <f>_xlfn.IFNA(VLOOKUP(Sheet1!$C244,MONG_PHYLO!A:C,3,FALSE),"-")</f>
        <v>-</v>
      </c>
      <c r="AP244" t="str">
        <f>_xlfn.IFNA(VLOOKUP(Sheet1!$C244,MAC_PHYLO!A:C,3,FALSE),"-")</f>
        <v>-</v>
      </c>
      <c r="AQ244" t="str">
        <f>_xlfn.IFNA(VLOOKUP(Sheet1!$C244,ConStruct!A:C,3,FALSE),"-")</f>
        <v>ConStruct</v>
      </c>
      <c r="AR244" t="str">
        <f>_xlfn.IFNA(VLOOKUP(Sheet1!$C244,GEA!A:C,3,FALSE),"-")</f>
        <v>GEA</v>
      </c>
      <c r="AS244" t="str">
        <f>_xlfn.IFNA(VLOOKUP(Sheet1!$C244,MAC_DSUITE!A:D,3,FALSE),"-")</f>
        <v>mac_KY_GRF</v>
      </c>
      <c r="AT244" t="str">
        <f>_xlfn.IFNA(VLOOKUP(Sheet1!$C244,MONG_DSUITE!A:E,2,FALSE),"-")</f>
        <v>macrocarpa_GRF</v>
      </c>
      <c r="AU244" t="str">
        <f>_xlfn.IFNA(VLOOKUP(Sheet1!$C244,MAC_PAINT2!A:D,4,FALSE),"-")</f>
        <v>macpaint</v>
      </c>
      <c r="AV244" t="s">
        <v>9193</v>
      </c>
      <c r="AW244" t="s">
        <v>9193</v>
      </c>
    </row>
    <row r="245" spans="1:49" customFormat="1" x14ac:dyDescent="0.4">
      <c r="A245">
        <v>3696</v>
      </c>
      <c r="B245" t="s">
        <v>816</v>
      </c>
      <c r="C245" t="s">
        <v>817</v>
      </c>
      <c r="D245" t="str">
        <f>_xlfn.CONCAT(C245,".bam")</f>
        <v>SYST-MOR-0006933.bam</v>
      </c>
      <c r="E245" t="s">
        <v>818</v>
      </c>
      <c r="F245" t="s">
        <v>2424</v>
      </c>
      <c r="G245" t="s">
        <v>2428</v>
      </c>
      <c r="H245" t="s">
        <v>2512</v>
      </c>
      <c r="I245" t="s">
        <v>814</v>
      </c>
      <c r="K245" t="s">
        <v>45</v>
      </c>
      <c r="L245" t="s">
        <v>45</v>
      </c>
      <c r="N245" t="s">
        <v>45</v>
      </c>
      <c r="P245" t="s">
        <v>113</v>
      </c>
      <c r="Q245" t="s">
        <v>46</v>
      </c>
      <c r="R245" t="s">
        <v>2597</v>
      </c>
      <c r="S245" s="1">
        <v>44756</v>
      </c>
      <c r="T245" t="s">
        <v>812</v>
      </c>
      <c r="U245" t="s">
        <v>34</v>
      </c>
      <c r="V245" s="1">
        <v>44757</v>
      </c>
      <c r="W245" t="s">
        <v>35</v>
      </c>
      <c r="X245" t="s">
        <v>737</v>
      </c>
      <c r="Y245" t="s">
        <v>813</v>
      </c>
      <c r="Z245" t="s">
        <v>206</v>
      </c>
      <c r="AA245" t="s">
        <v>814</v>
      </c>
      <c r="AD245" t="s">
        <v>45</v>
      </c>
      <c r="AE245">
        <v>37.898916</v>
      </c>
      <c r="AF245">
        <v>-87.504164000000003</v>
      </c>
      <c r="AG245" t="s">
        <v>40</v>
      </c>
      <c r="AH245" t="s">
        <v>41</v>
      </c>
      <c r="AI245">
        <v>37.8989380501</v>
      </c>
      <c r="AJ245">
        <v>-87.504187760600004</v>
      </c>
      <c r="AK245">
        <v>2.2050100000114981E-5</v>
      </c>
      <c r="AL245">
        <v>-2.3760600001310195E-5</v>
      </c>
      <c r="AM245" t="str">
        <f>_xlfn.IFNA(VLOOKUP(Sheet1!$C245,ADMIX_ALL!A:B,2,FALSE),"none")</f>
        <v>K6-18</v>
      </c>
      <c r="AN245" t="str">
        <f>_xlfn.IFNA(VLOOKUP(Sheet1!C245,ADMIX_SS!A:B,2,FALSE),"none")</f>
        <v>SubSample</v>
      </c>
      <c r="AO245" t="str">
        <f>_xlfn.IFNA(VLOOKUP(Sheet1!$C245,MONG_PHYLO!A:C,3,FALSE),"-")</f>
        <v>-</v>
      </c>
      <c r="AP245" t="str">
        <f>_xlfn.IFNA(VLOOKUP(Sheet1!$C245,MAC_PHYLO!A:C,3,FALSE),"-")</f>
        <v>-</v>
      </c>
      <c r="AQ245" t="str">
        <f>_xlfn.IFNA(VLOOKUP(Sheet1!$C245,ConStruct!A:C,3,FALSE),"-")</f>
        <v>ConStruct</v>
      </c>
      <c r="AR245" t="str">
        <f>_xlfn.IFNA(VLOOKUP(Sheet1!$C245,GEA!A:C,3,FALSE),"-")</f>
        <v>GEA</v>
      </c>
      <c r="AS245" t="str">
        <f>_xlfn.IFNA(VLOOKUP(Sheet1!$C245,MAC_DSUITE!A:D,3,FALSE),"-")</f>
        <v>mac_KY_GRF</v>
      </c>
      <c r="AT245" t="str">
        <f>_xlfn.IFNA(VLOOKUP(Sheet1!$C245,MONG_DSUITE!A:E,2,FALSE),"-")</f>
        <v>macrocarpa_GRF</v>
      </c>
      <c r="AU245" t="str">
        <f>_xlfn.IFNA(VLOOKUP(Sheet1!$C245,MAC_PAINT2!A:D,4,FALSE),"-")</f>
        <v>macpaint</v>
      </c>
      <c r="AV245" t="s">
        <v>9193</v>
      </c>
      <c r="AW245" t="s">
        <v>9193</v>
      </c>
    </row>
    <row r="246" spans="1:49" customFormat="1" x14ac:dyDescent="0.4">
      <c r="A246">
        <v>3697</v>
      </c>
      <c r="B246" t="s">
        <v>819</v>
      </c>
      <c r="C246" t="s">
        <v>820</v>
      </c>
      <c r="D246" t="str">
        <f>_xlfn.CONCAT(C246,".bam")</f>
        <v>SYST-MOR-0006934.bam</v>
      </c>
      <c r="E246" t="s">
        <v>821</v>
      </c>
      <c r="F246" t="s">
        <v>2424</v>
      </c>
      <c r="G246" t="s">
        <v>2428</v>
      </c>
      <c r="H246" t="s">
        <v>2512</v>
      </c>
      <c r="I246" t="s">
        <v>814</v>
      </c>
      <c r="K246" t="s">
        <v>45</v>
      </c>
      <c r="L246" t="s">
        <v>45</v>
      </c>
      <c r="N246" t="s">
        <v>45</v>
      </c>
      <c r="P246" t="s">
        <v>113</v>
      </c>
      <c r="Q246" t="s">
        <v>46</v>
      </c>
      <c r="R246" t="s">
        <v>2597</v>
      </c>
      <c r="S246" s="1">
        <v>44756</v>
      </c>
      <c r="T246" t="s">
        <v>812</v>
      </c>
      <c r="U246" t="s">
        <v>34</v>
      </c>
      <c r="V246" s="1">
        <v>44757</v>
      </c>
      <c r="W246" t="s">
        <v>35</v>
      </c>
      <c r="X246" t="s">
        <v>737</v>
      </c>
      <c r="Y246" t="s">
        <v>813</v>
      </c>
      <c r="Z246" t="s">
        <v>206</v>
      </c>
      <c r="AA246" t="s">
        <v>814</v>
      </c>
      <c r="AD246" t="s">
        <v>45</v>
      </c>
      <c r="AE246">
        <v>37.898797999999999</v>
      </c>
      <c r="AF246">
        <v>-87.502920000000003</v>
      </c>
      <c r="AG246" t="s">
        <v>40</v>
      </c>
      <c r="AH246" t="s">
        <v>41</v>
      </c>
      <c r="AI246">
        <v>37.898850559700001</v>
      </c>
      <c r="AJ246">
        <v>-87.502869800200003</v>
      </c>
      <c r="AK246">
        <v>5.2559700002063892E-5</v>
      </c>
      <c r="AL246">
        <v>5.0199800000427786E-5</v>
      </c>
      <c r="AM246" t="str">
        <f>_xlfn.IFNA(VLOOKUP(Sheet1!$C246,ADMIX_ALL!A:B,2,FALSE),"none")</f>
        <v>K6-18</v>
      </c>
      <c r="AN246" t="str">
        <f>_xlfn.IFNA(VLOOKUP(Sheet1!C246,ADMIX_SS!A:B,2,FALSE),"none")</f>
        <v>SubSample</v>
      </c>
      <c r="AO246" t="str">
        <f>_xlfn.IFNA(VLOOKUP(Sheet1!$C246,MONG_PHYLO!A:C,3,FALSE),"-")</f>
        <v>-</v>
      </c>
      <c r="AP246" t="str">
        <f>_xlfn.IFNA(VLOOKUP(Sheet1!$C246,MAC_PHYLO!A:C,3,FALSE),"-")</f>
        <v>-</v>
      </c>
      <c r="AQ246" t="str">
        <f>_xlfn.IFNA(VLOOKUP(Sheet1!$C246,ConStruct!A:C,3,FALSE),"-")</f>
        <v>ConStruct</v>
      </c>
      <c r="AR246" t="str">
        <f>_xlfn.IFNA(VLOOKUP(Sheet1!$C246,GEA!A:C,3,FALSE),"-")</f>
        <v>GEA</v>
      </c>
      <c r="AS246" t="str">
        <f>_xlfn.IFNA(VLOOKUP(Sheet1!$C246,MAC_DSUITE!A:D,3,FALSE),"-")</f>
        <v>mac_KY_GRF</v>
      </c>
      <c r="AT246" t="str">
        <f>_xlfn.IFNA(VLOOKUP(Sheet1!$C246,MONG_DSUITE!A:E,2,FALSE),"-")</f>
        <v>macrocarpa_GRF</v>
      </c>
      <c r="AU246" t="str">
        <f>_xlfn.IFNA(VLOOKUP(Sheet1!$C246,MAC_PAINT2!A:D,4,FALSE),"-")</f>
        <v>macpaint</v>
      </c>
      <c r="AV246" t="s">
        <v>9193</v>
      </c>
      <c r="AW246" t="s">
        <v>9193</v>
      </c>
    </row>
    <row r="247" spans="1:49" customFormat="1" x14ac:dyDescent="0.4">
      <c r="A247">
        <v>3698</v>
      </c>
      <c r="B247" t="s">
        <v>822</v>
      </c>
      <c r="C247" t="s">
        <v>823</v>
      </c>
      <c r="D247" t="str">
        <f>_xlfn.CONCAT(C247,".bam")</f>
        <v>SYST-MOR-0006935.bam</v>
      </c>
      <c r="E247" t="s">
        <v>824</v>
      </c>
      <c r="F247" t="s">
        <v>2424</v>
      </c>
      <c r="G247" t="s">
        <v>2428</v>
      </c>
      <c r="H247" t="s">
        <v>2512</v>
      </c>
      <c r="I247" t="s">
        <v>814</v>
      </c>
      <c r="K247" t="s">
        <v>45</v>
      </c>
      <c r="L247" t="s">
        <v>45</v>
      </c>
      <c r="N247" t="s">
        <v>45</v>
      </c>
      <c r="P247" t="s">
        <v>113</v>
      </c>
      <c r="Q247" t="s">
        <v>46</v>
      </c>
      <c r="R247" t="s">
        <v>2597</v>
      </c>
      <c r="S247" s="1">
        <v>44756</v>
      </c>
      <c r="T247" t="s">
        <v>812</v>
      </c>
      <c r="U247" t="s">
        <v>34</v>
      </c>
      <c r="V247" s="1">
        <v>44757</v>
      </c>
      <c r="W247" t="s">
        <v>35</v>
      </c>
      <c r="X247" t="s">
        <v>737</v>
      </c>
      <c r="Y247" t="s">
        <v>813</v>
      </c>
      <c r="Z247" t="s">
        <v>206</v>
      </c>
      <c r="AA247" t="s">
        <v>814</v>
      </c>
      <c r="AC247" t="s">
        <v>825</v>
      </c>
      <c r="AD247" t="s">
        <v>45</v>
      </c>
      <c r="AE247">
        <v>37.502158000000001</v>
      </c>
      <c r="AF247">
        <v>-87.502157999999994</v>
      </c>
      <c r="AG247" t="s">
        <v>40</v>
      </c>
      <c r="AH247" t="s">
        <v>41</v>
      </c>
      <c r="AI247">
        <v>37.898869738000002</v>
      </c>
      <c r="AJ247">
        <v>-87.5021931064</v>
      </c>
      <c r="AK247">
        <v>0.39671173800000048</v>
      </c>
      <c r="AL247">
        <v>-3.5106400005702199E-5</v>
      </c>
      <c r="AM247" t="str">
        <f>_xlfn.IFNA(VLOOKUP(Sheet1!$C247,ADMIX_ALL!A:B,2,FALSE),"none")</f>
        <v>K6-18</v>
      </c>
      <c r="AN247" t="str">
        <f>_xlfn.IFNA(VLOOKUP(Sheet1!C247,ADMIX_SS!A:B,2,FALSE),"none")</f>
        <v>SubSample</v>
      </c>
      <c r="AO247" t="str">
        <f>_xlfn.IFNA(VLOOKUP(Sheet1!$C247,MONG_PHYLO!A:C,3,FALSE),"-")</f>
        <v>-</v>
      </c>
      <c r="AP247" t="str">
        <f>_xlfn.IFNA(VLOOKUP(Sheet1!$C247,MAC_PHYLO!A:C,3,FALSE),"-")</f>
        <v>-</v>
      </c>
      <c r="AQ247" t="str">
        <f>_xlfn.IFNA(VLOOKUP(Sheet1!$C247,ConStruct!A:C,3,FALSE),"-")</f>
        <v>ConStruct</v>
      </c>
      <c r="AR247" t="str">
        <f>_xlfn.IFNA(VLOOKUP(Sheet1!$C247,GEA!A:C,3,FALSE),"-")</f>
        <v>GEA</v>
      </c>
      <c r="AS247" t="str">
        <f>_xlfn.IFNA(VLOOKUP(Sheet1!$C247,MAC_DSUITE!A:D,3,FALSE),"-")</f>
        <v>mac_KY_GRF</v>
      </c>
      <c r="AT247" t="str">
        <f>_xlfn.IFNA(VLOOKUP(Sheet1!$C247,MONG_DSUITE!A:E,2,FALSE),"-")</f>
        <v>macrocarpa_GRF</v>
      </c>
      <c r="AU247" t="str">
        <f>_xlfn.IFNA(VLOOKUP(Sheet1!$C247,MAC_PAINT2!A:D,4,FALSE),"-")</f>
        <v>macpaint</v>
      </c>
      <c r="AV247" t="s">
        <v>9193</v>
      </c>
      <c r="AW247" t="s">
        <v>9193</v>
      </c>
    </row>
    <row r="248" spans="1:49" customFormat="1" x14ac:dyDescent="0.4">
      <c r="A248">
        <v>3699</v>
      </c>
      <c r="B248" t="s">
        <v>826</v>
      </c>
      <c r="C248" t="s">
        <v>827</v>
      </c>
      <c r="D248" t="str">
        <f>_xlfn.CONCAT(C248,".bam")</f>
        <v>SYST-MOR-0006936.bam</v>
      </c>
      <c r="E248" t="s">
        <v>828</v>
      </c>
      <c r="F248" t="s">
        <v>2424</v>
      </c>
      <c r="G248" t="s">
        <v>2428</v>
      </c>
      <c r="H248" t="s">
        <v>2512</v>
      </c>
      <c r="I248" t="s">
        <v>814</v>
      </c>
      <c r="K248" t="s">
        <v>45</v>
      </c>
      <c r="L248" t="s">
        <v>45</v>
      </c>
      <c r="N248" t="s">
        <v>45</v>
      </c>
      <c r="P248" t="s">
        <v>113</v>
      </c>
      <c r="Q248" t="s">
        <v>46</v>
      </c>
      <c r="R248" t="s">
        <v>2597</v>
      </c>
      <c r="S248" s="1">
        <v>44756</v>
      </c>
      <c r="T248" t="s">
        <v>812</v>
      </c>
      <c r="U248" t="s">
        <v>34</v>
      </c>
      <c r="V248" s="1">
        <v>44757</v>
      </c>
      <c r="W248" t="s">
        <v>35</v>
      </c>
      <c r="X248" t="s">
        <v>737</v>
      </c>
      <c r="Y248" t="s">
        <v>813</v>
      </c>
      <c r="Z248" t="s">
        <v>206</v>
      </c>
      <c r="AA248" t="s">
        <v>814</v>
      </c>
      <c r="AD248" t="s">
        <v>45</v>
      </c>
      <c r="AE248">
        <v>37.898645000000002</v>
      </c>
      <c r="AF248">
        <v>-87.501429000000002</v>
      </c>
      <c r="AG248" t="s">
        <v>40</v>
      </c>
      <c r="AH248" t="s">
        <v>41</v>
      </c>
      <c r="AI248">
        <v>37.898620795500001</v>
      </c>
      <c r="AJ248">
        <v>-87.501094658</v>
      </c>
      <c r="AK248">
        <v>-2.4204500000735152E-5</v>
      </c>
      <c r="AL248">
        <v>3.3434200000215242E-4</v>
      </c>
      <c r="AM248" t="str">
        <f>_xlfn.IFNA(VLOOKUP(Sheet1!$C248,ADMIX_ALL!A:B,2,FALSE),"none")</f>
        <v>K6-18</v>
      </c>
      <c r="AN248" t="str">
        <f>_xlfn.IFNA(VLOOKUP(Sheet1!C248,ADMIX_SS!A:B,2,FALSE),"none")</f>
        <v>SubSample</v>
      </c>
      <c r="AO248" t="str">
        <f>_xlfn.IFNA(VLOOKUP(Sheet1!$C248,MONG_PHYLO!A:C,3,FALSE),"-")</f>
        <v>-</v>
      </c>
      <c r="AP248" t="str">
        <f>_xlfn.IFNA(VLOOKUP(Sheet1!$C248,MAC_PHYLO!A:C,3,FALSE),"-")</f>
        <v>-</v>
      </c>
      <c r="AQ248" t="str">
        <f>_xlfn.IFNA(VLOOKUP(Sheet1!$C248,ConStruct!A:C,3,FALSE),"-")</f>
        <v>ConStruct</v>
      </c>
      <c r="AR248" t="str">
        <f>_xlfn.IFNA(VLOOKUP(Sheet1!$C248,GEA!A:C,3,FALSE),"-")</f>
        <v>GEA</v>
      </c>
      <c r="AS248" t="str">
        <f>_xlfn.IFNA(VLOOKUP(Sheet1!$C248,MAC_DSUITE!A:D,3,FALSE),"-")</f>
        <v>mac_KY_GRF</v>
      </c>
      <c r="AT248" t="str">
        <f>_xlfn.IFNA(VLOOKUP(Sheet1!$C248,MONG_DSUITE!A:E,2,FALSE),"-")</f>
        <v>macrocarpa_GRF</v>
      </c>
      <c r="AU248" t="str">
        <f>_xlfn.IFNA(VLOOKUP(Sheet1!$C248,MAC_PAINT2!A:D,4,FALSE),"-")</f>
        <v>macpaint</v>
      </c>
      <c r="AV248" t="s">
        <v>9193</v>
      </c>
      <c r="AW248" t="s">
        <v>9193</v>
      </c>
    </row>
    <row r="249" spans="1:49" customFormat="1" x14ac:dyDescent="0.4">
      <c r="A249">
        <v>3700</v>
      </c>
      <c r="B249" t="s">
        <v>2325</v>
      </c>
      <c r="C249" t="s">
        <v>2326</v>
      </c>
      <c r="D249" t="str">
        <f>_xlfn.CONCAT(C249,".bam")</f>
        <v>SYST-MOR-0006937.bam</v>
      </c>
      <c r="E249" t="s">
        <v>2327</v>
      </c>
      <c r="F249" t="s">
        <v>2468</v>
      </c>
      <c r="G249" t="s">
        <v>2470</v>
      </c>
      <c r="H249" t="s">
        <v>2556</v>
      </c>
      <c r="I249" t="s">
        <v>2328</v>
      </c>
      <c r="K249" t="s">
        <v>45</v>
      </c>
      <c r="L249" t="s">
        <v>45</v>
      </c>
      <c r="N249" t="s">
        <v>45</v>
      </c>
      <c r="P249" t="s">
        <v>113</v>
      </c>
      <c r="Q249" t="s">
        <v>46</v>
      </c>
      <c r="R249" t="s">
        <v>2597</v>
      </c>
      <c r="S249" s="1">
        <v>44761</v>
      </c>
      <c r="T249" t="s">
        <v>33</v>
      </c>
      <c r="U249" t="s">
        <v>34</v>
      </c>
      <c r="V249" s="1">
        <v>44764</v>
      </c>
      <c r="W249" t="s">
        <v>35</v>
      </c>
      <c r="X249" t="s">
        <v>2298</v>
      </c>
      <c r="Y249" t="s">
        <v>116</v>
      </c>
      <c r="Z249" t="s">
        <v>38</v>
      </c>
      <c r="AA249" t="s">
        <v>2328</v>
      </c>
      <c r="AD249" t="s">
        <v>45</v>
      </c>
      <c r="AE249">
        <v>43.148663999999997</v>
      </c>
      <c r="AF249">
        <v>-90.043608000000006</v>
      </c>
      <c r="AG249" t="s">
        <v>40</v>
      </c>
      <c r="AH249" t="s">
        <v>41</v>
      </c>
      <c r="AI249">
        <v>43.148628902600002</v>
      </c>
      <c r="AJ249">
        <v>-90.043599657499996</v>
      </c>
      <c r="AK249">
        <v>-3.5097399994299394E-5</v>
      </c>
      <c r="AL249">
        <v>8.3425000099168756E-6</v>
      </c>
      <c r="AM249" t="str">
        <f>_xlfn.IFNA(VLOOKUP(Sheet1!$C249,ADMIX_ALL!A:B,2,FALSE),"none")</f>
        <v>K6-18</v>
      </c>
      <c r="AN249" t="str">
        <f>_xlfn.IFNA(VLOOKUP(Sheet1!C249,ADMIX_SS!A:B,2,FALSE),"none")</f>
        <v>SubSample</v>
      </c>
      <c r="AO249" t="str">
        <f>_xlfn.IFNA(VLOOKUP(Sheet1!$C249,MONG_PHYLO!A:C,3,FALSE),"-")</f>
        <v>-</v>
      </c>
      <c r="AP249" t="str">
        <f>_xlfn.IFNA(VLOOKUP(Sheet1!$C249,MAC_PHYLO!A:C,3,FALSE),"-")</f>
        <v>-</v>
      </c>
      <c r="AQ249" t="str">
        <f>_xlfn.IFNA(VLOOKUP(Sheet1!$C249,ConStruct!A:C,3,FALSE),"-")</f>
        <v>ConStruct</v>
      </c>
      <c r="AR249" t="str">
        <f>_xlfn.IFNA(VLOOKUP(Sheet1!$C249,GEA!A:C,3,FALSE),"-")</f>
        <v>GEA</v>
      </c>
      <c r="AS249" t="str">
        <f>_xlfn.IFNA(VLOOKUP(Sheet1!$C249,MAC_DSUITE!A:D,3,FALSE),"-")</f>
        <v>mac_WI_THB</v>
      </c>
      <c r="AT249" t="str">
        <f>_xlfn.IFNA(VLOOKUP(Sheet1!$C249,MONG_DSUITE!A:E,2,FALSE),"-")</f>
        <v>macrocarpa_THB</v>
      </c>
      <c r="AU249" t="str">
        <f>_xlfn.IFNA(VLOOKUP(Sheet1!$C249,MAC_PAINT2!A:D,4,FALSE),"-")</f>
        <v>macpaint</v>
      </c>
      <c r="AV249" t="s">
        <v>9193</v>
      </c>
      <c r="AW249" t="s">
        <v>9193</v>
      </c>
    </row>
    <row r="250" spans="1:49" customFormat="1" x14ac:dyDescent="0.4">
      <c r="A250">
        <v>3701</v>
      </c>
      <c r="B250" t="s">
        <v>2329</v>
      </c>
      <c r="C250" t="s">
        <v>2330</v>
      </c>
      <c r="D250" t="str">
        <f>_xlfn.CONCAT(C250,".bam")</f>
        <v>SYST-MOR-0006938.bam</v>
      </c>
      <c r="E250" t="s">
        <v>2331</v>
      </c>
      <c r="F250" t="s">
        <v>2468</v>
      </c>
      <c r="G250" t="s">
        <v>2470</v>
      </c>
      <c r="H250" t="s">
        <v>2556</v>
      </c>
      <c r="I250" t="s">
        <v>2328</v>
      </c>
      <c r="K250" t="s">
        <v>64</v>
      </c>
      <c r="L250" t="s">
        <v>64</v>
      </c>
      <c r="N250" t="s">
        <v>64</v>
      </c>
      <c r="P250" t="s">
        <v>113</v>
      </c>
      <c r="Q250" t="s">
        <v>65</v>
      </c>
      <c r="R250" t="s">
        <v>2599</v>
      </c>
      <c r="S250" s="1">
        <v>44761</v>
      </c>
      <c r="T250" t="s">
        <v>33</v>
      </c>
      <c r="U250" t="s">
        <v>34</v>
      </c>
      <c r="V250" s="1">
        <v>44764</v>
      </c>
      <c r="W250" t="s">
        <v>35</v>
      </c>
      <c r="X250" t="s">
        <v>2298</v>
      </c>
      <c r="Y250" t="s">
        <v>116</v>
      </c>
      <c r="Z250" t="s">
        <v>38</v>
      </c>
      <c r="AA250" t="s">
        <v>2328</v>
      </c>
      <c r="AD250" t="s">
        <v>64</v>
      </c>
      <c r="AE250">
        <v>43.148147000000002</v>
      </c>
      <c r="AF250">
        <v>-90.041259999999994</v>
      </c>
      <c r="AG250" t="s">
        <v>40</v>
      </c>
      <c r="AH250" t="s">
        <v>41</v>
      </c>
      <c r="AI250">
        <v>43.148235376000002</v>
      </c>
      <c r="AJ250">
        <v>-90.041200909799997</v>
      </c>
      <c r="AK250">
        <v>8.8376000000778276E-5</v>
      </c>
      <c r="AL250">
        <v>5.9090199997058335E-5</v>
      </c>
      <c r="AM250" t="str">
        <f>_xlfn.IFNA(VLOOKUP(Sheet1!$C250,ADMIX_ALL!A:B,2,FALSE),"none")</f>
        <v>K6-18</v>
      </c>
      <c r="AN250" t="str">
        <f>_xlfn.IFNA(VLOOKUP(Sheet1!C250,ADMIX_SS!A:B,2,FALSE),"none")</f>
        <v>SubSample</v>
      </c>
      <c r="AO250" t="str">
        <f>_xlfn.IFNA(VLOOKUP(Sheet1!$C250,MONG_PHYLO!A:C,3,FALSE),"-")</f>
        <v>-</v>
      </c>
      <c r="AP250" t="str">
        <f>_xlfn.IFNA(VLOOKUP(Sheet1!$C250,MAC_PHYLO!A:C,3,FALSE),"-")</f>
        <v>-</v>
      </c>
      <c r="AQ250" t="str">
        <f>_xlfn.IFNA(VLOOKUP(Sheet1!$C250,ConStruct!A:C,3,FALSE),"-")</f>
        <v>-</v>
      </c>
      <c r="AR250" t="str">
        <f>_xlfn.IFNA(VLOOKUP(Sheet1!$C250,GEA!A:C,3,FALSE),"-")</f>
        <v>-</v>
      </c>
      <c r="AS250" t="str">
        <f>_xlfn.IFNA(VLOOKUP(Sheet1!$C250,MAC_DSUITE!A:D,3,FALSE),"-")</f>
        <v>-</v>
      </c>
      <c r="AT250" t="str">
        <f>_xlfn.IFNA(VLOOKUP(Sheet1!$C250,MONG_DSUITE!A:E,2,FALSE),"-")</f>
        <v>xxx</v>
      </c>
      <c r="AU250" t="str">
        <f>_xlfn.IFNA(VLOOKUP(Sheet1!$C250,MAC_PAINT2!A:D,4,FALSE),"-")</f>
        <v>-</v>
      </c>
    </row>
    <row r="251" spans="1:49" customFormat="1" x14ac:dyDescent="0.4">
      <c r="A251">
        <v>3702</v>
      </c>
      <c r="B251" t="s">
        <v>2332</v>
      </c>
      <c r="C251" t="s">
        <v>2333</v>
      </c>
      <c r="D251" t="str">
        <f>_xlfn.CONCAT(C251,".bam")</f>
        <v>SYST-MOR-0006939.bam</v>
      </c>
      <c r="E251" t="s">
        <v>2334</v>
      </c>
      <c r="F251" t="s">
        <v>2468</v>
      </c>
      <c r="G251" t="s">
        <v>2470</v>
      </c>
      <c r="H251" t="s">
        <v>2556</v>
      </c>
      <c r="I251" t="s">
        <v>2328</v>
      </c>
      <c r="K251" t="s">
        <v>64</v>
      </c>
      <c r="L251" t="s">
        <v>64</v>
      </c>
      <c r="N251" t="s">
        <v>64</v>
      </c>
      <c r="P251" t="s">
        <v>113</v>
      </c>
      <c r="Q251" t="s">
        <v>65</v>
      </c>
      <c r="R251" t="s">
        <v>2599</v>
      </c>
      <c r="S251" s="1">
        <v>44761</v>
      </c>
      <c r="T251" t="s">
        <v>33</v>
      </c>
      <c r="U251" t="s">
        <v>34</v>
      </c>
      <c r="V251" s="1">
        <v>44764</v>
      </c>
      <c r="W251" t="s">
        <v>35</v>
      </c>
      <c r="X251" t="s">
        <v>2298</v>
      </c>
      <c r="Y251" t="s">
        <v>116</v>
      </c>
      <c r="Z251" t="s">
        <v>38</v>
      </c>
      <c r="AA251" t="s">
        <v>2328</v>
      </c>
      <c r="AD251" t="s">
        <v>64</v>
      </c>
      <c r="AE251">
        <v>43.148617000000002</v>
      </c>
      <c r="AF251">
        <v>-90.041292999999996</v>
      </c>
      <c r="AG251" t="s">
        <v>40</v>
      </c>
      <c r="AH251" t="s">
        <v>41</v>
      </c>
      <c r="AI251">
        <v>43.148742648800003</v>
      </c>
      <c r="AJ251">
        <v>-90.041619418300002</v>
      </c>
      <c r="AK251">
        <v>1.256488000009881E-4</v>
      </c>
      <c r="AL251">
        <v>-3.2641830000557093E-4</v>
      </c>
      <c r="AM251" t="str">
        <f>_xlfn.IFNA(VLOOKUP(Sheet1!$C251,ADMIX_ALL!A:B,2,FALSE),"none")</f>
        <v>K6-18</v>
      </c>
      <c r="AN251" t="str">
        <f>_xlfn.IFNA(VLOOKUP(Sheet1!C251,ADMIX_SS!A:B,2,FALSE),"none")</f>
        <v>SubSample</v>
      </c>
      <c r="AO251" t="str">
        <f>_xlfn.IFNA(VLOOKUP(Sheet1!$C251,MONG_PHYLO!A:C,3,FALSE),"-")</f>
        <v>-</v>
      </c>
      <c r="AP251" t="str">
        <f>_xlfn.IFNA(VLOOKUP(Sheet1!$C251,MAC_PHYLO!A:C,3,FALSE),"-")</f>
        <v>-</v>
      </c>
      <c r="AQ251" t="str">
        <f>_xlfn.IFNA(VLOOKUP(Sheet1!$C251,ConStruct!A:C,3,FALSE),"-")</f>
        <v>-</v>
      </c>
      <c r="AR251" t="str">
        <f>_xlfn.IFNA(VLOOKUP(Sheet1!$C251,GEA!A:C,3,FALSE),"-")</f>
        <v>-</v>
      </c>
      <c r="AS251" t="str">
        <f>_xlfn.IFNA(VLOOKUP(Sheet1!$C251,MAC_DSUITE!A:D,3,FALSE),"-")</f>
        <v>-</v>
      </c>
      <c r="AT251" t="str">
        <f>_xlfn.IFNA(VLOOKUP(Sheet1!$C251,MONG_DSUITE!A:E,2,FALSE),"-")</f>
        <v>xxx</v>
      </c>
      <c r="AU251" t="str">
        <f>_xlfn.IFNA(VLOOKUP(Sheet1!$C251,MAC_PAINT2!A:D,4,FALSE),"-")</f>
        <v>-</v>
      </c>
    </row>
    <row r="252" spans="1:49" customFormat="1" x14ac:dyDescent="0.4">
      <c r="A252">
        <v>3703</v>
      </c>
      <c r="B252" t="s">
        <v>2335</v>
      </c>
      <c r="C252" t="s">
        <v>2336</v>
      </c>
      <c r="D252" t="str">
        <f>_xlfn.CONCAT(C252,".bam")</f>
        <v>SYST-MOR-0006940.bam</v>
      </c>
      <c r="E252" t="s">
        <v>2337</v>
      </c>
      <c r="F252" t="s">
        <v>2468</v>
      </c>
      <c r="G252" t="s">
        <v>2470</v>
      </c>
      <c r="H252" t="s">
        <v>2556</v>
      </c>
      <c r="I252" t="s">
        <v>2328</v>
      </c>
      <c r="K252" t="s">
        <v>64</v>
      </c>
      <c r="L252" t="s">
        <v>64</v>
      </c>
      <c r="N252" t="s">
        <v>64</v>
      </c>
      <c r="P252" t="s">
        <v>113</v>
      </c>
      <c r="Q252" t="s">
        <v>65</v>
      </c>
      <c r="R252" t="s">
        <v>2599</v>
      </c>
      <c r="S252" s="1">
        <v>44761</v>
      </c>
      <c r="T252" t="s">
        <v>33</v>
      </c>
      <c r="U252" t="s">
        <v>34</v>
      </c>
      <c r="V252" s="1">
        <v>44764</v>
      </c>
      <c r="W252" t="s">
        <v>35</v>
      </c>
      <c r="X252" t="s">
        <v>2298</v>
      </c>
      <c r="Y252" t="s">
        <v>116</v>
      </c>
      <c r="Z252" t="s">
        <v>38</v>
      </c>
      <c r="AA252" t="s">
        <v>2328</v>
      </c>
      <c r="AD252" t="s">
        <v>64</v>
      </c>
      <c r="AE252">
        <v>43.150036</v>
      </c>
      <c r="AF252">
        <v>-90.041292999999996</v>
      </c>
      <c r="AG252" t="s">
        <v>40</v>
      </c>
      <c r="AH252" t="s">
        <v>41</v>
      </c>
      <c r="AI252">
        <v>43.1501262496</v>
      </c>
      <c r="AJ252">
        <v>-90.044722315000001</v>
      </c>
      <c r="AK252">
        <v>9.0249599999481234E-5</v>
      </c>
      <c r="AL252">
        <v>-3.4293150000053174E-3</v>
      </c>
      <c r="AM252" t="str">
        <f>_xlfn.IFNA(VLOOKUP(Sheet1!$C252,ADMIX_ALL!A:B,2,FALSE),"none")</f>
        <v>K6-18</v>
      </c>
      <c r="AN252" t="str">
        <f>_xlfn.IFNA(VLOOKUP(Sheet1!C252,ADMIX_SS!A:B,2,FALSE),"none")</f>
        <v>SubSample</v>
      </c>
      <c r="AO252" t="str">
        <f>_xlfn.IFNA(VLOOKUP(Sheet1!$C252,MONG_PHYLO!A:C,3,FALSE),"-")</f>
        <v>-</v>
      </c>
      <c r="AP252" t="str">
        <f>_xlfn.IFNA(VLOOKUP(Sheet1!$C252,MAC_PHYLO!A:C,3,FALSE),"-")</f>
        <v>alb</v>
      </c>
      <c r="AQ252" t="str">
        <f>_xlfn.IFNA(VLOOKUP(Sheet1!$C252,ConStruct!A:C,3,FALSE),"-")</f>
        <v>-</v>
      </c>
      <c r="AR252" t="str">
        <f>_xlfn.IFNA(VLOOKUP(Sheet1!$C252,GEA!A:C,3,FALSE),"-")</f>
        <v>-</v>
      </c>
      <c r="AS252" t="str">
        <f>_xlfn.IFNA(VLOOKUP(Sheet1!$C252,MAC_DSUITE!A:D,3,FALSE),"-")</f>
        <v>alb</v>
      </c>
      <c r="AT252" t="str">
        <f>_xlfn.IFNA(VLOOKUP(Sheet1!$C252,MONG_DSUITE!A:E,2,FALSE),"-")</f>
        <v>xxx</v>
      </c>
      <c r="AU252" t="str">
        <f>_xlfn.IFNA(VLOOKUP(Sheet1!$C252,MAC_PAINT2!A:D,4,FALSE),"-")</f>
        <v>alb-macpaint</v>
      </c>
    </row>
    <row r="253" spans="1:49" customFormat="1" x14ac:dyDescent="0.4">
      <c r="A253">
        <v>3704</v>
      </c>
      <c r="B253" t="s">
        <v>2338</v>
      </c>
      <c r="C253" t="s">
        <v>2339</v>
      </c>
      <c r="D253" t="str">
        <f>_xlfn.CONCAT(C253,".bam")</f>
        <v>SYST-MOR-0006941.bam</v>
      </c>
      <c r="E253" t="s">
        <v>2340</v>
      </c>
      <c r="F253" t="s">
        <v>2468</v>
      </c>
      <c r="G253" t="s">
        <v>2470</v>
      </c>
      <c r="H253" t="s">
        <v>2556</v>
      </c>
      <c r="I253" t="s">
        <v>2328</v>
      </c>
      <c r="K253" t="s">
        <v>64</v>
      </c>
      <c r="L253" t="s">
        <v>64</v>
      </c>
      <c r="N253" t="s">
        <v>64</v>
      </c>
      <c r="P253" t="s">
        <v>113</v>
      </c>
      <c r="Q253" t="s">
        <v>65</v>
      </c>
      <c r="R253" t="s">
        <v>2599</v>
      </c>
      <c r="S253" s="1">
        <v>44761</v>
      </c>
      <c r="T253" t="s">
        <v>33</v>
      </c>
      <c r="U253" t="s">
        <v>34</v>
      </c>
      <c r="V253" s="1">
        <v>44764</v>
      </c>
      <c r="W253" t="s">
        <v>35</v>
      </c>
      <c r="X253" t="s">
        <v>2298</v>
      </c>
      <c r="Y253" t="s">
        <v>116</v>
      </c>
      <c r="Z253" t="s">
        <v>38</v>
      </c>
      <c r="AA253" t="s">
        <v>2328</v>
      </c>
      <c r="AD253" t="s">
        <v>64</v>
      </c>
      <c r="AE253">
        <v>43.150426000000003</v>
      </c>
      <c r="AF253">
        <v>-90.045288999999997</v>
      </c>
      <c r="AG253" t="s">
        <v>40</v>
      </c>
      <c r="AH253" t="s">
        <v>41</v>
      </c>
      <c r="AI253">
        <v>43.150694123500003</v>
      </c>
      <c r="AJ253">
        <v>-90.045196311599994</v>
      </c>
      <c r="AK253">
        <v>2.681234999997173E-4</v>
      </c>
      <c r="AL253">
        <v>9.2688400002316484E-5</v>
      </c>
      <c r="AM253" t="str">
        <f>_xlfn.IFNA(VLOOKUP(Sheet1!$C253,ADMIX_ALL!A:B,2,FALSE),"none")</f>
        <v>K6-18</v>
      </c>
      <c r="AN253" t="str">
        <f>_xlfn.IFNA(VLOOKUP(Sheet1!C253,ADMIX_SS!A:B,2,FALSE),"none")</f>
        <v>SubSample</v>
      </c>
      <c r="AO253" t="str">
        <f>_xlfn.IFNA(VLOOKUP(Sheet1!$C253,MONG_PHYLO!A:C,3,FALSE),"-")</f>
        <v>-</v>
      </c>
      <c r="AP253" t="str">
        <f>_xlfn.IFNA(VLOOKUP(Sheet1!$C253,MAC_PHYLO!A:C,3,FALSE),"-")</f>
        <v>-</v>
      </c>
      <c r="AQ253" t="str">
        <f>_xlfn.IFNA(VLOOKUP(Sheet1!$C253,ConStruct!A:C,3,FALSE),"-")</f>
        <v>-</v>
      </c>
      <c r="AR253" t="str">
        <f>_xlfn.IFNA(VLOOKUP(Sheet1!$C253,GEA!A:C,3,FALSE),"-")</f>
        <v>-</v>
      </c>
      <c r="AS253" t="str">
        <f>_xlfn.IFNA(VLOOKUP(Sheet1!$C253,MAC_DSUITE!A:D,3,FALSE),"-")</f>
        <v>-</v>
      </c>
      <c r="AT253" t="str">
        <f>_xlfn.IFNA(VLOOKUP(Sheet1!$C253,MONG_DSUITE!A:E,2,FALSE),"-")</f>
        <v>xxx</v>
      </c>
      <c r="AU253" t="str">
        <f>_xlfn.IFNA(VLOOKUP(Sheet1!$C253,MAC_PAINT2!A:D,4,FALSE),"-")</f>
        <v>-</v>
      </c>
    </row>
    <row r="254" spans="1:49" customFormat="1" x14ac:dyDescent="0.4">
      <c r="A254">
        <v>3705</v>
      </c>
      <c r="B254" t="s">
        <v>2341</v>
      </c>
      <c r="C254" t="s">
        <v>2342</v>
      </c>
      <c r="D254" t="str">
        <f>_xlfn.CONCAT(C254,".bam")</f>
        <v>SYST-MOR-0006942.bam</v>
      </c>
      <c r="E254" t="s">
        <v>2343</v>
      </c>
      <c r="F254" t="s">
        <v>2468</v>
      </c>
      <c r="G254" t="s">
        <v>2470</v>
      </c>
      <c r="H254" t="s">
        <v>2556</v>
      </c>
      <c r="I254" t="s">
        <v>2328</v>
      </c>
      <c r="K254" t="s">
        <v>45</v>
      </c>
      <c r="L254" t="s">
        <v>45</v>
      </c>
      <c r="N254" t="s">
        <v>45</v>
      </c>
      <c r="P254" t="s">
        <v>113</v>
      </c>
      <c r="Q254" t="s">
        <v>46</v>
      </c>
      <c r="R254" t="s">
        <v>2597</v>
      </c>
      <c r="S254" s="1">
        <v>44761</v>
      </c>
      <c r="T254" t="s">
        <v>33</v>
      </c>
      <c r="U254" t="s">
        <v>34</v>
      </c>
      <c r="V254" s="1">
        <v>44764</v>
      </c>
      <c r="W254" t="s">
        <v>35</v>
      </c>
      <c r="X254" t="s">
        <v>2298</v>
      </c>
      <c r="Y254" t="s">
        <v>116</v>
      </c>
      <c r="Z254" t="s">
        <v>38</v>
      </c>
      <c r="AA254" t="s">
        <v>2328</v>
      </c>
      <c r="AD254" t="s">
        <v>45</v>
      </c>
      <c r="AE254">
        <v>43.148781</v>
      </c>
      <c r="AF254">
        <v>-90.043418000000003</v>
      </c>
      <c r="AG254" t="s">
        <v>40</v>
      </c>
      <c r="AH254" t="s">
        <v>41</v>
      </c>
      <c r="AI254">
        <v>43.148659542200001</v>
      </c>
      <c r="AJ254">
        <v>-90.043326141400001</v>
      </c>
      <c r="AK254">
        <v>-1.2145779999883644E-4</v>
      </c>
      <c r="AL254">
        <v>9.1858600001160085E-5</v>
      </c>
      <c r="AM254" t="str">
        <f>_xlfn.IFNA(VLOOKUP(Sheet1!$C254,ADMIX_ALL!A:B,2,FALSE),"none")</f>
        <v>K6-18</v>
      </c>
      <c r="AN254" t="str">
        <f>_xlfn.IFNA(VLOOKUP(Sheet1!C254,ADMIX_SS!A:B,2,FALSE),"none")</f>
        <v>SubSample</v>
      </c>
      <c r="AO254" t="str">
        <f>_xlfn.IFNA(VLOOKUP(Sheet1!$C254,MONG_PHYLO!A:C,3,FALSE),"-")</f>
        <v>-</v>
      </c>
      <c r="AP254" t="str">
        <f>_xlfn.IFNA(VLOOKUP(Sheet1!$C254,MAC_PHYLO!A:C,3,FALSE),"-")</f>
        <v>-</v>
      </c>
      <c r="AQ254" t="str">
        <f>_xlfn.IFNA(VLOOKUP(Sheet1!$C254,ConStruct!A:C,3,FALSE),"-")</f>
        <v>ConStruct</v>
      </c>
      <c r="AR254" t="str">
        <f>_xlfn.IFNA(VLOOKUP(Sheet1!$C254,GEA!A:C,3,FALSE),"-")</f>
        <v>GEA</v>
      </c>
      <c r="AS254" t="str">
        <f>_xlfn.IFNA(VLOOKUP(Sheet1!$C254,MAC_DSUITE!A:D,3,FALSE),"-")</f>
        <v>mac_WI_THB</v>
      </c>
      <c r="AT254" t="str">
        <f>_xlfn.IFNA(VLOOKUP(Sheet1!$C254,MONG_DSUITE!A:E,2,FALSE),"-")</f>
        <v>macrocarpa_THB</v>
      </c>
      <c r="AU254" t="str">
        <f>_xlfn.IFNA(VLOOKUP(Sheet1!$C254,MAC_PAINT2!A:D,4,FALSE),"-")</f>
        <v>macpaint</v>
      </c>
      <c r="AV254" t="s">
        <v>9193</v>
      </c>
      <c r="AW254" t="s">
        <v>9193</v>
      </c>
    </row>
    <row r="255" spans="1:49" customFormat="1" x14ac:dyDescent="0.4">
      <c r="A255">
        <v>3706</v>
      </c>
      <c r="B255" t="s">
        <v>1290</v>
      </c>
      <c r="C255" t="s">
        <v>1291</v>
      </c>
      <c r="D255" t="str">
        <f>_xlfn.CONCAT(C255,".bam")</f>
        <v>SYST-MOR-0006943.bam</v>
      </c>
      <c r="E255" t="s">
        <v>1292</v>
      </c>
      <c r="F255" t="s">
        <v>2439</v>
      </c>
      <c r="G255" t="s">
        <v>2441</v>
      </c>
      <c r="H255" t="s">
        <v>2528</v>
      </c>
      <c r="I255" t="s">
        <v>1294</v>
      </c>
      <c r="K255" t="s">
        <v>45</v>
      </c>
      <c r="L255" t="s">
        <v>45</v>
      </c>
      <c r="N255" t="s">
        <v>45</v>
      </c>
      <c r="P255" t="s">
        <v>31</v>
      </c>
      <c r="Q255" t="s">
        <v>46</v>
      </c>
      <c r="R255" t="s">
        <v>2597</v>
      </c>
      <c r="S255" s="1">
        <v>44762</v>
      </c>
      <c r="T255" t="s">
        <v>33</v>
      </c>
      <c r="U255" t="s">
        <v>34</v>
      </c>
      <c r="V255" s="1">
        <v>44764</v>
      </c>
      <c r="W255" t="s">
        <v>35</v>
      </c>
      <c r="X255" t="s">
        <v>1260</v>
      </c>
      <c r="Y255" t="s">
        <v>1293</v>
      </c>
      <c r="Z255" t="s">
        <v>38</v>
      </c>
      <c r="AA255" t="s">
        <v>1294</v>
      </c>
      <c r="AD255" t="s">
        <v>45</v>
      </c>
      <c r="AE255">
        <v>43.902219000000002</v>
      </c>
      <c r="AF255">
        <v>-91.638919000000001</v>
      </c>
      <c r="AG255" t="s">
        <v>40</v>
      </c>
      <c r="AH255" t="s">
        <v>41</v>
      </c>
      <c r="AI255">
        <v>43.902454200800001</v>
      </c>
      <c r="AJ255">
        <v>-91.639119721900002</v>
      </c>
      <c r="AK255">
        <v>2.3520079999883592E-4</v>
      </c>
      <c r="AL255">
        <v>-2.0072190000064438E-4</v>
      </c>
      <c r="AM255" t="str">
        <f>_xlfn.IFNA(VLOOKUP(Sheet1!$C255,ADMIX_ALL!A:B,2,FALSE),"none")</f>
        <v>K6-18</v>
      </c>
      <c r="AN255" t="str">
        <f>_xlfn.IFNA(VLOOKUP(Sheet1!C255,ADMIX_SS!A:B,2,FALSE),"none")</f>
        <v>SubSample</v>
      </c>
      <c r="AO255" t="str">
        <f>_xlfn.IFNA(VLOOKUP(Sheet1!$C255,MONG_PHYLO!A:C,3,FALSE),"-")</f>
        <v>-</v>
      </c>
      <c r="AP255" t="str">
        <f>_xlfn.IFNA(VLOOKUP(Sheet1!$C255,MAC_PHYLO!A:C,3,FALSE),"-")</f>
        <v>-</v>
      </c>
      <c r="AQ255" t="str">
        <f>_xlfn.IFNA(VLOOKUP(Sheet1!$C255,ConStruct!A:C,3,FALSE),"-")</f>
        <v>ConStruct</v>
      </c>
      <c r="AR255" t="str">
        <f>_xlfn.IFNA(VLOOKUP(Sheet1!$C255,GEA!A:C,3,FALSE),"-")</f>
        <v>GEA</v>
      </c>
      <c r="AS255" t="str">
        <f>_xlfn.IFNA(VLOOKUP(Sheet1!$C255,MAC_DSUITE!A:D,3,FALSE),"-")</f>
        <v>mac_MN_PMN</v>
      </c>
      <c r="AT255" t="str">
        <f>_xlfn.IFNA(VLOOKUP(Sheet1!$C255,MONG_DSUITE!A:E,2,FALSE),"-")</f>
        <v>macrocarpa_PMN</v>
      </c>
      <c r="AU255" t="str">
        <f>_xlfn.IFNA(VLOOKUP(Sheet1!$C255,MAC_PAINT2!A:D,4,FALSE),"-")</f>
        <v>macpaint</v>
      </c>
      <c r="AV255" t="s">
        <v>9193</v>
      </c>
      <c r="AW255" t="s">
        <v>9193</v>
      </c>
    </row>
    <row r="256" spans="1:49" customFormat="1" x14ac:dyDescent="0.4">
      <c r="A256">
        <v>3707</v>
      </c>
      <c r="B256" t="s">
        <v>1295</v>
      </c>
      <c r="C256" t="s">
        <v>1296</v>
      </c>
      <c r="D256" t="str">
        <f>_xlfn.CONCAT(C256,".bam")</f>
        <v>SYST-MOR-0006944.bam</v>
      </c>
      <c r="E256" t="s">
        <v>1297</v>
      </c>
      <c r="F256" t="s">
        <v>2439</v>
      </c>
      <c r="G256" t="s">
        <v>2441</v>
      </c>
      <c r="H256" t="s">
        <v>2528</v>
      </c>
      <c r="I256" t="s">
        <v>1294</v>
      </c>
      <c r="K256" t="s">
        <v>45</v>
      </c>
      <c r="L256" t="s">
        <v>45</v>
      </c>
      <c r="N256" t="s">
        <v>45</v>
      </c>
      <c r="P256" t="s">
        <v>31</v>
      </c>
      <c r="Q256" t="s">
        <v>46</v>
      </c>
      <c r="R256" t="s">
        <v>2597</v>
      </c>
      <c r="S256" s="1">
        <v>44762</v>
      </c>
      <c r="T256" t="s">
        <v>33</v>
      </c>
      <c r="U256" t="s">
        <v>34</v>
      </c>
      <c r="V256" s="1">
        <v>44764</v>
      </c>
      <c r="W256" t="s">
        <v>35</v>
      </c>
      <c r="X256" t="s">
        <v>1260</v>
      </c>
      <c r="Y256" t="s">
        <v>1293</v>
      </c>
      <c r="Z256" t="s">
        <v>38</v>
      </c>
      <c r="AA256" t="s">
        <v>1294</v>
      </c>
      <c r="AD256" t="s">
        <v>45</v>
      </c>
      <c r="AE256">
        <v>43.903267</v>
      </c>
      <c r="AF256">
        <v>-91.640004000000005</v>
      </c>
      <c r="AG256" t="s">
        <v>40</v>
      </c>
      <c r="AH256" t="s">
        <v>41</v>
      </c>
      <c r="AI256">
        <v>43.902412027099999</v>
      </c>
      <c r="AJ256">
        <v>-91.638981432600005</v>
      </c>
      <c r="AK256">
        <v>-8.5497290000091652E-4</v>
      </c>
      <c r="AL256">
        <v>1.0225673999997298E-3</v>
      </c>
      <c r="AM256" t="str">
        <f>_xlfn.IFNA(VLOOKUP(Sheet1!$C256,ADMIX_ALL!A:B,2,FALSE),"none")</f>
        <v>K6-18</v>
      </c>
      <c r="AN256" t="str">
        <f>_xlfn.IFNA(VLOOKUP(Sheet1!C256,ADMIX_SS!A:B,2,FALSE),"none")</f>
        <v>SubSample</v>
      </c>
      <c r="AO256" t="str">
        <f>_xlfn.IFNA(VLOOKUP(Sheet1!$C256,MONG_PHYLO!A:C,3,FALSE),"-")</f>
        <v>-</v>
      </c>
      <c r="AP256" t="str">
        <f>_xlfn.IFNA(VLOOKUP(Sheet1!$C256,MAC_PHYLO!A:C,3,FALSE),"-")</f>
        <v>-</v>
      </c>
      <c r="AQ256" t="str">
        <f>_xlfn.IFNA(VLOOKUP(Sheet1!$C256,ConStruct!A:C,3,FALSE),"-")</f>
        <v>ConStruct</v>
      </c>
      <c r="AR256" t="str">
        <f>_xlfn.IFNA(VLOOKUP(Sheet1!$C256,GEA!A:C,3,FALSE),"-")</f>
        <v>GEA</v>
      </c>
      <c r="AS256" t="str">
        <f>_xlfn.IFNA(VLOOKUP(Sheet1!$C256,MAC_DSUITE!A:D,3,FALSE),"-")</f>
        <v>mac_MN_PMN</v>
      </c>
      <c r="AT256" t="str">
        <f>_xlfn.IFNA(VLOOKUP(Sheet1!$C256,MONG_DSUITE!A:E,2,FALSE),"-")</f>
        <v>macrocarpa_PMN</v>
      </c>
      <c r="AU256" t="str">
        <f>_xlfn.IFNA(VLOOKUP(Sheet1!$C256,MAC_PAINT2!A:D,4,FALSE),"-")</f>
        <v>macpaint</v>
      </c>
      <c r="AV256" t="s">
        <v>9193</v>
      </c>
      <c r="AW256" t="s">
        <v>9193</v>
      </c>
    </row>
    <row r="257" spans="1:49" customFormat="1" x14ac:dyDescent="0.4">
      <c r="A257">
        <v>3708</v>
      </c>
      <c r="B257" t="s">
        <v>1298</v>
      </c>
      <c r="C257" t="s">
        <v>1299</v>
      </c>
      <c r="D257" t="str">
        <f>_xlfn.CONCAT(C257,".bam")</f>
        <v>SYST-MOR-0006945.bam</v>
      </c>
      <c r="E257" t="s">
        <v>1300</v>
      </c>
      <c r="F257" t="s">
        <v>2439</v>
      </c>
      <c r="G257" t="s">
        <v>2441</v>
      </c>
      <c r="H257" t="s">
        <v>2528</v>
      </c>
      <c r="I257" t="s">
        <v>1294</v>
      </c>
      <c r="K257" t="s">
        <v>45</v>
      </c>
      <c r="L257" t="s">
        <v>45</v>
      </c>
      <c r="N257" t="s">
        <v>45</v>
      </c>
      <c r="P257" t="s">
        <v>31</v>
      </c>
      <c r="Q257" t="s">
        <v>46</v>
      </c>
      <c r="R257" t="s">
        <v>2597</v>
      </c>
      <c r="S257" s="1">
        <v>44762</v>
      </c>
      <c r="T257" t="s">
        <v>33</v>
      </c>
      <c r="U257" t="s">
        <v>34</v>
      </c>
      <c r="V257" s="1">
        <v>44764</v>
      </c>
      <c r="W257" t="s">
        <v>35</v>
      </c>
      <c r="X257" t="s">
        <v>1260</v>
      </c>
      <c r="Y257" t="s">
        <v>1293</v>
      </c>
      <c r="Z257" t="s">
        <v>38</v>
      </c>
      <c r="AA257" t="s">
        <v>1294</v>
      </c>
      <c r="AD257" t="s">
        <v>45</v>
      </c>
      <c r="AE257">
        <v>43.904381999999998</v>
      </c>
      <c r="AF257">
        <v>-91.639274</v>
      </c>
      <c r="AG257" t="s">
        <v>40</v>
      </c>
      <c r="AH257" t="s">
        <v>41</v>
      </c>
      <c r="AI257">
        <v>43.904322985100002</v>
      </c>
      <c r="AJ257">
        <v>-91.6392809898</v>
      </c>
      <c r="AK257">
        <v>-5.9014899996157055E-5</v>
      </c>
      <c r="AL257">
        <v>-6.9897999992463156E-6</v>
      </c>
      <c r="AM257" t="str">
        <f>_xlfn.IFNA(VLOOKUP(Sheet1!$C257,ADMIX_ALL!A:B,2,FALSE),"none")</f>
        <v>K6-18</v>
      </c>
      <c r="AN257" t="str">
        <f>_xlfn.IFNA(VLOOKUP(Sheet1!C257,ADMIX_SS!A:B,2,FALSE),"none")</f>
        <v>SubSample</v>
      </c>
      <c r="AO257" t="str">
        <f>_xlfn.IFNA(VLOOKUP(Sheet1!$C257,MONG_PHYLO!A:C,3,FALSE),"-")</f>
        <v>-</v>
      </c>
      <c r="AP257" t="str">
        <f>_xlfn.IFNA(VLOOKUP(Sheet1!$C257,MAC_PHYLO!A:C,3,FALSE),"-")</f>
        <v>-</v>
      </c>
      <c r="AQ257" t="str">
        <f>_xlfn.IFNA(VLOOKUP(Sheet1!$C257,ConStruct!A:C,3,FALSE),"-")</f>
        <v>ConStruct</v>
      </c>
      <c r="AR257" t="str">
        <f>_xlfn.IFNA(VLOOKUP(Sheet1!$C257,GEA!A:C,3,FALSE),"-")</f>
        <v>GEA</v>
      </c>
      <c r="AS257" t="str">
        <f>_xlfn.IFNA(VLOOKUP(Sheet1!$C257,MAC_DSUITE!A:D,3,FALSE),"-")</f>
        <v>mac_MN_PMN</v>
      </c>
      <c r="AT257" t="str">
        <f>_xlfn.IFNA(VLOOKUP(Sheet1!$C257,MONG_DSUITE!A:E,2,FALSE),"-")</f>
        <v>macrocarpa_PMN</v>
      </c>
      <c r="AU257" t="str">
        <f>_xlfn.IFNA(VLOOKUP(Sheet1!$C257,MAC_PAINT2!A:D,4,FALSE),"-")</f>
        <v>macpaint</v>
      </c>
      <c r="AV257" t="s">
        <v>9193</v>
      </c>
      <c r="AW257" t="s">
        <v>9193</v>
      </c>
    </row>
    <row r="258" spans="1:49" customFormat="1" x14ac:dyDescent="0.4">
      <c r="A258">
        <v>3709</v>
      </c>
      <c r="B258" t="s">
        <v>1301</v>
      </c>
      <c r="C258" t="s">
        <v>1302</v>
      </c>
      <c r="D258" t="str">
        <f>_xlfn.CONCAT(C258,".bam")</f>
        <v>SYST-MOR-0006946.bam</v>
      </c>
      <c r="E258" t="s">
        <v>1303</v>
      </c>
      <c r="F258" t="s">
        <v>2439</v>
      </c>
      <c r="G258" t="s">
        <v>2441</v>
      </c>
      <c r="H258" t="s">
        <v>2528</v>
      </c>
      <c r="I258" t="s">
        <v>1294</v>
      </c>
      <c r="K258" t="s">
        <v>64</v>
      </c>
      <c r="L258" t="s">
        <v>64</v>
      </c>
      <c r="N258" t="s">
        <v>64</v>
      </c>
      <c r="P258" t="s">
        <v>31</v>
      </c>
      <c r="Q258" t="s">
        <v>65</v>
      </c>
      <c r="R258" t="s">
        <v>2599</v>
      </c>
      <c r="S258" s="1">
        <v>44762</v>
      </c>
      <c r="T258" t="s">
        <v>33</v>
      </c>
      <c r="U258" t="s">
        <v>34</v>
      </c>
      <c r="V258" s="1">
        <v>44764</v>
      </c>
      <c r="W258" t="s">
        <v>35</v>
      </c>
      <c r="X258" t="s">
        <v>1260</v>
      </c>
      <c r="Y258" t="s">
        <v>1293</v>
      </c>
      <c r="Z258" t="s">
        <v>38</v>
      </c>
      <c r="AA258" t="s">
        <v>1294</v>
      </c>
      <c r="AD258" t="s">
        <v>64</v>
      </c>
      <c r="AE258">
        <v>43.904418</v>
      </c>
      <c r="AF258">
        <v>-91.639259999999993</v>
      </c>
      <c r="AG258" t="s">
        <v>40</v>
      </c>
      <c r="AH258" t="s">
        <v>41</v>
      </c>
      <c r="AI258">
        <v>43.904458744999999</v>
      </c>
      <c r="AJ258">
        <v>-91.639178395299993</v>
      </c>
      <c r="AK258">
        <v>4.0744999999731135E-5</v>
      </c>
      <c r="AL258">
        <v>8.1604700000070807E-5</v>
      </c>
      <c r="AM258" t="str">
        <f>_xlfn.IFNA(VLOOKUP(Sheet1!$C258,ADMIX_ALL!A:B,2,FALSE),"none")</f>
        <v>K6-18</v>
      </c>
      <c r="AN258" t="str">
        <f>_xlfn.IFNA(VLOOKUP(Sheet1!C258,ADMIX_SS!A:B,2,FALSE),"none")</f>
        <v>SubSample</v>
      </c>
      <c r="AO258" t="str">
        <f>_xlfn.IFNA(VLOOKUP(Sheet1!$C258,MONG_PHYLO!A:C,3,FALSE),"-")</f>
        <v>-</v>
      </c>
      <c r="AP258" t="str">
        <f>_xlfn.IFNA(VLOOKUP(Sheet1!$C258,MAC_PHYLO!A:C,3,FALSE),"-")</f>
        <v>-</v>
      </c>
      <c r="AQ258" t="str">
        <f>_xlfn.IFNA(VLOOKUP(Sheet1!$C258,ConStruct!A:C,3,FALSE),"-")</f>
        <v>-</v>
      </c>
      <c r="AR258" t="str">
        <f>_xlfn.IFNA(VLOOKUP(Sheet1!$C258,GEA!A:C,3,FALSE),"-")</f>
        <v>-</v>
      </c>
      <c r="AS258" t="str">
        <f>_xlfn.IFNA(VLOOKUP(Sheet1!$C258,MAC_DSUITE!A:D,3,FALSE),"-")</f>
        <v>-</v>
      </c>
      <c r="AT258" t="str">
        <f>_xlfn.IFNA(VLOOKUP(Sheet1!$C258,MONG_DSUITE!A:E,2,FALSE),"-")</f>
        <v>xxx</v>
      </c>
      <c r="AU258" t="str">
        <f>_xlfn.IFNA(VLOOKUP(Sheet1!$C258,MAC_PAINT2!A:D,4,FALSE),"-")</f>
        <v>-</v>
      </c>
    </row>
    <row r="259" spans="1:49" customFormat="1" x14ac:dyDescent="0.4">
      <c r="A259">
        <v>3710</v>
      </c>
      <c r="B259" t="s">
        <v>1304</v>
      </c>
      <c r="C259" t="s">
        <v>1305</v>
      </c>
      <c r="D259" t="str">
        <f>_xlfn.CONCAT(C259,".bam")</f>
        <v>SYST-MOR-0006947.bam</v>
      </c>
      <c r="E259" t="s">
        <v>1306</v>
      </c>
      <c r="F259" t="s">
        <v>2439</v>
      </c>
      <c r="G259" t="s">
        <v>2441</v>
      </c>
      <c r="H259" t="s">
        <v>2528</v>
      </c>
      <c r="I259" t="s">
        <v>1294</v>
      </c>
      <c r="K259" t="s">
        <v>45</v>
      </c>
      <c r="L259" t="s">
        <v>45</v>
      </c>
      <c r="N259" t="s">
        <v>45</v>
      </c>
      <c r="P259" t="s">
        <v>31</v>
      </c>
      <c r="Q259" t="s">
        <v>46</v>
      </c>
      <c r="R259" t="s">
        <v>2597</v>
      </c>
      <c r="S259" s="1">
        <v>44762</v>
      </c>
      <c r="T259" t="s">
        <v>33</v>
      </c>
      <c r="U259" t="s">
        <v>34</v>
      </c>
      <c r="V259" s="1">
        <v>44764</v>
      </c>
      <c r="W259" t="s">
        <v>35</v>
      </c>
      <c r="X259" t="s">
        <v>1260</v>
      </c>
      <c r="Y259" t="s">
        <v>1293</v>
      </c>
      <c r="Z259" t="s">
        <v>38</v>
      </c>
      <c r="AA259" t="s">
        <v>1294</v>
      </c>
      <c r="AD259" t="s">
        <v>45</v>
      </c>
      <c r="AE259">
        <v>43.904260999999998</v>
      </c>
      <c r="AF259">
        <v>-91.639259999999993</v>
      </c>
      <c r="AG259" t="s">
        <v>40</v>
      </c>
      <c r="AH259" t="s">
        <v>41</v>
      </c>
      <c r="AI259">
        <v>43.904338686899997</v>
      </c>
      <c r="AJ259">
        <v>-91.638197377300003</v>
      </c>
      <c r="AK259">
        <v>7.7686899999207526E-5</v>
      </c>
      <c r="AL259">
        <v>1.0626226999903565E-3</v>
      </c>
      <c r="AM259" t="str">
        <f>_xlfn.IFNA(VLOOKUP(Sheet1!$C259,ADMIX_ALL!A:B,2,FALSE),"none")</f>
        <v>K6-18</v>
      </c>
      <c r="AN259" t="str">
        <f>_xlfn.IFNA(VLOOKUP(Sheet1!C259,ADMIX_SS!A:B,2,FALSE),"none")</f>
        <v>SubSample</v>
      </c>
      <c r="AO259" t="str">
        <f>_xlfn.IFNA(VLOOKUP(Sheet1!$C259,MONG_PHYLO!A:C,3,FALSE),"-")</f>
        <v>-</v>
      </c>
      <c r="AP259" t="str">
        <f>_xlfn.IFNA(VLOOKUP(Sheet1!$C259,MAC_PHYLO!A:C,3,FALSE),"-")</f>
        <v>-</v>
      </c>
      <c r="AQ259" t="str">
        <f>_xlfn.IFNA(VLOOKUP(Sheet1!$C259,ConStruct!A:C,3,FALSE),"-")</f>
        <v>ConStruct</v>
      </c>
      <c r="AR259" t="str">
        <f>_xlfn.IFNA(VLOOKUP(Sheet1!$C259,GEA!A:C,3,FALSE),"-")</f>
        <v>GEA</v>
      </c>
      <c r="AS259" t="str">
        <f>_xlfn.IFNA(VLOOKUP(Sheet1!$C259,MAC_DSUITE!A:D,3,FALSE),"-")</f>
        <v>mac_MN_PMN</v>
      </c>
      <c r="AT259" t="str">
        <f>_xlfn.IFNA(VLOOKUP(Sheet1!$C259,MONG_DSUITE!A:E,2,FALSE),"-")</f>
        <v>macrocarpa_PMN</v>
      </c>
      <c r="AU259" t="str">
        <f>_xlfn.IFNA(VLOOKUP(Sheet1!$C259,MAC_PAINT2!A:D,4,FALSE),"-")</f>
        <v>macpaint</v>
      </c>
      <c r="AV259" t="s">
        <v>9193</v>
      </c>
      <c r="AW259" t="s">
        <v>9193</v>
      </c>
    </row>
    <row r="260" spans="1:49" customFormat="1" x14ac:dyDescent="0.4">
      <c r="A260">
        <v>3711</v>
      </c>
      <c r="B260" t="s">
        <v>1307</v>
      </c>
      <c r="C260" t="s">
        <v>1308</v>
      </c>
      <c r="D260" t="str">
        <f>_xlfn.CONCAT(C260,".bam")</f>
        <v>SYST-MOR-0006948.bam</v>
      </c>
      <c r="E260" t="s">
        <v>1309</v>
      </c>
      <c r="F260" t="s">
        <v>2439</v>
      </c>
      <c r="G260" t="s">
        <v>2441</v>
      </c>
      <c r="H260" t="s">
        <v>2528</v>
      </c>
      <c r="I260" t="s">
        <v>1294</v>
      </c>
      <c r="K260" t="s">
        <v>45</v>
      </c>
      <c r="L260" t="s">
        <v>45</v>
      </c>
      <c r="N260" t="s">
        <v>45</v>
      </c>
      <c r="P260" t="s">
        <v>31</v>
      </c>
      <c r="Q260" t="s">
        <v>46</v>
      </c>
      <c r="R260" t="s">
        <v>2597</v>
      </c>
      <c r="S260" s="1">
        <v>44762</v>
      </c>
      <c r="T260" t="s">
        <v>33</v>
      </c>
      <c r="U260" t="s">
        <v>34</v>
      </c>
      <c r="V260" s="1">
        <v>44764</v>
      </c>
      <c r="W260" t="s">
        <v>35</v>
      </c>
      <c r="X260" t="s">
        <v>1260</v>
      </c>
      <c r="Y260" t="s">
        <v>1293</v>
      </c>
      <c r="Z260" t="s">
        <v>38</v>
      </c>
      <c r="AA260" t="s">
        <v>1294</v>
      </c>
      <c r="AD260" t="s">
        <v>45</v>
      </c>
      <c r="AE260">
        <v>43.892257999999998</v>
      </c>
      <c r="AF260">
        <v>-91.642792</v>
      </c>
      <c r="AG260" t="s">
        <v>40</v>
      </c>
      <c r="AH260" t="s">
        <v>41</v>
      </c>
      <c r="AI260">
        <v>43.8921076572</v>
      </c>
      <c r="AJ260">
        <v>-91.642808597599995</v>
      </c>
      <c r="AK260">
        <v>-1.5034279999781575E-4</v>
      </c>
      <c r="AL260">
        <v>-1.6597599994838674E-5</v>
      </c>
      <c r="AM260" t="str">
        <f>_xlfn.IFNA(VLOOKUP(Sheet1!$C260,ADMIX_ALL!A:B,2,FALSE),"none")</f>
        <v>K6-18</v>
      </c>
      <c r="AN260" t="str">
        <f>_xlfn.IFNA(VLOOKUP(Sheet1!C260,ADMIX_SS!A:B,2,FALSE),"none")</f>
        <v>SubSample</v>
      </c>
      <c r="AO260" t="str">
        <f>_xlfn.IFNA(VLOOKUP(Sheet1!$C260,MONG_PHYLO!A:C,3,FALSE),"-")</f>
        <v>-</v>
      </c>
      <c r="AP260" t="str">
        <f>_xlfn.IFNA(VLOOKUP(Sheet1!$C260,MAC_PHYLO!A:C,3,FALSE),"-")</f>
        <v>-</v>
      </c>
      <c r="AQ260" t="str">
        <f>_xlfn.IFNA(VLOOKUP(Sheet1!$C260,ConStruct!A:C,3,FALSE),"-")</f>
        <v>ConStruct</v>
      </c>
      <c r="AR260" t="str">
        <f>_xlfn.IFNA(VLOOKUP(Sheet1!$C260,GEA!A:C,3,FALSE),"-")</f>
        <v>GEA</v>
      </c>
      <c r="AS260" t="str">
        <f>_xlfn.IFNA(VLOOKUP(Sheet1!$C260,MAC_DSUITE!A:D,3,FALSE),"-")</f>
        <v>mac_MN_PMN</v>
      </c>
      <c r="AT260" t="str">
        <f>_xlfn.IFNA(VLOOKUP(Sheet1!$C260,MONG_DSUITE!A:E,2,FALSE),"-")</f>
        <v>macrocarpa_PMN</v>
      </c>
      <c r="AU260" t="str">
        <f>_xlfn.IFNA(VLOOKUP(Sheet1!$C260,MAC_PAINT2!A:D,4,FALSE),"-")</f>
        <v>macpaint</v>
      </c>
      <c r="AV260" t="s">
        <v>9193</v>
      </c>
      <c r="AW260" t="s">
        <v>9193</v>
      </c>
    </row>
    <row r="261" spans="1:49" customFormat="1" x14ac:dyDescent="0.4">
      <c r="A261">
        <v>3712</v>
      </c>
      <c r="B261" t="s">
        <v>1310</v>
      </c>
      <c r="C261" t="s">
        <v>1311</v>
      </c>
      <c r="D261" t="str">
        <f>_xlfn.CONCAT(C261,".bam")</f>
        <v>SYST-MOR-0006949.bam</v>
      </c>
      <c r="E261" t="s">
        <v>1312</v>
      </c>
      <c r="F261" t="s">
        <v>2439</v>
      </c>
      <c r="G261" t="s">
        <v>2441</v>
      </c>
      <c r="H261" t="s">
        <v>2528</v>
      </c>
      <c r="I261" t="s">
        <v>1294</v>
      </c>
      <c r="K261" t="s">
        <v>8557</v>
      </c>
      <c r="L261" t="s">
        <v>64</v>
      </c>
      <c r="N261" t="s">
        <v>64</v>
      </c>
      <c r="P261" t="s">
        <v>31</v>
      </c>
      <c r="Q261" t="s">
        <v>65</v>
      </c>
      <c r="R261" t="s">
        <v>2599</v>
      </c>
      <c r="S261" s="1">
        <v>44762</v>
      </c>
      <c r="T261" t="s">
        <v>33</v>
      </c>
      <c r="U261" t="s">
        <v>34</v>
      </c>
      <c r="V261" s="1">
        <v>44764</v>
      </c>
      <c r="W261" t="s">
        <v>35</v>
      </c>
      <c r="X261" t="s">
        <v>1260</v>
      </c>
      <c r="Y261" t="s">
        <v>1293</v>
      </c>
      <c r="Z261" t="s">
        <v>38</v>
      </c>
      <c r="AA261" t="s">
        <v>1294</v>
      </c>
      <c r="AD261" t="s">
        <v>64</v>
      </c>
      <c r="AE261">
        <v>43.896107999999998</v>
      </c>
      <c r="AF261">
        <v>-91.631756999999993</v>
      </c>
      <c r="AG261" t="s">
        <v>40</v>
      </c>
      <c r="AH261" t="s">
        <v>41</v>
      </c>
      <c r="AI261">
        <v>43.8961292105</v>
      </c>
      <c r="AJ261">
        <v>-91.6317981296</v>
      </c>
      <c r="AK261">
        <v>2.1210500001700439E-5</v>
      </c>
      <c r="AL261">
        <v>-4.1129600006684086E-5</v>
      </c>
      <c r="AM261" t="str">
        <f>_xlfn.IFNA(VLOOKUP(Sheet1!$C261,ADMIX_ALL!A:B,2,FALSE),"none")</f>
        <v>K6-18</v>
      </c>
      <c r="AN261" t="str">
        <f>_xlfn.IFNA(VLOOKUP(Sheet1!C261,ADMIX_SS!A:B,2,FALSE),"none")</f>
        <v>SubSample</v>
      </c>
      <c r="AO261" t="str">
        <f>_xlfn.IFNA(VLOOKUP(Sheet1!$C261,MONG_PHYLO!A:C,3,FALSE),"-")</f>
        <v>-</v>
      </c>
      <c r="AP261" t="str">
        <f>_xlfn.IFNA(VLOOKUP(Sheet1!$C261,MAC_PHYLO!A:C,3,FALSE),"-")</f>
        <v>-</v>
      </c>
      <c r="AQ261" t="str">
        <f>_xlfn.IFNA(VLOOKUP(Sheet1!$C261,ConStruct!A:C,3,FALSE),"-")</f>
        <v>-</v>
      </c>
      <c r="AR261" t="str">
        <f>_xlfn.IFNA(VLOOKUP(Sheet1!$C261,GEA!A:C,3,FALSE),"-")</f>
        <v>-</v>
      </c>
      <c r="AS261" t="str">
        <f>_xlfn.IFNA(VLOOKUP(Sheet1!$C261,MAC_DSUITE!A:D,3,FALSE),"-")</f>
        <v>-</v>
      </c>
      <c r="AT261" t="str">
        <f>_xlfn.IFNA(VLOOKUP(Sheet1!$C261,MONG_DSUITE!A:E,2,FALSE),"-")</f>
        <v>xxx</v>
      </c>
      <c r="AU261" t="str">
        <f>_xlfn.IFNA(VLOOKUP(Sheet1!$C261,MAC_PAINT2!A:D,4,FALSE),"-")</f>
        <v>-</v>
      </c>
    </row>
    <row r="262" spans="1:49" customFormat="1" x14ac:dyDescent="0.4">
      <c r="A262">
        <v>3713</v>
      </c>
      <c r="B262" t="s">
        <v>1313</v>
      </c>
      <c r="C262" t="s">
        <v>1314</v>
      </c>
      <c r="D262" t="str">
        <f>_xlfn.CONCAT(C262,".bam")</f>
        <v>SYST-MOR-0006950.bam</v>
      </c>
      <c r="E262" t="s">
        <v>1315</v>
      </c>
      <c r="F262" t="s">
        <v>2439</v>
      </c>
      <c r="G262" t="s">
        <v>2441</v>
      </c>
      <c r="H262" t="s">
        <v>2528</v>
      </c>
      <c r="I262" t="s">
        <v>1294</v>
      </c>
      <c r="K262" t="s">
        <v>64</v>
      </c>
      <c r="L262" t="s">
        <v>64</v>
      </c>
      <c r="N262" t="s">
        <v>64</v>
      </c>
      <c r="P262" t="s">
        <v>31</v>
      </c>
      <c r="Q262" t="s">
        <v>65</v>
      </c>
      <c r="R262" t="s">
        <v>2599</v>
      </c>
      <c r="S262" s="1">
        <v>44762</v>
      </c>
      <c r="T262" t="s">
        <v>33</v>
      </c>
      <c r="U262" t="s">
        <v>34</v>
      </c>
      <c r="V262" s="1">
        <v>44764</v>
      </c>
      <c r="W262" t="s">
        <v>35</v>
      </c>
      <c r="X262" t="s">
        <v>1260</v>
      </c>
      <c r="Y262" t="s">
        <v>1293</v>
      </c>
      <c r="Z262" t="s">
        <v>38</v>
      </c>
      <c r="AA262" t="s">
        <v>1294</v>
      </c>
      <c r="AD262" t="s">
        <v>64</v>
      </c>
      <c r="AE262">
        <v>43.892114999999997</v>
      </c>
      <c r="AF262">
        <v>-91.632148000000001</v>
      </c>
      <c r="AG262" t="s">
        <v>40</v>
      </c>
      <c r="AH262" t="s">
        <v>41</v>
      </c>
      <c r="AI262">
        <v>43.892279737700001</v>
      </c>
      <c r="AJ262">
        <v>-91.632306994999993</v>
      </c>
      <c r="AK262">
        <v>1.647377000040251E-4</v>
      </c>
      <c r="AL262">
        <v>-1.5899499999250111E-4</v>
      </c>
      <c r="AM262" t="str">
        <f>_xlfn.IFNA(VLOOKUP(Sheet1!$C262,ADMIX_ALL!A:B,2,FALSE),"none")</f>
        <v>K6-18</v>
      </c>
      <c r="AN262" t="str">
        <f>_xlfn.IFNA(VLOOKUP(Sheet1!C262,ADMIX_SS!A:B,2,FALSE),"none")</f>
        <v>SubSample</v>
      </c>
      <c r="AO262" t="str">
        <f>_xlfn.IFNA(VLOOKUP(Sheet1!$C262,MONG_PHYLO!A:C,3,FALSE),"-")</f>
        <v>-</v>
      </c>
      <c r="AP262" t="str">
        <f>_xlfn.IFNA(VLOOKUP(Sheet1!$C262,MAC_PHYLO!A:C,3,FALSE),"-")</f>
        <v>-</v>
      </c>
      <c r="AQ262" t="str">
        <f>_xlfn.IFNA(VLOOKUP(Sheet1!$C262,ConStruct!A:C,3,FALSE),"-")</f>
        <v>-</v>
      </c>
      <c r="AR262" t="str">
        <f>_xlfn.IFNA(VLOOKUP(Sheet1!$C262,GEA!A:C,3,FALSE),"-")</f>
        <v>-</v>
      </c>
      <c r="AS262" t="str">
        <f>_xlfn.IFNA(VLOOKUP(Sheet1!$C262,MAC_DSUITE!A:D,3,FALSE),"-")</f>
        <v>-</v>
      </c>
      <c r="AT262" t="str">
        <f>_xlfn.IFNA(VLOOKUP(Sheet1!$C262,MONG_DSUITE!A:E,2,FALSE),"-")</f>
        <v>xxx</v>
      </c>
      <c r="AU262" t="str">
        <f>_xlfn.IFNA(VLOOKUP(Sheet1!$C262,MAC_PAINT2!A:D,4,FALSE),"-")</f>
        <v>-</v>
      </c>
    </row>
    <row r="263" spans="1:49" customFormat="1" x14ac:dyDescent="0.4">
      <c r="A263">
        <v>3714</v>
      </c>
      <c r="B263" t="s">
        <v>2295</v>
      </c>
      <c r="C263" t="s">
        <v>2296</v>
      </c>
      <c r="D263" t="str">
        <f>_xlfn.CONCAT(C263,".bam")</f>
        <v>SYST-MOR-0006951.bam</v>
      </c>
      <c r="E263" t="s">
        <v>2297</v>
      </c>
      <c r="F263" t="s">
        <v>2468</v>
      </c>
      <c r="G263" t="s">
        <v>2469</v>
      </c>
      <c r="H263" t="s">
        <v>2555</v>
      </c>
      <c r="I263" t="s">
        <v>2300</v>
      </c>
      <c r="K263" t="s">
        <v>8557</v>
      </c>
      <c r="L263" t="s">
        <v>64</v>
      </c>
      <c r="N263" t="s">
        <v>64</v>
      </c>
      <c r="P263" t="s">
        <v>31</v>
      </c>
      <c r="Q263" t="s">
        <v>65</v>
      </c>
      <c r="R263" t="s">
        <v>2599</v>
      </c>
      <c r="S263" s="1">
        <v>44763</v>
      </c>
      <c r="T263" t="s">
        <v>33</v>
      </c>
      <c r="U263" t="s">
        <v>34</v>
      </c>
      <c r="V263" s="1">
        <v>44764</v>
      </c>
      <c r="W263" t="s">
        <v>35</v>
      </c>
      <c r="X263" t="s">
        <v>2298</v>
      </c>
      <c r="Y263" t="s">
        <v>2299</v>
      </c>
      <c r="Z263" t="s">
        <v>38</v>
      </c>
      <c r="AA263" t="s">
        <v>2300</v>
      </c>
      <c r="AD263" t="s">
        <v>64</v>
      </c>
      <c r="AE263">
        <v>46.332048</v>
      </c>
      <c r="AF263">
        <v>-91.507300999999998</v>
      </c>
      <c r="AG263" t="s">
        <v>40</v>
      </c>
      <c r="AH263" t="s">
        <v>41</v>
      </c>
      <c r="AI263">
        <v>46.332130001400003</v>
      </c>
      <c r="AJ263">
        <v>-91.5071266243</v>
      </c>
      <c r="AK263">
        <v>8.2001400002695846E-5</v>
      </c>
      <c r="AL263">
        <v>1.743756999985635E-4</v>
      </c>
      <c r="AM263" t="str">
        <f>_xlfn.IFNA(VLOOKUP(Sheet1!$C263,ADMIX_ALL!A:B,2,FALSE),"none")</f>
        <v>K6-18</v>
      </c>
      <c r="AN263" t="str">
        <f>_xlfn.IFNA(VLOOKUP(Sheet1!C263,ADMIX_SS!A:B,2,FALSE),"none")</f>
        <v>SubSample</v>
      </c>
      <c r="AO263" t="str">
        <f>_xlfn.IFNA(VLOOKUP(Sheet1!$C263,MONG_PHYLO!A:C,3,FALSE),"-")</f>
        <v>-</v>
      </c>
      <c r="AP263" t="str">
        <f>_xlfn.IFNA(VLOOKUP(Sheet1!$C263,MAC_PHYLO!A:C,3,FALSE),"-")</f>
        <v>-</v>
      </c>
      <c r="AQ263" t="str">
        <f>_xlfn.IFNA(VLOOKUP(Sheet1!$C263,ConStruct!A:C,3,FALSE),"-")</f>
        <v>-</v>
      </c>
      <c r="AR263" t="str">
        <f>_xlfn.IFNA(VLOOKUP(Sheet1!$C263,GEA!A:C,3,FALSE),"-")</f>
        <v>-</v>
      </c>
      <c r="AS263" t="str">
        <f>_xlfn.IFNA(VLOOKUP(Sheet1!$C263,MAC_DSUITE!A:D,3,FALSE),"-")</f>
        <v>-</v>
      </c>
      <c r="AT263" t="str">
        <f>_xlfn.IFNA(VLOOKUP(Sheet1!$C263,MONG_DSUITE!A:E,2,FALSE),"-")</f>
        <v>xxx</v>
      </c>
      <c r="AU263" t="str">
        <f>_xlfn.IFNA(VLOOKUP(Sheet1!$C263,MAC_PAINT2!A:D,4,FALSE),"-")</f>
        <v>-</v>
      </c>
    </row>
    <row r="264" spans="1:49" customFormat="1" x14ac:dyDescent="0.4">
      <c r="A264">
        <v>3715</v>
      </c>
      <c r="B264" t="s">
        <v>2301</v>
      </c>
      <c r="C264" t="s">
        <v>2302</v>
      </c>
      <c r="D264" t="str">
        <f>_xlfn.CONCAT(C264,".bam")</f>
        <v>SYST-MOR-0006952.bam</v>
      </c>
      <c r="E264" t="s">
        <v>2303</v>
      </c>
      <c r="F264" t="s">
        <v>2468</v>
      </c>
      <c r="G264" t="s">
        <v>2469</v>
      </c>
      <c r="H264" t="s">
        <v>2555</v>
      </c>
      <c r="I264" t="s">
        <v>2300</v>
      </c>
      <c r="K264" t="s">
        <v>8557</v>
      </c>
      <c r="L264" t="s">
        <v>64</v>
      </c>
      <c r="N264" t="s">
        <v>64</v>
      </c>
      <c r="P264" t="s">
        <v>31</v>
      </c>
      <c r="Q264" t="s">
        <v>65</v>
      </c>
      <c r="R264" t="s">
        <v>2599</v>
      </c>
      <c r="S264" s="1">
        <v>44763</v>
      </c>
      <c r="T264" t="s">
        <v>33</v>
      </c>
      <c r="U264" t="s">
        <v>34</v>
      </c>
      <c r="V264" s="1">
        <v>44764</v>
      </c>
      <c r="W264" t="s">
        <v>35</v>
      </c>
      <c r="X264" t="s">
        <v>2298</v>
      </c>
      <c r="Y264" t="s">
        <v>2299</v>
      </c>
      <c r="Z264" t="s">
        <v>38</v>
      </c>
      <c r="AA264" t="s">
        <v>2300</v>
      </c>
      <c r="AD264" t="s">
        <v>64</v>
      </c>
      <c r="AE264">
        <v>46.332273000000001</v>
      </c>
      <c r="AF264">
        <v>-91.507436999999996</v>
      </c>
      <c r="AG264" t="s">
        <v>40</v>
      </c>
      <c r="AH264" t="s">
        <v>41</v>
      </c>
      <c r="AI264">
        <v>46.332276309900003</v>
      </c>
      <c r="AJ264">
        <v>-91.507497606900003</v>
      </c>
      <c r="AK264">
        <v>3.3099000020797575E-6</v>
      </c>
      <c r="AL264">
        <v>-6.0606900007087461E-5</v>
      </c>
      <c r="AM264" t="str">
        <f>_xlfn.IFNA(VLOOKUP(Sheet1!$C264,ADMIX_ALL!A:B,2,FALSE),"none")</f>
        <v>K6-18</v>
      </c>
      <c r="AN264" t="str">
        <f>_xlfn.IFNA(VLOOKUP(Sheet1!C264,ADMIX_SS!A:B,2,FALSE),"none")</f>
        <v>SubSample</v>
      </c>
      <c r="AO264" t="str">
        <f>_xlfn.IFNA(VLOOKUP(Sheet1!$C264,MONG_PHYLO!A:C,3,FALSE),"-")</f>
        <v>-</v>
      </c>
      <c r="AP264" t="str">
        <f>_xlfn.IFNA(VLOOKUP(Sheet1!$C264,MAC_PHYLO!A:C,3,FALSE),"-")</f>
        <v>-</v>
      </c>
      <c r="AQ264" t="str">
        <f>_xlfn.IFNA(VLOOKUP(Sheet1!$C264,ConStruct!A:C,3,FALSE),"-")</f>
        <v>-</v>
      </c>
      <c r="AR264" t="str">
        <f>_xlfn.IFNA(VLOOKUP(Sheet1!$C264,GEA!A:C,3,FALSE),"-")</f>
        <v>-</v>
      </c>
      <c r="AS264" t="str">
        <f>_xlfn.IFNA(VLOOKUP(Sheet1!$C264,MAC_DSUITE!A:D,3,FALSE),"-")</f>
        <v>-</v>
      </c>
      <c r="AT264" t="str">
        <f>_xlfn.IFNA(VLOOKUP(Sheet1!$C264,MONG_DSUITE!A:E,2,FALSE),"-")</f>
        <v>xxx</v>
      </c>
      <c r="AU264" t="str">
        <f>_xlfn.IFNA(VLOOKUP(Sheet1!$C264,MAC_PAINT2!A:D,4,FALSE),"-")</f>
        <v>-</v>
      </c>
    </row>
    <row r="265" spans="1:49" customFormat="1" x14ac:dyDescent="0.4">
      <c r="A265">
        <v>3716</v>
      </c>
      <c r="B265" t="s">
        <v>2304</v>
      </c>
      <c r="C265" t="s">
        <v>2305</v>
      </c>
      <c r="D265" t="str">
        <f>_xlfn.CONCAT(C265,".bam")</f>
        <v>SYST-MOR-0006953.bam</v>
      </c>
      <c r="E265" t="s">
        <v>2306</v>
      </c>
      <c r="F265" t="s">
        <v>2468</v>
      </c>
      <c r="G265" t="s">
        <v>2469</v>
      </c>
      <c r="H265" t="s">
        <v>2555</v>
      </c>
      <c r="I265" t="s">
        <v>2300</v>
      </c>
      <c r="K265" t="s">
        <v>64</v>
      </c>
      <c r="L265" t="s">
        <v>64</v>
      </c>
      <c r="N265" t="s">
        <v>64</v>
      </c>
      <c r="P265" t="s">
        <v>31</v>
      </c>
      <c r="Q265" t="s">
        <v>65</v>
      </c>
      <c r="R265" t="s">
        <v>2599</v>
      </c>
      <c r="S265" s="1">
        <v>44763</v>
      </c>
      <c r="T265" t="s">
        <v>33</v>
      </c>
      <c r="U265" t="s">
        <v>34</v>
      </c>
      <c r="V265" s="1">
        <v>44764</v>
      </c>
      <c r="W265" t="s">
        <v>35</v>
      </c>
      <c r="X265" t="s">
        <v>2298</v>
      </c>
      <c r="Y265" t="s">
        <v>2299</v>
      </c>
      <c r="Z265" t="s">
        <v>38</v>
      </c>
      <c r="AA265" t="s">
        <v>2300</v>
      </c>
      <c r="AD265" t="s">
        <v>64</v>
      </c>
      <c r="AE265">
        <v>46.332523000000002</v>
      </c>
      <c r="AF265">
        <v>-91.507718999999994</v>
      </c>
      <c r="AG265" t="s">
        <v>40</v>
      </c>
      <c r="AH265" t="s">
        <v>41</v>
      </c>
      <c r="AI265">
        <v>46.3325446626</v>
      </c>
      <c r="AJ265">
        <v>-91.507639065800007</v>
      </c>
      <c r="AK265">
        <v>2.1662599998251153E-5</v>
      </c>
      <c r="AL265">
        <v>7.9934199987974353E-5</v>
      </c>
      <c r="AM265" t="str">
        <f>_xlfn.IFNA(VLOOKUP(Sheet1!$C265,ADMIX_ALL!A:B,2,FALSE),"none")</f>
        <v>K6-18</v>
      </c>
      <c r="AN265" t="str">
        <f>_xlfn.IFNA(VLOOKUP(Sheet1!C265,ADMIX_SS!A:B,2,FALSE),"none")</f>
        <v>SubSample</v>
      </c>
      <c r="AO265" t="str">
        <f>_xlfn.IFNA(VLOOKUP(Sheet1!$C265,MONG_PHYLO!A:C,3,FALSE),"-")</f>
        <v>-</v>
      </c>
      <c r="AP265" t="str">
        <f>_xlfn.IFNA(VLOOKUP(Sheet1!$C265,MAC_PHYLO!A:C,3,FALSE),"-")</f>
        <v>-</v>
      </c>
      <c r="AQ265" t="str">
        <f>_xlfn.IFNA(VLOOKUP(Sheet1!$C265,ConStruct!A:C,3,FALSE),"-")</f>
        <v>-</v>
      </c>
      <c r="AR265" t="str">
        <f>_xlfn.IFNA(VLOOKUP(Sheet1!$C265,GEA!A:C,3,FALSE),"-")</f>
        <v>-</v>
      </c>
      <c r="AS265" t="str">
        <f>_xlfn.IFNA(VLOOKUP(Sheet1!$C265,MAC_DSUITE!A:D,3,FALSE),"-")</f>
        <v>-</v>
      </c>
      <c r="AT265" t="str">
        <f>_xlfn.IFNA(VLOOKUP(Sheet1!$C265,MONG_DSUITE!A:E,2,FALSE),"-")</f>
        <v>xxx</v>
      </c>
      <c r="AU265" t="str">
        <f>_xlfn.IFNA(VLOOKUP(Sheet1!$C265,MAC_PAINT2!A:D,4,FALSE),"-")</f>
        <v>-</v>
      </c>
    </row>
    <row r="266" spans="1:49" x14ac:dyDescent="0.4">
      <c r="A266" s="18">
        <v>3717</v>
      </c>
      <c r="B266" s="18" t="s">
        <v>2307</v>
      </c>
      <c r="C266" s="18" t="s">
        <v>2308</v>
      </c>
      <c r="D266" s="18" t="str">
        <f>_xlfn.CONCAT(C266,".bam")</f>
        <v>SYST-MOR-0006954.bam</v>
      </c>
      <c r="E266" s="18" t="s">
        <v>2309</v>
      </c>
      <c r="F266" s="18" t="s">
        <v>2468</v>
      </c>
      <c r="G266" s="18" t="s">
        <v>2469</v>
      </c>
      <c r="H266" s="18" t="s">
        <v>2555</v>
      </c>
      <c r="I266" s="18" t="s">
        <v>2300</v>
      </c>
      <c r="K266" s="18" t="s">
        <v>45</v>
      </c>
      <c r="L266" s="18" t="s">
        <v>45</v>
      </c>
      <c r="M266" s="18" t="s">
        <v>45</v>
      </c>
      <c r="N266" s="18" t="s">
        <v>64</v>
      </c>
      <c r="P266" s="18" t="s">
        <v>31</v>
      </c>
      <c r="Q266" s="18" t="s">
        <v>65</v>
      </c>
      <c r="R266" s="18" t="s">
        <v>2599</v>
      </c>
      <c r="S266" s="19">
        <v>44763</v>
      </c>
      <c r="T266" s="18" t="s">
        <v>33</v>
      </c>
      <c r="U266" s="18" t="s">
        <v>34</v>
      </c>
      <c r="V266" s="19">
        <v>44764</v>
      </c>
      <c r="W266" s="18" t="s">
        <v>35</v>
      </c>
      <c r="X266" s="18" t="s">
        <v>2298</v>
      </c>
      <c r="Y266" s="18" t="s">
        <v>2299</v>
      </c>
      <c r="Z266" s="18" t="s">
        <v>38</v>
      </c>
      <c r="AA266" s="18" t="s">
        <v>2300</v>
      </c>
      <c r="AD266" s="18" t="s">
        <v>64</v>
      </c>
      <c r="AE266" s="18">
        <v>46.331696999999998</v>
      </c>
      <c r="AF266" s="18">
        <v>-91.507323999999997</v>
      </c>
      <c r="AG266" s="18" t="s">
        <v>40</v>
      </c>
      <c r="AH266" s="18" t="s">
        <v>41</v>
      </c>
      <c r="AI266" s="18">
        <v>46.331607392099997</v>
      </c>
      <c r="AJ266" s="18">
        <v>-91.507261488699996</v>
      </c>
      <c r="AK266" s="18">
        <v>-8.96079000014538E-5</v>
      </c>
      <c r="AL266" s="18">
        <v>6.2511300001233394E-5</v>
      </c>
      <c r="AM266" s="18" t="str">
        <f>_xlfn.IFNA(VLOOKUP(Sheet1!$C266,ADMIX_ALL!A:B,2,FALSE),"none")</f>
        <v>K6-18</v>
      </c>
      <c r="AN266" s="18" t="str">
        <f>_xlfn.IFNA(VLOOKUP(Sheet1!C266,ADMIX_SS!A:B,2,FALSE),"none")</f>
        <v>SubSample</v>
      </c>
      <c r="AO266" s="18" t="str">
        <f>_xlfn.IFNA(VLOOKUP(Sheet1!$C266,MONG_PHYLO!A:C,3,FALSE),"-")</f>
        <v>-</v>
      </c>
      <c r="AP266" s="18" t="str">
        <f>_xlfn.IFNA(VLOOKUP(Sheet1!$C266,MAC_PHYLO!A:C,3,FALSE),"-")</f>
        <v>-</v>
      </c>
      <c r="AQ266" s="18" t="str">
        <f>_xlfn.IFNA(VLOOKUP(Sheet1!$C266,ConStruct!A:C,3,FALSE),"-")</f>
        <v>ConStruct</v>
      </c>
      <c r="AR266" s="18" t="str">
        <f>_xlfn.IFNA(VLOOKUP(Sheet1!$C266,GEA!A:C,3,FALSE),"-")</f>
        <v>-</v>
      </c>
      <c r="AS266" s="18" t="str">
        <f>_xlfn.IFNA(VLOOKUP(Sheet1!$C266,MAC_DSUITE!A:D,3,FALSE),"-")</f>
        <v>-</v>
      </c>
      <c r="AT266" s="18" t="str">
        <f>_xlfn.IFNA(VLOOKUP(Sheet1!$C266,MONG_DSUITE!A:E,2,FALSE),"-")</f>
        <v>xxx</v>
      </c>
      <c r="AU266" s="18" t="str">
        <f>_xlfn.IFNA(VLOOKUP(Sheet1!$C266,MAC_PAINT2!A:D,4,FALSE),"-")</f>
        <v>-</v>
      </c>
    </row>
    <row r="267" spans="1:49" customFormat="1" x14ac:dyDescent="0.4">
      <c r="A267">
        <v>3718</v>
      </c>
      <c r="B267" t="s">
        <v>2310</v>
      </c>
      <c r="C267" t="s">
        <v>2311</v>
      </c>
      <c r="D267" t="str">
        <f>_xlfn.CONCAT(C267,".bam")</f>
        <v>SYST-MOR-0006955.bam</v>
      </c>
      <c r="E267" t="s">
        <v>2312</v>
      </c>
      <c r="F267" t="s">
        <v>2468</v>
      </c>
      <c r="G267" t="s">
        <v>2469</v>
      </c>
      <c r="H267" t="s">
        <v>2555</v>
      </c>
      <c r="I267" t="s">
        <v>2300</v>
      </c>
      <c r="K267" t="s">
        <v>45</v>
      </c>
      <c r="L267" t="s">
        <v>45</v>
      </c>
      <c r="N267" t="s">
        <v>45</v>
      </c>
      <c r="P267" t="s">
        <v>31</v>
      </c>
      <c r="Q267" t="s">
        <v>46</v>
      </c>
      <c r="R267" t="s">
        <v>2597</v>
      </c>
      <c r="S267" s="1">
        <v>44763</v>
      </c>
      <c r="T267" t="s">
        <v>33</v>
      </c>
      <c r="U267" t="s">
        <v>34</v>
      </c>
      <c r="V267" s="1">
        <v>44764</v>
      </c>
      <c r="W267" t="s">
        <v>35</v>
      </c>
      <c r="X267" t="s">
        <v>2298</v>
      </c>
      <c r="Y267" t="s">
        <v>2299</v>
      </c>
      <c r="Z267" t="s">
        <v>38</v>
      </c>
      <c r="AA267" t="s">
        <v>2300</v>
      </c>
      <c r="AD267" t="s">
        <v>45</v>
      </c>
      <c r="AE267">
        <v>46.331710999999999</v>
      </c>
      <c r="AF267">
        <v>-91.507253000000006</v>
      </c>
      <c r="AG267" t="s">
        <v>40</v>
      </c>
      <c r="AH267" t="s">
        <v>41</v>
      </c>
      <c r="AI267">
        <v>46.331921587700002</v>
      </c>
      <c r="AJ267">
        <v>-91.507260063700002</v>
      </c>
      <c r="AK267">
        <v>2.105877000033729E-4</v>
      </c>
      <c r="AL267">
        <v>-7.0636999964790448E-6</v>
      </c>
      <c r="AM267" t="str">
        <f>_xlfn.IFNA(VLOOKUP(Sheet1!$C267,ADMIX_ALL!A:B,2,FALSE),"none")</f>
        <v>K6-18</v>
      </c>
      <c r="AN267" t="str">
        <f>_xlfn.IFNA(VLOOKUP(Sheet1!C267,ADMIX_SS!A:B,2,FALSE),"none")</f>
        <v>SubSample</v>
      </c>
      <c r="AO267" t="str">
        <f>_xlfn.IFNA(VLOOKUP(Sheet1!$C267,MONG_PHYLO!A:C,3,FALSE),"-")</f>
        <v>-</v>
      </c>
      <c r="AP267" t="str">
        <f>_xlfn.IFNA(VLOOKUP(Sheet1!$C267,MAC_PHYLO!A:C,3,FALSE),"-")</f>
        <v>-</v>
      </c>
      <c r="AQ267" t="str">
        <f>_xlfn.IFNA(VLOOKUP(Sheet1!$C267,ConStruct!A:C,3,FALSE),"-")</f>
        <v>ConStruct</v>
      </c>
      <c r="AR267" t="str">
        <f>_xlfn.IFNA(VLOOKUP(Sheet1!$C267,GEA!A:C,3,FALSE),"-")</f>
        <v>GEA</v>
      </c>
      <c r="AS267" t="str">
        <f>_xlfn.IFNA(VLOOKUP(Sheet1!$C267,MAC_DSUITE!A:D,3,FALSE),"-")</f>
        <v>mac_WI_PKL</v>
      </c>
      <c r="AT267" t="str">
        <f>_xlfn.IFNA(VLOOKUP(Sheet1!$C267,MONG_DSUITE!A:E,2,FALSE),"-")</f>
        <v>macrocarpa_PKL</v>
      </c>
      <c r="AU267" t="str">
        <f>_xlfn.IFNA(VLOOKUP(Sheet1!$C267,MAC_PAINT2!A:D,4,FALSE),"-")</f>
        <v>macpaint</v>
      </c>
      <c r="AV267" t="s">
        <v>9193</v>
      </c>
      <c r="AW267" t="s">
        <v>9193</v>
      </c>
    </row>
    <row r="268" spans="1:49" customFormat="1" x14ac:dyDescent="0.4">
      <c r="A268">
        <v>3719</v>
      </c>
      <c r="B268" t="s">
        <v>2313</v>
      </c>
      <c r="C268" t="s">
        <v>2314</v>
      </c>
      <c r="D268" t="str">
        <f>_xlfn.CONCAT(C268,".bam")</f>
        <v>SYST-MOR-0006956.bam</v>
      </c>
      <c r="E268" t="s">
        <v>2315</v>
      </c>
      <c r="F268" t="s">
        <v>2468</v>
      </c>
      <c r="G268" t="s">
        <v>2469</v>
      </c>
      <c r="H268" t="s">
        <v>2555</v>
      </c>
      <c r="I268" t="s">
        <v>2300</v>
      </c>
      <c r="K268" t="s">
        <v>45</v>
      </c>
      <c r="L268" t="s">
        <v>45</v>
      </c>
      <c r="N268" t="s">
        <v>45</v>
      </c>
      <c r="P268" t="s">
        <v>31</v>
      </c>
      <c r="Q268" t="s">
        <v>46</v>
      </c>
      <c r="R268" t="s">
        <v>2597</v>
      </c>
      <c r="S268" s="1">
        <v>44763</v>
      </c>
      <c r="T268" t="s">
        <v>33</v>
      </c>
      <c r="U268" t="s">
        <v>34</v>
      </c>
      <c r="V268" s="1">
        <v>44764</v>
      </c>
      <c r="W268" t="s">
        <v>35</v>
      </c>
      <c r="X268" t="s">
        <v>2298</v>
      </c>
      <c r="Y268" t="s">
        <v>2299</v>
      </c>
      <c r="Z268" t="s">
        <v>38</v>
      </c>
      <c r="AA268" t="s">
        <v>2300</v>
      </c>
      <c r="AD268" t="s">
        <v>45</v>
      </c>
      <c r="AE268">
        <v>46.330843999999999</v>
      </c>
      <c r="AF268">
        <v>-91.506894000000003</v>
      </c>
      <c r="AG268" t="s">
        <v>40</v>
      </c>
      <c r="AH268" t="s">
        <v>41</v>
      </c>
      <c r="AI268">
        <v>46.3308463033</v>
      </c>
      <c r="AJ268">
        <v>-91.506915873500006</v>
      </c>
      <c r="AK268">
        <v>2.3033000005057147E-6</v>
      </c>
      <c r="AL268">
        <v>-2.1873500003266599E-5</v>
      </c>
      <c r="AM268" t="str">
        <f>_xlfn.IFNA(VLOOKUP(Sheet1!$C268,ADMIX_ALL!A:B,2,FALSE),"none")</f>
        <v>K6-18</v>
      </c>
      <c r="AN268" t="str">
        <f>_xlfn.IFNA(VLOOKUP(Sheet1!C268,ADMIX_SS!A:B,2,FALSE),"none")</f>
        <v>SubSample</v>
      </c>
      <c r="AO268" t="str">
        <f>_xlfn.IFNA(VLOOKUP(Sheet1!$C268,MONG_PHYLO!A:C,3,FALSE),"-")</f>
        <v>-</v>
      </c>
      <c r="AP268" t="str">
        <f>_xlfn.IFNA(VLOOKUP(Sheet1!$C268,MAC_PHYLO!A:C,3,FALSE),"-")</f>
        <v>-</v>
      </c>
      <c r="AQ268" t="str">
        <f>_xlfn.IFNA(VLOOKUP(Sheet1!$C268,ConStruct!A:C,3,FALSE),"-")</f>
        <v>ConStruct</v>
      </c>
      <c r="AR268" t="str">
        <f>_xlfn.IFNA(VLOOKUP(Sheet1!$C268,GEA!A:C,3,FALSE),"-")</f>
        <v>GEA</v>
      </c>
      <c r="AS268" t="str">
        <f>_xlfn.IFNA(VLOOKUP(Sheet1!$C268,MAC_DSUITE!A:D,3,FALSE),"-")</f>
        <v>mac_WI_PKL</v>
      </c>
      <c r="AT268" t="str">
        <f>_xlfn.IFNA(VLOOKUP(Sheet1!$C268,MONG_DSUITE!A:E,2,FALSE),"-")</f>
        <v>macrocarpa_PKL</v>
      </c>
      <c r="AU268" t="str">
        <f>_xlfn.IFNA(VLOOKUP(Sheet1!$C268,MAC_PAINT2!A:D,4,FALSE),"-")</f>
        <v>macpaint</v>
      </c>
      <c r="AV268" t="s">
        <v>9193</v>
      </c>
      <c r="AW268" t="s">
        <v>9193</v>
      </c>
    </row>
    <row r="269" spans="1:49" customFormat="1" x14ac:dyDescent="0.4">
      <c r="A269">
        <v>3720</v>
      </c>
      <c r="B269" t="s">
        <v>2316</v>
      </c>
      <c r="C269" t="s">
        <v>2317</v>
      </c>
      <c r="D269" t="str">
        <f>_xlfn.CONCAT(C269,".bam")</f>
        <v>SYST-MOR-0006957.bam</v>
      </c>
      <c r="E269" t="s">
        <v>2318</v>
      </c>
      <c r="F269" t="s">
        <v>2468</v>
      </c>
      <c r="G269" t="s">
        <v>2469</v>
      </c>
      <c r="H269" t="s">
        <v>2555</v>
      </c>
      <c r="I269" t="s">
        <v>2300</v>
      </c>
      <c r="K269" t="s">
        <v>45</v>
      </c>
      <c r="L269" t="s">
        <v>45</v>
      </c>
      <c r="N269" t="s">
        <v>45</v>
      </c>
      <c r="P269" t="s">
        <v>31</v>
      </c>
      <c r="Q269" t="s">
        <v>46</v>
      </c>
      <c r="R269" t="s">
        <v>2597</v>
      </c>
      <c r="S269" s="1">
        <v>44763</v>
      </c>
      <c r="T269" t="s">
        <v>33</v>
      </c>
      <c r="U269" t="s">
        <v>34</v>
      </c>
      <c r="V269" s="1">
        <v>44764</v>
      </c>
      <c r="W269" t="s">
        <v>35</v>
      </c>
      <c r="X269" t="s">
        <v>2298</v>
      </c>
      <c r="Y269" t="s">
        <v>2299</v>
      </c>
      <c r="Z269" t="s">
        <v>38</v>
      </c>
      <c r="AA269" t="s">
        <v>2300</v>
      </c>
      <c r="AD269" t="s">
        <v>45</v>
      </c>
      <c r="AE269">
        <v>46.331659000000002</v>
      </c>
      <c r="AF269">
        <v>-91.506574000000001</v>
      </c>
      <c r="AG269" t="s">
        <v>40</v>
      </c>
      <c r="AH269" t="s">
        <v>41</v>
      </c>
      <c r="AI269">
        <v>46.331629874800001</v>
      </c>
      <c r="AJ269">
        <v>-91.506607114199994</v>
      </c>
      <c r="AK269">
        <v>-2.9125200001089979E-5</v>
      </c>
      <c r="AL269">
        <v>-3.311419999363352E-5</v>
      </c>
      <c r="AM269" t="str">
        <f>_xlfn.IFNA(VLOOKUP(Sheet1!$C269,ADMIX_ALL!A:B,2,FALSE),"none")</f>
        <v>K6-18</v>
      </c>
      <c r="AN269" t="str">
        <f>_xlfn.IFNA(VLOOKUP(Sheet1!C269,ADMIX_SS!A:B,2,FALSE),"none")</f>
        <v>SubSample</v>
      </c>
      <c r="AO269" t="str">
        <f>_xlfn.IFNA(VLOOKUP(Sheet1!$C269,MONG_PHYLO!A:C,3,FALSE),"-")</f>
        <v>-</v>
      </c>
      <c r="AP269" t="str">
        <f>_xlfn.IFNA(VLOOKUP(Sheet1!$C269,MAC_PHYLO!A:C,3,FALSE),"-")</f>
        <v>-</v>
      </c>
      <c r="AQ269" t="str">
        <f>_xlfn.IFNA(VLOOKUP(Sheet1!$C269,ConStruct!A:C,3,FALSE),"-")</f>
        <v>ConStruct</v>
      </c>
      <c r="AR269" t="str">
        <f>_xlfn.IFNA(VLOOKUP(Sheet1!$C269,GEA!A:C,3,FALSE),"-")</f>
        <v>GEA</v>
      </c>
      <c r="AS269" t="str">
        <f>_xlfn.IFNA(VLOOKUP(Sheet1!$C269,MAC_DSUITE!A:D,3,FALSE),"-")</f>
        <v>mac_WI_PKL</v>
      </c>
      <c r="AT269" t="str">
        <f>_xlfn.IFNA(VLOOKUP(Sheet1!$C269,MONG_DSUITE!A:E,2,FALSE),"-")</f>
        <v>macrocarpa_PKL</v>
      </c>
      <c r="AU269" t="str">
        <f>_xlfn.IFNA(VLOOKUP(Sheet1!$C269,MAC_PAINT2!A:D,4,FALSE),"-")</f>
        <v>macpaint</v>
      </c>
      <c r="AV269" t="s">
        <v>9193</v>
      </c>
      <c r="AW269" t="s">
        <v>9193</v>
      </c>
    </row>
    <row r="270" spans="1:49" customFormat="1" x14ac:dyDescent="0.4">
      <c r="A270">
        <v>3721</v>
      </c>
      <c r="B270" t="s">
        <v>2319</v>
      </c>
      <c r="C270" t="s">
        <v>2320</v>
      </c>
      <c r="D270" t="str">
        <f>_xlfn.CONCAT(C270,".bam")</f>
        <v>SYST-MOR-0006958.bam</v>
      </c>
      <c r="E270" t="s">
        <v>2321</v>
      </c>
      <c r="F270" t="s">
        <v>2468</v>
      </c>
      <c r="G270" t="s">
        <v>2469</v>
      </c>
      <c r="H270" t="s">
        <v>2555</v>
      </c>
      <c r="I270" t="s">
        <v>2300</v>
      </c>
      <c r="K270" t="s">
        <v>45</v>
      </c>
      <c r="L270" t="s">
        <v>45</v>
      </c>
      <c r="N270" t="s">
        <v>45</v>
      </c>
      <c r="P270" t="s">
        <v>31</v>
      </c>
      <c r="Q270" t="s">
        <v>46</v>
      </c>
      <c r="R270" t="s">
        <v>2597</v>
      </c>
      <c r="S270" s="1">
        <v>44763</v>
      </c>
      <c r="T270" t="s">
        <v>33</v>
      </c>
      <c r="U270" t="s">
        <v>34</v>
      </c>
      <c r="V270" s="1">
        <v>44764</v>
      </c>
      <c r="W270" t="s">
        <v>35</v>
      </c>
      <c r="X270" t="s">
        <v>2298</v>
      </c>
      <c r="Y270" t="s">
        <v>2299</v>
      </c>
      <c r="Z270" t="s">
        <v>38</v>
      </c>
      <c r="AA270" t="s">
        <v>2300</v>
      </c>
      <c r="AD270" t="s">
        <v>45</v>
      </c>
      <c r="AE270">
        <v>46.330621999999998</v>
      </c>
      <c r="AF270">
        <v>-91.506962000000001</v>
      </c>
      <c r="AG270" t="s">
        <v>40</v>
      </c>
      <c r="AH270" t="s">
        <v>41</v>
      </c>
      <c r="AI270">
        <v>46.3306647892</v>
      </c>
      <c r="AJ270">
        <v>-91.5069711676</v>
      </c>
      <c r="AK270">
        <v>4.2789200001891459E-5</v>
      </c>
      <c r="AL270">
        <v>-9.1675999982498979E-6</v>
      </c>
      <c r="AM270" t="str">
        <f>_xlfn.IFNA(VLOOKUP(Sheet1!$C270,ADMIX_ALL!A:B,2,FALSE),"none")</f>
        <v>K6-18</v>
      </c>
      <c r="AN270" t="str">
        <f>_xlfn.IFNA(VLOOKUP(Sheet1!C270,ADMIX_SS!A:B,2,FALSE),"none")</f>
        <v>SubSample</v>
      </c>
      <c r="AO270" t="str">
        <f>_xlfn.IFNA(VLOOKUP(Sheet1!$C270,MONG_PHYLO!A:C,3,FALSE),"-")</f>
        <v>-</v>
      </c>
      <c r="AP270" t="str">
        <f>_xlfn.IFNA(VLOOKUP(Sheet1!$C270,MAC_PHYLO!A:C,3,FALSE),"-")</f>
        <v>-</v>
      </c>
      <c r="AQ270" t="str">
        <f>_xlfn.IFNA(VLOOKUP(Sheet1!$C270,ConStruct!A:C,3,FALSE),"-")</f>
        <v>ConStruct</v>
      </c>
      <c r="AR270" t="str">
        <f>_xlfn.IFNA(VLOOKUP(Sheet1!$C270,GEA!A:C,3,FALSE),"-")</f>
        <v>GEA</v>
      </c>
      <c r="AS270" t="str">
        <f>_xlfn.IFNA(VLOOKUP(Sheet1!$C270,MAC_DSUITE!A:D,3,FALSE),"-")</f>
        <v>mac_WI_PKL</v>
      </c>
      <c r="AT270" t="str">
        <f>_xlfn.IFNA(VLOOKUP(Sheet1!$C270,MONG_DSUITE!A:E,2,FALSE),"-")</f>
        <v>macrocarpa_PKL</v>
      </c>
      <c r="AU270" t="str">
        <f>_xlfn.IFNA(VLOOKUP(Sheet1!$C270,MAC_PAINT2!A:D,4,FALSE),"-")</f>
        <v>macpaint</v>
      </c>
      <c r="AV270" t="s">
        <v>9193</v>
      </c>
      <c r="AW270" t="s">
        <v>9193</v>
      </c>
    </row>
    <row r="271" spans="1:49" customFormat="1" x14ac:dyDescent="0.4">
      <c r="A271">
        <v>3722</v>
      </c>
      <c r="B271" t="s">
        <v>2322</v>
      </c>
      <c r="C271" t="s">
        <v>2323</v>
      </c>
      <c r="D271" t="str">
        <f>_xlfn.CONCAT(C271,".bam")</f>
        <v>SYST-MOR-0006959.bam</v>
      </c>
      <c r="E271" t="s">
        <v>2324</v>
      </c>
      <c r="F271" t="s">
        <v>2468</v>
      </c>
      <c r="G271" t="s">
        <v>2469</v>
      </c>
      <c r="H271" t="s">
        <v>2555</v>
      </c>
      <c r="I271" t="s">
        <v>2300</v>
      </c>
      <c r="K271" t="s">
        <v>45</v>
      </c>
      <c r="L271" t="s">
        <v>45</v>
      </c>
      <c r="N271" t="s">
        <v>45</v>
      </c>
      <c r="P271" t="s">
        <v>31</v>
      </c>
      <c r="Q271" t="s">
        <v>46</v>
      </c>
      <c r="R271" t="s">
        <v>2597</v>
      </c>
      <c r="S271" s="1">
        <v>44763</v>
      </c>
      <c r="T271" t="s">
        <v>33</v>
      </c>
      <c r="U271" t="s">
        <v>34</v>
      </c>
      <c r="V271" s="1">
        <v>44764</v>
      </c>
      <c r="W271" t="s">
        <v>35</v>
      </c>
      <c r="X271" t="s">
        <v>2298</v>
      </c>
      <c r="Y271" t="s">
        <v>2299</v>
      </c>
      <c r="Z271" t="s">
        <v>38</v>
      </c>
      <c r="AA271" t="s">
        <v>2300</v>
      </c>
      <c r="AD271" t="s">
        <v>45</v>
      </c>
      <c r="AE271">
        <v>46.330665000000003</v>
      </c>
      <c r="AF271">
        <v>-91.507785999999996</v>
      </c>
      <c r="AG271" t="s">
        <v>40</v>
      </c>
      <c r="AH271" t="s">
        <v>41</v>
      </c>
      <c r="AI271">
        <v>46.330648421699998</v>
      </c>
      <c r="AJ271">
        <v>-91.507848365499996</v>
      </c>
      <c r="AK271">
        <v>-1.6578300005676283E-5</v>
      </c>
      <c r="AL271">
        <v>-6.2365499999827989E-5</v>
      </c>
      <c r="AM271" t="str">
        <f>_xlfn.IFNA(VLOOKUP(Sheet1!$C271,ADMIX_ALL!A:B,2,FALSE),"none")</f>
        <v>K6-18</v>
      </c>
      <c r="AN271" t="str">
        <f>_xlfn.IFNA(VLOOKUP(Sheet1!C271,ADMIX_SS!A:B,2,FALSE),"none")</f>
        <v>SubSample</v>
      </c>
      <c r="AO271" t="str">
        <f>_xlfn.IFNA(VLOOKUP(Sheet1!$C271,MONG_PHYLO!A:C,3,FALSE),"-")</f>
        <v>-</v>
      </c>
      <c r="AP271" t="str">
        <f>_xlfn.IFNA(VLOOKUP(Sheet1!$C271,MAC_PHYLO!A:C,3,FALSE),"-")</f>
        <v>-</v>
      </c>
      <c r="AQ271" t="str">
        <f>_xlfn.IFNA(VLOOKUP(Sheet1!$C271,ConStruct!A:C,3,FALSE),"-")</f>
        <v>ConStruct</v>
      </c>
      <c r="AR271" t="str">
        <f>_xlfn.IFNA(VLOOKUP(Sheet1!$C271,GEA!A:C,3,FALSE),"-")</f>
        <v>GEA</v>
      </c>
      <c r="AS271" t="str">
        <f>_xlfn.IFNA(VLOOKUP(Sheet1!$C271,MAC_DSUITE!A:D,3,FALSE),"-")</f>
        <v>mac_WI_PKL</v>
      </c>
      <c r="AT271" t="str">
        <f>_xlfn.IFNA(VLOOKUP(Sheet1!$C271,MONG_DSUITE!A:E,2,FALSE),"-")</f>
        <v>macrocarpa_PKL</v>
      </c>
      <c r="AU271" t="str">
        <f>_xlfn.IFNA(VLOOKUP(Sheet1!$C271,MAC_PAINT2!A:D,4,FALSE),"-")</f>
        <v>macpaint</v>
      </c>
      <c r="AV271" t="s">
        <v>9193</v>
      </c>
      <c r="AW271" t="s">
        <v>9193</v>
      </c>
    </row>
    <row r="272" spans="1:49" customFormat="1" x14ac:dyDescent="0.4">
      <c r="A272">
        <v>3723</v>
      </c>
      <c r="B272" t="s">
        <v>2344</v>
      </c>
      <c r="C272" t="s">
        <v>2345</v>
      </c>
      <c r="D272" t="str">
        <f>_xlfn.CONCAT(C272,".bam")</f>
        <v>SYST-MOR-0006960.bam</v>
      </c>
      <c r="E272" t="s">
        <v>2346</v>
      </c>
      <c r="F272" t="s">
        <v>2468</v>
      </c>
      <c r="G272" t="s">
        <v>2471</v>
      </c>
      <c r="H272" t="s">
        <v>2557</v>
      </c>
      <c r="I272" t="s">
        <v>2348</v>
      </c>
      <c r="K272" t="s">
        <v>45</v>
      </c>
      <c r="L272" t="s">
        <v>45</v>
      </c>
      <c r="N272" t="s">
        <v>45</v>
      </c>
      <c r="P272" t="s">
        <v>31</v>
      </c>
      <c r="Q272" t="s">
        <v>114</v>
      </c>
      <c r="R272" t="s">
        <v>2597</v>
      </c>
      <c r="S272" s="1">
        <v>44764</v>
      </c>
      <c r="T272" t="s">
        <v>33</v>
      </c>
      <c r="U272" t="s">
        <v>34</v>
      </c>
      <c r="V272" s="1">
        <v>44764</v>
      </c>
      <c r="W272" t="s">
        <v>35</v>
      </c>
      <c r="X272" t="s">
        <v>2298</v>
      </c>
      <c r="Y272" t="s">
        <v>2347</v>
      </c>
      <c r="Z272" t="s">
        <v>38</v>
      </c>
      <c r="AA272" t="s">
        <v>2348</v>
      </c>
      <c r="AD272" t="s">
        <v>45</v>
      </c>
      <c r="AE272">
        <v>43.016382999999998</v>
      </c>
      <c r="AF272">
        <v>-88.438509999999994</v>
      </c>
      <c r="AG272" t="s">
        <v>40</v>
      </c>
      <c r="AH272" t="s">
        <v>41</v>
      </c>
      <c r="AI272">
        <v>43.0164187588</v>
      </c>
      <c r="AJ272">
        <v>-88.438460407899996</v>
      </c>
      <c r="AK272">
        <v>3.5758800002838598E-5</v>
      </c>
      <c r="AL272">
        <v>4.9592099998108097E-5</v>
      </c>
      <c r="AM272" t="str">
        <f>_xlfn.IFNA(VLOOKUP(Sheet1!$C272,ADMIX_ALL!A:B,2,FALSE),"none")</f>
        <v>K6-18</v>
      </c>
      <c r="AN272" t="str">
        <f>_xlfn.IFNA(VLOOKUP(Sheet1!C272,ADMIX_SS!A:B,2,FALSE),"none")</f>
        <v>SubSample</v>
      </c>
      <c r="AO272" t="str">
        <f>_xlfn.IFNA(VLOOKUP(Sheet1!$C272,MONG_PHYLO!A:C,3,FALSE),"-")</f>
        <v>-</v>
      </c>
      <c r="AP272" t="str">
        <f>_xlfn.IFNA(VLOOKUP(Sheet1!$C272,MAC_PHYLO!A:C,3,FALSE),"-")</f>
        <v>-</v>
      </c>
      <c r="AQ272" t="str">
        <f>_xlfn.IFNA(VLOOKUP(Sheet1!$C272,ConStruct!A:C,3,FALSE),"-")</f>
        <v>ConStruct</v>
      </c>
      <c r="AR272" t="str">
        <f>_xlfn.IFNA(VLOOKUP(Sheet1!$C272,GEA!A:C,3,FALSE),"-")</f>
        <v>GEA</v>
      </c>
      <c r="AS272" t="str">
        <f>_xlfn.IFNA(VLOOKUP(Sheet1!$C272,MAC_DSUITE!A:D,3,FALSE),"-")</f>
        <v>mac_WI_WFS</v>
      </c>
      <c r="AT272" t="str">
        <f>_xlfn.IFNA(VLOOKUP(Sheet1!$C272,MONG_DSUITE!A:E,2,FALSE),"-")</f>
        <v>macrocarpa_WFS</v>
      </c>
      <c r="AU272" t="str">
        <f>_xlfn.IFNA(VLOOKUP(Sheet1!$C272,MAC_PAINT2!A:D,4,FALSE),"-")</f>
        <v>macpaint</v>
      </c>
      <c r="AV272" t="s">
        <v>9193</v>
      </c>
      <c r="AW272" t="s">
        <v>9193</v>
      </c>
    </row>
    <row r="273" spans="1:49" customFormat="1" x14ac:dyDescent="0.4">
      <c r="A273">
        <v>3724</v>
      </c>
      <c r="B273" t="s">
        <v>2349</v>
      </c>
      <c r="C273" t="s">
        <v>2350</v>
      </c>
      <c r="D273" t="str">
        <f>_xlfn.CONCAT(C273,".bam")</f>
        <v>SYST-MOR-0006961.bam</v>
      </c>
      <c r="E273" t="s">
        <v>2351</v>
      </c>
      <c r="F273" t="s">
        <v>2468</v>
      </c>
      <c r="G273" t="s">
        <v>2471</v>
      </c>
      <c r="H273" t="s">
        <v>2557</v>
      </c>
      <c r="I273" t="s">
        <v>2348</v>
      </c>
      <c r="K273" t="s">
        <v>45</v>
      </c>
      <c r="L273" t="s">
        <v>45</v>
      </c>
      <c r="N273" t="s">
        <v>45</v>
      </c>
      <c r="P273" t="s">
        <v>31</v>
      </c>
      <c r="Q273" t="s">
        <v>46</v>
      </c>
      <c r="R273" t="s">
        <v>2597</v>
      </c>
      <c r="S273" s="1">
        <v>44764</v>
      </c>
      <c r="T273" t="s">
        <v>33</v>
      </c>
      <c r="U273" t="s">
        <v>34</v>
      </c>
      <c r="V273" s="1">
        <v>44764</v>
      </c>
      <c r="W273" t="s">
        <v>35</v>
      </c>
      <c r="X273" t="s">
        <v>2298</v>
      </c>
      <c r="Y273" t="s">
        <v>2347</v>
      </c>
      <c r="Z273" t="s">
        <v>38</v>
      </c>
      <c r="AA273" t="s">
        <v>2348</v>
      </c>
      <c r="AD273" t="s">
        <v>45</v>
      </c>
      <c r="AE273">
        <v>43.016533000000003</v>
      </c>
      <c r="AF273">
        <v>-88.434152999999995</v>
      </c>
      <c r="AG273" t="s">
        <v>40</v>
      </c>
      <c r="AH273" t="s">
        <v>41</v>
      </c>
      <c r="AI273">
        <v>43.016482167900001</v>
      </c>
      <c r="AJ273">
        <v>-88.434111625</v>
      </c>
      <c r="AK273">
        <v>-5.0832100001230174E-5</v>
      </c>
      <c r="AL273">
        <v>4.137499999501415E-5</v>
      </c>
      <c r="AM273" t="str">
        <f>_xlfn.IFNA(VLOOKUP(Sheet1!$C273,ADMIX_ALL!A:B,2,FALSE),"none")</f>
        <v>K6-18</v>
      </c>
      <c r="AN273" t="str">
        <f>_xlfn.IFNA(VLOOKUP(Sheet1!C273,ADMIX_SS!A:B,2,FALSE),"none")</f>
        <v>SubSample</v>
      </c>
      <c r="AO273" t="str">
        <f>_xlfn.IFNA(VLOOKUP(Sheet1!$C273,MONG_PHYLO!A:C,3,FALSE),"-")</f>
        <v>-</v>
      </c>
      <c r="AP273" t="str">
        <f>_xlfn.IFNA(VLOOKUP(Sheet1!$C273,MAC_PHYLO!A:C,3,FALSE),"-")</f>
        <v>-</v>
      </c>
      <c r="AQ273" t="str">
        <f>_xlfn.IFNA(VLOOKUP(Sheet1!$C273,ConStruct!A:C,3,FALSE),"-")</f>
        <v>ConStruct</v>
      </c>
      <c r="AR273" t="str">
        <f>_xlfn.IFNA(VLOOKUP(Sheet1!$C273,GEA!A:C,3,FALSE),"-")</f>
        <v>GEA</v>
      </c>
      <c r="AS273" t="str">
        <f>_xlfn.IFNA(VLOOKUP(Sheet1!$C273,MAC_DSUITE!A:D,3,FALSE),"-")</f>
        <v>mac_WI_WFS</v>
      </c>
      <c r="AT273" t="str">
        <f>_xlfn.IFNA(VLOOKUP(Sheet1!$C273,MONG_DSUITE!A:E,2,FALSE),"-")</f>
        <v>macrocarpa_WFS</v>
      </c>
      <c r="AU273" t="str">
        <f>_xlfn.IFNA(VLOOKUP(Sheet1!$C273,MAC_PAINT2!A:D,4,FALSE),"-")</f>
        <v>macpaint</v>
      </c>
      <c r="AV273" t="s">
        <v>9193</v>
      </c>
      <c r="AW273" t="s">
        <v>9193</v>
      </c>
    </row>
    <row r="274" spans="1:49" customFormat="1" x14ac:dyDescent="0.4">
      <c r="A274">
        <v>3725</v>
      </c>
      <c r="B274" t="s">
        <v>2352</v>
      </c>
      <c r="C274" t="s">
        <v>2353</v>
      </c>
      <c r="D274" t="str">
        <f>_xlfn.CONCAT(C274,".bam")</f>
        <v>SYST-MOR-0006962.bam</v>
      </c>
      <c r="E274" t="s">
        <v>2354</v>
      </c>
      <c r="F274" t="s">
        <v>2468</v>
      </c>
      <c r="G274" t="s">
        <v>2471</v>
      </c>
      <c r="H274" t="s">
        <v>2557</v>
      </c>
      <c r="I274" t="s">
        <v>2348</v>
      </c>
      <c r="K274" t="s">
        <v>45</v>
      </c>
      <c r="L274" t="s">
        <v>45</v>
      </c>
      <c r="N274" t="s">
        <v>45</v>
      </c>
      <c r="P274" t="s">
        <v>31</v>
      </c>
      <c r="Q274" t="s">
        <v>46</v>
      </c>
      <c r="R274" t="s">
        <v>2597</v>
      </c>
      <c r="S274" s="1">
        <v>44764</v>
      </c>
      <c r="T274" t="s">
        <v>33</v>
      </c>
      <c r="U274" t="s">
        <v>34</v>
      </c>
      <c r="V274" s="1">
        <v>44764</v>
      </c>
      <c r="W274" t="s">
        <v>35</v>
      </c>
      <c r="X274" t="s">
        <v>2298</v>
      </c>
      <c r="Y274" t="s">
        <v>2347</v>
      </c>
      <c r="Z274" t="s">
        <v>38</v>
      </c>
      <c r="AA274" t="s">
        <v>2348</v>
      </c>
      <c r="AD274" t="s">
        <v>45</v>
      </c>
      <c r="AE274">
        <v>43.016871000000002</v>
      </c>
      <c r="AF274">
        <v>-88.435539000000006</v>
      </c>
      <c r="AG274" t="s">
        <v>40</v>
      </c>
      <c r="AH274" t="s">
        <v>41</v>
      </c>
      <c r="AI274">
        <v>43.017079923300003</v>
      </c>
      <c r="AJ274">
        <v>-88.4355637898</v>
      </c>
      <c r="AK274">
        <v>2.0892330000066295E-4</v>
      </c>
      <c r="AL274">
        <v>-2.4789799994096029E-5</v>
      </c>
      <c r="AM274" t="str">
        <f>_xlfn.IFNA(VLOOKUP(Sheet1!$C274,ADMIX_ALL!A:B,2,FALSE),"none")</f>
        <v>K6-18</v>
      </c>
      <c r="AN274" t="str">
        <f>_xlfn.IFNA(VLOOKUP(Sheet1!C274,ADMIX_SS!A:B,2,FALSE),"none")</f>
        <v>SubSample</v>
      </c>
      <c r="AO274" t="str">
        <f>_xlfn.IFNA(VLOOKUP(Sheet1!$C274,MONG_PHYLO!A:C,3,FALSE),"-")</f>
        <v>-</v>
      </c>
      <c r="AP274" t="str">
        <f>_xlfn.IFNA(VLOOKUP(Sheet1!$C274,MAC_PHYLO!A:C,3,FALSE),"-")</f>
        <v>-</v>
      </c>
      <c r="AQ274" t="str">
        <f>_xlfn.IFNA(VLOOKUP(Sheet1!$C274,ConStruct!A:C,3,FALSE),"-")</f>
        <v>ConStruct</v>
      </c>
      <c r="AR274" t="str">
        <f>_xlfn.IFNA(VLOOKUP(Sheet1!$C274,GEA!A:C,3,FALSE),"-")</f>
        <v>GEA</v>
      </c>
      <c r="AS274" t="str">
        <f>_xlfn.IFNA(VLOOKUP(Sheet1!$C274,MAC_DSUITE!A:D,3,FALSE),"-")</f>
        <v>mac_WI_WFS</v>
      </c>
      <c r="AT274" t="str">
        <f>_xlfn.IFNA(VLOOKUP(Sheet1!$C274,MONG_DSUITE!A:E,2,FALSE),"-")</f>
        <v>macrocarpa_WFS</v>
      </c>
      <c r="AU274" t="str">
        <f>_xlfn.IFNA(VLOOKUP(Sheet1!$C274,MAC_PAINT2!A:D,4,FALSE),"-")</f>
        <v>macpaint</v>
      </c>
      <c r="AV274" t="s">
        <v>9193</v>
      </c>
      <c r="AW274" t="s">
        <v>9193</v>
      </c>
    </row>
    <row r="275" spans="1:49" customFormat="1" x14ac:dyDescent="0.4">
      <c r="A275">
        <v>3726</v>
      </c>
      <c r="B275" t="s">
        <v>2355</v>
      </c>
      <c r="C275" t="s">
        <v>2356</v>
      </c>
      <c r="D275" t="str">
        <f>_xlfn.CONCAT(C275,".bam")</f>
        <v>SYST-MOR-0006963.bam</v>
      </c>
      <c r="E275" t="s">
        <v>2357</v>
      </c>
      <c r="F275" t="s">
        <v>2468</v>
      </c>
      <c r="G275" t="s">
        <v>2471</v>
      </c>
      <c r="H275" t="s">
        <v>2557</v>
      </c>
      <c r="I275" t="s">
        <v>2348</v>
      </c>
      <c r="K275" t="s">
        <v>45</v>
      </c>
      <c r="L275" t="s">
        <v>45</v>
      </c>
      <c r="N275" t="s">
        <v>45</v>
      </c>
      <c r="P275" t="s">
        <v>31</v>
      </c>
      <c r="Q275" t="s">
        <v>46</v>
      </c>
      <c r="R275" t="s">
        <v>2597</v>
      </c>
      <c r="S275" s="1">
        <v>44764</v>
      </c>
      <c r="T275" t="s">
        <v>33</v>
      </c>
      <c r="U275" t="s">
        <v>34</v>
      </c>
      <c r="V275" s="1">
        <v>44764</v>
      </c>
      <c r="W275" t="s">
        <v>35</v>
      </c>
      <c r="X275" t="s">
        <v>2298</v>
      </c>
      <c r="Y275" t="s">
        <v>2347</v>
      </c>
      <c r="Z275" t="s">
        <v>38</v>
      </c>
      <c r="AA275" t="s">
        <v>2348</v>
      </c>
      <c r="AD275" t="s">
        <v>45</v>
      </c>
      <c r="AE275">
        <v>43.017411000000003</v>
      </c>
      <c r="AF275">
        <v>-88.436648000000005</v>
      </c>
      <c r="AG275" t="s">
        <v>40</v>
      </c>
      <c r="AH275" t="s">
        <v>41</v>
      </c>
      <c r="AI275">
        <v>43.0175433227</v>
      </c>
      <c r="AJ275">
        <v>-88.436457443699993</v>
      </c>
      <c r="AK275">
        <v>1.3232269999718937E-4</v>
      </c>
      <c r="AL275">
        <v>1.9055630001219015E-4</v>
      </c>
      <c r="AM275" t="str">
        <f>_xlfn.IFNA(VLOOKUP(Sheet1!$C275,ADMIX_ALL!A:B,2,FALSE),"none")</f>
        <v>K6-18</v>
      </c>
      <c r="AN275" t="str">
        <f>_xlfn.IFNA(VLOOKUP(Sheet1!C275,ADMIX_SS!A:B,2,FALSE),"none")</f>
        <v>SubSample</v>
      </c>
      <c r="AO275" t="str">
        <f>_xlfn.IFNA(VLOOKUP(Sheet1!$C275,MONG_PHYLO!A:C,3,FALSE),"-")</f>
        <v>-</v>
      </c>
      <c r="AP275" t="str">
        <f>_xlfn.IFNA(VLOOKUP(Sheet1!$C275,MAC_PHYLO!A:C,3,FALSE),"-")</f>
        <v>-</v>
      </c>
      <c r="AQ275" t="str">
        <f>_xlfn.IFNA(VLOOKUP(Sheet1!$C275,ConStruct!A:C,3,FALSE),"-")</f>
        <v>ConStruct</v>
      </c>
      <c r="AR275" t="str">
        <f>_xlfn.IFNA(VLOOKUP(Sheet1!$C275,GEA!A:C,3,FALSE),"-")</f>
        <v>GEA</v>
      </c>
      <c r="AS275" t="str">
        <f>_xlfn.IFNA(VLOOKUP(Sheet1!$C275,MAC_DSUITE!A:D,3,FALSE),"-")</f>
        <v>mac_WI_WFS</v>
      </c>
      <c r="AT275" t="str">
        <f>_xlfn.IFNA(VLOOKUP(Sheet1!$C275,MONG_DSUITE!A:E,2,FALSE),"-")</f>
        <v>macrocarpa_WFS</v>
      </c>
      <c r="AU275" t="str">
        <f>_xlfn.IFNA(VLOOKUP(Sheet1!$C275,MAC_PAINT2!A:D,4,FALSE),"-")</f>
        <v>macpaint</v>
      </c>
      <c r="AV275" t="s">
        <v>9193</v>
      </c>
      <c r="AW275" t="s">
        <v>9193</v>
      </c>
    </row>
    <row r="276" spans="1:49" customFormat="1" x14ac:dyDescent="0.4">
      <c r="A276">
        <v>3727</v>
      </c>
      <c r="B276" t="s">
        <v>2358</v>
      </c>
      <c r="C276" t="s">
        <v>2359</v>
      </c>
      <c r="D276" t="str">
        <f>_xlfn.CONCAT(C276,".bam")</f>
        <v>SYST-MOR-0006964.bam</v>
      </c>
      <c r="E276" t="s">
        <v>2360</v>
      </c>
      <c r="F276" t="s">
        <v>2468</v>
      </c>
      <c r="G276" t="s">
        <v>2471</v>
      </c>
      <c r="H276" t="s">
        <v>2557</v>
      </c>
      <c r="I276" t="s">
        <v>2348</v>
      </c>
      <c r="K276" t="s">
        <v>64</v>
      </c>
      <c r="L276" t="s">
        <v>64</v>
      </c>
      <c r="N276" t="s">
        <v>64</v>
      </c>
      <c r="P276" t="s">
        <v>31</v>
      </c>
      <c r="Q276" t="s">
        <v>65</v>
      </c>
      <c r="R276" t="s">
        <v>2599</v>
      </c>
      <c r="S276" s="1">
        <v>44764</v>
      </c>
      <c r="T276" t="s">
        <v>33</v>
      </c>
      <c r="U276" t="s">
        <v>34</v>
      </c>
      <c r="V276" s="1">
        <v>44764</v>
      </c>
      <c r="W276" t="s">
        <v>35</v>
      </c>
      <c r="X276" t="s">
        <v>2298</v>
      </c>
      <c r="Y276" t="s">
        <v>2347</v>
      </c>
      <c r="Z276" t="s">
        <v>38</v>
      </c>
      <c r="AA276" t="s">
        <v>2348</v>
      </c>
      <c r="AD276" t="s">
        <v>64</v>
      </c>
      <c r="AE276">
        <v>43.017992999999997</v>
      </c>
      <c r="AF276">
        <v>-88.43768</v>
      </c>
      <c r="AG276" t="s">
        <v>40</v>
      </c>
      <c r="AH276" t="s">
        <v>41</v>
      </c>
      <c r="AI276">
        <v>43.017875910800001</v>
      </c>
      <c r="AJ276">
        <v>-88.437706204199998</v>
      </c>
      <c r="AK276">
        <v>-1.1708919999620093E-4</v>
      </c>
      <c r="AL276">
        <v>-2.6204199997437172E-5</v>
      </c>
      <c r="AM276" t="str">
        <f>_xlfn.IFNA(VLOOKUP(Sheet1!$C276,ADMIX_ALL!A:B,2,FALSE),"none")</f>
        <v>K6-18</v>
      </c>
      <c r="AN276" t="str">
        <f>_xlfn.IFNA(VLOOKUP(Sheet1!C276,ADMIX_SS!A:B,2,FALSE),"none")</f>
        <v>SubSample</v>
      </c>
      <c r="AO276" t="str">
        <f>_xlfn.IFNA(VLOOKUP(Sheet1!$C276,MONG_PHYLO!A:C,3,FALSE),"-")</f>
        <v>-</v>
      </c>
      <c r="AP276" t="str">
        <f>_xlfn.IFNA(VLOOKUP(Sheet1!$C276,MAC_PHYLO!A:C,3,FALSE),"-")</f>
        <v>-</v>
      </c>
      <c r="AQ276" t="str">
        <f>_xlfn.IFNA(VLOOKUP(Sheet1!$C276,ConStruct!A:C,3,FALSE),"-")</f>
        <v>-</v>
      </c>
      <c r="AR276" t="str">
        <f>_xlfn.IFNA(VLOOKUP(Sheet1!$C276,GEA!A:C,3,FALSE),"-")</f>
        <v>-</v>
      </c>
      <c r="AS276" t="str">
        <f>_xlfn.IFNA(VLOOKUP(Sheet1!$C276,MAC_DSUITE!A:D,3,FALSE),"-")</f>
        <v>-</v>
      </c>
      <c r="AT276" t="str">
        <f>_xlfn.IFNA(VLOOKUP(Sheet1!$C276,MONG_DSUITE!A:E,2,FALSE),"-")</f>
        <v>xxx</v>
      </c>
      <c r="AU276" t="str">
        <f>_xlfn.IFNA(VLOOKUP(Sheet1!$C276,MAC_PAINT2!A:D,4,FALSE),"-")</f>
        <v>-</v>
      </c>
    </row>
    <row r="277" spans="1:49" customFormat="1" x14ac:dyDescent="0.4">
      <c r="A277">
        <v>3728</v>
      </c>
      <c r="B277" t="s">
        <v>2361</v>
      </c>
      <c r="C277" t="s">
        <v>2362</v>
      </c>
      <c r="D277" t="str">
        <f>_xlfn.CONCAT(C277,".bam")</f>
        <v>SYST-MOR-0006965.bam</v>
      </c>
      <c r="E277" t="s">
        <v>2363</v>
      </c>
      <c r="F277" t="s">
        <v>2468</v>
      </c>
      <c r="G277" t="s">
        <v>2471</v>
      </c>
      <c r="H277" t="s">
        <v>2557</v>
      </c>
      <c r="I277" t="s">
        <v>2348</v>
      </c>
      <c r="K277" t="s">
        <v>64</v>
      </c>
      <c r="L277" t="s">
        <v>64</v>
      </c>
      <c r="N277" t="s">
        <v>64</v>
      </c>
      <c r="P277" t="s">
        <v>31</v>
      </c>
      <c r="Q277" t="s">
        <v>65</v>
      </c>
      <c r="R277" t="s">
        <v>2599</v>
      </c>
      <c r="S277" s="1">
        <v>44764</v>
      </c>
      <c r="T277" t="s">
        <v>33</v>
      </c>
      <c r="U277" t="s">
        <v>34</v>
      </c>
      <c r="V277" s="1">
        <v>44764</v>
      </c>
      <c r="W277" t="s">
        <v>35</v>
      </c>
      <c r="X277" t="s">
        <v>2298</v>
      </c>
      <c r="Y277" t="s">
        <v>2347</v>
      </c>
      <c r="Z277" t="s">
        <v>38</v>
      </c>
      <c r="AA277" t="s">
        <v>2348</v>
      </c>
      <c r="AD277" t="s">
        <v>64</v>
      </c>
      <c r="AE277">
        <v>43.017924999999998</v>
      </c>
      <c r="AF277">
        <v>-88.438305</v>
      </c>
      <c r="AG277" t="s">
        <v>40</v>
      </c>
      <c r="AH277" t="s">
        <v>41</v>
      </c>
      <c r="AI277">
        <v>43.0179062952</v>
      </c>
      <c r="AJ277">
        <v>-88.438301906099994</v>
      </c>
      <c r="AK277">
        <v>-1.8704799998658928E-5</v>
      </c>
      <c r="AL277">
        <v>3.0939000055241195E-6</v>
      </c>
      <c r="AM277" t="str">
        <f>_xlfn.IFNA(VLOOKUP(Sheet1!$C277,ADMIX_ALL!A:B,2,FALSE),"none")</f>
        <v>K6-18</v>
      </c>
      <c r="AN277" t="str">
        <f>_xlfn.IFNA(VLOOKUP(Sheet1!C277,ADMIX_SS!A:B,2,FALSE),"none")</f>
        <v>SubSample</v>
      </c>
      <c r="AO277" t="str">
        <f>_xlfn.IFNA(VLOOKUP(Sheet1!$C277,MONG_PHYLO!A:C,3,FALSE),"-")</f>
        <v>-</v>
      </c>
      <c r="AP277" t="str">
        <f>_xlfn.IFNA(VLOOKUP(Sheet1!$C277,MAC_PHYLO!A:C,3,FALSE),"-")</f>
        <v>-</v>
      </c>
      <c r="AQ277" t="str">
        <f>_xlfn.IFNA(VLOOKUP(Sheet1!$C277,ConStruct!A:C,3,FALSE),"-")</f>
        <v>-</v>
      </c>
      <c r="AR277" t="str">
        <f>_xlfn.IFNA(VLOOKUP(Sheet1!$C277,GEA!A:C,3,FALSE),"-")</f>
        <v>-</v>
      </c>
      <c r="AS277" t="str">
        <f>_xlfn.IFNA(VLOOKUP(Sheet1!$C277,MAC_DSUITE!A:D,3,FALSE),"-")</f>
        <v>-</v>
      </c>
      <c r="AT277" t="str">
        <f>_xlfn.IFNA(VLOOKUP(Sheet1!$C277,MONG_DSUITE!A:E,2,FALSE),"-")</f>
        <v>xxx</v>
      </c>
      <c r="AU277" t="str">
        <f>_xlfn.IFNA(VLOOKUP(Sheet1!$C277,MAC_PAINT2!A:D,4,FALSE),"-")</f>
        <v>-</v>
      </c>
    </row>
    <row r="278" spans="1:49" customFormat="1" x14ac:dyDescent="0.4">
      <c r="A278">
        <v>3729</v>
      </c>
      <c r="B278" t="s">
        <v>2364</v>
      </c>
      <c r="C278" t="s">
        <v>2365</v>
      </c>
      <c r="D278" t="str">
        <f>_xlfn.CONCAT(C278,".bam")</f>
        <v>SYST-MOR-0006966.bam</v>
      </c>
      <c r="E278" t="s">
        <v>2366</v>
      </c>
      <c r="F278" t="s">
        <v>2468</v>
      </c>
      <c r="G278" t="s">
        <v>2471</v>
      </c>
      <c r="H278" t="s">
        <v>2557</v>
      </c>
      <c r="I278" t="s">
        <v>2348</v>
      </c>
      <c r="K278" t="s">
        <v>64</v>
      </c>
      <c r="L278" t="s">
        <v>64</v>
      </c>
      <c r="N278" t="s">
        <v>64</v>
      </c>
      <c r="P278" t="s">
        <v>31</v>
      </c>
      <c r="Q278" t="s">
        <v>65</v>
      </c>
      <c r="R278" t="s">
        <v>2599</v>
      </c>
      <c r="S278" s="1">
        <v>44764</v>
      </c>
      <c r="T278" t="s">
        <v>33</v>
      </c>
      <c r="U278" t="s">
        <v>34</v>
      </c>
      <c r="V278" s="1">
        <v>44764</v>
      </c>
      <c r="W278" t="s">
        <v>35</v>
      </c>
      <c r="X278" t="s">
        <v>2298</v>
      </c>
      <c r="Y278" t="s">
        <v>2347</v>
      </c>
      <c r="Z278" t="s">
        <v>38</v>
      </c>
      <c r="AA278" t="s">
        <v>2348</v>
      </c>
      <c r="AD278" t="s">
        <v>64</v>
      </c>
      <c r="AE278">
        <v>43.018248</v>
      </c>
      <c r="AF278">
        <v>-88.439409999999995</v>
      </c>
      <c r="AG278" t="s">
        <v>40</v>
      </c>
      <c r="AH278" t="s">
        <v>41</v>
      </c>
      <c r="AI278">
        <v>43.018181515000002</v>
      </c>
      <c r="AJ278">
        <v>-88.439411418600002</v>
      </c>
      <c r="AK278">
        <v>-6.6484999997840077E-5</v>
      </c>
      <c r="AL278">
        <v>-1.4186000072413663E-6</v>
      </c>
      <c r="AM278" t="str">
        <f>_xlfn.IFNA(VLOOKUP(Sheet1!$C278,ADMIX_ALL!A:B,2,FALSE),"none")</f>
        <v>K6-18</v>
      </c>
      <c r="AN278" t="str">
        <f>_xlfn.IFNA(VLOOKUP(Sheet1!C278,ADMIX_SS!A:B,2,FALSE),"none")</f>
        <v>SubSample</v>
      </c>
      <c r="AO278" t="str">
        <f>_xlfn.IFNA(VLOOKUP(Sheet1!$C278,MONG_PHYLO!A:C,3,FALSE),"-")</f>
        <v>-</v>
      </c>
      <c r="AP278" t="str">
        <f>_xlfn.IFNA(VLOOKUP(Sheet1!$C278,MAC_PHYLO!A:C,3,FALSE),"-")</f>
        <v>-</v>
      </c>
      <c r="AQ278" t="str">
        <f>_xlfn.IFNA(VLOOKUP(Sheet1!$C278,ConStruct!A:C,3,FALSE),"-")</f>
        <v>-</v>
      </c>
      <c r="AR278" t="str">
        <f>_xlfn.IFNA(VLOOKUP(Sheet1!$C278,GEA!A:C,3,FALSE),"-")</f>
        <v>-</v>
      </c>
      <c r="AS278" t="str">
        <f>_xlfn.IFNA(VLOOKUP(Sheet1!$C278,MAC_DSUITE!A:D,3,FALSE),"-")</f>
        <v>-</v>
      </c>
      <c r="AT278" t="str">
        <f>_xlfn.IFNA(VLOOKUP(Sheet1!$C278,MONG_DSUITE!A:E,2,FALSE),"-")</f>
        <v>xxx</v>
      </c>
      <c r="AU278" t="str">
        <f>_xlfn.IFNA(VLOOKUP(Sheet1!$C278,MAC_PAINT2!A:D,4,FALSE),"-")</f>
        <v>-</v>
      </c>
    </row>
    <row r="279" spans="1:49" customFormat="1" x14ac:dyDescent="0.4">
      <c r="A279">
        <v>3730</v>
      </c>
      <c r="B279" t="s">
        <v>2367</v>
      </c>
      <c r="C279" t="s">
        <v>2368</v>
      </c>
      <c r="D279" t="str">
        <f>_xlfn.CONCAT(C279,".bam")</f>
        <v>SYST-MOR-0006967.bam</v>
      </c>
      <c r="E279" t="s">
        <v>2369</v>
      </c>
      <c r="F279" t="s">
        <v>2468</v>
      </c>
      <c r="G279" t="s">
        <v>2471</v>
      </c>
      <c r="H279" t="s">
        <v>2557</v>
      </c>
      <c r="I279" t="s">
        <v>2348</v>
      </c>
      <c r="K279" t="s">
        <v>64</v>
      </c>
      <c r="L279" t="s">
        <v>64</v>
      </c>
      <c r="N279" t="s">
        <v>64</v>
      </c>
      <c r="P279" t="s">
        <v>31</v>
      </c>
      <c r="Q279" t="s">
        <v>65</v>
      </c>
      <c r="R279" t="s">
        <v>2599</v>
      </c>
      <c r="S279" s="1">
        <v>44764</v>
      </c>
      <c r="T279" t="s">
        <v>33</v>
      </c>
      <c r="U279" t="s">
        <v>34</v>
      </c>
      <c r="V279" s="1">
        <v>44764</v>
      </c>
      <c r="W279" t="s">
        <v>35</v>
      </c>
      <c r="X279" t="s">
        <v>2298</v>
      </c>
      <c r="Y279" t="s">
        <v>2347</v>
      </c>
      <c r="Z279" t="s">
        <v>38</v>
      </c>
      <c r="AA279" t="s">
        <v>2348</v>
      </c>
      <c r="AD279" t="s">
        <v>64</v>
      </c>
      <c r="AE279">
        <v>43.017823999999997</v>
      </c>
      <c r="AF279">
        <v>-88.440448000000004</v>
      </c>
      <c r="AG279" t="s">
        <v>40</v>
      </c>
      <c r="AH279" t="s">
        <v>41</v>
      </c>
      <c r="AI279">
        <v>43.017825242199997</v>
      </c>
      <c r="AJ279">
        <v>-88.440506514199996</v>
      </c>
      <c r="AK279">
        <v>1.2421999997513922E-6</v>
      </c>
      <c r="AL279">
        <v>-5.8514199992032445E-5</v>
      </c>
      <c r="AM279" t="str">
        <f>_xlfn.IFNA(VLOOKUP(Sheet1!$C279,ADMIX_ALL!A:B,2,FALSE),"none")</f>
        <v>K6-18</v>
      </c>
      <c r="AN279" t="str">
        <f>_xlfn.IFNA(VLOOKUP(Sheet1!C279,ADMIX_SS!A:B,2,FALSE),"none")</f>
        <v>SubSample</v>
      </c>
      <c r="AO279" t="str">
        <f>_xlfn.IFNA(VLOOKUP(Sheet1!$C279,MONG_PHYLO!A:C,3,FALSE),"-")</f>
        <v>-</v>
      </c>
      <c r="AP279" t="str">
        <f>_xlfn.IFNA(VLOOKUP(Sheet1!$C279,MAC_PHYLO!A:C,3,FALSE),"-")</f>
        <v>-</v>
      </c>
      <c r="AQ279" t="str">
        <f>_xlfn.IFNA(VLOOKUP(Sheet1!$C279,ConStruct!A:C,3,FALSE),"-")</f>
        <v>-</v>
      </c>
      <c r="AR279" t="str">
        <f>_xlfn.IFNA(VLOOKUP(Sheet1!$C279,GEA!A:C,3,FALSE),"-")</f>
        <v>-</v>
      </c>
      <c r="AS279" t="str">
        <f>_xlfn.IFNA(VLOOKUP(Sheet1!$C279,MAC_DSUITE!A:D,3,FALSE),"-")</f>
        <v>-</v>
      </c>
      <c r="AT279" t="str">
        <f>_xlfn.IFNA(VLOOKUP(Sheet1!$C279,MONG_DSUITE!A:E,2,FALSE),"-")</f>
        <v>xxx</v>
      </c>
      <c r="AU279" t="str">
        <f>_xlfn.IFNA(VLOOKUP(Sheet1!$C279,MAC_PAINT2!A:D,4,FALSE),"-")</f>
        <v>-</v>
      </c>
    </row>
    <row r="280" spans="1:49" customFormat="1" x14ac:dyDescent="0.4">
      <c r="A280">
        <v>3731</v>
      </c>
      <c r="B280" t="s">
        <v>2370</v>
      </c>
      <c r="C280" t="s">
        <v>2371</v>
      </c>
      <c r="D280" t="str">
        <f>_xlfn.CONCAT(C280,".bam")</f>
        <v>SYST-MOR-0006968.bam</v>
      </c>
      <c r="E280" t="s">
        <v>2372</v>
      </c>
      <c r="F280" t="s">
        <v>2468</v>
      </c>
      <c r="G280" t="s">
        <v>2471</v>
      </c>
      <c r="H280" t="s">
        <v>2557</v>
      </c>
      <c r="I280" t="s">
        <v>2348</v>
      </c>
      <c r="K280" t="s">
        <v>45</v>
      </c>
      <c r="L280" t="s">
        <v>45</v>
      </c>
      <c r="N280" t="s">
        <v>45</v>
      </c>
      <c r="P280" t="s">
        <v>31</v>
      </c>
      <c r="Q280" t="s">
        <v>46</v>
      </c>
      <c r="R280" t="s">
        <v>2597</v>
      </c>
      <c r="S280" s="1">
        <v>44764</v>
      </c>
      <c r="T280" t="s">
        <v>33</v>
      </c>
      <c r="U280" t="s">
        <v>34</v>
      </c>
      <c r="V280" s="1">
        <v>44764</v>
      </c>
      <c r="W280" t="s">
        <v>35</v>
      </c>
      <c r="X280" t="s">
        <v>2298</v>
      </c>
      <c r="Y280" t="s">
        <v>2347</v>
      </c>
      <c r="Z280" t="s">
        <v>38</v>
      </c>
      <c r="AA280" t="s">
        <v>2348</v>
      </c>
      <c r="AD280" t="s">
        <v>45</v>
      </c>
      <c r="AE280">
        <v>43.017806999999998</v>
      </c>
      <c r="AF280">
        <v>-88.440777999999995</v>
      </c>
      <c r="AG280" t="s">
        <v>40</v>
      </c>
      <c r="AH280" t="s">
        <v>41</v>
      </c>
      <c r="AI280">
        <v>43.017804497</v>
      </c>
      <c r="AJ280">
        <v>-88.440753696599998</v>
      </c>
      <c r="AK280">
        <v>-2.5029999974890416E-6</v>
      </c>
      <c r="AL280">
        <v>2.4303399996483677E-5</v>
      </c>
      <c r="AM280" t="str">
        <f>_xlfn.IFNA(VLOOKUP(Sheet1!$C280,ADMIX_ALL!A:B,2,FALSE),"none")</f>
        <v>K6-18</v>
      </c>
      <c r="AN280" t="str">
        <f>_xlfn.IFNA(VLOOKUP(Sheet1!C280,ADMIX_SS!A:B,2,FALSE),"none")</f>
        <v>SubSample</v>
      </c>
      <c r="AO280" t="str">
        <f>_xlfn.IFNA(VLOOKUP(Sheet1!$C280,MONG_PHYLO!A:C,3,FALSE),"-")</f>
        <v>-</v>
      </c>
      <c r="AP280" t="str">
        <f>_xlfn.IFNA(VLOOKUP(Sheet1!$C280,MAC_PHYLO!A:C,3,FALSE),"-")</f>
        <v>-</v>
      </c>
      <c r="AQ280" t="str">
        <f>_xlfn.IFNA(VLOOKUP(Sheet1!$C280,ConStruct!A:C,3,FALSE),"-")</f>
        <v>ConStruct</v>
      </c>
      <c r="AR280" t="str">
        <f>_xlfn.IFNA(VLOOKUP(Sheet1!$C280,GEA!A:C,3,FALSE),"-")</f>
        <v>GEA</v>
      </c>
      <c r="AS280" t="str">
        <f>_xlfn.IFNA(VLOOKUP(Sheet1!$C280,MAC_DSUITE!A:D,3,FALSE),"-")</f>
        <v>mac_WI_WFS</v>
      </c>
      <c r="AT280" t="str">
        <f>_xlfn.IFNA(VLOOKUP(Sheet1!$C280,MONG_DSUITE!A:E,2,FALSE),"-")</f>
        <v>macrocarpa_WFS</v>
      </c>
      <c r="AU280" t="str">
        <f>_xlfn.IFNA(VLOOKUP(Sheet1!$C280,MAC_PAINT2!A:D,4,FALSE),"-")</f>
        <v>macpaint</v>
      </c>
      <c r="AV280" t="s">
        <v>9193</v>
      </c>
      <c r="AW280" t="s">
        <v>9193</v>
      </c>
    </row>
    <row r="281" spans="1:49" customFormat="1" x14ac:dyDescent="0.4">
      <c r="A281">
        <v>3732</v>
      </c>
      <c r="B281" t="s">
        <v>2373</v>
      </c>
      <c r="C281" t="s">
        <v>2374</v>
      </c>
      <c r="D281" t="str">
        <f>_xlfn.CONCAT(C281,".bam")</f>
        <v>SYST-MOR-0006969.bam</v>
      </c>
      <c r="E281" t="s">
        <v>2375</v>
      </c>
      <c r="F281" t="s">
        <v>2468</v>
      </c>
      <c r="G281" t="s">
        <v>2471</v>
      </c>
      <c r="H281" t="s">
        <v>2557</v>
      </c>
      <c r="I281" t="s">
        <v>2348</v>
      </c>
      <c r="K281" t="s">
        <v>64</v>
      </c>
      <c r="L281" t="s">
        <v>64</v>
      </c>
      <c r="N281" t="s">
        <v>64</v>
      </c>
      <c r="P281" t="s">
        <v>31</v>
      </c>
      <c r="Q281" t="s">
        <v>155</v>
      </c>
      <c r="R281" t="s">
        <v>2599</v>
      </c>
      <c r="S281" s="1">
        <v>44764</v>
      </c>
      <c r="T281" t="s">
        <v>33</v>
      </c>
      <c r="U281" t="s">
        <v>34</v>
      </c>
      <c r="V281" s="1">
        <v>44764</v>
      </c>
      <c r="W281" t="s">
        <v>35</v>
      </c>
      <c r="X281" t="s">
        <v>2298</v>
      </c>
      <c r="Y281" t="s">
        <v>2347</v>
      </c>
      <c r="Z281" t="s">
        <v>38</v>
      </c>
      <c r="AA281" t="s">
        <v>2348</v>
      </c>
      <c r="AD281" t="s">
        <v>64</v>
      </c>
      <c r="AE281">
        <v>43.017679999999999</v>
      </c>
      <c r="AF281">
        <v>-88.441062000000002</v>
      </c>
      <c r="AG281" t="s">
        <v>40</v>
      </c>
      <c r="AH281" t="s">
        <v>41</v>
      </c>
      <c r="AI281">
        <v>43.017659993000002</v>
      </c>
      <c r="AJ281">
        <v>-88.441016553099999</v>
      </c>
      <c r="AK281">
        <v>-2.0006999996269315E-5</v>
      </c>
      <c r="AL281">
        <v>4.5446900003298651E-5</v>
      </c>
      <c r="AM281" t="str">
        <f>_xlfn.IFNA(VLOOKUP(Sheet1!$C281,ADMIX_ALL!A:B,2,FALSE),"none")</f>
        <v>K6-18</v>
      </c>
      <c r="AN281" t="str">
        <f>_xlfn.IFNA(VLOOKUP(Sheet1!C281,ADMIX_SS!A:B,2,FALSE),"none")</f>
        <v>none</v>
      </c>
      <c r="AO281" t="str">
        <f>_xlfn.IFNA(VLOOKUP(Sheet1!$C281,MONG_PHYLO!A:C,3,FALSE),"-")</f>
        <v>-</v>
      </c>
      <c r="AP281" t="str">
        <f>_xlfn.IFNA(VLOOKUP(Sheet1!$C281,MAC_PHYLO!A:C,3,FALSE),"-")</f>
        <v>-</v>
      </c>
      <c r="AQ281" t="str">
        <f>_xlfn.IFNA(VLOOKUP(Sheet1!$C281,ConStruct!A:C,3,FALSE),"-")</f>
        <v>-</v>
      </c>
      <c r="AR281" t="str">
        <f>_xlfn.IFNA(VLOOKUP(Sheet1!$C281,GEA!A:C,3,FALSE),"-")</f>
        <v>-</v>
      </c>
      <c r="AS281" t="str">
        <f>_xlfn.IFNA(VLOOKUP(Sheet1!$C281,MAC_DSUITE!A:D,3,FALSE),"-")</f>
        <v>-</v>
      </c>
      <c r="AT281" t="str">
        <f>_xlfn.IFNA(VLOOKUP(Sheet1!$C281,MONG_DSUITE!A:E,2,FALSE),"-")</f>
        <v>xxx</v>
      </c>
      <c r="AU281" t="str">
        <f>_xlfn.IFNA(VLOOKUP(Sheet1!$C281,MAC_PAINT2!A:D,4,FALSE),"-")</f>
        <v>-</v>
      </c>
    </row>
    <row r="282" spans="1:49" customFormat="1" x14ac:dyDescent="0.4">
      <c r="A282">
        <v>3733</v>
      </c>
      <c r="B282" t="s">
        <v>1817</v>
      </c>
      <c r="C282" t="s">
        <v>1818</v>
      </c>
      <c r="D282" t="str">
        <f>_xlfn.CONCAT(C282,".bam")</f>
        <v>SYST-MOR-0006970.bam</v>
      </c>
      <c r="E282" t="s">
        <v>1819</v>
      </c>
      <c r="F282" t="s">
        <v>2454</v>
      </c>
      <c r="G282" t="s">
        <v>2455</v>
      </c>
      <c r="H282" t="s">
        <v>2542</v>
      </c>
      <c r="I282" t="s">
        <v>1822</v>
      </c>
      <c r="K282" t="s">
        <v>143</v>
      </c>
      <c r="L282" t="s">
        <v>143</v>
      </c>
      <c r="N282" t="s">
        <v>143</v>
      </c>
      <c r="P282" t="s">
        <v>31</v>
      </c>
      <c r="Q282" t="s">
        <v>144</v>
      </c>
      <c r="R282" t="s">
        <v>2601</v>
      </c>
      <c r="S282" s="1">
        <v>44768</v>
      </c>
      <c r="T282" t="s">
        <v>33</v>
      </c>
      <c r="U282" t="s">
        <v>34</v>
      </c>
      <c r="V282" s="1">
        <v>44770</v>
      </c>
      <c r="W282" t="s">
        <v>35</v>
      </c>
      <c r="X282" t="s">
        <v>1820</v>
      </c>
      <c r="Y282" t="s">
        <v>1821</v>
      </c>
      <c r="Z282" t="s">
        <v>206</v>
      </c>
      <c r="AA282" t="s">
        <v>1822</v>
      </c>
      <c r="AD282" t="s">
        <v>143</v>
      </c>
      <c r="AE282">
        <v>41.553216999999997</v>
      </c>
      <c r="AF282">
        <v>-84.361215000000001</v>
      </c>
      <c r="AG282" t="s">
        <v>40</v>
      </c>
      <c r="AH282" t="s">
        <v>41</v>
      </c>
      <c r="AI282">
        <v>41.553294641599997</v>
      </c>
      <c r="AJ282">
        <v>-84.361376725100001</v>
      </c>
      <c r="AK282">
        <v>7.7641600000788458E-5</v>
      </c>
      <c r="AL282">
        <v>-1.617250999998987E-4</v>
      </c>
      <c r="AM282" t="str">
        <f>_xlfn.IFNA(VLOOKUP(Sheet1!$C282,ADMIX_ALL!A:B,2,FALSE),"none")</f>
        <v>K6-18</v>
      </c>
      <c r="AN282" t="str">
        <f>_xlfn.IFNA(VLOOKUP(Sheet1!C282,ADMIX_SS!A:B,2,FALSE),"none")</f>
        <v>Constant</v>
      </c>
      <c r="AO282" t="str">
        <f>_xlfn.IFNA(VLOOKUP(Sheet1!$C282,MONG_PHYLO!A:C,3,FALSE),"-")</f>
        <v>bic</v>
      </c>
      <c r="AP282" t="str">
        <f>_xlfn.IFNA(VLOOKUP(Sheet1!$C282,MAC_PHYLO!A:C,3,FALSE),"-")</f>
        <v>bic</v>
      </c>
      <c r="AQ282" t="str">
        <f>_xlfn.IFNA(VLOOKUP(Sheet1!$C282,ConStruct!A:C,3,FALSE),"-")</f>
        <v>-</v>
      </c>
      <c r="AR282" t="str">
        <f>_xlfn.IFNA(VLOOKUP(Sheet1!$C282,GEA!A:C,3,FALSE),"-")</f>
        <v>-</v>
      </c>
      <c r="AS282" t="str">
        <f>_xlfn.IFNA(VLOOKUP(Sheet1!$C282,MAC_DSUITE!A:D,3,FALSE),"-")</f>
        <v>bic</v>
      </c>
      <c r="AT282" t="str">
        <f>_xlfn.IFNA(VLOOKUP(Sheet1!$C282,MONG_DSUITE!A:E,2,FALSE),"-")</f>
        <v>bicolor</v>
      </c>
      <c r="AU282" t="str">
        <f>_xlfn.IFNA(VLOOKUP(Sheet1!$C282,MAC_PAINT2!A:D,4,FALSE),"-")</f>
        <v>bic-macpaint</v>
      </c>
    </row>
    <row r="283" spans="1:49" customFormat="1" x14ac:dyDescent="0.4">
      <c r="A283">
        <v>3734</v>
      </c>
      <c r="B283" t="s">
        <v>1823</v>
      </c>
      <c r="C283" t="s">
        <v>1824</v>
      </c>
      <c r="D283" t="str">
        <f>_xlfn.CONCAT(C283,".bam")</f>
        <v>SYST-MOR-0006971.bam</v>
      </c>
      <c r="E283" t="s">
        <v>1825</v>
      </c>
      <c r="F283" t="s">
        <v>2454</v>
      </c>
      <c r="G283" t="s">
        <v>2455</v>
      </c>
      <c r="H283" t="s">
        <v>2542</v>
      </c>
      <c r="I283" t="s">
        <v>1822</v>
      </c>
      <c r="K283" t="s">
        <v>143</v>
      </c>
      <c r="L283" t="s">
        <v>143</v>
      </c>
      <c r="N283" t="s">
        <v>143</v>
      </c>
      <c r="P283" t="s">
        <v>31</v>
      </c>
      <c r="Q283" t="s">
        <v>144</v>
      </c>
      <c r="R283" t="s">
        <v>2601</v>
      </c>
      <c r="S283" s="1">
        <v>44768</v>
      </c>
      <c r="T283" t="s">
        <v>33</v>
      </c>
      <c r="U283" t="s">
        <v>34</v>
      </c>
      <c r="V283" s="1">
        <v>44770</v>
      </c>
      <c r="W283" t="s">
        <v>35</v>
      </c>
      <c r="X283" t="s">
        <v>1820</v>
      </c>
      <c r="Y283" t="s">
        <v>1826</v>
      </c>
      <c r="Z283" t="s">
        <v>206</v>
      </c>
      <c r="AA283" t="s">
        <v>1822</v>
      </c>
      <c r="AD283" t="s">
        <v>143</v>
      </c>
      <c r="AE283">
        <v>41.553038000000001</v>
      </c>
      <c r="AF283">
        <v>-84.361064999999996</v>
      </c>
      <c r="AG283" t="s">
        <v>40</v>
      </c>
      <c r="AH283" t="s">
        <v>41</v>
      </c>
      <c r="AI283">
        <v>41.553161130299998</v>
      </c>
      <c r="AJ283">
        <v>-84.361231634500001</v>
      </c>
      <c r="AK283">
        <v>1.2313029999688752E-4</v>
      </c>
      <c r="AL283">
        <v>-1.6663450000464763E-4</v>
      </c>
      <c r="AM283" t="str">
        <f>_xlfn.IFNA(VLOOKUP(Sheet1!$C283,ADMIX_ALL!A:B,2,FALSE),"none")</f>
        <v>K6-18</v>
      </c>
      <c r="AN283" t="str">
        <f>_xlfn.IFNA(VLOOKUP(Sheet1!C283,ADMIX_SS!A:B,2,FALSE),"none")</f>
        <v>SubSample</v>
      </c>
      <c r="AO283" t="str">
        <f>_xlfn.IFNA(VLOOKUP(Sheet1!$C283,MONG_PHYLO!A:C,3,FALSE),"-")</f>
        <v>-</v>
      </c>
      <c r="AP283" t="str">
        <f>_xlfn.IFNA(VLOOKUP(Sheet1!$C283,MAC_PHYLO!A:C,3,FALSE),"-")</f>
        <v>-</v>
      </c>
      <c r="AQ283" t="str">
        <f>_xlfn.IFNA(VLOOKUP(Sheet1!$C283,ConStruct!A:C,3,FALSE),"-")</f>
        <v>-</v>
      </c>
      <c r="AR283" t="str">
        <f>_xlfn.IFNA(VLOOKUP(Sheet1!$C283,GEA!A:C,3,FALSE),"-")</f>
        <v>-</v>
      </c>
      <c r="AS283" t="str">
        <f>_xlfn.IFNA(VLOOKUP(Sheet1!$C283,MAC_DSUITE!A:D,3,FALSE),"-")</f>
        <v>-</v>
      </c>
      <c r="AT283" t="str">
        <f>_xlfn.IFNA(VLOOKUP(Sheet1!$C283,MONG_DSUITE!A:E,2,FALSE),"-")</f>
        <v>xxx</v>
      </c>
      <c r="AU283" t="str">
        <f>_xlfn.IFNA(VLOOKUP(Sheet1!$C283,MAC_PAINT2!A:D,4,FALSE),"-")</f>
        <v>-</v>
      </c>
    </row>
    <row r="284" spans="1:49" customFormat="1" x14ac:dyDescent="0.4">
      <c r="A284">
        <v>3735</v>
      </c>
      <c r="B284" t="s">
        <v>1827</v>
      </c>
      <c r="C284" t="s">
        <v>1828</v>
      </c>
      <c r="D284" t="str">
        <f>_xlfn.CONCAT(C284,".bam")</f>
        <v>SYST-MOR-0006972.bam</v>
      </c>
      <c r="E284" t="s">
        <v>1829</v>
      </c>
      <c r="F284" t="s">
        <v>2454</v>
      </c>
      <c r="G284" t="s">
        <v>2455</v>
      </c>
      <c r="H284" t="s">
        <v>2542</v>
      </c>
      <c r="I284" t="s">
        <v>1822</v>
      </c>
      <c r="K284" t="s">
        <v>84</v>
      </c>
      <c r="L284" t="s">
        <v>84</v>
      </c>
      <c r="N284" t="s">
        <v>84</v>
      </c>
      <c r="P284" t="s">
        <v>31</v>
      </c>
      <c r="Q284" t="s">
        <v>85</v>
      </c>
      <c r="R284" t="s">
        <v>2600</v>
      </c>
      <c r="S284" s="1">
        <v>44768</v>
      </c>
      <c r="T284" t="s">
        <v>33</v>
      </c>
      <c r="U284" t="s">
        <v>34</v>
      </c>
      <c r="V284" s="1">
        <v>44770</v>
      </c>
      <c r="W284" t="s">
        <v>35</v>
      </c>
      <c r="X284" t="s">
        <v>1820</v>
      </c>
      <c r="Y284" t="s">
        <v>1821</v>
      </c>
      <c r="Z284" t="s">
        <v>206</v>
      </c>
      <c r="AA284" t="s">
        <v>1822</v>
      </c>
      <c r="AD284" t="s">
        <v>84</v>
      </c>
      <c r="AE284">
        <v>41.551110000000001</v>
      </c>
      <c r="AF284">
        <v>-84.358405000000005</v>
      </c>
      <c r="AG284" t="s">
        <v>40</v>
      </c>
      <c r="AH284" t="s">
        <v>41</v>
      </c>
      <c r="AI284">
        <v>41.551157897400003</v>
      </c>
      <c r="AJ284">
        <v>-84.358630562299993</v>
      </c>
      <c r="AK284">
        <v>4.7897400001772894E-5</v>
      </c>
      <c r="AL284">
        <v>-2.2556229998826893E-4</v>
      </c>
      <c r="AM284" t="str">
        <f>_xlfn.IFNA(VLOOKUP(Sheet1!$C284,ADMIX_ALL!A:B,2,FALSE),"none")</f>
        <v>K6-18</v>
      </c>
      <c r="AN284" t="str">
        <f>_xlfn.IFNA(VLOOKUP(Sheet1!C284,ADMIX_SS!A:B,2,FALSE),"none")</f>
        <v>SubSample</v>
      </c>
      <c r="AO284" t="str">
        <f>_xlfn.IFNA(VLOOKUP(Sheet1!$C284,MONG_PHYLO!A:C,3,FALSE),"-")</f>
        <v>-</v>
      </c>
      <c r="AP284" t="str">
        <f>_xlfn.IFNA(VLOOKUP(Sheet1!$C284,MAC_PHYLO!A:C,3,FALSE),"-")</f>
        <v>-</v>
      </c>
      <c r="AQ284" t="str">
        <f>_xlfn.IFNA(VLOOKUP(Sheet1!$C284,ConStruct!A:C,3,FALSE),"-")</f>
        <v>-</v>
      </c>
      <c r="AR284" t="str">
        <f>_xlfn.IFNA(VLOOKUP(Sheet1!$C284,GEA!A:C,3,FALSE),"-")</f>
        <v>-</v>
      </c>
      <c r="AS284" t="str">
        <f>_xlfn.IFNA(VLOOKUP(Sheet1!$C284,MAC_DSUITE!A:D,3,FALSE),"-")</f>
        <v>-</v>
      </c>
      <c r="AT284" t="str">
        <f>_xlfn.IFNA(VLOOKUP(Sheet1!$C284,MONG_DSUITE!A:E,2,FALSE),"-")</f>
        <v>xxx</v>
      </c>
      <c r="AU284" t="str">
        <f>_xlfn.IFNA(VLOOKUP(Sheet1!$C284,MAC_PAINT2!A:D,4,FALSE),"-")</f>
        <v>-</v>
      </c>
    </row>
    <row r="285" spans="1:49" s="16" customFormat="1" x14ac:dyDescent="0.4">
      <c r="A285" s="16">
        <v>3736</v>
      </c>
      <c r="B285" s="16" t="s">
        <v>1830</v>
      </c>
      <c r="C285" s="16" t="s">
        <v>1831</v>
      </c>
      <c r="D285" s="16" t="str">
        <f>_xlfn.CONCAT(C285,".bam")</f>
        <v>SYST-MOR-0006973.bam</v>
      </c>
      <c r="E285" s="16" t="s">
        <v>1832</v>
      </c>
      <c r="F285" s="16" t="s">
        <v>2454</v>
      </c>
      <c r="G285" s="16" t="s">
        <v>2455</v>
      </c>
      <c r="H285" s="16" t="s">
        <v>2542</v>
      </c>
      <c r="I285" s="16" t="s">
        <v>1822</v>
      </c>
      <c r="K285" s="16" t="s">
        <v>45</v>
      </c>
      <c r="L285" s="16" t="s">
        <v>45</v>
      </c>
      <c r="N285" s="16" t="s">
        <v>45</v>
      </c>
      <c r="P285" s="16" t="s">
        <v>31</v>
      </c>
      <c r="Q285" s="16" t="s">
        <v>46</v>
      </c>
      <c r="R285" s="16" t="s">
        <v>2597</v>
      </c>
      <c r="S285" s="17">
        <v>44768</v>
      </c>
      <c r="T285" s="16" t="s">
        <v>33</v>
      </c>
      <c r="U285" s="16" t="s">
        <v>34</v>
      </c>
      <c r="V285" s="17">
        <v>44770</v>
      </c>
      <c r="W285" s="16" t="s">
        <v>35</v>
      </c>
      <c r="X285" s="16" t="s">
        <v>1820</v>
      </c>
      <c r="Y285" s="16" t="s">
        <v>1826</v>
      </c>
      <c r="Z285" s="16" t="s">
        <v>206</v>
      </c>
      <c r="AA285" s="16" t="s">
        <v>1822</v>
      </c>
      <c r="AD285" s="16" t="s">
        <v>45</v>
      </c>
      <c r="AE285" s="16">
        <v>41.550873000000003</v>
      </c>
      <c r="AF285" s="16">
        <v>-84.356967999999995</v>
      </c>
      <c r="AG285" s="16" t="s">
        <v>40</v>
      </c>
      <c r="AH285" s="16" t="s">
        <v>41</v>
      </c>
      <c r="AI285" s="16">
        <v>41.550978315099997</v>
      </c>
      <c r="AJ285" s="16">
        <v>-84.357112096700007</v>
      </c>
      <c r="AK285" s="16">
        <v>1.0531509999367472E-4</v>
      </c>
      <c r="AL285" s="16">
        <v>-1.4409670001214181E-4</v>
      </c>
      <c r="AM285" s="16" t="str">
        <f>_xlfn.IFNA(VLOOKUP(Sheet1!$C285,ADMIX_ALL!A:B,2,FALSE),"none")</f>
        <v>K6-18</v>
      </c>
      <c r="AN285" s="16" t="str">
        <f>_xlfn.IFNA(VLOOKUP(Sheet1!C285,ADMIX_SS!A:B,2,FALSE),"none")</f>
        <v>SubSample</v>
      </c>
      <c r="AO285" s="16" t="str">
        <f>_xlfn.IFNA(VLOOKUP(Sheet1!$C285,MONG_PHYLO!A:C,3,FALSE),"-")</f>
        <v>-</v>
      </c>
      <c r="AP285" s="16" t="str">
        <f>_xlfn.IFNA(VLOOKUP(Sheet1!$C285,MAC_PHYLO!A:C,3,FALSE),"-")</f>
        <v>-</v>
      </c>
      <c r="AQ285" s="16" t="str">
        <f>_xlfn.IFNA(VLOOKUP(Sheet1!$C285,ConStruct!A:C,3,FALSE),"-")</f>
        <v>ConStruct</v>
      </c>
      <c r="AR285" s="16" t="str">
        <f>_xlfn.IFNA(VLOOKUP(Sheet1!$C285,GEA!A:C,3,FALSE),"-")</f>
        <v>GEA</v>
      </c>
      <c r="AS285" s="16" t="str">
        <f>_xlfn.IFNA(VLOOKUP(Sheet1!$C285,MAC_DSUITE!A:D,3,FALSE),"-")</f>
        <v>mac_OH_GLW</v>
      </c>
      <c r="AT285" s="16" t="str">
        <f>_xlfn.IFNA(VLOOKUP(Sheet1!$C285,MONG_DSUITE!A:E,2,FALSE),"-")</f>
        <v>macrocarpa_GLW</v>
      </c>
      <c r="AU285" s="16" t="str">
        <f>_xlfn.IFNA(VLOOKUP(Sheet1!$C285,MAC_PAINT2!A:D,4,FALSE),"-")</f>
        <v>-</v>
      </c>
      <c r="AV285" s="16" t="s">
        <v>9195</v>
      </c>
      <c r="AW285" s="16" t="s">
        <v>9193</v>
      </c>
    </row>
    <row r="286" spans="1:49" customFormat="1" x14ac:dyDescent="0.4">
      <c r="A286">
        <v>3737</v>
      </c>
      <c r="B286" t="s">
        <v>1833</v>
      </c>
      <c r="C286" t="s">
        <v>1834</v>
      </c>
      <c r="D286" t="str">
        <f>_xlfn.CONCAT(C286,".bam")</f>
        <v>SYST-MOR-0006974.bam</v>
      </c>
      <c r="E286" t="s">
        <v>1835</v>
      </c>
      <c r="F286" t="s">
        <v>2454</v>
      </c>
      <c r="G286" t="s">
        <v>2455</v>
      </c>
      <c r="H286" t="s">
        <v>2542</v>
      </c>
      <c r="I286" t="s">
        <v>1822</v>
      </c>
      <c r="K286" t="s">
        <v>84</v>
      </c>
      <c r="L286" t="s">
        <v>84</v>
      </c>
      <c r="N286" t="s">
        <v>84</v>
      </c>
      <c r="P286" t="s">
        <v>31</v>
      </c>
      <c r="Q286" t="s">
        <v>85</v>
      </c>
      <c r="R286" t="s">
        <v>2600</v>
      </c>
      <c r="S286" s="1">
        <v>44768</v>
      </c>
      <c r="T286" t="s">
        <v>33</v>
      </c>
      <c r="U286" t="s">
        <v>34</v>
      </c>
      <c r="V286" s="1">
        <v>44770</v>
      </c>
      <c r="W286" t="s">
        <v>35</v>
      </c>
      <c r="X286" t="s">
        <v>1820</v>
      </c>
      <c r="Y286" t="s">
        <v>1821</v>
      </c>
      <c r="Z286" t="s">
        <v>206</v>
      </c>
      <c r="AA286" t="s">
        <v>1822</v>
      </c>
      <c r="AD286" t="s">
        <v>84</v>
      </c>
      <c r="AE286">
        <v>41.550806000000001</v>
      </c>
      <c r="AF286">
        <v>-84.356953000000004</v>
      </c>
      <c r="AG286" t="s">
        <v>40</v>
      </c>
      <c r="AH286" t="s">
        <v>41</v>
      </c>
      <c r="AI286">
        <v>41.550855184900001</v>
      </c>
      <c r="AJ286">
        <v>-84.357028110000002</v>
      </c>
      <c r="AK286">
        <v>4.9184899999943354E-5</v>
      </c>
      <c r="AL286">
        <v>-7.5109999997380328E-5</v>
      </c>
      <c r="AM286" t="str">
        <f>_xlfn.IFNA(VLOOKUP(Sheet1!$C286,ADMIX_ALL!A:B,2,FALSE),"none")</f>
        <v>K6-18</v>
      </c>
      <c r="AN286" t="str">
        <f>_xlfn.IFNA(VLOOKUP(Sheet1!C286,ADMIX_SS!A:B,2,FALSE),"none")</f>
        <v>SubSample</v>
      </c>
      <c r="AO286" t="str">
        <f>_xlfn.IFNA(VLOOKUP(Sheet1!$C286,MONG_PHYLO!A:C,3,FALSE),"-")</f>
        <v>-</v>
      </c>
      <c r="AP286" t="str">
        <f>_xlfn.IFNA(VLOOKUP(Sheet1!$C286,MAC_PHYLO!A:C,3,FALSE),"-")</f>
        <v>-</v>
      </c>
      <c r="AQ286" t="str">
        <f>_xlfn.IFNA(VLOOKUP(Sheet1!$C286,ConStruct!A:C,3,FALSE),"-")</f>
        <v>-</v>
      </c>
      <c r="AR286" t="str">
        <f>_xlfn.IFNA(VLOOKUP(Sheet1!$C286,GEA!A:C,3,FALSE),"-")</f>
        <v>-</v>
      </c>
      <c r="AS286" t="str">
        <f>_xlfn.IFNA(VLOOKUP(Sheet1!$C286,MAC_DSUITE!A:D,3,FALSE),"-")</f>
        <v>-</v>
      </c>
      <c r="AT286" t="str">
        <f>_xlfn.IFNA(VLOOKUP(Sheet1!$C286,MONG_DSUITE!A:E,2,FALSE),"-")</f>
        <v>xxx</v>
      </c>
      <c r="AU286" t="str">
        <f>_xlfn.IFNA(VLOOKUP(Sheet1!$C286,MAC_PAINT2!A:D,4,FALSE),"-")</f>
        <v>-</v>
      </c>
    </row>
    <row r="287" spans="1:49" customFormat="1" x14ac:dyDescent="0.4">
      <c r="A287">
        <v>3738</v>
      </c>
      <c r="B287" t="s">
        <v>1836</v>
      </c>
      <c r="C287" t="s">
        <v>1837</v>
      </c>
      <c r="D287" t="str">
        <f>_xlfn.CONCAT(C287,".bam")</f>
        <v>SYST-MOR-0006975.bam</v>
      </c>
      <c r="E287" t="s">
        <v>1838</v>
      </c>
      <c r="F287" t="s">
        <v>2454</v>
      </c>
      <c r="G287" t="s">
        <v>2455</v>
      </c>
      <c r="H287" t="s">
        <v>2542</v>
      </c>
      <c r="I287" t="s">
        <v>1822</v>
      </c>
      <c r="K287" t="s">
        <v>45</v>
      </c>
      <c r="L287" t="s">
        <v>45</v>
      </c>
      <c r="N287" t="s">
        <v>45</v>
      </c>
      <c r="P287" t="s">
        <v>31</v>
      </c>
      <c r="Q287" t="s">
        <v>46</v>
      </c>
      <c r="R287" t="s">
        <v>2597</v>
      </c>
      <c r="S287" s="1">
        <v>44768</v>
      </c>
      <c r="T287" t="s">
        <v>33</v>
      </c>
      <c r="U287" t="s">
        <v>34</v>
      </c>
      <c r="V287" s="1">
        <v>44770</v>
      </c>
      <c r="W287" t="s">
        <v>35</v>
      </c>
      <c r="X287" t="s">
        <v>1820</v>
      </c>
      <c r="Y287" t="s">
        <v>1826</v>
      </c>
      <c r="Z287" t="s">
        <v>206</v>
      </c>
      <c r="AA287" t="s">
        <v>1822</v>
      </c>
      <c r="AD287" t="s">
        <v>45</v>
      </c>
      <c r="AE287">
        <v>41.551419000000003</v>
      </c>
      <c r="AF287">
        <v>-84.355616999999995</v>
      </c>
      <c r="AG287" t="s">
        <v>40</v>
      </c>
      <c r="AH287" t="s">
        <v>41</v>
      </c>
      <c r="AI287">
        <v>41.551174954499999</v>
      </c>
      <c r="AJ287">
        <v>-84.355546189600005</v>
      </c>
      <c r="AK287">
        <v>-2.4404550000411973E-4</v>
      </c>
      <c r="AL287">
        <v>7.0810399989795769E-5</v>
      </c>
      <c r="AM287" t="str">
        <f>_xlfn.IFNA(VLOOKUP(Sheet1!$C287,ADMIX_ALL!A:B,2,FALSE),"none")</f>
        <v>K6-18</v>
      </c>
      <c r="AN287" t="str">
        <f>_xlfn.IFNA(VLOOKUP(Sheet1!C287,ADMIX_SS!A:B,2,FALSE),"none")</f>
        <v>SubSample</v>
      </c>
      <c r="AO287" t="str">
        <f>_xlfn.IFNA(VLOOKUP(Sheet1!$C287,MONG_PHYLO!A:C,3,FALSE),"-")</f>
        <v>-</v>
      </c>
      <c r="AP287" t="str">
        <f>_xlfn.IFNA(VLOOKUP(Sheet1!$C287,MAC_PHYLO!A:C,3,FALSE),"-")</f>
        <v>-</v>
      </c>
      <c r="AQ287" t="str">
        <f>_xlfn.IFNA(VLOOKUP(Sheet1!$C287,ConStruct!A:C,3,FALSE),"-")</f>
        <v>ConStruct</v>
      </c>
      <c r="AR287" t="str">
        <f>_xlfn.IFNA(VLOOKUP(Sheet1!$C287,GEA!A:C,3,FALSE),"-")</f>
        <v>GEA</v>
      </c>
      <c r="AS287" t="str">
        <f>_xlfn.IFNA(VLOOKUP(Sheet1!$C287,MAC_DSUITE!A:D,3,FALSE),"-")</f>
        <v>mac_OH_GLW</v>
      </c>
      <c r="AT287" t="str">
        <f>_xlfn.IFNA(VLOOKUP(Sheet1!$C287,MONG_DSUITE!A:E,2,FALSE),"-")</f>
        <v>macrocarpa_GLW</v>
      </c>
      <c r="AU287" t="str">
        <f>_xlfn.IFNA(VLOOKUP(Sheet1!$C287,MAC_PAINT2!A:D,4,FALSE),"-")</f>
        <v>macpaint</v>
      </c>
      <c r="AV287" t="s">
        <v>9193</v>
      </c>
      <c r="AW287" t="s">
        <v>9193</v>
      </c>
    </row>
    <row r="288" spans="1:49" customFormat="1" x14ac:dyDescent="0.4">
      <c r="A288">
        <v>3739</v>
      </c>
      <c r="B288" t="s">
        <v>1839</v>
      </c>
      <c r="C288" t="s">
        <v>1840</v>
      </c>
      <c r="D288" t="str">
        <f>_xlfn.CONCAT(C288,".bam")</f>
        <v>SYST-MOR-0006976.bam</v>
      </c>
      <c r="E288" t="s">
        <v>1841</v>
      </c>
      <c r="F288" t="s">
        <v>2454</v>
      </c>
      <c r="G288" t="s">
        <v>2455</v>
      </c>
      <c r="H288" t="s">
        <v>2542</v>
      </c>
      <c r="I288" t="s">
        <v>1822</v>
      </c>
      <c r="K288" t="s">
        <v>64</v>
      </c>
      <c r="L288" t="s">
        <v>64</v>
      </c>
      <c r="N288" t="s">
        <v>64</v>
      </c>
      <c r="P288" t="s">
        <v>31</v>
      </c>
      <c r="Q288" t="s">
        <v>65</v>
      </c>
      <c r="R288" t="s">
        <v>2599</v>
      </c>
      <c r="S288" s="1">
        <v>44768</v>
      </c>
      <c r="T288" t="s">
        <v>33</v>
      </c>
      <c r="U288" t="s">
        <v>34</v>
      </c>
      <c r="V288" s="1">
        <v>44770</v>
      </c>
      <c r="W288" t="s">
        <v>35</v>
      </c>
      <c r="X288" t="s">
        <v>1820</v>
      </c>
      <c r="Y288" t="s">
        <v>1821</v>
      </c>
      <c r="Z288" t="s">
        <v>206</v>
      </c>
      <c r="AA288" t="s">
        <v>1822</v>
      </c>
      <c r="AD288" t="s">
        <v>64</v>
      </c>
      <c r="AE288">
        <v>41.551786999999997</v>
      </c>
      <c r="AF288">
        <v>-84.355144999999993</v>
      </c>
      <c r="AG288" t="s">
        <v>40</v>
      </c>
      <c r="AH288" t="s">
        <v>41</v>
      </c>
      <c r="AI288">
        <v>41.551417668600003</v>
      </c>
      <c r="AJ288">
        <v>-84.355569705400001</v>
      </c>
      <c r="AK288">
        <v>-3.6933139999462128E-4</v>
      </c>
      <c r="AL288">
        <v>-4.2470540000749679E-4</v>
      </c>
      <c r="AM288" t="str">
        <f>_xlfn.IFNA(VLOOKUP(Sheet1!$C288,ADMIX_ALL!A:B,2,FALSE),"none")</f>
        <v>K6-18</v>
      </c>
      <c r="AN288" t="str">
        <f>_xlfn.IFNA(VLOOKUP(Sheet1!C288,ADMIX_SS!A:B,2,FALSE),"none")</f>
        <v>SubSample</v>
      </c>
      <c r="AO288" t="str">
        <f>_xlfn.IFNA(VLOOKUP(Sheet1!$C288,MONG_PHYLO!A:C,3,FALSE),"-")</f>
        <v>-</v>
      </c>
      <c r="AP288" t="str">
        <f>_xlfn.IFNA(VLOOKUP(Sheet1!$C288,MAC_PHYLO!A:C,3,FALSE),"-")</f>
        <v>-</v>
      </c>
      <c r="AQ288" t="str">
        <f>_xlfn.IFNA(VLOOKUP(Sheet1!$C288,ConStruct!A:C,3,FALSE),"-")</f>
        <v>-</v>
      </c>
      <c r="AR288" t="str">
        <f>_xlfn.IFNA(VLOOKUP(Sheet1!$C288,GEA!A:C,3,FALSE),"-")</f>
        <v>-</v>
      </c>
      <c r="AS288" t="str">
        <f>_xlfn.IFNA(VLOOKUP(Sheet1!$C288,MAC_DSUITE!A:D,3,FALSE),"-")</f>
        <v>-</v>
      </c>
      <c r="AT288" t="str">
        <f>_xlfn.IFNA(VLOOKUP(Sheet1!$C288,MONG_DSUITE!A:E,2,FALSE),"-")</f>
        <v>xxx</v>
      </c>
      <c r="AU288" t="str">
        <f>_xlfn.IFNA(VLOOKUP(Sheet1!$C288,MAC_PAINT2!A:D,4,FALSE),"-")</f>
        <v>-</v>
      </c>
    </row>
    <row r="289" spans="1:49" customFormat="1" x14ac:dyDescent="0.4">
      <c r="A289">
        <v>3740</v>
      </c>
      <c r="B289" t="s">
        <v>1842</v>
      </c>
      <c r="C289" t="s">
        <v>1843</v>
      </c>
      <c r="D289" t="str">
        <f>_xlfn.CONCAT(C289,".bam")</f>
        <v>SYST-MOR-0006977.bam</v>
      </c>
      <c r="E289" t="s">
        <v>1844</v>
      </c>
      <c r="F289" t="s">
        <v>2454</v>
      </c>
      <c r="G289" t="s">
        <v>2455</v>
      </c>
      <c r="H289" t="s">
        <v>2542</v>
      </c>
      <c r="I289" t="s">
        <v>1822</v>
      </c>
      <c r="K289" t="s">
        <v>45</v>
      </c>
      <c r="L289" t="s">
        <v>45</v>
      </c>
      <c r="N289" t="s">
        <v>45</v>
      </c>
      <c r="P289" t="s">
        <v>31</v>
      </c>
      <c r="Q289" t="s">
        <v>46</v>
      </c>
      <c r="R289" t="s">
        <v>2597</v>
      </c>
      <c r="S289" s="1">
        <v>44768</v>
      </c>
      <c r="T289" t="s">
        <v>33</v>
      </c>
      <c r="U289" t="s">
        <v>34</v>
      </c>
      <c r="V289" s="1">
        <v>44770</v>
      </c>
      <c r="W289" t="s">
        <v>35</v>
      </c>
      <c r="X289" t="s">
        <v>1820</v>
      </c>
      <c r="Y289" t="s">
        <v>1826</v>
      </c>
      <c r="Z289" t="s">
        <v>206</v>
      </c>
      <c r="AA289" t="s">
        <v>1822</v>
      </c>
      <c r="AD289" t="s">
        <v>45</v>
      </c>
      <c r="AE289">
        <v>41.551718999999999</v>
      </c>
      <c r="AF289">
        <v>-84.354975999999994</v>
      </c>
      <c r="AG289" t="s">
        <v>40</v>
      </c>
      <c r="AH289" t="s">
        <v>41</v>
      </c>
      <c r="AI289">
        <v>41.551565425500002</v>
      </c>
      <c r="AJ289">
        <v>-84.354850994499998</v>
      </c>
      <c r="AK289">
        <v>-1.5357449999697792E-4</v>
      </c>
      <c r="AL289">
        <v>1.2500549999572286E-4</v>
      </c>
      <c r="AM289" t="str">
        <f>_xlfn.IFNA(VLOOKUP(Sheet1!$C289,ADMIX_ALL!A:B,2,FALSE),"none")</f>
        <v>K6-18</v>
      </c>
      <c r="AN289" t="str">
        <f>_xlfn.IFNA(VLOOKUP(Sheet1!C289,ADMIX_SS!A:B,2,FALSE),"none")</f>
        <v>SubSample</v>
      </c>
      <c r="AO289" t="str">
        <f>_xlfn.IFNA(VLOOKUP(Sheet1!$C289,MONG_PHYLO!A:C,3,FALSE),"-")</f>
        <v>-</v>
      </c>
      <c r="AP289" t="str">
        <f>_xlfn.IFNA(VLOOKUP(Sheet1!$C289,MAC_PHYLO!A:C,3,FALSE),"-")</f>
        <v>-</v>
      </c>
      <c r="AQ289" t="str">
        <f>_xlfn.IFNA(VLOOKUP(Sheet1!$C289,ConStruct!A:C,3,FALSE),"-")</f>
        <v>ConStruct</v>
      </c>
      <c r="AR289" t="str">
        <f>_xlfn.IFNA(VLOOKUP(Sheet1!$C289,GEA!A:C,3,FALSE),"-")</f>
        <v>GEA</v>
      </c>
      <c r="AS289" t="str">
        <f>_xlfn.IFNA(VLOOKUP(Sheet1!$C289,MAC_DSUITE!A:D,3,FALSE),"-")</f>
        <v>mac_OH_GLW</v>
      </c>
      <c r="AT289" t="str">
        <f>_xlfn.IFNA(VLOOKUP(Sheet1!$C289,MONG_DSUITE!A:E,2,FALSE),"-")</f>
        <v>macrocarpa_GLW</v>
      </c>
      <c r="AU289" t="str">
        <f>_xlfn.IFNA(VLOOKUP(Sheet1!$C289,MAC_PAINT2!A:D,4,FALSE),"-")</f>
        <v>macpaint</v>
      </c>
      <c r="AV289" t="s">
        <v>9193</v>
      </c>
      <c r="AW289" t="s">
        <v>9193</v>
      </c>
    </row>
    <row r="290" spans="1:49" customFormat="1" x14ac:dyDescent="0.4">
      <c r="A290">
        <v>3741</v>
      </c>
      <c r="B290" t="s">
        <v>1845</v>
      </c>
      <c r="C290" t="s">
        <v>1846</v>
      </c>
      <c r="D290" t="str">
        <f>_xlfn.CONCAT(C290,".bam")</f>
        <v>SYST-MOR-0006978.bam</v>
      </c>
      <c r="E290" t="s">
        <v>1847</v>
      </c>
      <c r="F290" t="s">
        <v>2454</v>
      </c>
      <c r="G290" t="s">
        <v>2455</v>
      </c>
      <c r="H290" t="s">
        <v>2542</v>
      </c>
      <c r="I290" t="s">
        <v>1822</v>
      </c>
      <c r="K290" t="s">
        <v>64</v>
      </c>
      <c r="L290" t="s">
        <v>64</v>
      </c>
      <c r="N290" t="s">
        <v>64</v>
      </c>
      <c r="P290" t="s">
        <v>31</v>
      </c>
      <c r="Q290" t="s">
        <v>65</v>
      </c>
      <c r="R290" t="s">
        <v>2599</v>
      </c>
      <c r="S290" s="1">
        <v>44768</v>
      </c>
      <c r="T290" t="s">
        <v>33</v>
      </c>
      <c r="U290" t="s">
        <v>34</v>
      </c>
      <c r="V290" s="1">
        <v>44770</v>
      </c>
      <c r="W290" t="s">
        <v>35</v>
      </c>
      <c r="X290" t="s">
        <v>1820</v>
      </c>
      <c r="Y290" t="s">
        <v>1821</v>
      </c>
      <c r="Z290" t="s">
        <v>206</v>
      </c>
      <c r="AA290" t="s">
        <v>1822</v>
      </c>
      <c r="AD290" t="s">
        <v>64</v>
      </c>
      <c r="AE290">
        <v>41.551887000000001</v>
      </c>
      <c r="AF290">
        <v>-84.354708000000002</v>
      </c>
      <c r="AG290" t="s">
        <v>40</v>
      </c>
      <c r="AH290" t="s">
        <v>41</v>
      </c>
      <c r="AI290">
        <v>41.552330399900001</v>
      </c>
      <c r="AJ290">
        <v>-84.354723924799998</v>
      </c>
      <c r="AK290">
        <v>4.4339989999997442E-4</v>
      </c>
      <c r="AL290">
        <v>-1.5924799996014372E-5</v>
      </c>
      <c r="AM290" t="str">
        <f>_xlfn.IFNA(VLOOKUP(Sheet1!$C290,ADMIX_ALL!A:B,2,FALSE),"none")</f>
        <v>K6-18</v>
      </c>
      <c r="AN290" t="str">
        <f>_xlfn.IFNA(VLOOKUP(Sheet1!C290,ADMIX_SS!A:B,2,FALSE),"none")</f>
        <v>SubSample</v>
      </c>
      <c r="AO290" t="str">
        <f>_xlfn.IFNA(VLOOKUP(Sheet1!$C290,MONG_PHYLO!A:C,3,FALSE),"-")</f>
        <v>-</v>
      </c>
      <c r="AP290" t="str">
        <f>_xlfn.IFNA(VLOOKUP(Sheet1!$C290,MAC_PHYLO!A:C,3,FALSE),"-")</f>
        <v>-</v>
      </c>
      <c r="AQ290" t="str">
        <f>_xlfn.IFNA(VLOOKUP(Sheet1!$C290,ConStruct!A:C,3,FALSE),"-")</f>
        <v>-</v>
      </c>
      <c r="AR290" t="str">
        <f>_xlfn.IFNA(VLOOKUP(Sheet1!$C290,GEA!A:C,3,FALSE),"-")</f>
        <v>-</v>
      </c>
      <c r="AS290" t="str">
        <f>_xlfn.IFNA(VLOOKUP(Sheet1!$C290,MAC_DSUITE!A:D,3,FALSE),"-")</f>
        <v>-</v>
      </c>
      <c r="AT290" t="str">
        <f>_xlfn.IFNA(VLOOKUP(Sheet1!$C290,MONG_DSUITE!A:E,2,FALSE),"-")</f>
        <v>xxx</v>
      </c>
      <c r="AU290" t="str">
        <f>_xlfn.IFNA(VLOOKUP(Sheet1!$C290,MAC_PAINT2!A:D,4,FALSE),"-")</f>
        <v>-</v>
      </c>
    </row>
    <row r="291" spans="1:49" customFormat="1" x14ac:dyDescent="0.4">
      <c r="A291">
        <v>3742</v>
      </c>
      <c r="B291" t="s">
        <v>1848</v>
      </c>
      <c r="C291" t="s">
        <v>1849</v>
      </c>
      <c r="D291" t="str">
        <f>_xlfn.CONCAT(C291,".bam")</f>
        <v>SYST-MOR-0006979.bam</v>
      </c>
      <c r="E291" t="s">
        <v>1850</v>
      </c>
      <c r="F291" t="s">
        <v>2454</v>
      </c>
      <c r="G291" t="s">
        <v>2455</v>
      </c>
      <c r="H291" t="s">
        <v>2542</v>
      </c>
      <c r="I291" t="s">
        <v>1822</v>
      </c>
      <c r="K291" t="s">
        <v>45</v>
      </c>
      <c r="L291" t="s">
        <v>45</v>
      </c>
      <c r="N291" t="s">
        <v>45</v>
      </c>
      <c r="P291" t="s">
        <v>31</v>
      </c>
      <c r="Q291" t="s">
        <v>46</v>
      </c>
      <c r="R291" t="s">
        <v>2597</v>
      </c>
      <c r="S291" s="1">
        <v>44768</v>
      </c>
      <c r="T291" t="s">
        <v>33</v>
      </c>
      <c r="U291" t="s">
        <v>34</v>
      </c>
      <c r="V291" s="1">
        <v>44770</v>
      </c>
      <c r="W291" t="s">
        <v>35</v>
      </c>
      <c r="X291" t="s">
        <v>1820</v>
      </c>
      <c r="Y291" t="s">
        <v>1826</v>
      </c>
      <c r="Z291" t="s">
        <v>206</v>
      </c>
      <c r="AA291" t="s">
        <v>1822</v>
      </c>
      <c r="AD291" t="s">
        <v>45</v>
      </c>
      <c r="AE291">
        <v>41.551873999999998</v>
      </c>
      <c r="AF291">
        <v>-84.354208</v>
      </c>
      <c r="AG291" t="s">
        <v>40</v>
      </c>
      <c r="AH291" t="s">
        <v>41</v>
      </c>
      <c r="AI291">
        <v>41.551824635899997</v>
      </c>
      <c r="AJ291">
        <v>-84.354239618500003</v>
      </c>
      <c r="AK291">
        <v>-4.9364100000559574E-5</v>
      </c>
      <c r="AL291">
        <v>-3.161850000310551E-5</v>
      </c>
      <c r="AM291" t="str">
        <f>_xlfn.IFNA(VLOOKUP(Sheet1!$C291,ADMIX_ALL!A:B,2,FALSE),"none")</f>
        <v>K6-18</v>
      </c>
      <c r="AN291" t="str">
        <f>_xlfn.IFNA(VLOOKUP(Sheet1!C291,ADMIX_SS!A:B,2,FALSE),"none")</f>
        <v>SubSample</v>
      </c>
      <c r="AO291" t="str">
        <f>_xlfn.IFNA(VLOOKUP(Sheet1!$C291,MONG_PHYLO!A:C,3,FALSE),"-")</f>
        <v>-</v>
      </c>
      <c r="AP291" t="str">
        <f>_xlfn.IFNA(VLOOKUP(Sheet1!$C291,MAC_PHYLO!A:C,3,FALSE),"-")</f>
        <v>-</v>
      </c>
      <c r="AQ291" t="str">
        <f>_xlfn.IFNA(VLOOKUP(Sheet1!$C291,ConStruct!A:C,3,FALSE),"-")</f>
        <v>ConStruct</v>
      </c>
      <c r="AR291" t="str">
        <f>_xlfn.IFNA(VLOOKUP(Sheet1!$C291,GEA!A:C,3,FALSE),"-")</f>
        <v>GEA</v>
      </c>
      <c r="AS291" t="str">
        <f>_xlfn.IFNA(VLOOKUP(Sheet1!$C291,MAC_DSUITE!A:D,3,FALSE),"-")</f>
        <v>mac_OH_GLW</v>
      </c>
      <c r="AT291" t="str">
        <f>_xlfn.IFNA(VLOOKUP(Sheet1!$C291,MONG_DSUITE!A:E,2,FALSE),"-")</f>
        <v>macrocarpa_GLW</v>
      </c>
      <c r="AU291" t="str">
        <f>_xlfn.IFNA(VLOOKUP(Sheet1!$C291,MAC_PAINT2!A:D,4,FALSE),"-")</f>
        <v>macpaint</v>
      </c>
      <c r="AV291" t="s">
        <v>9193</v>
      </c>
      <c r="AW291" t="s">
        <v>9193</v>
      </c>
    </row>
    <row r="292" spans="1:49" customFormat="1" x14ac:dyDescent="0.4">
      <c r="A292">
        <v>3743</v>
      </c>
      <c r="B292" t="s">
        <v>1851</v>
      </c>
      <c r="C292" t="s">
        <v>1852</v>
      </c>
      <c r="D292" t="str">
        <f>_xlfn.CONCAT(C292,".bam")</f>
        <v>SYST-MOR-0006980.bam</v>
      </c>
      <c r="E292" t="s">
        <v>1853</v>
      </c>
      <c r="F292" t="s">
        <v>2454</v>
      </c>
      <c r="G292" t="s">
        <v>2455</v>
      </c>
      <c r="H292" t="s">
        <v>2542</v>
      </c>
      <c r="I292" t="s">
        <v>1822</v>
      </c>
      <c r="K292" t="s">
        <v>45</v>
      </c>
      <c r="L292" t="s">
        <v>45</v>
      </c>
      <c r="N292" t="s">
        <v>45</v>
      </c>
      <c r="P292" t="s">
        <v>31</v>
      </c>
      <c r="Q292" t="s">
        <v>46</v>
      </c>
      <c r="R292" t="s">
        <v>2597</v>
      </c>
      <c r="S292" s="1">
        <v>44768</v>
      </c>
      <c r="T292" t="s">
        <v>33</v>
      </c>
      <c r="U292" t="s">
        <v>34</v>
      </c>
      <c r="V292" s="1">
        <v>44770</v>
      </c>
      <c r="W292" t="s">
        <v>35</v>
      </c>
      <c r="X292" t="s">
        <v>1820</v>
      </c>
      <c r="Y292" t="s">
        <v>1821</v>
      </c>
      <c r="Z292" t="s">
        <v>206</v>
      </c>
      <c r="AA292" t="s">
        <v>1822</v>
      </c>
      <c r="AD292" t="s">
        <v>45</v>
      </c>
      <c r="AE292">
        <v>41.552622</v>
      </c>
      <c r="AF292">
        <v>-84.353673000000001</v>
      </c>
      <c r="AG292" t="s">
        <v>40</v>
      </c>
      <c r="AH292" t="s">
        <v>41</v>
      </c>
      <c r="AI292">
        <v>41.552562872000003</v>
      </c>
      <c r="AJ292">
        <v>-84.3534990773</v>
      </c>
      <c r="AK292">
        <v>-5.9127999996633207E-5</v>
      </c>
      <c r="AL292">
        <v>1.7392270000016197E-4</v>
      </c>
      <c r="AM292" t="str">
        <f>_xlfn.IFNA(VLOOKUP(Sheet1!$C292,ADMIX_ALL!A:B,2,FALSE),"none")</f>
        <v>K6-18</v>
      </c>
      <c r="AN292" t="str">
        <f>_xlfn.IFNA(VLOOKUP(Sheet1!C292,ADMIX_SS!A:B,2,FALSE),"none")</f>
        <v>SubSample</v>
      </c>
      <c r="AO292" t="str">
        <f>_xlfn.IFNA(VLOOKUP(Sheet1!$C292,MONG_PHYLO!A:C,3,FALSE),"-")</f>
        <v>-</v>
      </c>
      <c r="AP292" t="str">
        <f>_xlfn.IFNA(VLOOKUP(Sheet1!$C292,MAC_PHYLO!A:C,3,FALSE),"-")</f>
        <v>-</v>
      </c>
      <c r="AQ292" t="str">
        <f>_xlfn.IFNA(VLOOKUP(Sheet1!$C292,ConStruct!A:C,3,FALSE),"-")</f>
        <v>ConStruct</v>
      </c>
      <c r="AR292" t="str">
        <f>_xlfn.IFNA(VLOOKUP(Sheet1!$C292,GEA!A:C,3,FALSE),"-")</f>
        <v>GEA</v>
      </c>
      <c r="AS292" t="str">
        <f>_xlfn.IFNA(VLOOKUP(Sheet1!$C292,MAC_DSUITE!A:D,3,FALSE),"-")</f>
        <v>mac_OH_GLW</v>
      </c>
      <c r="AT292" t="str">
        <f>_xlfn.IFNA(VLOOKUP(Sheet1!$C292,MONG_DSUITE!A:E,2,FALSE),"-")</f>
        <v>macrocarpa_GLW</v>
      </c>
      <c r="AU292" t="str">
        <f>_xlfn.IFNA(VLOOKUP(Sheet1!$C292,MAC_PAINT2!A:D,4,FALSE),"-")</f>
        <v>macpaint</v>
      </c>
      <c r="AV292" t="s">
        <v>9193</v>
      </c>
      <c r="AW292" t="s">
        <v>9193</v>
      </c>
    </row>
    <row r="293" spans="1:49" customFormat="1" x14ac:dyDescent="0.4">
      <c r="A293">
        <v>3744</v>
      </c>
      <c r="B293" t="s">
        <v>1854</v>
      </c>
      <c r="C293" t="s">
        <v>1855</v>
      </c>
      <c r="D293" t="str">
        <f>_xlfn.CONCAT(C293,".bam")</f>
        <v>SYST-MOR-0006981.bam</v>
      </c>
      <c r="E293" t="s">
        <v>1856</v>
      </c>
      <c r="F293" t="s">
        <v>2454</v>
      </c>
      <c r="G293" t="s">
        <v>2455</v>
      </c>
      <c r="H293" t="s">
        <v>2542</v>
      </c>
      <c r="I293" t="s">
        <v>1822</v>
      </c>
      <c r="K293" t="s">
        <v>84</v>
      </c>
      <c r="L293" t="s">
        <v>84</v>
      </c>
      <c r="N293" t="s">
        <v>84</v>
      </c>
      <c r="P293" t="s">
        <v>31</v>
      </c>
      <c r="Q293" t="s">
        <v>85</v>
      </c>
      <c r="R293" t="s">
        <v>2600</v>
      </c>
      <c r="S293" s="1">
        <v>44768</v>
      </c>
      <c r="T293" t="s">
        <v>33</v>
      </c>
      <c r="U293" t="s">
        <v>34</v>
      </c>
      <c r="V293" s="1">
        <v>44770</v>
      </c>
      <c r="W293" t="s">
        <v>35</v>
      </c>
      <c r="X293" t="s">
        <v>1820</v>
      </c>
      <c r="Y293" t="s">
        <v>1826</v>
      </c>
      <c r="Z293" t="s">
        <v>206</v>
      </c>
      <c r="AA293" t="s">
        <v>1822</v>
      </c>
      <c r="AD293" t="s">
        <v>84</v>
      </c>
      <c r="AE293">
        <v>41.553659000000003</v>
      </c>
      <c r="AF293">
        <v>-84.353269999999995</v>
      </c>
      <c r="AG293" t="s">
        <v>40</v>
      </c>
      <c r="AH293" t="s">
        <v>41</v>
      </c>
      <c r="AI293">
        <v>41.552634533899997</v>
      </c>
      <c r="AJ293">
        <v>-84.352457541299998</v>
      </c>
      <c r="AK293">
        <v>-1.0244661000058386E-3</v>
      </c>
      <c r="AL293">
        <v>8.1245869999690967E-4</v>
      </c>
      <c r="AM293" t="str">
        <f>_xlfn.IFNA(VLOOKUP(Sheet1!$C293,ADMIX_ALL!A:B,2,FALSE),"none")</f>
        <v>K6-18</v>
      </c>
      <c r="AN293" t="str">
        <f>_xlfn.IFNA(VLOOKUP(Sheet1!C293,ADMIX_SS!A:B,2,FALSE),"none")</f>
        <v>SubSample</v>
      </c>
      <c r="AO293" t="str">
        <f>_xlfn.IFNA(VLOOKUP(Sheet1!$C293,MONG_PHYLO!A:C,3,FALSE),"-")</f>
        <v>-</v>
      </c>
      <c r="AP293" t="str">
        <f>_xlfn.IFNA(VLOOKUP(Sheet1!$C293,MAC_PHYLO!A:C,3,FALSE),"-")</f>
        <v>-</v>
      </c>
      <c r="AQ293" t="str">
        <f>_xlfn.IFNA(VLOOKUP(Sheet1!$C293,ConStruct!A:C,3,FALSE),"-")</f>
        <v>-</v>
      </c>
      <c r="AR293" t="str">
        <f>_xlfn.IFNA(VLOOKUP(Sheet1!$C293,GEA!A:C,3,FALSE),"-")</f>
        <v>-</v>
      </c>
      <c r="AS293" t="str">
        <f>_xlfn.IFNA(VLOOKUP(Sheet1!$C293,MAC_DSUITE!A:D,3,FALSE),"-")</f>
        <v>-</v>
      </c>
      <c r="AT293" t="str">
        <f>_xlfn.IFNA(VLOOKUP(Sheet1!$C293,MONG_DSUITE!A:E,2,FALSE),"-")</f>
        <v>xxx</v>
      </c>
      <c r="AU293" t="str">
        <f>_xlfn.IFNA(VLOOKUP(Sheet1!$C293,MAC_PAINT2!A:D,4,FALSE),"-")</f>
        <v>-</v>
      </c>
    </row>
    <row r="294" spans="1:49" customFormat="1" x14ac:dyDescent="0.4">
      <c r="A294">
        <v>3745</v>
      </c>
      <c r="B294" t="s">
        <v>1857</v>
      </c>
      <c r="C294" t="s">
        <v>1858</v>
      </c>
      <c r="D294" t="str">
        <f>_xlfn.CONCAT(C294,".bam")</f>
        <v>SYST-MOR-0006982.bam</v>
      </c>
      <c r="E294" t="s">
        <v>1859</v>
      </c>
      <c r="F294" t="s">
        <v>2454</v>
      </c>
      <c r="G294" t="s">
        <v>2455</v>
      </c>
      <c r="H294" t="s">
        <v>2542</v>
      </c>
      <c r="I294" t="s">
        <v>1822</v>
      </c>
      <c r="K294" t="s">
        <v>64</v>
      </c>
      <c r="L294" t="s">
        <v>64</v>
      </c>
      <c r="N294" t="s">
        <v>64</v>
      </c>
      <c r="P294" t="s">
        <v>31</v>
      </c>
      <c r="Q294" t="s">
        <v>65</v>
      </c>
      <c r="R294" t="s">
        <v>2599</v>
      </c>
      <c r="S294" s="1">
        <v>44768</v>
      </c>
      <c r="T294" t="s">
        <v>33</v>
      </c>
      <c r="U294" t="s">
        <v>34</v>
      </c>
      <c r="V294" s="1">
        <v>44770</v>
      </c>
      <c r="W294" t="s">
        <v>35</v>
      </c>
      <c r="X294" t="s">
        <v>1820</v>
      </c>
      <c r="Y294" t="s">
        <v>1821</v>
      </c>
      <c r="Z294" t="s">
        <v>206</v>
      </c>
      <c r="AA294" t="s">
        <v>1822</v>
      </c>
      <c r="AD294" t="s">
        <v>64</v>
      </c>
      <c r="AE294">
        <v>41.554231999999999</v>
      </c>
      <c r="AF294">
        <v>-84.356245000000001</v>
      </c>
      <c r="AG294" t="s">
        <v>40</v>
      </c>
      <c r="AH294" t="s">
        <v>41</v>
      </c>
      <c r="AI294">
        <v>41.5542394203</v>
      </c>
      <c r="AJ294">
        <v>-84.356473479499996</v>
      </c>
      <c r="AK294">
        <v>7.4203000011152653E-6</v>
      </c>
      <c r="AL294">
        <v>-2.2847949999516004E-4</v>
      </c>
      <c r="AM294" t="str">
        <f>_xlfn.IFNA(VLOOKUP(Sheet1!$C294,ADMIX_ALL!A:B,2,FALSE),"none")</f>
        <v>K6-18</v>
      </c>
      <c r="AN294" t="str">
        <f>_xlfn.IFNA(VLOOKUP(Sheet1!C294,ADMIX_SS!A:B,2,FALSE),"none")</f>
        <v>SubSample</v>
      </c>
      <c r="AO294" t="str">
        <f>_xlfn.IFNA(VLOOKUP(Sheet1!$C294,MONG_PHYLO!A:C,3,FALSE),"-")</f>
        <v>-</v>
      </c>
      <c r="AP294" t="str">
        <f>_xlfn.IFNA(VLOOKUP(Sheet1!$C294,MAC_PHYLO!A:C,3,FALSE),"-")</f>
        <v>-</v>
      </c>
      <c r="AQ294" t="str">
        <f>_xlfn.IFNA(VLOOKUP(Sheet1!$C294,ConStruct!A:C,3,FALSE),"-")</f>
        <v>-</v>
      </c>
      <c r="AR294" t="str">
        <f>_xlfn.IFNA(VLOOKUP(Sheet1!$C294,GEA!A:C,3,FALSE),"-")</f>
        <v>-</v>
      </c>
      <c r="AS294" t="str">
        <f>_xlfn.IFNA(VLOOKUP(Sheet1!$C294,MAC_DSUITE!A:D,3,FALSE),"-")</f>
        <v>-</v>
      </c>
      <c r="AT294" t="str">
        <f>_xlfn.IFNA(VLOOKUP(Sheet1!$C294,MONG_DSUITE!A:E,2,FALSE),"-")</f>
        <v>xxx</v>
      </c>
      <c r="AU294" t="str">
        <f>_xlfn.IFNA(VLOOKUP(Sheet1!$C294,MAC_PAINT2!A:D,4,FALSE),"-")</f>
        <v>-</v>
      </c>
    </row>
    <row r="295" spans="1:49" customFormat="1" x14ac:dyDescent="0.4">
      <c r="A295">
        <v>3746</v>
      </c>
      <c r="B295" t="s">
        <v>1860</v>
      </c>
      <c r="C295" t="s">
        <v>1861</v>
      </c>
      <c r="D295" t="str">
        <f>_xlfn.CONCAT(C295,".bam")</f>
        <v>SYST-MOR-0006983.bam</v>
      </c>
      <c r="E295" t="s">
        <v>1862</v>
      </c>
      <c r="F295" t="s">
        <v>2454</v>
      </c>
      <c r="G295" t="s">
        <v>2455</v>
      </c>
      <c r="H295" t="s">
        <v>2542</v>
      </c>
      <c r="I295" t="s">
        <v>1822</v>
      </c>
      <c r="K295" t="s">
        <v>84</v>
      </c>
      <c r="L295" t="s">
        <v>84</v>
      </c>
      <c r="N295" t="s">
        <v>84</v>
      </c>
      <c r="P295" t="s">
        <v>31</v>
      </c>
      <c r="Q295" t="s">
        <v>85</v>
      </c>
      <c r="R295" t="s">
        <v>2600</v>
      </c>
      <c r="S295" s="1">
        <v>44768</v>
      </c>
      <c r="T295" t="s">
        <v>33</v>
      </c>
      <c r="U295" t="s">
        <v>34</v>
      </c>
      <c r="V295" s="1">
        <v>44770</v>
      </c>
      <c r="W295" t="s">
        <v>35</v>
      </c>
      <c r="X295" t="s">
        <v>1820</v>
      </c>
      <c r="Y295" t="s">
        <v>1826</v>
      </c>
      <c r="Z295" t="s">
        <v>206</v>
      </c>
      <c r="AA295" t="s">
        <v>1822</v>
      </c>
      <c r="AD295" t="s">
        <v>84</v>
      </c>
      <c r="AE295">
        <v>41.551442999999999</v>
      </c>
      <c r="AF295">
        <v>-84.357894000000002</v>
      </c>
      <c r="AG295" t="s">
        <v>40</v>
      </c>
      <c r="AH295" t="s">
        <v>41</v>
      </c>
      <c r="AI295">
        <v>41.551489443599998</v>
      </c>
      <c r="AJ295">
        <v>-84.357990687799997</v>
      </c>
      <c r="AK295">
        <v>4.6443599998724494E-5</v>
      </c>
      <c r="AL295">
        <v>-9.6687799995720525E-5</v>
      </c>
      <c r="AM295" t="str">
        <f>_xlfn.IFNA(VLOOKUP(Sheet1!$C295,ADMIX_ALL!A:B,2,FALSE),"none")</f>
        <v>K6-18</v>
      </c>
      <c r="AN295" t="str">
        <f>_xlfn.IFNA(VLOOKUP(Sheet1!C295,ADMIX_SS!A:B,2,FALSE),"none")</f>
        <v>SubSample</v>
      </c>
      <c r="AO295" t="str">
        <f>_xlfn.IFNA(VLOOKUP(Sheet1!$C295,MONG_PHYLO!A:C,3,FALSE),"-")</f>
        <v>-</v>
      </c>
      <c r="AP295" t="str">
        <f>_xlfn.IFNA(VLOOKUP(Sheet1!$C295,MAC_PHYLO!A:C,3,FALSE),"-")</f>
        <v>-</v>
      </c>
      <c r="AQ295" t="str">
        <f>_xlfn.IFNA(VLOOKUP(Sheet1!$C295,ConStruct!A:C,3,FALSE),"-")</f>
        <v>-</v>
      </c>
      <c r="AR295" t="str">
        <f>_xlfn.IFNA(VLOOKUP(Sheet1!$C295,GEA!A:C,3,FALSE),"-")</f>
        <v>-</v>
      </c>
      <c r="AS295" t="str">
        <f>_xlfn.IFNA(VLOOKUP(Sheet1!$C295,MAC_DSUITE!A:D,3,FALSE),"-")</f>
        <v>-</v>
      </c>
      <c r="AT295" t="str">
        <f>_xlfn.IFNA(VLOOKUP(Sheet1!$C295,MONG_DSUITE!A:E,2,FALSE),"-")</f>
        <v>xxx</v>
      </c>
      <c r="AU295" t="str">
        <f>_xlfn.IFNA(VLOOKUP(Sheet1!$C295,MAC_PAINT2!A:D,4,FALSE),"-")</f>
        <v>-</v>
      </c>
    </row>
    <row r="296" spans="1:49" customFormat="1" x14ac:dyDescent="0.4">
      <c r="A296">
        <v>3747</v>
      </c>
      <c r="B296" t="s">
        <v>1863</v>
      </c>
      <c r="C296" t="s">
        <v>1864</v>
      </c>
      <c r="D296" t="str">
        <f>_xlfn.CONCAT(C296,".bam")</f>
        <v>SYST-MOR-0006984.bam</v>
      </c>
      <c r="E296" t="s">
        <v>1865</v>
      </c>
      <c r="F296" t="s">
        <v>2454</v>
      </c>
      <c r="G296" t="s">
        <v>2455</v>
      </c>
      <c r="H296" t="s">
        <v>2542</v>
      </c>
      <c r="I296" t="s">
        <v>1822</v>
      </c>
      <c r="K296" t="s">
        <v>64</v>
      </c>
      <c r="L296" t="s">
        <v>64</v>
      </c>
      <c r="N296" t="s">
        <v>64</v>
      </c>
      <c r="P296" t="s">
        <v>31</v>
      </c>
      <c r="Q296" t="s">
        <v>65</v>
      </c>
      <c r="R296" t="s">
        <v>2599</v>
      </c>
      <c r="S296" s="1">
        <v>44768</v>
      </c>
      <c r="T296" t="s">
        <v>33</v>
      </c>
      <c r="U296" t="s">
        <v>34</v>
      </c>
      <c r="V296" s="1">
        <v>44770</v>
      </c>
      <c r="W296" t="s">
        <v>35</v>
      </c>
      <c r="X296" t="s">
        <v>1820</v>
      </c>
      <c r="Y296" t="s">
        <v>1821</v>
      </c>
      <c r="Z296" t="s">
        <v>206</v>
      </c>
      <c r="AA296" t="s">
        <v>1822</v>
      </c>
      <c r="AD296" t="s">
        <v>64</v>
      </c>
      <c r="AE296">
        <v>41.553426000000002</v>
      </c>
      <c r="AF296">
        <v>-84.358202000000006</v>
      </c>
      <c r="AG296" t="s">
        <v>40</v>
      </c>
      <c r="AH296" t="s">
        <v>41</v>
      </c>
      <c r="AI296">
        <v>41.5534200054</v>
      </c>
      <c r="AJ296">
        <v>-84.358128486300004</v>
      </c>
      <c r="AK296">
        <v>-5.9946000021682266E-6</v>
      </c>
      <c r="AL296">
        <v>7.351370000208135E-5</v>
      </c>
      <c r="AM296" t="str">
        <f>_xlfn.IFNA(VLOOKUP(Sheet1!$C296,ADMIX_ALL!A:B,2,FALSE),"none")</f>
        <v>K6-18</v>
      </c>
      <c r="AN296" t="str">
        <f>_xlfn.IFNA(VLOOKUP(Sheet1!C296,ADMIX_SS!A:B,2,FALSE),"none")</f>
        <v>Constant</v>
      </c>
      <c r="AO296" t="str">
        <f>_xlfn.IFNA(VLOOKUP(Sheet1!$C296,MONG_PHYLO!A:C,3,FALSE),"-")</f>
        <v>alb</v>
      </c>
      <c r="AP296" t="str">
        <f>_xlfn.IFNA(VLOOKUP(Sheet1!$C296,MAC_PHYLO!A:C,3,FALSE),"-")</f>
        <v>-</v>
      </c>
      <c r="AQ296" t="str">
        <f>_xlfn.IFNA(VLOOKUP(Sheet1!$C296,ConStruct!A:C,3,FALSE),"-")</f>
        <v>-</v>
      </c>
      <c r="AR296" t="str">
        <f>_xlfn.IFNA(VLOOKUP(Sheet1!$C296,GEA!A:C,3,FALSE),"-")</f>
        <v>-</v>
      </c>
      <c r="AS296" t="str">
        <f>_xlfn.IFNA(VLOOKUP(Sheet1!$C296,MAC_DSUITE!A:D,3,FALSE),"-")</f>
        <v>-</v>
      </c>
      <c r="AT296" t="str">
        <f>_xlfn.IFNA(VLOOKUP(Sheet1!$C296,MONG_DSUITE!A:E,2,FALSE),"-")</f>
        <v>alba</v>
      </c>
      <c r="AU296" t="str">
        <f>_xlfn.IFNA(VLOOKUP(Sheet1!$C296,MAC_PAINT2!A:D,4,FALSE),"-")</f>
        <v>-</v>
      </c>
    </row>
    <row r="297" spans="1:49" customFormat="1" x14ac:dyDescent="0.4">
      <c r="A297">
        <v>3748</v>
      </c>
      <c r="B297" t="s">
        <v>1122</v>
      </c>
      <c r="C297" t="s">
        <v>1123</v>
      </c>
      <c r="D297" t="str">
        <f>_xlfn.CONCAT(C297,".bam")</f>
        <v>SYST-MOR-0006985.bam</v>
      </c>
      <c r="E297" t="s">
        <v>1124</v>
      </c>
      <c r="F297" t="s">
        <v>2436</v>
      </c>
      <c r="G297" t="s">
        <v>2438</v>
      </c>
      <c r="H297" t="s">
        <v>2524</v>
      </c>
      <c r="I297" t="s">
        <v>1126</v>
      </c>
      <c r="K297" t="s">
        <v>632</v>
      </c>
      <c r="L297" t="s">
        <v>632</v>
      </c>
      <c r="N297" t="s">
        <v>632</v>
      </c>
      <c r="P297" t="s">
        <v>31</v>
      </c>
      <c r="Q297" t="s">
        <v>633</v>
      </c>
      <c r="R297" t="s">
        <v>2603</v>
      </c>
      <c r="S297" s="1">
        <v>44769</v>
      </c>
      <c r="T297" t="s">
        <v>33</v>
      </c>
      <c r="U297" t="s">
        <v>34</v>
      </c>
      <c r="V297" s="1">
        <v>44770</v>
      </c>
      <c r="W297" t="s">
        <v>35</v>
      </c>
      <c r="X297" t="s">
        <v>1089</v>
      </c>
      <c r="Y297" t="s">
        <v>1125</v>
      </c>
      <c r="Z297" t="s">
        <v>206</v>
      </c>
      <c r="AA297" t="s">
        <v>1126</v>
      </c>
      <c r="AD297" t="s">
        <v>632</v>
      </c>
      <c r="AE297">
        <v>42.413184000000001</v>
      </c>
      <c r="AF297">
        <v>-83.988669000000002</v>
      </c>
      <c r="AG297" t="s">
        <v>40</v>
      </c>
      <c r="AH297" t="s">
        <v>41</v>
      </c>
      <c r="AI297">
        <v>42.413274524800002</v>
      </c>
      <c r="AJ297">
        <v>-83.988868435900002</v>
      </c>
      <c r="AK297">
        <v>9.0524800000935102E-5</v>
      </c>
      <c r="AL297">
        <v>-1.9943590000082168E-4</v>
      </c>
      <c r="AM297" t="str">
        <f>_xlfn.IFNA(VLOOKUP(Sheet1!$C297,ADMIX_ALL!A:B,2,FALSE),"none")</f>
        <v>K6-18</v>
      </c>
      <c r="AN297" t="str">
        <f>_xlfn.IFNA(VLOOKUP(Sheet1!C297,ADMIX_SS!A:B,2,FALSE),"none")</f>
        <v>SubSample</v>
      </c>
      <c r="AO297" t="str">
        <f>_xlfn.IFNA(VLOOKUP(Sheet1!$C297,MONG_PHYLO!A:C,3,FALSE),"-")</f>
        <v>pri</v>
      </c>
      <c r="AP297" t="str">
        <f>_xlfn.IFNA(VLOOKUP(Sheet1!$C297,MAC_PHYLO!A:C,3,FALSE),"-")</f>
        <v>pri</v>
      </c>
      <c r="AQ297" t="str">
        <f>_xlfn.IFNA(VLOOKUP(Sheet1!$C297,ConStruct!A:C,3,FALSE),"-")</f>
        <v>-</v>
      </c>
      <c r="AR297" t="str">
        <f>_xlfn.IFNA(VLOOKUP(Sheet1!$C297,GEA!A:C,3,FALSE),"-")</f>
        <v>-</v>
      </c>
      <c r="AS297" t="str">
        <f>_xlfn.IFNA(VLOOKUP(Sheet1!$C297,MAC_DSUITE!A:D,3,FALSE),"-")</f>
        <v>xxx</v>
      </c>
      <c r="AT297" t="str">
        <f>_xlfn.IFNA(VLOOKUP(Sheet1!$C297,MONG_DSUITE!A:E,2,FALSE),"-")</f>
        <v>xxx</v>
      </c>
      <c r="AU297" t="str">
        <f>_xlfn.IFNA(VLOOKUP(Sheet1!$C297,MAC_PAINT2!A:D,4,FALSE),"-")</f>
        <v>-</v>
      </c>
    </row>
    <row r="298" spans="1:49" customFormat="1" x14ac:dyDescent="0.4">
      <c r="A298">
        <v>3749</v>
      </c>
      <c r="B298" t="s">
        <v>1127</v>
      </c>
      <c r="C298" t="s">
        <v>1128</v>
      </c>
      <c r="D298" t="str">
        <f>_xlfn.CONCAT(C298,".bam")</f>
        <v>SYST-MOR-0006986.bam</v>
      </c>
      <c r="E298" t="s">
        <v>1129</v>
      </c>
      <c r="F298" t="s">
        <v>2436</v>
      </c>
      <c r="G298" t="s">
        <v>2438</v>
      </c>
      <c r="H298" t="s">
        <v>2524</v>
      </c>
      <c r="I298" t="s">
        <v>1126</v>
      </c>
      <c r="K298" t="s">
        <v>632</v>
      </c>
      <c r="L298" t="s">
        <v>632</v>
      </c>
      <c r="N298" t="s">
        <v>632</v>
      </c>
      <c r="P298" t="s">
        <v>31</v>
      </c>
      <c r="Q298" t="s">
        <v>633</v>
      </c>
      <c r="R298" t="s">
        <v>2603</v>
      </c>
      <c r="S298" s="1">
        <v>44769</v>
      </c>
      <c r="T298" t="s">
        <v>33</v>
      </c>
      <c r="U298" t="s">
        <v>34</v>
      </c>
      <c r="V298" s="1">
        <v>44770</v>
      </c>
      <c r="W298" t="s">
        <v>35</v>
      </c>
      <c r="X298" t="s">
        <v>1089</v>
      </c>
      <c r="Y298" t="s">
        <v>1125</v>
      </c>
      <c r="Z298" t="s">
        <v>206</v>
      </c>
      <c r="AA298" t="s">
        <v>1126</v>
      </c>
      <c r="AD298" t="s">
        <v>632</v>
      </c>
      <c r="AE298">
        <v>42.412661</v>
      </c>
      <c r="AF298">
        <v>-83.988339999999994</v>
      </c>
      <c r="AG298" t="s">
        <v>40</v>
      </c>
      <c r="AH298" t="s">
        <v>41</v>
      </c>
      <c r="AI298">
        <v>42.413371587199997</v>
      </c>
      <c r="AJ298">
        <v>-83.988808086199995</v>
      </c>
      <c r="AK298">
        <v>7.1058719999683717E-4</v>
      </c>
      <c r="AL298">
        <v>-4.6808620000149403E-4</v>
      </c>
      <c r="AM298" t="str">
        <f>_xlfn.IFNA(VLOOKUP(Sheet1!$C298,ADMIX_ALL!A:B,2,FALSE),"none")</f>
        <v>K6-18</v>
      </c>
      <c r="AN298" t="str">
        <f>_xlfn.IFNA(VLOOKUP(Sheet1!C298,ADMIX_SS!A:B,2,FALSE),"none")</f>
        <v>SubSample</v>
      </c>
      <c r="AO298" t="str">
        <f>_xlfn.IFNA(VLOOKUP(Sheet1!$C298,MONG_PHYLO!A:C,3,FALSE),"-")</f>
        <v>pri</v>
      </c>
      <c r="AP298" t="str">
        <f>_xlfn.IFNA(VLOOKUP(Sheet1!$C298,MAC_PHYLO!A:C,3,FALSE),"-")</f>
        <v>pri</v>
      </c>
      <c r="AQ298" t="str">
        <f>_xlfn.IFNA(VLOOKUP(Sheet1!$C298,ConStruct!A:C,3,FALSE),"-")</f>
        <v>-</v>
      </c>
      <c r="AR298" t="str">
        <f>_xlfn.IFNA(VLOOKUP(Sheet1!$C298,GEA!A:C,3,FALSE),"-")</f>
        <v>-</v>
      </c>
      <c r="AS298" t="str">
        <f>_xlfn.IFNA(VLOOKUP(Sheet1!$C298,MAC_DSUITE!A:D,3,FALSE),"-")</f>
        <v>xxx</v>
      </c>
      <c r="AT298" t="str">
        <f>_xlfn.IFNA(VLOOKUP(Sheet1!$C298,MONG_DSUITE!A:E,2,FALSE),"-")</f>
        <v>xxx</v>
      </c>
      <c r="AU298" t="str">
        <f>_xlfn.IFNA(VLOOKUP(Sheet1!$C298,MAC_PAINT2!A:D,4,FALSE),"-")</f>
        <v>-</v>
      </c>
    </row>
    <row r="299" spans="1:49" customFormat="1" x14ac:dyDescent="0.4">
      <c r="A299">
        <v>3750</v>
      </c>
      <c r="B299" t="s">
        <v>1130</v>
      </c>
      <c r="C299" t="s">
        <v>1131</v>
      </c>
      <c r="D299" t="str">
        <f>_xlfn.CONCAT(C299,".bam")</f>
        <v>SYST-MOR-0006987.bam</v>
      </c>
      <c r="E299" t="s">
        <v>1132</v>
      </c>
      <c r="F299" t="s">
        <v>2436</v>
      </c>
      <c r="G299" t="s">
        <v>2438</v>
      </c>
      <c r="H299" t="s">
        <v>2524</v>
      </c>
      <c r="I299" t="s">
        <v>1126</v>
      </c>
      <c r="K299" t="s">
        <v>632</v>
      </c>
      <c r="L299" t="s">
        <v>632</v>
      </c>
      <c r="N299" t="s">
        <v>632</v>
      </c>
      <c r="P299" t="s">
        <v>31</v>
      </c>
      <c r="Q299" t="s">
        <v>633</v>
      </c>
      <c r="R299" t="s">
        <v>2603</v>
      </c>
      <c r="S299" s="1">
        <v>44769</v>
      </c>
      <c r="T299" t="s">
        <v>33</v>
      </c>
      <c r="U299" t="s">
        <v>34</v>
      </c>
      <c r="V299" s="1">
        <v>44770</v>
      </c>
      <c r="W299" t="s">
        <v>35</v>
      </c>
      <c r="X299" t="s">
        <v>1089</v>
      </c>
      <c r="Y299" t="s">
        <v>1125</v>
      </c>
      <c r="Z299" t="s">
        <v>206</v>
      </c>
      <c r="AA299" t="s">
        <v>1126</v>
      </c>
      <c r="AD299" t="s">
        <v>632</v>
      </c>
      <c r="AE299">
        <v>42.412246000000003</v>
      </c>
      <c r="AF299">
        <v>-83.988105000000004</v>
      </c>
      <c r="AG299" t="s">
        <v>40</v>
      </c>
      <c r="AH299" t="s">
        <v>41</v>
      </c>
      <c r="AI299">
        <v>42.412634330300001</v>
      </c>
      <c r="AJ299">
        <v>-83.988503413399997</v>
      </c>
      <c r="AK299">
        <v>3.8833029999807422E-4</v>
      </c>
      <c r="AL299">
        <v>-3.9841339999213687E-4</v>
      </c>
      <c r="AM299" t="str">
        <f>_xlfn.IFNA(VLOOKUP(Sheet1!$C299,ADMIX_ALL!A:B,2,FALSE),"none")</f>
        <v>K6-18</v>
      </c>
      <c r="AN299" t="str">
        <f>_xlfn.IFNA(VLOOKUP(Sheet1!C299,ADMIX_SS!A:B,2,FALSE),"none")</f>
        <v>SubSample</v>
      </c>
      <c r="AO299" t="str">
        <f>_xlfn.IFNA(VLOOKUP(Sheet1!$C299,MONG_PHYLO!A:C,3,FALSE),"-")</f>
        <v>-</v>
      </c>
      <c r="AP299" t="str">
        <f>_xlfn.IFNA(VLOOKUP(Sheet1!$C299,MAC_PHYLO!A:C,3,FALSE),"-")</f>
        <v>-</v>
      </c>
      <c r="AQ299" t="str">
        <f>_xlfn.IFNA(VLOOKUP(Sheet1!$C299,ConStruct!A:C,3,FALSE),"-")</f>
        <v>-</v>
      </c>
      <c r="AR299" t="str">
        <f>_xlfn.IFNA(VLOOKUP(Sheet1!$C299,GEA!A:C,3,FALSE),"-")</f>
        <v>-</v>
      </c>
      <c r="AS299" t="str">
        <f>_xlfn.IFNA(VLOOKUP(Sheet1!$C299,MAC_DSUITE!A:D,3,FALSE),"-")</f>
        <v>-</v>
      </c>
      <c r="AT299" t="str">
        <f>_xlfn.IFNA(VLOOKUP(Sheet1!$C299,MONG_DSUITE!A:E,2,FALSE),"-")</f>
        <v>xxx</v>
      </c>
      <c r="AU299" t="str">
        <f>_xlfn.IFNA(VLOOKUP(Sheet1!$C299,MAC_PAINT2!A:D,4,FALSE),"-")</f>
        <v>-</v>
      </c>
    </row>
    <row r="300" spans="1:49" customFormat="1" x14ac:dyDescent="0.4">
      <c r="A300">
        <v>3751</v>
      </c>
      <c r="B300" t="s">
        <v>1133</v>
      </c>
      <c r="C300" t="s">
        <v>1134</v>
      </c>
      <c r="D300" t="str">
        <f>_xlfn.CONCAT(C300,".bam")</f>
        <v>SYST-MOR-0006988.bam</v>
      </c>
      <c r="E300" t="s">
        <v>1135</v>
      </c>
      <c r="F300" t="s">
        <v>2436</v>
      </c>
      <c r="G300" t="s">
        <v>2438</v>
      </c>
      <c r="H300" t="s">
        <v>2524</v>
      </c>
      <c r="I300" t="s">
        <v>1126</v>
      </c>
      <c r="K300" t="s">
        <v>632</v>
      </c>
      <c r="L300" t="s">
        <v>632</v>
      </c>
      <c r="N300" t="s">
        <v>632</v>
      </c>
      <c r="P300" t="s">
        <v>31</v>
      </c>
      <c r="Q300" t="s">
        <v>633</v>
      </c>
      <c r="R300" t="s">
        <v>2603</v>
      </c>
      <c r="S300" s="1">
        <v>44769</v>
      </c>
      <c r="T300" t="s">
        <v>33</v>
      </c>
      <c r="U300" t="s">
        <v>34</v>
      </c>
      <c r="V300" s="1">
        <v>44770</v>
      </c>
      <c r="W300" t="s">
        <v>35</v>
      </c>
      <c r="X300" t="s">
        <v>1089</v>
      </c>
      <c r="Y300" t="s">
        <v>1125</v>
      </c>
      <c r="Z300" t="s">
        <v>206</v>
      </c>
      <c r="AA300" t="s">
        <v>1126</v>
      </c>
      <c r="AD300" t="s">
        <v>632</v>
      </c>
      <c r="AE300">
        <v>42.411929999999998</v>
      </c>
      <c r="AF300">
        <v>-83.987283000000005</v>
      </c>
      <c r="AG300" t="s">
        <v>40</v>
      </c>
      <c r="AH300" t="s">
        <v>41</v>
      </c>
      <c r="AI300">
        <v>42.411852995899999</v>
      </c>
      <c r="AJ300">
        <v>-83.987237569000001</v>
      </c>
      <c r="AK300">
        <v>-7.700409999955582E-5</v>
      </c>
      <c r="AL300">
        <v>4.5431000003759436E-5</v>
      </c>
      <c r="AM300" t="str">
        <f>_xlfn.IFNA(VLOOKUP(Sheet1!$C300,ADMIX_ALL!A:B,2,FALSE),"none")</f>
        <v>K6-18</v>
      </c>
      <c r="AN300" t="str">
        <f>_xlfn.IFNA(VLOOKUP(Sheet1!C300,ADMIX_SS!A:B,2,FALSE),"none")</f>
        <v>SubSample</v>
      </c>
      <c r="AO300" t="str">
        <f>_xlfn.IFNA(VLOOKUP(Sheet1!$C300,MONG_PHYLO!A:C,3,FALSE),"-")</f>
        <v>-</v>
      </c>
      <c r="AP300" t="str">
        <f>_xlfn.IFNA(VLOOKUP(Sheet1!$C300,MAC_PHYLO!A:C,3,FALSE),"-")</f>
        <v>pri</v>
      </c>
      <c r="AQ300" t="str">
        <f>_xlfn.IFNA(VLOOKUP(Sheet1!$C300,ConStruct!A:C,3,FALSE),"-")</f>
        <v>-</v>
      </c>
      <c r="AR300" t="str">
        <f>_xlfn.IFNA(VLOOKUP(Sheet1!$C300,GEA!A:C,3,FALSE),"-")</f>
        <v>-</v>
      </c>
      <c r="AS300" t="str">
        <f>_xlfn.IFNA(VLOOKUP(Sheet1!$C300,MAC_DSUITE!A:D,3,FALSE),"-")</f>
        <v>xxx</v>
      </c>
      <c r="AT300" t="str">
        <f>_xlfn.IFNA(VLOOKUP(Sheet1!$C300,MONG_DSUITE!A:E,2,FALSE),"-")</f>
        <v>xxx</v>
      </c>
      <c r="AU300" t="str">
        <f>_xlfn.IFNA(VLOOKUP(Sheet1!$C300,MAC_PAINT2!A:D,4,FALSE),"-")</f>
        <v>-</v>
      </c>
    </row>
    <row r="301" spans="1:49" customFormat="1" x14ac:dyDescent="0.4">
      <c r="A301">
        <v>3752</v>
      </c>
      <c r="B301" t="s">
        <v>1136</v>
      </c>
      <c r="C301" t="s">
        <v>1137</v>
      </c>
      <c r="D301" t="str">
        <f>_xlfn.CONCAT(C301,".bam")</f>
        <v>SYST-MOR-0006989.bam</v>
      </c>
      <c r="E301" t="s">
        <v>1138</v>
      </c>
      <c r="F301" t="s">
        <v>2436</v>
      </c>
      <c r="G301" t="s">
        <v>2438</v>
      </c>
      <c r="H301" t="s">
        <v>2524</v>
      </c>
      <c r="I301" t="s">
        <v>1126</v>
      </c>
      <c r="K301" t="s">
        <v>64</v>
      </c>
      <c r="L301" t="s">
        <v>64</v>
      </c>
      <c r="N301" t="s">
        <v>64</v>
      </c>
      <c r="P301" t="s">
        <v>31</v>
      </c>
      <c r="Q301" t="s">
        <v>65</v>
      </c>
      <c r="R301" t="s">
        <v>2599</v>
      </c>
      <c r="S301" s="1">
        <v>44769</v>
      </c>
      <c r="T301" t="s">
        <v>33</v>
      </c>
      <c r="U301" t="s">
        <v>34</v>
      </c>
      <c r="V301" s="1">
        <v>44770</v>
      </c>
      <c r="W301" t="s">
        <v>35</v>
      </c>
      <c r="X301" t="s">
        <v>1089</v>
      </c>
      <c r="Y301" t="s">
        <v>1125</v>
      </c>
      <c r="Z301" t="s">
        <v>206</v>
      </c>
      <c r="AA301" t="s">
        <v>1126</v>
      </c>
      <c r="AD301" t="s">
        <v>64</v>
      </c>
      <c r="AE301">
        <v>42.411619999999999</v>
      </c>
      <c r="AF301">
        <v>-83.985316999999995</v>
      </c>
      <c r="AG301" t="s">
        <v>40</v>
      </c>
      <c r="AH301" t="s">
        <v>41</v>
      </c>
      <c r="AI301">
        <v>42.411725448600002</v>
      </c>
      <c r="AJ301">
        <v>-83.987274616999997</v>
      </c>
      <c r="AK301">
        <v>1.054486000029442E-4</v>
      </c>
      <c r="AL301">
        <v>-1.9576170000021875E-3</v>
      </c>
      <c r="AM301" t="str">
        <f>_xlfn.IFNA(VLOOKUP(Sheet1!$C301,ADMIX_ALL!A:B,2,FALSE),"none")</f>
        <v>K6-18</v>
      </c>
      <c r="AN301" t="str">
        <f>_xlfn.IFNA(VLOOKUP(Sheet1!C301,ADMIX_SS!A:B,2,FALSE),"none")</f>
        <v>SubSample</v>
      </c>
      <c r="AO301" t="str">
        <f>_xlfn.IFNA(VLOOKUP(Sheet1!$C301,MONG_PHYLO!A:C,3,FALSE),"-")</f>
        <v>-</v>
      </c>
      <c r="AP301" t="str">
        <f>_xlfn.IFNA(VLOOKUP(Sheet1!$C301,MAC_PHYLO!A:C,3,FALSE),"-")</f>
        <v>-</v>
      </c>
      <c r="AQ301" t="str">
        <f>_xlfn.IFNA(VLOOKUP(Sheet1!$C301,ConStruct!A:C,3,FALSE),"-")</f>
        <v>-</v>
      </c>
      <c r="AR301" t="str">
        <f>_xlfn.IFNA(VLOOKUP(Sheet1!$C301,GEA!A:C,3,FALSE),"-")</f>
        <v>-</v>
      </c>
      <c r="AS301" t="str">
        <f>_xlfn.IFNA(VLOOKUP(Sheet1!$C301,MAC_DSUITE!A:D,3,FALSE),"-")</f>
        <v>-</v>
      </c>
      <c r="AT301" t="str">
        <f>_xlfn.IFNA(VLOOKUP(Sheet1!$C301,MONG_DSUITE!A:E,2,FALSE),"-")</f>
        <v>xxx</v>
      </c>
      <c r="AU301" t="str">
        <f>_xlfn.IFNA(VLOOKUP(Sheet1!$C301,MAC_PAINT2!A:D,4,FALSE),"-")</f>
        <v>-</v>
      </c>
    </row>
    <row r="302" spans="1:49" customFormat="1" x14ac:dyDescent="0.4">
      <c r="A302">
        <v>3753</v>
      </c>
      <c r="B302" t="s">
        <v>1139</v>
      </c>
      <c r="C302" t="s">
        <v>1140</v>
      </c>
      <c r="D302" t="str">
        <f>_xlfn.CONCAT(C302,".bam")</f>
        <v>SYST-MOR-0006990.bam</v>
      </c>
      <c r="E302" t="s">
        <v>1141</v>
      </c>
      <c r="F302" t="s">
        <v>2436</v>
      </c>
      <c r="G302" t="s">
        <v>2438</v>
      </c>
      <c r="H302" t="s">
        <v>2524</v>
      </c>
      <c r="I302" t="s">
        <v>1126</v>
      </c>
      <c r="K302" t="s">
        <v>632</v>
      </c>
      <c r="L302" t="s">
        <v>632</v>
      </c>
      <c r="N302" t="s">
        <v>632</v>
      </c>
      <c r="P302" t="s">
        <v>31</v>
      </c>
      <c r="Q302" t="s">
        <v>633</v>
      </c>
      <c r="R302" t="s">
        <v>2603</v>
      </c>
      <c r="S302" s="1">
        <v>44769</v>
      </c>
      <c r="T302" t="s">
        <v>33</v>
      </c>
      <c r="U302" t="s">
        <v>34</v>
      </c>
      <c r="V302" s="1">
        <v>44770</v>
      </c>
      <c r="W302" t="s">
        <v>35</v>
      </c>
      <c r="X302" t="s">
        <v>1089</v>
      </c>
      <c r="Y302" t="s">
        <v>1125</v>
      </c>
      <c r="Z302" t="s">
        <v>206</v>
      </c>
      <c r="AA302" t="s">
        <v>1126</v>
      </c>
      <c r="AD302" t="s">
        <v>632</v>
      </c>
      <c r="AE302">
        <v>42.411672000000003</v>
      </c>
      <c r="AF302">
        <v>-83.985433</v>
      </c>
      <c r="AG302" t="s">
        <v>40</v>
      </c>
      <c r="AH302" t="s">
        <v>41</v>
      </c>
      <c r="AI302">
        <v>42.411756459000003</v>
      </c>
      <c r="AJ302">
        <v>-83.985454929599996</v>
      </c>
      <c r="AK302">
        <v>8.4458999999981188E-5</v>
      </c>
      <c r="AL302">
        <v>-2.1929599995473836E-5</v>
      </c>
      <c r="AM302" t="str">
        <f>_xlfn.IFNA(VLOOKUP(Sheet1!$C302,ADMIX_ALL!A:B,2,FALSE),"none")</f>
        <v>K6-18</v>
      </c>
      <c r="AN302" t="str">
        <f>_xlfn.IFNA(VLOOKUP(Sheet1!C302,ADMIX_SS!A:B,2,FALSE),"none")</f>
        <v>SubSample</v>
      </c>
      <c r="AO302" t="str">
        <f>_xlfn.IFNA(VLOOKUP(Sheet1!$C302,MONG_PHYLO!A:C,3,FALSE),"-")</f>
        <v>-</v>
      </c>
      <c r="AP302" t="str">
        <f>_xlfn.IFNA(VLOOKUP(Sheet1!$C302,MAC_PHYLO!A:C,3,FALSE),"-")</f>
        <v>-</v>
      </c>
      <c r="AQ302" t="str">
        <f>_xlfn.IFNA(VLOOKUP(Sheet1!$C302,ConStruct!A:C,3,FALSE),"-")</f>
        <v>-</v>
      </c>
      <c r="AR302" t="str">
        <f>_xlfn.IFNA(VLOOKUP(Sheet1!$C302,GEA!A:C,3,FALSE),"-")</f>
        <v>-</v>
      </c>
      <c r="AS302" t="str">
        <f>_xlfn.IFNA(VLOOKUP(Sheet1!$C302,MAC_DSUITE!A:D,3,FALSE),"-")</f>
        <v>-</v>
      </c>
      <c r="AT302" t="str">
        <f>_xlfn.IFNA(VLOOKUP(Sheet1!$C302,MONG_DSUITE!A:E,2,FALSE),"-")</f>
        <v>xxx</v>
      </c>
      <c r="AU302" t="str">
        <f>_xlfn.IFNA(VLOOKUP(Sheet1!$C302,MAC_PAINT2!A:D,4,FALSE),"-")</f>
        <v>-</v>
      </c>
    </row>
    <row r="303" spans="1:49" customFormat="1" x14ac:dyDescent="0.4">
      <c r="A303">
        <v>3754</v>
      </c>
      <c r="B303" t="s">
        <v>1142</v>
      </c>
      <c r="C303" t="s">
        <v>1143</v>
      </c>
      <c r="D303" t="str">
        <f>_xlfn.CONCAT(C303,".bam")</f>
        <v>SYST-MOR-0006991.bam</v>
      </c>
      <c r="E303" t="s">
        <v>1144</v>
      </c>
      <c r="F303" t="s">
        <v>2436</v>
      </c>
      <c r="G303" t="s">
        <v>2438</v>
      </c>
      <c r="H303" t="s">
        <v>2524</v>
      </c>
      <c r="I303" t="s">
        <v>1126</v>
      </c>
      <c r="K303" t="s">
        <v>64</v>
      </c>
      <c r="L303" t="s">
        <v>64</v>
      </c>
      <c r="N303" t="s">
        <v>64</v>
      </c>
      <c r="P303" t="s">
        <v>31</v>
      </c>
      <c r="Q303" t="s">
        <v>65</v>
      </c>
      <c r="R303" t="s">
        <v>2599</v>
      </c>
      <c r="S303" s="1">
        <v>44769</v>
      </c>
      <c r="T303" t="s">
        <v>33</v>
      </c>
      <c r="U303" t="s">
        <v>34</v>
      </c>
      <c r="V303" s="1">
        <v>44770</v>
      </c>
      <c r="W303" t="s">
        <v>35</v>
      </c>
      <c r="X303" t="s">
        <v>1089</v>
      </c>
      <c r="Y303" t="s">
        <v>1125</v>
      </c>
      <c r="Z303" t="s">
        <v>206</v>
      </c>
      <c r="AA303" t="s">
        <v>1126</v>
      </c>
      <c r="AD303" t="s">
        <v>64</v>
      </c>
      <c r="AE303">
        <v>42.411777000000001</v>
      </c>
      <c r="AF303">
        <v>-83.984634999999997</v>
      </c>
      <c r="AG303" t="s">
        <v>40</v>
      </c>
      <c r="AH303" t="s">
        <v>41</v>
      </c>
      <c r="AI303">
        <v>42.411681540499998</v>
      </c>
      <c r="AJ303">
        <v>-83.985341936300003</v>
      </c>
      <c r="AK303">
        <v>-9.5459500002448294E-5</v>
      </c>
      <c r="AL303">
        <v>-7.069363000056228E-4</v>
      </c>
      <c r="AM303" t="str">
        <f>_xlfn.IFNA(VLOOKUP(Sheet1!$C303,ADMIX_ALL!A:B,2,FALSE),"none")</f>
        <v>K6-18</v>
      </c>
      <c r="AN303" t="str">
        <f>_xlfn.IFNA(VLOOKUP(Sheet1!C303,ADMIX_SS!A:B,2,FALSE),"none")</f>
        <v>SubSample</v>
      </c>
      <c r="AO303" t="str">
        <f>_xlfn.IFNA(VLOOKUP(Sheet1!$C303,MONG_PHYLO!A:C,3,FALSE),"-")</f>
        <v>-</v>
      </c>
      <c r="AP303" t="str">
        <f>_xlfn.IFNA(VLOOKUP(Sheet1!$C303,MAC_PHYLO!A:C,3,FALSE),"-")</f>
        <v>-</v>
      </c>
      <c r="AQ303" t="str">
        <f>_xlfn.IFNA(VLOOKUP(Sheet1!$C303,ConStruct!A:C,3,FALSE),"-")</f>
        <v>-</v>
      </c>
      <c r="AR303" t="str">
        <f>_xlfn.IFNA(VLOOKUP(Sheet1!$C303,GEA!A:C,3,FALSE),"-")</f>
        <v>-</v>
      </c>
      <c r="AS303" t="str">
        <f>_xlfn.IFNA(VLOOKUP(Sheet1!$C303,MAC_DSUITE!A:D,3,FALSE),"-")</f>
        <v>-</v>
      </c>
      <c r="AT303" t="str">
        <f>_xlfn.IFNA(VLOOKUP(Sheet1!$C303,MONG_DSUITE!A:E,2,FALSE),"-")</f>
        <v>xxx</v>
      </c>
      <c r="AU303" t="str">
        <f>_xlfn.IFNA(VLOOKUP(Sheet1!$C303,MAC_PAINT2!A:D,4,FALSE),"-")</f>
        <v>-</v>
      </c>
    </row>
    <row r="304" spans="1:49" customFormat="1" x14ac:dyDescent="0.4">
      <c r="A304">
        <v>3755</v>
      </c>
      <c r="B304" t="s">
        <v>1145</v>
      </c>
      <c r="C304" t="s">
        <v>1146</v>
      </c>
      <c r="D304" t="str">
        <f>_xlfn.CONCAT(C304,".bam")</f>
        <v>SYST-MOR-0006992.bam</v>
      </c>
      <c r="E304" t="s">
        <v>1147</v>
      </c>
      <c r="F304" t="s">
        <v>2436</v>
      </c>
      <c r="G304" t="s">
        <v>2438</v>
      </c>
      <c r="H304" t="s">
        <v>2524</v>
      </c>
      <c r="I304" t="s">
        <v>1126</v>
      </c>
      <c r="K304" t="s">
        <v>64</v>
      </c>
      <c r="L304" t="s">
        <v>64</v>
      </c>
      <c r="N304" t="s">
        <v>64</v>
      </c>
      <c r="P304" t="s">
        <v>31</v>
      </c>
      <c r="Q304" t="s">
        <v>65</v>
      </c>
      <c r="R304" t="s">
        <v>2599</v>
      </c>
      <c r="S304" s="1">
        <v>44769</v>
      </c>
      <c r="T304" t="s">
        <v>33</v>
      </c>
      <c r="U304" t="s">
        <v>34</v>
      </c>
      <c r="V304" s="1">
        <v>44770</v>
      </c>
      <c r="W304" t="s">
        <v>35</v>
      </c>
      <c r="X304" t="s">
        <v>1089</v>
      </c>
      <c r="Y304" t="s">
        <v>1125</v>
      </c>
      <c r="Z304" t="s">
        <v>206</v>
      </c>
      <c r="AA304" t="s">
        <v>1126</v>
      </c>
      <c r="AD304" t="s">
        <v>64</v>
      </c>
      <c r="AE304">
        <v>42.411445000000001</v>
      </c>
      <c r="AF304">
        <v>-83.983795000000001</v>
      </c>
      <c r="AG304" t="s">
        <v>40</v>
      </c>
      <c r="AH304" t="s">
        <v>41</v>
      </c>
      <c r="AI304">
        <v>42.411386082</v>
      </c>
      <c r="AJ304">
        <v>-83.983741728699997</v>
      </c>
      <c r="AK304">
        <v>-5.8918000000574011E-5</v>
      </c>
      <c r="AL304">
        <v>5.3271300004098521E-5</v>
      </c>
      <c r="AM304" t="str">
        <f>_xlfn.IFNA(VLOOKUP(Sheet1!$C304,ADMIX_ALL!A:B,2,FALSE),"none")</f>
        <v>K6-18</v>
      </c>
      <c r="AN304" t="str">
        <f>_xlfn.IFNA(VLOOKUP(Sheet1!C304,ADMIX_SS!A:B,2,FALSE),"none")</f>
        <v>SubSample</v>
      </c>
      <c r="AO304" t="str">
        <f>_xlfn.IFNA(VLOOKUP(Sheet1!$C304,MONG_PHYLO!A:C,3,FALSE),"-")</f>
        <v>-</v>
      </c>
      <c r="AP304" t="str">
        <f>_xlfn.IFNA(VLOOKUP(Sheet1!$C304,MAC_PHYLO!A:C,3,FALSE),"-")</f>
        <v>-</v>
      </c>
      <c r="AQ304" t="str">
        <f>_xlfn.IFNA(VLOOKUP(Sheet1!$C304,ConStruct!A:C,3,FALSE),"-")</f>
        <v>-</v>
      </c>
      <c r="AR304" t="str">
        <f>_xlfn.IFNA(VLOOKUP(Sheet1!$C304,GEA!A:C,3,FALSE),"-")</f>
        <v>-</v>
      </c>
      <c r="AS304" t="str">
        <f>_xlfn.IFNA(VLOOKUP(Sheet1!$C304,MAC_DSUITE!A:D,3,FALSE),"-")</f>
        <v>-</v>
      </c>
      <c r="AT304" t="str">
        <f>_xlfn.IFNA(VLOOKUP(Sheet1!$C304,MONG_DSUITE!A:E,2,FALSE),"-")</f>
        <v>xxx</v>
      </c>
      <c r="AU304" t="str">
        <f>_xlfn.IFNA(VLOOKUP(Sheet1!$C304,MAC_PAINT2!A:D,4,FALSE),"-")</f>
        <v>-</v>
      </c>
    </row>
    <row r="305" spans="1:49" customFormat="1" x14ac:dyDescent="0.4">
      <c r="A305">
        <v>3756</v>
      </c>
      <c r="B305" t="s">
        <v>1148</v>
      </c>
      <c r="C305" t="s">
        <v>1149</v>
      </c>
      <c r="D305" t="str">
        <f>_xlfn.CONCAT(C305,".bam")</f>
        <v>SYST-MOR-0006993.bam</v>
      </c>
      <c r="E305" t="s">
        <v>1150</v>
      </c>
      <c r="F305" t="s">
        <v>2436</v>
      </c>
      <c r="G305" t="s">
        <v>2438</v>
      </c>
      <c r="H305" t="s">
        <v>2524</v>
      </c>
      <c r="I305" t="s">
        <v>1126</v>
      </c>
      <c r="K305" t="s">
        <v>64</v>
      </c>
      <c r="L305" t="s">
        <v>64</v>
      </c>
      <c r="N305" t="s">
        <v>64</v>
      </c>
      <c r="P305" t="s">
        <v>31</v>
      </c>
      <c r="Q305" t="s">
        <v>65</v>
      </c>
      <c r="R305" t="s">
        <v>2599</v>
      </c>
      <c r="S305" s="1">
        <v>44769</v>
      </c>
      <c r="T305" t="s">
        <v>33</v>
      </c>
      <c r="U305" t="s">
        <v>34</v>
      </c>
      <c r="V305" s="1">
        <v>44770</v>
      </c>
      <c r="W305" t="s">
        <v>35</v>
      </c>
      <c r="X305" t="s">
        <v>1089</v>
      </c>
      <c r="Y305" t="s">
        <v>1125</v>
      </c>
      <c r="Z305" t="s">
        <v>206</v>
      </c>
      <c r="AA305" t="s">
        <v>1126</v>
      </c>
      <c r="AD305" t="s">
        <v>64</v>
      </c>
      <c r="AE305">
        <v>42.411288999999996</v>
      </c>
      <c r="AF305">
        <v>-83.982500999999999</v>
      </c>
      <c r="AG305" t="s">
        <v>40</v>
      </c>
      <c r="AH305" t="s">
        <v>41</v>
      </c>
      <c r="AI305">
        <v>42.4112943421</v>
      </c>
      <c r="AJ305">
        <v>-83.982589384600004</v>
      </c>
      <c r="AK305">
        <v>5.3421000032471966E-6</v>
      </c>
      <c r="AL305">
        <v>-8.8384600005042557E-5</v>
      </c>
      <c r="AM305" t="str">
        <f>_xlfn.IFNA(VLOOKUP(Sheet1!$C305,ADMIX_ALL!A:B,2,FALSE),"none")</f>
        <v>K6-18</v>
      </c>
      <c r="AN305" t="str">
        <f>_xlfn.IFNA(VLOOKUP(Sheet1!C305,ADMIX_SS!A:B,2,FALSE),"none")</f>
        <v>SubSample</v>
      </c>
      <c r="AO305" t="str">
        <f>_xlfn.IFNA(VLOOKUP(Sheet1!$C305,MONG_PHYLO!A:C,3,FALSE),"-")</f>
        <v>-</v>
      </c>
      <c r="AP305" t="str">
        <f>_xlfn.IFNA(VLOOKUP(Sheet1!$C305,MAC_PHYLO!A:C,3,FALSE),"-")</f>
        <v>-</v>
      </c>
      <c r="AQ305" t="str">
        <f>_xlfn.IFNA(VLOOKUP(Sheet1!$C305,ConStruct!A:C,3,FALSE),"-")</f>
        <v>-</v>
      </c>
      <c r="AR305" t="str">
        <f>_xlfn.IFNA(VLOOKUP(Sheet1!$C305,GEA!A:C,3,FALSE),"-")</f>
        <v>-</v>
      </c>
      <c r="AS305" t="str">
        <f>_xlfn.IFNA(VLOOKUP(Sheet1!$C305,MAC_DSUITE!A:D,3,FALSE),"-")</f>
        <v>-</v>
      </c>
      <c r="AT305" t="str">
        <f>_xlfn.IFNA(VLOOKUP(Sheet1!$C305,MONG_DSUITE!A:E,2,FALSE),"-")</f>
        <v>xxx</v>
      </c>
      <c r="AU305" t="str">
        <f>_xlfn.IFNA(VLOOKUP(Sheet1!$C305,MAC_PAINT2!A:D,4,FALSE),"-")</f>
        <v>-</v>
      </c>
    </row>
    <row r="306" spans="1:49" customFormat="1" x14ac:dyDescent="0.4">
      <c r="A306">
        <v>3757</v>
      </c>
      <c r="B306" t="s">
        <v>1151</v>
      </c>
      <c r="C306" t="s">
        <v>1152</v>
      </c>
      <c r="D306" t="str">
        <f>_xlfn.CONCAT(C306,".bam")</f>
        <v>SYST-MOR-0006994.bam</v>
      </c>
      <c r="E306" t="s">
        <v>1153</v>
      </c>
      <c r="F306" t="s">
        <v>2436</v>
      </c>
      <c r="G306" t="s">
        <v>2438</v>
      </c>
      <c r="H306" t="s">
        <v>2524</v>
      </c>
      <c r="I306" t="s">
        <v>1126</v>
      </c>
      <c r="K306" t="s">
        <v>143</v>
      </c>
      <c r="L306" t="s">
        <v>143</v>
      </c>
      <c r="N306" t="s">
        <v>143</v>
      </c>
      <c r="P306" t="s">
        <v>31</v>
      </c>
      <c r="Q306" t="s">
        <v>144</v>
      </c>
      <c r="R306" t="s">
        <v>2601</v>
      </c>
      <c r="S306" s="1">
        <v>44769</v>
      </c>
      <c r="T306" t="s">
        <v>33</v>
      </c>
      <c r="U306" t="s">
        <v>34</v>
      </c>
      <c r="V306" s="1">
        <v>44770</v>
      </c>
      <c r="W306" t="s">
        <v>35</v>
      </c>
      <c r="X306" t="s">
        <v>1089</v>
      </c>
      <c r="Y306" t="s">
        <v>1125</v>
      </c>
      <c r="Z306" t="s">
        <v>206</v>
      </c>
      <c r="AA306" t="s">
        <v>1126</v>
      </c>
      <c r="AD306" t="s">
        <v>143</v>
      </c>
      <c r="AE306">
        <v>42.416812</v>
      </c>
      <c r="AF306">
        <v>-83.997923999999998</v>
      </c>
      <c r="AG306" t="s">
        <v>40</v>
      </c>
      <c r="AH306" t="s">
        <v>41</v>
      </c>
      <c r="AI306">
        <v>42.414209454599998</v>
      </c>
      <c r="AJ306">
        <v>-83.994956067800004</v>
      </c>
      <c r="AK306">
        <v>-2.6025454000020432E-3</v>
      </c>
      <c r="AL306">
        <v>2.9679321999935837E-3</v>
      </c>
      <c r="AM306" t="str">
        <f>_xlfn.IFNA(VLOOKUP(Sheet1!$C306,ADMIX_ALL!A:B,2,FALSE),"none")</f>
        <v>K6-18</v>
      </c>
      <c r="AN306" t="str">
        <f>_xlfn.IFNA(VLOOKUP(Sheet1!C306,ADMIX_SS!A:B,2,FALSE),"none")</f>
        <v>Constant</v>
      </c>
      <c r="AO306" t="str">
        <f>_xlfn.IFNA(VLOOKUP(Sheet1!$C306,MONG_PHYLO!A:C,3,FALSE),"-")</f>
        <v>bic</v>
      </c>
      <c r="AP306" t="str">
        <f>_xlfn.IFNA(VLOOKUP(Sheet1!$C306,MAC_PHYLO!A:C,3,FALSE),"-")</f>
        <v>-</v>
      </c>
      <c r="AQ306" t="str">
        <f>_xlfn.IFNA(VLOOKUP(Sheet1!$C306,ConStruct!A:C,3,FALSE),"-")</f>
        <v>-</v>
      </c>
      <c r="AR306" t="str">
        <f>_xlfn.IFNA(VLOOKUP(Sheet1!$C306,GEA!A:C,3,FALSE),"-")</f>
        <v>-</v>
      </c>
      <c r="AS306" t="str">
        <f>_xlfn.IFNA(VLOOKUP(Sheet1!$C306,MAC_DSUITE!A:D,3,FALSE),"-")</f>
        <v>-</v>
      </c>
      <c r="AT306" t="str">
        <f>_xlfn.IFNA(VLOOKUP(Sheet1!$C306,MONG_DSUITE!A:E,2,FALSE),"-")</f>
        <v>bicolor</v>
      </c>
      <c r="AU306" t="str">
        <f>_xlfn.IFNA(VLOOKUP(Sheet1!$C306,MAC_PAINT2!A:D,4,FALSE),"-")</f>
        <v>-</v>
      </c>
    </row>
    <row r="307" spans="1:49" customFormat="1" x14ac:dyDescent="0.4">
      <c r="A307">
        <v>3758</v>
      </c>
      <c r="B307" t="s">
        <v>1154</v>
      </c>
      <c r="C307" t="s">
        <v>1155</v>
      </c>
      <c r="D307" t="str">
        <f>_xlfn.CONCAT(C307,".bam")</f>
        <v>SYST-MOR-0006995.bam</v>
      </c>
      <c r="E307" t="s">
        <v>1156</v>
      </c>
      <c r="F307" t="s">
        <v>2436</v>
      </c>
      <c r="G307" t="s">
        <v>2438</v>
      </c>
      <c r="H307" t="s">
        <v>2524</v>
      </c>
      <c r="I307" t="s">
        <v>1126</v>
      </c>
      <c r="K307" t="s">
        <v>143</v>
      </c>
      <c r="L307" t="s">
        <v>143</v>
      </c>
      <c r="N307" t="s">
        <v>143</v>
      </c>
      <c r="P307" t="s">
        <v>31</v>
      </c>
      <c r="Q307" t="s">
        <v>144</v>
      </c>
      <c r="R307" t="s">
        <v>2601</v>
      </c>
      <c r="S307" s="1">
        <v>44769</v>
      </c>
      <c r="T307" t="s">
        <v>33</v>
      </c>
      <c r="U307" t="s">
        <v>34</v>
      </c>
      <c r="V307" s="1">
        <v>44770</v>
      </c>
      <c r="W307" t="s">
        <v>35</v>
      </c>
      <c r="X307" t="s">
        <v>1089</v>
      </c>
      <c r="Y307" t="s">
        <v>1125</v>
      </c>
      <c r="Z307" t="s">
        <v>206</v>
      </c>
      <c r="AA307" t="s">
        <v>1126</v>
      </c>
      <c r="AD307" t="s">
        <v>143</v>
      </c>
      <c r="AE307">
        <v>42.417439999999999</v>
      </c>
      <c r="AF307">
        <v>-83.999618999999996</v>
      </c>
      <c r="AG307" t="s">
        <v>40</v>
      </c>
      <c r="AH307" t="s">
        <v>41</v>
      </c>
      <c r="AI307">
        <v>42.417386225500003</v>
      </c>
      <c r="AJ307">
        <v>-83.999698106300002</v>
      </c>
      <c r="AK307">
        <v>-5.3774499995995484E-5</v>
      </c>
      <c r="AL307">
        <v>-7.9106300006515085E-5</v>
      </c>
      <c r="AM307" t="str">
        <f>_xlfn.IFNA(VLOOKUP(Sheet1!$C307,ADMIX_ALL!A:B,2,FALSE),"none")</f>
        <v>K6-18</v>
      </c>
      <c r="AN307" t="str">
        <f>_xlfn.IFNA(VLOOKUP(Sheet1!C307,ADMIX_SS!A:B,2,FALSE),"none")</f>
        <v>SubSample</v>
      </c>
      <c r="AO307" t="str">
        <f>_xlfn.IFNA(VLOOKUP(Sheet1!$C307,MONG_PHYLO!A:C,3,FALSE),"-")</f>
        <v>-</v>
      </c>
      <c r="AP307" t="str">
        <f>_xlfn.IFNA(VLOOKUP(Sheet1!$C307,MAC_PHYLO!A:C,3,FALSE),"-")</f>
        <v>-</v>
      </c>
      <c r="AQ307" t="str">
        <f>_xlfn.IFNA(VLOOKUP(Sheet1!$C307,ConStruct!A:C,3,FALSE),"-")</f>
        <v>-</v>
      </c>
      <c r="AR307" t="str">
        <f>_xlfn.IFNA(VLOOKUP(Sheet1!$C307,GEA!A:C,3,FALSE),"-")</f>
        <v>-</v>
      </c>
      <c r="AS307" t="str">
        <f>_xlfn.IFNA(VLOOKUP(Sheet1!$C307,MAC_DSUITE!A:D,3,FALSE),"-")</f>
        <v>-</v>
      </c>
      <c r="AT307" t="str">
        <f>_xlfn.IFNA(VLOOKUP(Sheet1!$C307,MONG_DSUITE!A:E,2,FALSE),"-")</f>
        <v>xxx</v>
      </c>
      <c r="AU307" t="str">
        <f>_xlfn.IFNA(VLOOKUP(Sheet1!$C307,MAC_PAINT2!A:D,4,FALSE),"-")</f>
        <v>-</v>
      </c>
    </row>
    <row r="308" spans="1:49" customFormat="1" x14ac:dyDescent="0.4">
      <c r="A308">
        <v>3759</v>
      </c>
      <c r="B308" t="s">
        <v>1157</v>
      </c>
      <c r="C308" t="s">
        <v>1158</v>
      </c>
      <c r="D308" t="str">
        <f>_xlfn.CONCAT(C308,".bam")</f>
        <v>SYST-MOR-0006996.bam</v>
      </c>
      <c r="E308" t="s">
        <v>1159</v>
      </c>
      <c r="F308" t="s">
        <v>2436</v>
      </c>
      <c r="G308" t="s">
        <v>2438</v>
      </c>
      <c r="H308" t="s">
        <v>2524</v>
      </c>
      <c r="I308" t="s">
        <v>1126</v>
      </c>
      <c r="K308" t="s">
        <v>143</v>
      </c>
      <c r="L308" t="s">
        <v>143</v>
      </c>
      <c r="N308" t="s">
        <v>143</v>
      </c>
      <c r="P308" t="s">
        <v>31</v>
      </c>
      <c r="Q308" t="s">
        <v>144</v>
      </c>
      <c r="R308" t="s">
        <v>2601</v>
      </c>
      <c r="S308" s="1">
        <v>44769</v>
      </c>
      <c r="T308" t="s">
        <v>33</v>
      </c>
      <c r="U308" t="s">
        <v>34</v>
      </c>
      <c r="V308" s="1">
        <v>44770</v>
      </c>
      <c r="W308" t="s">
        <v>35</v>
      </c>
      <c r="X308" t="s">
        <v>1089</v>
      </c>
      <c r="Y308" t="s">
        <v>1125</v>
      </c>
      <c r="Z308" t="s">
        <v>206</v>
      </c>
      <c r="AA308" t="s">
        <v>1126</v>
      </c>
      <c r="AD308" t="s">
        <v>143</v>
      </c>
      <c r="AE308">
        <v>42.416401</v>
      </c>
      <c r="AF308">
        <v>-83.400390700000003</v>
      </c>
      <c r="AG308" t="s">
        <v>40</v>
      </c>
      <c r="AH308" t="s">
        <v>41</v>
      </c>
      <c r="AI308">
        <v>42.416120348500002</v>
      </c>
      <c r="AJ308">
        <v>-84.003903809999997</v>
      </c>
      <c r="AK308">
        <v>-2.8065149999889627E-4</v>
      </c>
      <c r="AL308">
        <v>-0.60351310999999441</v>
      </c>
      <c r="AM308" t="str">
        <f>_xlfn.IFNA(VLOOKUP(Sheet1!$C308,ADMIX_ALL!A:B,2,FALSE),"none")</f>
        <v>K6-18</v>
      </c>
      <c r="AN308" t="str">
        <f>_xlfn.IFNA(VLOOKUP(Sheet1!C308,ADMIX_SS!A:B,2,FALSE),"none")</f>
        <v>SubSample</v>
      </c>
      <c r="AO308" t="str">
        <f>_xlfn.IFNA(VLOOKUP(Sheet1!$C308,MONG_PHYLO!A:C,3,FALSE),"-")</f>
        <v>-</v>
      </c>
      <c r="AP308" t="str">
        <f>_xlfn.IFNA(VLOOKUP(Sheet1!$C308,MAC_PHYLO!A:C,3,FALSE),"-")</f>
        <v>-</v>
      </c>
      <c r="AQ308" t="str">
        <f>_xlfn.IFNA(VLOOKUP(Sheet1!$C308,ConStruct!A:C,3,FALSE),"-")</f>
        <v>-</v>
      </c>
      <c r="AR308" t="str">
        <f>_xlfn.IFNA(VLOOKUP(Sheet1!$C308,GEA!A:C,3,FALSE),"-")</f>
        <v>-</v>
      </c>
      <c r="AS308" t="str">
        <f>_xlfn.IFNA(VLOOKUP(Sheet1!$C308,MAC_DSUITE!A:D,3,FALSE),"-")</f>
        <v>-</v>
      </c>
      <c r="AT308" t="str">
        <f>_xlfn.IFNA(VLOOKUP(Sheet1!$C308,MONG_DSUITE!A:E,2,FALSE),"-")</f>
        <v>xxx</v>
      </c>
      <c r="AU308" t="str">
        <f>_xlfn.IFNA(VLOOKUP(Sheet1!$C308,MAC_PAINT2!A:D,4,FALSE),"-")</f>
        <v>-</v>
      </c>
    </row>
    <row r="309" spans="1:49" customFormat="1" x14ac:dyDescent="0.4">
      <c r="A309">
        <v>3760</v>
      </c>
      <c r="B309" t="s">
        <v>1160</v>
      </c>
      <c r="C309" t="s">
        <v>1161</v>
      </c>
      <c r="D309" t="str">
        <f>_xlfn.CONCAT(C309,".bam")</f>
        <v>SYST-MOR-0006997.bam</v>
      </c>
      <c r="E309" t="s">
        <v>1162</v>
      </c>
      <c r="F309" t="s">
        <v>2436</v>
      </c>
      <c r="G309" t="s">
        <v>2438</v>
      </c>
      <c r="H309" t="s">
        <v>2524</v>
      </c>
      <c r="I309" t="s">
        <v>1126</v>
      </c>
      <c r="K309" t="s">
        <v>143</v>
      </c>
      <c r="L309" t="s">
        <v>143</v>
      </c>
      <c r="N309" t="s">
        <v>143</v>
      </c>
      <c r="P309" t="s">
        <v>31</v>
      </c>
      <c r="Q309" t="s">
        <v>144</v>
      </c>
      <c r="R309" t="s">
        <v>2601</v>
      </c>
      <c r="S309" s="1">
        <v>44769</v>
      </c>
      <c r="T309" t="s">
        <v>33</v>
      </c>
      <c r="U309" t="s">
        <v>34</v>
      </c>
      <c r="V309" s="1">
        <v>44770</v>
      </c>
      <c r="W309" t="s">
        <v>35</v>
      </c>
      <c r="X309" t="s">
        <v>1089</v>
      </c>
      <c r="Y309" t="s">
        <v>1125</v>
      </c>
      <c r="Z309" t="s">
        <v>206</v>
      </c>
      <c r="AA309" t="s">
        <v>1126</v>
      </c>
      <c r="AD309" t="s">
        <v>143</v>
      </c>
      <c r="AE309">
        <v>42.418191</v>
      </c>
      <c r="AF309">
        <v>-84.002222000000003</v>
      </c>
      <c r="AG309" t="s">
        <v>40</v>
      </c>
      <c r="AH309" t="s">
        <v>41</v>
      </c>
      <c r="AI309">
        <v>42.4182268884</v>
      </c>
      <c r="AJ309">
        <v>-84.002135898999995</v>
      </c>
      <c r="AK309">
        <v>3.5888399999350895E-5</v>
      </c>
      <c r="AL309">
        <v>8.6101000007943185E-5</v>
      </c>
      <c r="AM309" t="str">
        <f>_xlfn.IFNA(VLOOKUP(Sheet1!$C309,ADMIX_ALL!A:B,2,FALSE),"none")</f>
        <v>K6-18</v>
      </c>
      <c r="AN309" t="str">
        <f>_xlfn.IFNA(VLOOKUP(Sheet1!C309,ADMIX_SS!A:B,2,FALSE),"none")</f>
        <v>SubSample</v>
      </c>
      <c r="AO309" t="str">
        <f>_xlfn.IFNA(VLOOKUP(Sheet1!$C309,MONG_PHYLO!A:C,3,FALSE),"-")</f>
        <v>-</v>
      </c>
      <c r="AP309" t="str">
        <f>_xlfn.IFNA(VLOOKUP(Sheet1!$C309,MAC_PHYLO!A:C,3,FALSE),"-")</f>
        <v>-</v>
      </c>
      <c r="AQ309" t="str">
        <f>_xlfn.IFNA(VLOOKUP(Sheet1!$C309,ConStruct!A:C,3,FALSE),"-")</f>
        <v>-</v>
      </c>
      <c r="AR309" t="str">
        <f>_xlfn.IFNA(VLOOKUP(Sheet1!$C309,GEA!A:C,3,FALSE),"-")</f>
        <v>-</v>
      </c>
      <c r="AS309" t="str">
        <f>_xlfn.IFNA(VLOOKUP(Sheet1!$C309,MAC_DSUITE!A:D,3,FALSE),"-")</f>
        <v>-</v>
      </c>
      <c r="AT309" t="str">
        <f>_xlfn.IFNA(VLOOKUP(Sheet1!$C309,MONG_DSUITE!A:E,2,FALSE),"-")</f>
        <v>xxx</v>
      </c>
      <c r="AU309" t="str">
        <f>_xlfn.IFNA(VLOOKUP(Sheet1!$C309,MAC_PAINT2!A:D,4,FALSE),"-")</f>
        <v>-</v>
      </c>
    </row>
    <row r="310" spans="1:49" customFormat="1" x14ac:dyDescent="0.4">
      <c r="A310">
        <v>3761</v>
      </c>
      <c r="B310" t="s">
        <v>1163</v>
      </c>
      <c r="C310" t="s">
        <v>1164</v>
      </c>
      <c r="D310" t="str">
        <f>_xlfn.CONCAT(C310,".bam")</f>
        <v>SYST-MOR-0006998.bam</v>
      </c>
      <c r="E310" t="s">
        <v>1165</v>
      </c>
      <c r="F310" t="s">
        <v>2436</v>
      </c>
      <c r="G310" t="s">
        <v>2438</v>
      </c>
      <c r="H310" t="s">
        <v>2524</v>
      </c>
      <c r="I310" t="s">
        <v>1126</v>
      </c>
      <c r="K310" t="s">
        <v>8557</v>
      </c>
      <c r="L310" t="s">
        <v>45</v>
      </c>
      <c r="N310" t="s">
        <v>45</v>
      </c>
      <c r="P310" t="s">
        <v>31</v>
      </c>
      <c r="Q310" t="s">
        <v>46</v>
      </c>
      <c r="R310" t="s">
        <v>2597</v>
      </c>
      <c r="S310" s="1">
        <v>44769</v>
      </c>
      <c r="T310" t="s">
        <v>33</v>
      </c>
      <c r="U310" t="s">
        <v>34</v>
      </c>
      <c r="V310" s="1">
        <v>44770</v>
      </c>
      <c r="W310" t="s">
        <v>35</v>
      </c>
      <c r="X310" t="s">
        <v>1089</v>
      </c>
      <c r="Y310" t="s">
        <v>1125</v>
      </c>
      <c r="Z310" t="s">
        <v>206</v>
      </c>
      <c r="AA310" t="s">
        <v>1126</v>
      </c>
      <c r="AD310" t="s">
        <v>45</v>
      </c>
      <c r="AE310">
        <v>42.407538000000002</v>
      </c>
      <c r="AF310">
        <v>-83.986305000000002</v>
      </c>
      <c r="AG310" t="s">
        <v>40</v>
      </c>
      <c r="AH310" t="s">
        <v>41</v>
      </c>
      <c r="AI310">
        <v>42.4075023057</v>
      </c>
      <c r="AJ310">
        <v>-83.986283370199999</v>
      </c>
      <c r="AK310">
        <v>-3.5694300002830914E-5</v>
      </c>
      <c r="AL310">
        <v>2.1629800002642696E-5</v>
      </c>
      <c r="AM310" t="str">
        <f>_xlfn.IFNA(VLOOKUP(Sheet1!$C310,ADMIX_ALL!A:B,2,FALSE),"none")</f>
        <v>K6-18</v>
      </c>
      <c r="AN310" t="str">
        <f>_xlfn.IFNA(VLOOKUP(Sheet1!C310,ADMIX_SS!A:B,2,FALSE),"none")</f>
        <v>SubSample</v>
      </c>
      <c r="AO310" t="str">
        <f>_xlfn.IFNA(VLOOKUP(Sheet1!$C310,MONG_PHYLO!A:C,3,FALSE),"-")</f>
        <v>-</v>
      </c>
      <c r="AP310" t="str">
        <f>_xlfn.IFNA(VLOOKUP(Sheet1!$C310,MAC_PHYLO!A:C,3,FALSE),"-")</f>
        <v>-</v>
      </c>
      <c r="AQ310" t="str">
        <f>_xlfn.IFNA(VLOOKUP(Sheet1!$C310,ConStruct!A:C,3,FALSE),"-")</f>
        <v>ConStruct</v>
      </c>
      <c r="AR310" t="str">
        <f>_xlfn.IFNA(VLOOKUP(Sheet1!$C310,GEA!A:C,3,FALSE),"-")</f>
        <v>-</v>
      </c>
      <c r="AS310" t="str">
        <f>_xlfn.IFNA(VLOOKUP(Sheet1!$C310,MAC_DSUITE!A:D,3,FALSE),"-")</f>
        <v>-</v>
      </c>
      <c r="AT310" t="str">
        <f>_xlfn.IFNA(VLOOKUP(Sheet1!$C310,MONG_DSUITE!A:E,2,FALSE),"-")</f>
        <v>xxx</v>
      </c>
      <c r="AU310" t="str">
        <f>_xlfn.IFNA(VLOOKUP(Sheet1!$C310,MAC_PAINT2!A:D,4,FALSE),"-")</f>
        <v>-</v>
      </c>
    </row>
    <row r="311" spans="1:49" customFormat="1" x14ac:dyDescent="0.4">
      <c r="A311">
        <v>3762</v>
      </c>
      <c r="B311" t="s">
        <v>1166</v>
      </c>
      <c r="C311" t="s">
        <v>1167</v>
      </c>
      <c r="D311" t="str">
        <f>_xlfn.CONCAT(C311,".bam")</f>
        <v>SYST-MOR-0006999.bam</v>
      </c>
      <c r="E311" t="s">
        <v>1168</v>
      </c>
      <c r="F311" t="s">
        <v>2436</v>
      </c>
      <c r="G311" t="s">
        <v>2438</v>
      </c>
      <c r="H311" t="s">
        <v>2524</v>
      </c>
      <c r="I311" t="s">
        <v>1126</v>
      </c>
      <c r="K311" t="s">
        <v>45</v>
      </c>
      <c r="L311" t="s">
        <v>45</v>
      </c>
      <c r="N311" t="s">
        <v>45</v>
      </c>
      <c r="P311" t="s">
        <v>31</v>
      </c>
      <c r="Q311" t="s">
        <v>46</v>
      </c>
      <c r="R311" t="s">
        <v>2597</v>
      </c>
      <c r="S311" s="1">
        <v>44769</v>
      </c>
      <c r="T311" t="s">
        <v>33</v>
      </c>
      <c r="U311" t="s">
        <v>34</v>
      </c>
      <c r="V311" s="1">
        <v>44770</v>
      </c>
      <c r="W311" t="s">
        <v>35</v>
      </c>
      <c r="X311" t="s">
        <v>1089</v>
      </c>
      <c r="Y311" t="s">
        <v>1169</v>
      </c>
      <c r="Z311" t="s">
        <v>206</v>
      </c>
      <c r="AA311" t="s">
        <v>1126</v>
      </c>
      <c r="AD311" t="s">
        <v>45</v>
      </c>
      <c r="AE311">
        <v>42.4465</v>
      </c>
      <c r="AF311">
        <v>-84.002319999999997</v>
      </c>
      <c r="AG311" t="s">
        <v>40</v>
      </c>
      <c r="AH311" t="s">
        <v>41</v>
      </c>
      <c r="AI311">
        <v>42.446496826599997</v>
      </c>
      <c r="AJ311">
        <v>-84.002295155200002</v>
      </c>
      <c r="AK311">
        <v>-3.1734000032201948E-6</v>
      </c>
      <c r="AL311">
        <v>2.4844799995094036E-5</v>
      </c>
      <c r="AM311" t="str">
        <f>_xlfn.IFNA(VLOOKUP(Sheet1!$C311,ADMIX_ALL!A:B,2,FALSE),"none")</f>
        <v>K6-18</v>
      </c>
      <c r="AN311" t="str">
        <f>_xlfn.IFNA(VLOOKUP(Sheet1!C311,ADMIX_SS!A:B,2,FALSE),"none")</f>
        <v>SubSample</v>
      </c>
      <c r="AO311" t="str">
        <f>_xlfn.IFNA(VLOOKUP(Sheet1!$C311,MONG_PHYLO!A:C,3,FALSE),"-")</f>
        <v>-</v>
      </c>
      <c r="AP311" t="str">
        <f>_xlfn.IFNA(VLOOKUP(Sheet1!$C311,MAC_PHYLO!A:C,3,FALSE),"-")</f>
        <v>-</v>
      </c>
      <c r="AQ311" t="str">
        <f>_xlfn.IFNA(VLOOKUP(Sheet1!$C311,ConStruct!A:C,3,FALSE),"-")</f>
        <v>ConStruct</v>
      </c>
      <c r="AR311" t="str">
        <f>_xlfn.IFNA(VLOOKUP(Sheet1!$C311,GEA!A:C,3,FALSE),"-")</f>
        <v>GEA</v>
      </c>
      <c r="AS311" t="str">
        <f>_xlfn.IFNA(VLOOKUP(Sheet1!$C311,MAC_DSUITE!A:D,3,FALSE),"-")</f>
        <v>mac_MI_PRA</v>
      </c>
      <c r="AT311" t="str">
        <f>_xlfn.IFNA(VLOOKUP(Sheet1!$C311,MONG_DSUITE!A:E,2,FALSE),"-")</f>
        <v>macrocarpa_PRA</v>
      </c>
      <c r="AU311" t="str">
        <f>_xlfn.IFNA(VLOOKUP(Sheet1!$C311,MAC_PAINT2!A:D,4,FALSE),"-")</f>
        <v>macpaint</v>
      </c>
      <c r="AV311" t="s">
        <v>9193</v>
      </c>
      <c r="AW311" t="s">
        <v>9193</v>
      </c>
    </row>
    <row r="312" spans="1:49" customFormat="1" x14ac:dyDescent="0.4">
      <c r="A312">
        <v>3763</v>
      </c>
      <c r="B312" t="s">
        <v>1170</v>
      </c>
      <c r="C312" t="s">
        <v>1171</v>
      </c>
      <c r="D312" t="str">
        <f>_xlfn.CONCAT(C312,".bam")</f>
        <v>SYST-MOR-0007000.bam</v>
      </c>
      <c r="E312" t="s">
        <v>1172</v>
      </c>
      <c r="F312" t="s">
        <v>2436</v>
      </c>
      <c r="G312" t="s">
        <v>2438</v>
      </c>
      <c r="H312" t="s">
        <v>2524</v>
      </c>
      <c r="I312" t="s">
        <v>1126</v>
      </c>
      <c r="K312" t="s">
        <v>64</v>
      </c>
      <c r="L312" t="s">
        <v>64</v>
      </c>
      <c r="N312" t="s">
        <v>64</v>
      </c>
      <c r="P312" t="s">
        <v>31</v>
      </c>
      <c r="Q312" t="s">
        <v>65</v>
      </c>
      <c r="R312" t="s">
        <v>2599</v>
      </c>
      <c r="S312" s="1">
        <v>44769</v>
      </c>
      <c r="T312" t="s">
        <v>33</v>
      </c>
      <c r="U312" t="s">
        <v>34</v>
      </c>
      <c r="V312" s="1">
        <v>44770</v>
      </c>
      <c r="W312" t="s">
        <v>35</v>
      </c>
      <c r="X312" t="s">
        <v>1089</v>
      </c>
      <c r="Y312" t="s">
        <v>1169</v>
      </c>
      <c r="Z312" t="s">
        <v>206</v>
      </c>
      <c r="AA312" t="s">
        <v>1126</v>
      </c>
      <c r="AD312" t="s">
        <v>64</v>
      </c>
      <c r="AE312">
        <v>42.446421000000001</v>
      </c>
      <c r="AF312">
        <v>-84.001964000000001</v>
      </c>
      <c r="AG312" t="s">
        <v>40</v>
      </c>
      <c r="AH312" t="s">
        <v>41</v>
      </c>
      <c r="AI312">
        <v>42.446526288999998</v>
      </c>
      <c r="AJ312">
        <v>-84.001480769400004</v>
      </c>
      <c r="AK312">
        <v>1.0528899999684427E-4</v>
      </c>
      <c r="AL312">
        <v>4.8323059999688667E-4</v>
      </c>
      <c r="AM312" t="str">
        <f>_xlfn.IFNA(VLOOKUP(Sheet1!$C312,ADMIX_ALL!A:B,2,FALSE),"none")</f>
        <v>K6-18</v>
      </c>
      <c r="AN312" t="str">
        <f>_xlfn.IFNA(VLOOKUP(Sheet1!C312,ADMIX_SS!A:B,2,FALSE),"none")</f>
        <v>SubSample</v>
      </c>
      <c r="AO312" t="str">
        <f>_xlfn.IFNA(VLOOKUP(Sheet1!$C312,MONG_PHYLO!A:C,3,FALSE),"-")</f>
        <v>-</v>
      </c>
      <c r="AP312" t="str">
        <f>_xlfn.IFNA(VLOOKUP(Sheet1!$C312,MAC_PHYLO!A:C,3,FALSE),"-")</f>
        <v>-</v>
      </c>
      <c r="AQ312" t="str">
        <f>_xlfn.IFNA(VLOOKUP(Sheet1!$C312,ConStruct!A:C,3,FALSE),"-")</f>
        <v>-</v>
      </c>
      <c r="AR312" t="str">
        <f>_xlfn.IFNA(VLOOKUP(Sheet1!$C312,GEA!A:C,3,FALSE),"-")</f>
        <v>-</v>
      </c>
      <c r="AS312" t="str">
        <f>_xlfn.IFNA(VLOOKUP(Sheet1!$C312,MAC_DSUITE!A:D,3,FALSE),"-")</f>
        <v>-</v>
      </c>
      <c r="AT312" t="str">
        <f>_xlfn.IFNA(VLOOKUP(Sheet1!$C312,MONG_DSUITE!A:E,2,FALSE),"-")</f>
        <v>xxx</v>
      </c>
      <c r="AU312" t="str">
        <f>_xlfn.IFNA(VLOOKUP(Sheet1!$C312,MAC_PAINT2!A:D,4,FALSE),"-")</f>
        <v>-</v>
      </c>
    </row>
    <row r="313" spans="1:49" customFormat="1" x14ac:dyDescent="0.4">
      <c r="A313">
        <v>3764</v>
      </c>
      <c r="B313" t="s">
        <v>1173</v>
      </c>
      <c r="C313" t="s">
        <v>1174</v>
      </c>
      <c r="D313" t="str">
        <f>_xlfn.CONCAT(C313,".bam")</f>
        <v>SYST-MOR-0007001.bam</v>
      </c>
      <c r="E313" t="s">
        <v>1175</v>
      </c>
      <c r="F313" t="s">
        <v>2436</v>
      </c>
      <c r="G313" t="s">
        <v>2438</v>
      </c>
      <c r="H313" t="s">
        <v>2524</v>
      </c>
      <c r="I313" t="s">
        <v>1126</v>
      </c>
      <c r="K313" t="s">
        <v>45</v>
      </c>
      <c r="L313" t="s">
        <v>45</v>
      </c>
      <c r="N313" t="s">
        <v>45</v>
      </c>
      <c r="P313" t="s">
        <v>31</v>
      </c>
      <c r="Q313" t="s">
        <v>46</v>
      </c>
      <c r="R313" t="s">
        <v>2597</v>
      </c>
      <c r="S313" s="1">
        <v>44769</v>
      </c>
      <c r="T313" t="s">
        <v>33</v>
      </c>
      <c r="U313" t="s">
        <v>34</v>
      </c>
      <c r="V313" s="1">
        <v>44770</v>
      </c>
      <c r="W313" t="s">
        <v>35</v>
      </c>
      <c r="X313" t="s">
        <v>1089</v>
      </c>
      <c r="Y313" t="s">
        <v>1169</v>
      </c>
      <c r="Z313" t="s">
        <v>206</v>
      </c>
      <c r="AA313" t="s">
        <v>1126</v>
      </c>
      <c r="AD313" t="s">
        <v>45</v>
      </c>
      <c r="AE313">
        <v>42.446260000000002</v>
      </c>
      <c r="AF313">
        <v>-83.999114000000006</v>
      </c>
      <c r="AG313" t="s">
        <v>40</v>
      </c>
      <c r="AH313" t="s">
        <v>41</v>
      </c>
      <c r="AI313">
        <v>42.446338650000001</v>
      </c>
      <c r="AJ313">
        <v>-83.999496449999995</v>
      </c>
      <c r="AK313">
        <v>7.864999999895872E-5</v>
      </c>
      <c r="AL313">
        <v>-3.8244999998937601E-4</v>
      </c>
      <c r="AM313" t="str">
        <f>_xlfn.IFNA(VLOOKUP(Sheet1!$C313,ADMIX_ALL!A:B,2,FALSE),"none")</f>
        <v>K6-18</v>
      </c>
      <c r="AN313" t="str">
        <f>_xlfn.IFNA(VLOOKUP(Sheet1!C313,ADMIX_SS!A:B,2,FALSE),"none")</f>
        <v>SubSample</v>
      </c>
      <c r="AO313" t="str">
        <f>_xlfn.IFNA(VLOOKUP(Sheet1!$C313,MONG_PHYLO!A:C,3,FALSE),"-")</f>
        <v>-</v>
      </c>
      <c r="AP313" t="str">
        <f>_xlfn.IFNA(VLOOKUP(Sheet1!$C313,MAC_PHYLO!A:C,3,FALSE),"-")</f>
        <v>-</v>
      </c>
      <c r="AQ313" t="str">
        <f>_xlfn.IFNA(VLOOKUP(Sheet1!$C313,ConStruct!A:C,3,FALSE),"-")</f>
        <v>ConStruct</v>
      </c>
      <c r="AR313" t="str">
        <f>_xlfn.IFNA(VLOOKUP(Sheet1!$C313,GEA!A:C,3,FALSE),"-")</f>
        <v>GEA</v>
      </c>
      <c r="AS313" t="str">
        <f>_xlfn.IFNA(VLOOKUP(Sheet1!$C313,MAC_DSUITE!A:D,3,FALSE),"-")</f>
        <v>mac_MI_PRA</v>
      </c>
      <c r="AT313" t="str">
        <f>_xlfn.IFNA(VLOOKUP(Sheet1!$C313,MONG_DSUITE!A:E,2,FALSE),"-")</f>
        <v>macrocarpa_PRA</v>
      </c>
      <c r="AU313" t="str">
        <f>_xlfn.IFNA(VLOOKUP(Sheet1!$C313,MAC_PAINT2!A:D,4,FALSE),"-")</f>
        <v>macpaint</v>
      </c>
      <c r="AV313" t="s">
        <v>9193</v>
      </c>
      <c r="AW313" t="s">
        <v>9193</v>
      </c>
    </row>
    <row r="314" spans="1:49" customFormat="1" x14ac:dyDescent="0.4">
      <c r="A314">
        <v>3765</v>
      </c>
      <c r="B314" t="s">
        <v>1176</v>
      </c>
      <c r="C314" t="s">
        <v>1177</v>
      </c>
      <c r="D314" t="str">
        <f>_xlfn.CONCAT(C314,".bam")</f>
        <v>SYST-MOR-0007002.bam</v>
      </c>
      <c r="E314" t="s">
        <v>1178</v>
      </c>
      <c r="F314" t="s">
        <v>2436</v>
      </c>
      <c r="G314" t="s">
        <v>2438</v>
      </c>
      <c r="H314" t="s">
        <v>2524</v>
      </c>
      <c r="I314" t="s">
        <v>1126</v>
      </c>
      <c r="K314" t="s">
        <v>45</v>
      </c>
      <c r="L314" t="s">
        <v>45</v>
      </c>
      <c r="N314" t="s">
        <v>45</v>
      </c>
      <c r="P314" t="s">
        <v>31</v>
      </c>
      <c r="Q314" t="s">
        <v>46</v>
      </c>
      <c r="R314" t="s">
        <v>2597</v>
      </c>
      <c r="S314" s="1">
        <v>44769</v>
      </c>
      <c r="T314" t="s">
        <v>33</v>
      </c>
      <c r="U314" t="s">
        <v>34</v>
      </c>
      <c r="V314" s="1">
        <v>44770</v>
      </c>
      <c r="W314" t="s">
        <v>35</v>
      </c>
      <c r="X314" t="s">
        <v>1089</v>
      </c>
      <c r="Y314" t="s">
        <v>1169</v>
      </c>
      <c r="Z314" t="s">
        <v>206</v>
      </c>
      <c r="AA314" t="s">
        <v>1126</v>
      </c>
      <c r="AD314" t="s">
        <v>45</v>
      </c>
      <c r="AE314">
        <v>42.446264999999997</v>
      </c>
      <c r="AF314">
        <v>-83.998517000000007</v>
      </c>
      <c r="AG314" t="s">
        <v>40</v>
      </c>
      <c r="AH314" t="s">
        <v>41</v>
      </c>
      <c r="AI314">
        <v>42.446246668699999</v>
      </c>
      <c r="AJ314">
        <v>-83.9984020964</v>
      </c>
      <c r="AK314">
        <v>-1.8331299997953465E-5</v>
      </c>
      <c r="AL314">
        <v>1.1490360000721012E-4</v>
      </c>
      <c r="AM314" t="str">
        <f>_xlfn.IFNA(VLOOKUP(Sheet1!$C314,ADMIX_ALL!A:B,2,FALSE),"none")</f>
        <v>K6-18</v>
      </c>
      <c r="AN314" t="str">
        <f>_xlfn.IFNA(VLOOKUP(Sheet1!C314,ADMIX_SS!A:B,2,FALSE),"none")</f>
        <v>SubSample</v>
      </c>
      <c r="AO314" t="str">
        <f>_xlfn.IFNA(VLOOKUP(Sheet1!$C314,MONG_PHYLO!A:C,3,FALSE),"-")</f>
        <v>-</v>
      </c>
      <c r="AP314" t="str">
        <f>_xlfn.IFNA(VLOOKUP(Sheet1!$C314,MAC_PHYLO!A:C,3,FALSE),"-")</f>
        <v>-</v>
      </c>
      <c r="AQ314" t="str">
        <f>_xlfn.IFNA(VLOOKUP(Sheet1!$C314,ConStruct!A:C,3,FALSE),"-")</f>
        <v>ConStruct</v>
      </c>
      <c r="AR314" t="str">
        <f>_xlfn.IFNA(VLOOKUP(Sheet1!$C314,GEA!A:C,3,FALSE),"-")</f>
        <v>GEA</v>
      </c>
      <c r="AS314" t="str">
        <f>_xlfn.IFNA(VLOOKUP(Sheet1!$C314,MAC_DSUITE!A:D,3,FALSE),"-")</f>
        <v>mac_MI_PRA</v>
      </c>
      <c r="AT314" t="str">
        <f>_xlfn.IFNA(VLOOKUP(Sheet1!$C314,MONG_DSUITE!A:E,2,FALSE),"-")</f>
        <v>macrocarpa_PRA</v>
      </c>
      <c r="AU314" t="str">
        <f>_xlfn.IFNA(VLOOKUP(Sheet1!$C314,MAC_PAINT2!A:D,4,FALSE),"-")</f>
        <v>macpaint</v>
      </c>
      <c r="AV314" t="s">
        <v>9193</v>
      </c>
      <c r="AW314" t="s">
        <v>9193</v>
      </c>
    </row>
    <row r="315" spans="1:49" customFormat="1" x14ac:dyDescent="0.4">
      <c r="A315">
        <v>3766</v>
      </c>
      <c r="B315" t="s">
        <v>1179</v>
      </c>
      <c r="C315" t="s">
        <v>1180</v>
      </c>
      <c r="D315" t="str">
        <f>_xlfn.CONCAT(C315,".bam")</f>
        <v>SYST-MOR-0007003.bam</v>
      </c>
      <c r="E315" t="s">
        <v>1181</v>
      </c>
      <c r="F315" t="s">
        <v>2436</v>
      </c>
      <c r="G315" t="s">
        <v>2438</v>
      </c>
      <c r="H315" t="s">
        <v>2524</v>
      </c>
      <c r="I315" t="s">
        <v>1126</v>
      </c>
      <c r="K315" t="s">
        <v>45</v>
      </c>
      <c r="L315" t="s">
        <v>45</v>
      </c>
      <c r="N315" t="s">
        <v>45</v>
      </c>
      <c r="P315" t="s">
        <v>31</v>
      </c>
      <c r="Q315" t="s">
        <v>46</v>
      </c>
      <c r="R315" t="s">
        <v>2597</v>
      </c>
      <c r="S315" s="1">
        <v>44769</v>
      </c>
      <c r="T315" t="s">
        <v>33</v>
      </c>
      <c r="U315" t="s">
        <v>34</v>
      </c>
      <c r="V315" s="1">
        <v>44770</v>
      </c>
      <c r="W315" t="s">
        <v>35</v>
      </c>
      <c r="X315" t="s">
        <v>1089</v>
      </c>
      <c r="Y315" t="s">
        <v>1169</v>
      </c>
      <c r="Z315" t="s">
        <v>206</v>
      </c>
      <c r="AA315" t="s">
        <v>1126</v>
      </c>
      <c r="AD315" t="s">
        <v>45</v>
      </c>
      <c r="AE315">
        <v>42.446328000000001</v>
      </c>
      <c r="AF315">
        <v>-83.997733999999994</v>
      </c>
      <c r="AG315" t="s">
        <v>40</v>
      </c>
      <c r="AH315" t="s">
        <v>41</v>
      </c>
      <c r="AI315">
        <v>42.446269551299999</v>
      </c>
      <c r="AJ315">
        <v>-83.997749565199996</v>
      </c>
      <c r="AK315">
        <v>-5.8448700002600162E-5</v>
      </c>
      <c r="AL315">
        <v>-1.5565200001788071E-5</v>
      </c>
      <c r="AM315" t="str">
        <f>_xlfn.IFNA(VLOOKUP(Sheet1!$C315,ADMIX_ALL!A:B,2,FALSE),"none")</f>
        <v>K6-18</v>
      </c>
      <c r="AN315" t="str">
        <f>_xlfn.IFNA(VLOOKUP(Sheet1!C315,ADMIX_SS!A:B,2,FALSE),"none")</f>
        <v>SubSample</v>
      </c>
      <c r="AO315" t="str">
        <f>_xlfn.IFNA(VLOOKUP(Sheet1!$C315,MONG_PHYLO!A:C,3,FALSE),"-")</f>
        <v>-</v>
      </c>
      <c r="AP315" t="str">
        <f>_xlfn.IFNA(VLOOKUP(Sheet1!$C315,MAC_PHYLO!A:C,3,FALSE),"-")</f>
        <v>-</v>
      </c>
      <c r="AQ315" t="str">
        <f>_xlfn.IFNA(VLOOKUP(Sheet1!$C315,ConStruct!A:C,3,FALSE),"-")</f>
        <v>ConStruct</v>
      </c>
      <c r="AR315" t="str">
        <f>_xlfn.IFNA(VLOOKUP(Sheet1!$C315,GEA!A:C,3,FALSE),"-")</f>
        <v>GEA</v>
      </c>
      <c r="AS315" t="str">
        <f>_xlfn.IFNA(VLOOKUP(Sheet1!$C315,MAC_DSUITE!A:D,3,FALSE),"-")</f>
        <v>mac_MI_PRA</v>
      </c>
      <c r="AT315" t="str">
        <f>_xlfn.IFNA(VLOOKUP(Sheet1!$C315,MONG_DSUITE!A:E,2,FALSE),"-")</f>
        <v>macrocarpa_PRA</v>
      </c>
      <c r="AU315" t="str">
        <f>_xlfn.IFNA(VLOOKUP(Sheet1!$C315,MAC_PAINT2!A:D,4,FALSE),"-")</f>
        <v>macpaint</v>
      </c>
      <c r="AV315" t="s">
        <v>9193</v>
      </c>
      <c r="AW315" t="s">
        <v>9193</v>
      </c>
    </row>
    <row r="316" spans="1:49" customFormat="1" x14ac:dyDescent="0.4">
      <c r="A316">
        <v>3767</v>
      </c>
      <c r="B316" t="s">
        <v>1086</v>
      </c>
      <c r="C316" t="s">
        <v>1087</v>
      </c>
      <c r="D316" t="str">
        <f>_xlfn.CONCAT(C316,".bam")</f>
        <v>SYST-MOR-0007004.bam</v>
      </c>
      <c r="E316" t="s">
        <v>1088</v>
      </c>
      <c r="F316" t="s">
        <v>2436</v>
      </c>
      <c r="G316" t="s">
        <v>2437</v>
      </c>
      <c r="H316" t="s">
        <v>2523</v>
      </c>
      <c r="I316" t="s">
        <v>1091</v>
      </c>
      <c r="K316" t="s">
        <v>143</v>
      </c>
      <c r="L316" t="s">
        <v>143</v>
      </c>
      <c r="N316" t="s">
        <v>143</v>
      </c>
      <c r="P316" t="s">
        <v>31</v>
      </c>
      <c r="Q316" t="s">
        <v>144</v>
      </c>
      <c r="R316" t="s">
        <v>2601</v>
      </c>
      <c r="S316" s="1">
        <v>44770</v>
      </c>
      <c r="T316" t="s">
        <v>33</v>
      </c>
      <c r="U316" t="s">
        <v>34</v>
      </c>
      <c r="V316" s="1">
        <v>44770</v>
      </c>
      <c r="W316" t="s">
        <v>35</v>
      </c>
      <c r="X316" t="s">
        <v>1089</v>
      </c>
      <c r="Y316" t="s">
        <v>1090</v>
      </c>
      <c r="Z316" t="s">
        <v>206</v>
      </c>
      <c r="AA316" t="s">
        <v>1091</v>
      </c>
      <c r="AD316" t="s">
        <v>143</v>
      </c>
      <c r="AE316">
        <v>42.766748999999997</v>
      </c>
      <c r="AF316">
        <v>-84.385411000000005</v>
      </c>
      <c r="AG316" t="s">
        <v>40</v>
      </c>
      <c r="AH316" t="s">
        <v>41</v>
      </c>
      <c r="AI316">
        <v>42.766753798400003</v>
      </c>
      <c r="AJ316">
        <v>-84.385421890800004</v>
      </c>
      <c r="AK316">
        <v>4.7984000062228915E-6</v>
      </c>
      <c r="AL316">
        <v>-1.0890799998719558E-5</v>
      </c>
      <c r="AM316" t="str">
        <f>_xlfn.IFNA(VLOOKUP(Sheet1!$C316,ADMIX_ALL!A:B,2,FALSE),"none")</f>
        <v>K6-18</v>
      </c>
      <c r="AN316" t="str">
        <f>_xlfn.IFNA(VLOOKUP(Sheet1!C316,ADMIX_SS!A:B,2,FALSE),"none")</f>
        <v>SubSample</v>
      </c>
      <c r="AO316" t="str">
        <f>_xlfn.IFNA(VLOOKUP(Sheet1!$C316,MONG_PHYLO!A:C,3,FALSE),"-")</f>
        <v>-</v>
      </c>
      <c r="AP316" t="str">
        <f>_xlfn.IFNA(VLOOKUP(Sheet1!$C316,MAC_PHYLO!A:C,3,FALSE),"-")</f>
        <v>bic</v>
      </c>
      <c r="AQ316" t="str">
        <f>_xlfn.IFNA(VLOOKUP(Sheet1!$C316,ConStruct!A:C,3,FALSE),"-")</f>
        <v>-</v>
      </c>
      <c r="AR316" t="str">
        <f>_xlfn.IFNA(VLOOKUP(Sheet1!$C316,GEA!A:C,3,FALSE),"-")</f>
        <v>-</v>
      </c>
      <c r="AS316" t="str">
        <f>_xlfn.IFNA(VLOOKUP(Sheet1!$C316,MAC_DSUITE!A:D,3,FALSE),"-")</f>
        <v>bic</v>
      </c>
      <c r="AT316" t="str">
        <f>_xlfn.IFNA(VLOOKUP(Sheet1!$C316,MONG_DSUITE!A:E,2,FALSE),"-")</f>
        <v>xxx</v>
      </c>
      <c r="AU316" t="str">
        <f>_xlfn.IFNA(VLOOKUP(Sheet1!$C316,MAC_PAINT2!A:D,4,FALSE),"-")</f>
        <v>bic-macpaint</v>
      </c>
    </row>
    <row r="317" spans="1:49" customFormat="1" x14ac:dyDescent="0.4">
      <c r="A317">
        <v>3768</v>
      </c>
      <c r="B317" t="s">
        <v>1092</v>
      </c>
      <c r="C317" t="s">
        <v>1093</v>
      </c>
      <c r="D317" t="str">
        <f>_xlfn.CONCAT(C317,".bam")</f>
        <v>SYST-MOR-0007005.bam</v>
      </c>
      <c r="E317" t="s">
        <v>1094</v>
      </c>
      <c r="F317" t="s">
        <v>2436</v>
      </c>
      <c r="G317" t="s">
        <v>2437</v>
      </c>
      <c r="H317" t="s">
        <v>2523</v>
      </c>
      <c r="I317" t="s">
        <v>1091</v>
      </c>
      <c r="K317" t="s">
        <v>64</v>
      </c>
      <c r="L317" t="s">
        <v>64</v>
      </c>
      <c r="N317" t="s">
        <v>64</v>
      </c>
      <c r="P317" t="s">
        <v>31</v>
      </c>
      <c r="Q317" t="s">
        <v>65</v>
      </c>
      <c r="R317" t="s">
        <v>2599</v>
      </c>
      <c r="S317" s="1">
        <v>44770</v>
      </c>
      <c r="T317" t="s">
        <v>33</v>
      </c>
      <c r="U317" t="s">
        <v>34</v>
      </c>
      <c r="V317" s="1">
        <v>44770</v>
      </c>
      <c r="W317" t="s">
        <v>35</v>
      </c>
      <c r="X317" t="s">
        <v>1089</v>
      </c>
      <c r="Y317" t="s">
        <v>1090</v>
      </c>
      <c r="Z317" t="s">
        <v>206</v>
      </c>
      <c r="AA317" t="s">
        <v>1091</v>
      </c>
      <c r="AD317" t="s">
        <v>64</v>
      </c>
      <c r="AE317">
        <v>42.766618999999999</v>
      </c>
      <c r="AF317">
        <v>-84.385326000000006</v>
      </c>
      <c r="AG317" t="s">
        <v>40</v>
      </c>
      <c r="AH317" t="s">
        <v>41</v>
      </c>
      <c r="AI317">
        <v>42.766659310000001</v>
      </c>
      <c r="AJ317">
        <v>-84.385405859499997</v>
      </c>
      <c r="AK317">
        <v>4.0310000002818924E-5</v>
      </c>
      <c r="AL317">
        <v>-7.9859499990675431E-5</v>
      </c>
      <c r="AM317" t="str">
        <f>_xlfn.IFNA(VLOOKUP(Sheet1!$C317,ADMIX_ALL!A:B,2,FALSE),"none")</f>
        <v>K6-18</v>
      </c>
      <c r="AN317" t="str">
        <f>_xlfn.IFNA(VLOOKUP(Sheet1!C317,ADMIX_SS!A:B,2,FALSE),"none")</f>
        <v>SubSample</v>
      </c>
      <c r="AO317" t="str">
        <f>_xlfn.IFNA(VLOOKUP(Sheet1!$C317,MONG_PHYLO!A:C,3,FALSE),"-")</f>
        <v>-</v>
      </c>
      <c r="AP317" t="str">
        <f>_xlfn.IFNA(VLOOKUP(Sheet1!$C317,MAC_PHYLO!A:C,3,FALSE),"-")</f>
        <v>-</v>
      </c>
      <c r="AQ317" t="str">
        <f>_xlfn.IFNA(VLOOKUP(Sheet1!$C317,ConStruct!A:C,3,FALSE),"-")</f>
        <v>-</v>
      </c>
      <c r="AR317" t="str">
        <f>_xlfn.IFNA(VLOOKUP(Sheet1!$C317,GEA!A:C,3,FALSE),"-")</f>
        <v>-</v>
      </c>
      <c r="AS317" t="str">
        <f>_xlfn.IFNA(VLOOKUP(Sheet1!$C317,MAC_DSUITE!A:D,3,FALSE),"-")</f>
        <v>-</v>
      </c>
      <c r="AT317" t="str">
        <f>_xlfn.IFNA(VLOOKUP(Sheet1!$C317,MONG_DSUITE!A:E,2,FALSE),"-")</f>
        <v>xxx</v>
      </c>
      <c r="AU317" t="str">
        <f>_xlfn.IFNA(VLOOKUP(Sheet1!$C317,MAC_PAINT2!A:D,4,FALSE),"-")</f>
        <v>-</v>
      </c>
    </row>
    <row r="318" spans="1:49" customFormat="1" x14ac:dyDescent="0.4">
      <c r="A318">
        <v>3769</v>
      </c>
      <c r="B318" t="s">
        <v>1095</v>
      </c>
      <c r="C318" t="s">
        <v>1096</v>
      </c>
      <c r="D318" t="str">
        <f>_xlfn.CONCAT(C318,".bam")</f>
        <v>SYST-MOR-0007006.bam</v>
      </c>
      <c r="E318" t="s">
        <v>1097</v>
      </c>
      <c r="F318" t="s">
        <v>2436</v>
      </c>
      <c r="G318" t="s">
        <v>2437</v>
      </c>
      <c r="H318" t="s">
        <v>2523</v>
      </c>
      <c r="I318" t="s">
        <v>1091</v>
      </c>
      <c r="K318" t="s">
        <v>143</v>
      </c>
      <c r="L318" t="s">
        <v>143</v>
      </c>
      <c r="N318" t="s">
        <v>143</v>
      </c>
      <c r="P318" t="s">
        <v>31</v>
      </c>
      <c r="Q318" t="s">
        <v>144</v>
      </c>
      <c r="R318" t="s">
        <v>2601</v>
      </c>
      <c r="S318" s="1">
        <v>44770</v>
      </c>
      <c r="T318" t="s">
        <v>33</v>
      </c>
      <c r="U318" t="s">
        <v>34</v>
      </c>
      <c r="V318" s="1">
        <v>44770</v>
      </c>
      <c r="W318" t="s">
        <v>35</v>
      </c>
      <c r="X318" t="s">
        <v>1089</v>
      </c>
      <c r="Y318" t="s">
        <v>1090</v>
      </c>
      <c r="Z318" t="s">
        <v>206</v>
      </c>
      <c r="AA318" t="s">
        <v>1091</v>
      </c>
      <c r="AD318" t="s">
        <v>143</v>
      </c>
      <c r="AE318">
        <v>42.767558000000001</v>
      </c>
      <c r="AF318">
        <v>-84.384491999999995</v>
      </c>
      <c r="AG318" t="s">
        <v>40</v>
      </c>
      <c r="AH318" t="s">
        <v>41</v>
      </c>
      <c r="AI318">
        <v>42.767240326</v>
      </c>
      <c r="AJ318">
        <v>-84.384769695000003</v>
      </c>
      <c r="AK318">
        <v>-3.1767400000148882E-4</v>
      </c>
      <c r="AL318">
        <v>-2.7769500000829339E-4</v>
      </c>
      <c r="AM318" t="str">
        <f>_xlfn.IFNA(VLOOKUP(Sheet1!$C318,ADMIX_ALL!A:B,2,FALSE),"none")</f>
        <v>K6-18</v>
      </c>
      <c r="AN318" t="str">
        <f>_xlfn.IFNA(VLOOKUP(Sheet1!C318,ADMIX_SS!A:B,2,FALSE),"none")</f>
        <v>SubSample</v>
      </c>
      <c r="AO318" t="str">
        <f>_xlfn.IFNA(VLOOKUP(Sheet1!$C318,MONG_PHYLO!A:C,3,FALSE),"-")</f>
        <v>-</v>
      </c>
      <c r="AP318" t="str">
        <f>_xlfn.IFNA(VLOOKUP(Sheet1!$C318,MAC_PHYLO!A:C,3,FALSE),"-")</f>
        <v>-</v>
      </c>
      <c r="AQ318" t="str">
        <f>_xlfn.IFNA(VLOOKUP(Sheet1!$C318,ConStruct!A:C,3,FALSE),"-")</f>
        <v>-</v>
      </c>
      <c r="AR318" t="str">
        <f>_xlfn.IFNA(VLOOKUP(Sheet1!$C318,GEA!A:C,3,FALSE),"-")</f>
        <v>-</v>
      </c>
      <c r="AS318" t="str">
        <f>_xlfn.IFNA(VLOOKUP(Sheet1!$C318,MAC_DSUITE!A:D,3,FALSE),"-")</f>
        <v>-</v>
      </c>
      <c r="AT318" t="str">
        <f>_xlfn.IFNA(VLOOKUP(Sheet1!$C318,MONG_DSUITE!A:E,2,FALSE),"-")</f>
        <v>xxx</v>
      </c>
      <c r="AU318" t="str">
        <f>_xlfn.IFNA(VLOOKUP(Sheet1!$C318,MAC_PAINT2!A:D,4,FALSE),"-")</f>
        <v>-</v>
      </c>
    </row>
    <row r="319" spans="1:49" customFormat="1" x14ac:dyDescent="0.4">
      <c r="A319">
        <v>3770</v>
      </c>
      <c r="B319" t="s">
        <v>1098</v>
      </c>
      <c r="C319" t="s">
        <v>1099</v>
      </c>
      <c r="D319" t="str">
        <f>_xlfn.CONCAT(C319,".bam")</f>
        <v>SYST-MOR-0007007.bam</v>
      </c>
      <c r="E319" t="s">
        <v>1100</v>
      </c>
      <c r="F319" t="s">
        <v>2436</v>
      </c>
      <c r="G319" t="s">
        <v>2437</v>
      </c>
      <c r="H319" t="s">
        <v>2523</v>
      </c>
      <c r="I319" t="s">
        <v>1091</v>
      </c>
      <c r="K319" t="s">
        <v>64</v>
      </c>
      <c r="L319" t="s">
        <v>64</v>
      </c>
      <c r="N319" t="s">
        <v>64</v>
      </c>
      <c r="P319" t="s">
        <v>31</v>
      </c>
      <c r="Q319" t="s">
        <v>65</v>
      </c>
      <c r="R319" t="s">
        <v>2599</v>
      </c>
      <c r="S319" s="1">
        <v>44770</v>
      </c>
      <c r="T319" t="s">
        <v>33</v>
      </c>
      <c r="U319" t="s">
        <v>34</v>
      </c>
      <c r="V319" s="1">
        <v>44770</v>
      </c>
      <c r="W319" t="s">
        <v>35</v>
      </c>
      <c r="X319" t="s">
        <v>1089</v>
      </c>
      <c r="Y319" t="s">
        <v>1090</v>
      </c>
      <c r="Z319" t="s">
        <v>206</v>
      </c>
      <c r="AA319" t="s">
        <v>1091</v>
      </c>
      <c r="AD319" t="s">
        <v>64</v>
      </c>
      <c r="AE319">
        <v>42.767026000000001</v>
      </c>
      <c r="AF319">
        <v>-84.384641000000002</v>
      </c>
      <c r="AG319" t="s">
        <v>40</v>
      </c>
      <c r="AH319" t="s">
        <v>41</v>
      </c>
      <c r="AI319">
        <v>42.767496416900002</v>
      </c>
      <c r="AJ319">
        <v>-84.384486999100005</v>
      </c>
      <c r="AK319">
        <v>4.7041690000071412E-4</v>
      </c>
      <c r="AL319">
        <v>1.5400089999673128E-4</v>
      </c>
      <c r="AM319" t="str">
        <f>_xlfn.IFNA(VLOOKUP(Sheet1!$C319,ADMIX_ALL!A:B,2,FALSE),"none")</f>
        <v>K6-18</v>
      </c>
      <c r="AN319" t="str">
        <f>_xlfn.IFNA(VLOOKUP(Sheet1!C319,ADMIX_SS!A:B,2,FALSE),"none")</f>
        <v>SubSample</v>
      </c>
      <c r="AO319" t="str">
        <f>_xlfn.IFNA(VLOOKUP(Sheet1!$C319,MONG_PHYLO!A:C,3,FALSE),"-")</f>
        <v>-</v>
      </c>
      <c r="AP319" t="str">
        <f>_xlfn.IFNA(VLOOKUP(Sheet1!$C319,MAC_PHYLO!A:C,3,FALSE),"-")</f>
        <v>-</v>
      </c>
      <c r="AQ319" t="str">
        <f>_xlfn.IFNA(VLOOKUP(Sheet1!$C319,ConStruct!A:C,3,FALSE),"-")</f>
        <v>-</v>
      </c>
      <c r="AR319" t="str">
        <f>_xlfn.IFNA(VLOOKUP(Sheet1!$C319,GEA!A:C,3,FALSE),"-")</f>
        <v>-</v>
      </c>
      <c r="AS319" t="str">
        <f>_xlfn.IFNA(VLOOKUP(Sheet1!$C319,MAC_DSUITE!A:D,3,FALSE),"-")</f>
        <v>-</v>
      </c>
      <c r="AT319" t="str">
        <f>_xlfn.IFNA(VLOOKUP(Sheet1!$C319,MONG_DSUITE!A:E,2,FALSE),"-")</f>
        <v>xxx</v>
      </c>
      <c r="AU319" t="str">
        <f>_xlfn.IFNA(VLOOKUP(Sheet1!$C319,MAC_PAINT2!A:D,4,FALSE),"-")</f>
        <v>-</v>
      </c>
    </row>
    <row r="320" spans="1:49" customFormat="1" x14ac:dyDescent="0.4">
      <c r="A320">
        <v>3771</v>
      </c>
      <c r="B320" t="s">
        <v>1101</v>
      </c>
      <c r="C320" t="s">
        <v>1102</v>
      </c>
      <c r="D320" t="str">
        <f>_xlfn.CONCAT(C320,".bam")</f>
        <v>SYST-MOR-0007008.bam</v>
      </c>
      <c r="E320" t="s">
        <v>1103</v>
      </c>
      <c r="F320" t="s">
        <v>2436</v>
      </c>
      <c r="G320" t="s">
        <v>2437</v>
      </c>
      <c r="H320" t="s">
        <v>2523</v>
      </c>
      <c r="I320" t="s">
        <v>1091</v>
      </c>
      <c r="K320" t="s">
        <v>143</v>
      </c>
      <c r="L320" t="s">
        <v>143</v>
      </c>
      <c r="N320" t="s">
        <v>143</v>
      </c>
      <c r="P320" t="s">
        <v>31</v>
      </c>
      <c r="Q320" t="s">
        <v>144</v>
      </c>
      <c r="R320" t="s">
        <v>2601</v>
      </c>
      <c r="S320" s="1">
        <v>44770</v>
      </c>
      <c r="T320" t="s">
        <v>33</v>
      </c>
      <c r="U320" t="s">
        <v>34</v>
      </c>
      <c r="V320" s="1">
        <v>44770</v>
      </c>
      <c r="W320" t="s">
        <v>35</v>
      </c>
      <c r="X320" t="s">
        <v>1089</v>
      </c>
      <c r="Y320" t="s">
        <v>1090</v>
      </c>
      <c r="Z320" t="s">
        <v>206</v>
      </c>
      <c r="AA320" t="s">
        <v>1091</v>
      </c>
      <c r="AD320" t="s">
        <v>143</v>
      </c>
      <c r="AE320">
        <v>42.766160999999997</v>
      </c>
      <c r="AF320">
        <v>-84.382458999999997</v>
      </c>
      <c r="AG320" t="s">
        <v>40</v>
      </c>
      <c r="AH320" t="s">
        <v>41</v>
      </c>
      <c r="AI320">
        <v>42.766037355199998</v>
      </c>
      <c r="AJ320">
        <v>-84.382325112900006</v>
      </c>
      <c r="AK320">
        <v>-1.2364479999860123E-4</v>
      </c>
      <c r="AL320">
        <v>1.3388709999162529E-4</v>
      </c>
      <c r="AM320" t="str">
        <f>_xlfn.IFNA(VLOOKUP(Sheet1!$C320,ADMIX_ALL!A:B,2,FALSE),"none")</f>
        <v>K6-18</v>
      </c>
      <c r="AN320" t="str">
        <f>_xlfn.IFNA(VLOOKUP(Sheet1!C320,ADMIX_SS!A:B,2,FALSE),"none")</f>
        <v>SubSample</v>
      </c>
      <c r="AO320" t="str">
        <f>_xlfn.IFNA(VLOOKUP(Sheet1!$C320,MONG_PHYLO!A:C,3,FALSE),"-")</f>
        <v>-</v>
      </c>
      <c r="AP320" t="str">
        <f>_xlfn.IFNA(VLOOKUP(Sheet1!$C320,MAC_PHYLO!A:C,3,FALSE),"-")</f>
        <v>bic</v>
      </c>
      <c r="AQ320" t="str">
        <f>_xlfn.IFNA(VLOOKUP(Sheet1!$C320,ConStruct!A:C,3,FALSE),"-")</f>
        <v>-</v>
      </c>
      <c r="AR320" t="str">
        <f>_xlfn.IFNA(VLOOKUP(Sheet1!$C320,GEA!A:C,3,FALSE),"-")</f>
        <v>-</v>
      </c>
      <c r="AS320" t="str">
        <f>_xlfn.IFNA(VLOOKUP(Sheet1!$C320,MAC_DSUITE!A:D,3,FALSE),"-")</f>
        <v>bic</v>
      </c>
      <c r="AT320" t="str">
        <f>_xlfn.IFNA(VLOOKUP(Sheet1!$C320,MONG_DSUITE!A:E,2,FALSE),"-")</f>
        <v>xxx</v>
      </c>
      <c r="AU320" t="str">
        <f>_xlfn.IFNA(VLOOKUP(Sheet1!$C320,MAC_PAINT2!A:D,4,FALSE),"-")</f>
        <v>bic-macpaint</v>
      </c>
    </row>
    <row r="321" spans="1:49" customFormat="1" x14ac:dyDescent="0.4">
      <c r="A321">
        <v>3772</v>
      </c>
      <c r="B321" t="s">
        <v>1104</v>
      </c>
      <c r="C321" t="s">
        <v>1105</v>
      </c>
      <c r="D321" t="str">
        <f>_xlfn.CONCAT(C321,".bam")</f>
        <v>SYST-MOR-0007009.bam</v>
      </c>
      <c r="E321" t="s">
        <v>1106</v>
      </c>
      <c r="F321" t="s">
        <v>2436</v>
      </c>
      <c r="G321" t="s">
        <v>2437</v>
      </c>
      <c r="H321" t="s">
        <v>2523</v>
      </c>
      <c r="I321" t="s">
        <v>1091</v>
      </c>
      <c r="K321" t="s">
        <v>64</v>
      </c>
      <c r="L321" t="s">
        <v>64</v>
      </c>
      <c r="N321" t="s">
        <v>64</v>
      </c>
      <c r="P321" t="s">
        <v>31</v>
      </c>
      <c r="Q321" t="s">
        <v>65</v>
      </c>
      <c r="R321" t="s">
        <v>2599</v>
      </c>
      <c r="S321" s="1">
        <v>44770</v>
      </c>
      <c r="T321" t="s">
        <v>33</v>
      </c>
      <c r="U321" t="s">
        <v>34</v>
      </c>
      <c r="V321" s="1">
        <v>44770</v>
      </c>
      <c r="W321" t="s">
        <v>35</v>
      </c>
      <c r="X321" t="s">
        <v>1089</v>
      </c>
      <c r="Y321" t="s">
        <v>1090</v>
      </c>
      <c r="Z321" t="s">
        <v>206</v>
      </c>
      <c r="AA321" t="s">
        <v>1091</v>
      </c>
      <c r="AD321" t="s">
        <v>64</v>
      </c>
      <c r="AE321">
        <v>42.766255000000001</v>
      </c>
      <c r="AF321">
        <v>-84.382334999999998</v>
      </c>
      <c r="AG321" t="s">
        <v>40</v>
      </c>
      <c r="AH321" t="s">
        <v>41</v>
      </c>
      <c r="AI321">
        <v>42.766072559199998</v>
      </c>
      <c r="AJ321">
        <v>-84.382357047900001</v>
      </c>
      <c r="AK321">
        <v>-1.8244080000329177E-4</v>
      </c>
      <c r="AL321">
        <v>-2.2047900003485665E-5</v>
      </c>
      <c r="AM321" t="str">
        <f>_xlfn.IFNA(VLOOKUP(Sheet1!$C321,ADMIX_ALL!A:B,2,FALSE),"none")</f>
        <v>K6-18</v>
      </c>
      <c r="AN321" t="str">
        <f>_xlfn.IFNA(VLOOKUP(Sheet1!C321,ADMIX_SS!A:B,2,FALSE),"none")</f>
        <v>SubSample</v>
      </c>
      <c r="AO321" t="str">
        <f>_xlfn.IFNA(VLOOKUP(Sheet1!$C321,MONG_PHYLO!A:C,3,FALSE),"-")</f>
        <v>-</v>
      </c>
      <c r="AP321" t="str">
        <f>_xlfn.IFNA(VLOOKUP(Sheet1!$C321,MAC_PHYLO!A:C,3,FALSE),"-")</f>
        <v>-</v>
      </c>
      <c r="AQ321" t="str">
        <f>_xlfn.IFNA(VLOOKUP(Sheet1!$C321,ConStruct!A:C,3,FALSE),"-")</f>
        <v>-</v>
      </c>
      <c r="AR321" t="str">
        <f>_xlfn.IFNA(VLOOKUP(Sheet1!$C321,GEA!A:C,3,FALSE),"-")</f>
        <v>-</v>
      </c>
      <c r="AS321" t="str">
        <f>_xlfn.IFNA(VLOOKUP(Sheet1!$C321,MAC_DSUITE!A:D,3,FALSE),"-")</f>
        <v>-</v>
      </c>
      <c r="AT321" t="str">
        <f>_xlfn.IFNA(VLOOKUP(Sheet1!$C321,MONG_DSUITE!A:E,2,FALSE),"-")</f>
        <v>xxx</v>
      </c>
      <c r="AU321" t="str">
        <f>_xlfn.IFNA(VLOOKUP(Sheet1!$C321,MAC_PAINT2!A:D,4,FALSE),"-")</f>
        <v>-</v>
      </c>
    </row>
    <row r="322" spans="1:49" customFormat="1" x14ac:dyDescent="0.4">
      <c r="A322">
        <v>3773</v>
      </c>
      <c r="B322" t="s">
        <v>1107</v>
      </c>
      <c r="C322" t="s">
        <v>1108</v>
      </c>
      <c r="D322" t="str">
        <f>_xlfn.CONCAT(C322,".bam")</f>
        <v>SYST-MOR-0007010.bam</v>
      </c>
      <c r="E322" t="s">
        <v>1109</v>
      </c>
      <c r="F322" t="s">
        <v>2436</v>
      </c>
      <c r="G322" t="s">
        <v>2437</v>
      </c>
      <c r="H322" t="s">
        <v>2523</v>
      </c>
      <c r="I322" t="s">
        <v>1091</v>
      </c>
      <c r="K322" t="s">
        <v>143</v>
      </c>
      <c r="L322" t="s">
        <v>143</v>
      </c>
      <c r="N322" t="s">
        <v>143</v>
      </c>
      <c r="P322" t="s">
        <v>31</v>
      </c>
      <c r="Q322" t="s">
        <v>144</v>
      </c>
      <c r="R322" t="s">
        <v>2601</v>
      </c>
      <c r="S322" s="1">
        <v>44770</v>
      </c>
      <c r="T322" t="s">
        <v>33</v>
      </c>
      <c r="U322" t="s">
        <v>34</v>
      </c>
      <c r="V322" s="1">
        <v>44770</v>
      </c>
      <c r="W322" t="s">
        <v>35</v>
      </c>
      <c r="X322" t="s">
        <v>1089</v>
      </c>
      <c r="Y322" t="s">
        <v>1090</v>
      </c>
      <c r="Z322" t="s">
        <v>206</v>
      </c>
      <c r="AA322" t="s">
        <v>1091</v>
      </c>
      <c r="AD322" t="s">
        <v>143</v>
      </c>
      <c r="AE322">
        <v>42.765813999999999</v>
      </c>
      <c r="AF322">
        <v>-84.381325000000004</v>
      </c>
      <c r="AG322" t="s">
        <v>40</v>
      </c>
      <c r="AH322" t="s">
        <v>41</v>
      </c>
      <c r="AI322">
        <v>42.765930150700001</v>
      </c>
      <c r="AJ322">
        <v>-84.3813254871</v>
      </c>
      <c r="AK322">
        <v>1.1615070000203787E-4</v>
      </c>
      <c r="AL322">
        <v>-4.8709999589391373E-7</v>
      </c>
      <c r="AM322" t="str">
        <f>_xlfn.IFNA(VLOOKUP(Sheet1!$C322,ADMIX_ALL!A:B,2,FALSE),"none")</f>
        <v>K6-18</v>
      </c>
      <c r="AN322" t="str">
        <f>_xlfn.IFNA(VLOOKUP(Sheet1!C322,ADMIX_SS!A:B,2,FALSE),"none")</f>
        <v>SubSample</v>
      </c>
      <c r="AO322" t="str">
        <f>_xlfn.IFNA(VLOOKUP(Sheet1!$C322,MONG_PHYLO!A:C,3,FALSE),"-")</f>
        <v>-</v>
      </c>
      <c r="AP322" t="str">
        <f>_xlfn.IFNA(VLOOKUP(Sheet1!$C322,MAC_PHYLO!A:C,3,FALSE),"-")</f>
        <v>-</v>
      </c>
      <c r="AQ322" t="str">
        <f>_xlfn.IFNA(VLOOKUP(Sheet1!$C322,ConStruct!A:C,3,FALSE),"-")</f>
        <v>-</v>
      </c>
      <c r="AR322" t="str">
        <f>_xlfn.IFNA(VLOOKUP(Sheet1!$C322,GEA!A:C,3,FALSE),"-")</f>
        <v>-</v>
      </c>
      <c r="AS322" t="str">
        <f>_xlfn.IFNA(VLOOKUP(Sheet1!$C322,MAC_DSUITE!A:D,3,FALSE),"-")</f>
        <v>-</v>
      </c>
      <c r="AT322" t="str">
        <f>_xlfn.IFNA(VLOOKUP(Sheet1!$C322,MONG_DSUITE!A:E,2,FALSE),"-")</f>
        <v>xxx</v>
      </c>
      <c r="AU322" t="str">
        <f>_xlfn.IFNA(VLOOKUP(Sheet1!$C322,MAC_PAINT2!A:D,4,FALSE),"-")</f>
        <v>-</v>
      </c>
    </row>
    <row r="323" spans="1:49" customFormat="1" x14ac:dyDescent="0.4">
      <c r="A323">
        <v>3774</v>
      </c>
      <c r="B323" t="s">
        <v>1110</v>
      </c>
      <c r="C323" t="s">
        <v>1111</v>
      </c>
      <c r="D323" t="str">
        <f>_xlfn.CONCAT(C323,".bam")</f>
        <v>SYST-MOR-0007011.bam</v>
      </c>
      <c r="E323" t="s">
        <v>1112</v>
      </c>
      <c r="F323" t="s">
        <v>2436</v>
      </c>
      <c r="G323" t="s">
        <v>2437</v>
      </c>
      <c r="H323" t="s">
        <v>2523</v>
      </c>
      <c r="I323" t="s">
        <v>1091</v>
      </c>
      <c r="K323" t="s">
        <v>64</v>
      </c>
      <c r="L323" t="s">
        <v>64</v>
      </c>
      <c r="N323" t="s">
        <v>64</v>
      </c>
      <c r="P323" t="s">
        <v>31</v>
      </c>
      <c r="Q323" t="s">
        <v>65</v>
      </c>
      <c r="R323" t="s">
        <v>2599</v>
      </c>
      <c r="S323" s="1">
        <v>44770</v>
      </c>
      <c r="T323" t="s">
        <v>33</v>
      </c>
      <c r="U323" t="s">
        <v>34</v>
      </c>
      <c r="V323" s="1">
        <v>44770</v>
      </c>
      <c r="W323" t="s">
        <v>35</v>
      </c>
      <c r="X323" t="s">
        <v>1089</v>
      </c>
      <c r="Y323" t="s">
        <v>1090</v>
      </c>
      <c r="Z323" t="s">
        <v>206</v>
      </c>
      <c r="AA323" t="s">
        <v>1091</v>
      </c>
      <c r="AD323" t="s">
        <v>64</v>
      </c>
      <c r="AE323">
        <v>42.765597999999997</v>
      </c>
      <c r="AF323">
        <v>-84.378050000000002</v>
      </c>
      <c r="AG323" t="s">
        <v>40</v>
      </c>
      <c r="AH323" t="s">
        <v>41</v>
      </c>
      <c r="AI323">
        <v>42.7655997361</v>
      </c>
      <c r="AJ323">
        <v>-84.378094598700002</v>
      </c>
      <c r="AK323">
        <v>1.7361000033133678E-6</v>
      </c>
      <c r="AL323">
        <v>-4.4598700000619829E-5</v>
      </c>
      <c r="AM323" t="str">
        <f>_xlfn.IFNA(VLOOKUP(Sheet1!$C323,ADMIX_ALL!A:B,2,FALSE),"none")</f>
        <v>K6-18</v>
      </c>
      <c r="AN323" t="str">
        <f>_xlfn.IFNA(VLOOKUP(Sheet1!C323,ADMIX_SS!A:B,2,FALSE),"none")</f>
        <v>SubSample</v>
      </c>
      <c r="AO323" t="str">
        <f>_xlfn.IFNA(VLOOKUP(Sheet1!$C323,MONG_PHYLO!A:C,3,FALSE),"-")</f>
        <v>-</v>
      </c>
      <c r="AP323" t="str">
        <f>_xlfn.IFNA(VLOOKUP(Sheet1!$C323,MAC_PHYLO!A:C,3,FALSE),"-")</f>
        <v>-</v>
      </c>
      <c r="AQ323" t="str">
        <f>_xlfn.IFNA(VLOOKUP(Sheet1!$C323,ConStruct!A:C,3,FALSE),"-")</f>
        <v>-</v>
      </c>
      <c r="AR323" t="str">
        <f>_xlfn.IFNA(VLOOKUP(Sheet1!$C323,GEA!A:C,3,FALSE),"-")</f>
        <v>-</v>
      </c>
      <c r="AS323" t="str">
        <f>_xlfn.IFNA(VLOOKUP(Sheet1!$C323,MAC_DSUITE!A:D,3,FALSE),"-")</f>
        <v>-</v>
      </c>
      <c r="AT323" t="str">
        <f>_xlfn.IFNA(VLOOKUP(Sheet1!$C323,MONG_DSUITE!A:E,2,FALSE),"-")</f>
        <v>xxx</v>
      </c>
      <c r="AU323" t="str">
        <f>_xlfn.IFNA(VLOOKUP(Sheet1!$C323,MAC_PAINT2!A:D,4,FALSE),"-")</f>
        <v>-</v>
      </c>
    </row>
    <row r="324" spans="1:49" customFormat="1" x14ac:dyDescent="0.4">
      <c r="A324">
        <v>3775</v>
      </c>
      <c r="B324" t="s">
        <v>1113</v>
      </c>
      <c r="C324" t="s">
        <v>1114</v>
      </c>
      <c r="D324" t="str">
        <f>_xlfn.CONCAT(C324,".bam")</f>
        <v>SYST-MOR-0007012.bam</v>
      </c>
      <c r="E324" t="s">
        <v>1115</v>
      </c>
      <c r="F324" t="s">
        <v>2436</v>
      </c>
      <c r="G324" t="s">
        <v>2437</v>
      </c>
      <c r="H324" t="s">
        <v>2523</v>
      </c>
      <c r="I324" t="s">
        <v>1091</v>
      </c>
      <c r="K324" t="s">
        <v>143</v>
      </c>
      <c r="L324" t="s">
        <v>143</v>
      </c>
      <c r="N324" t="s">
        <v>143</v>
      </c>
      <c r="P324" t="s">
        <v>31</v>
      </c>
      <c r="Q324" t="s">
        <v>144</v>
      </c>
      <c r="R324" t="s">
        <v>2601</v>
      </c>
      <c r="S324" s="1">
        <v>44770</v>
      </c>
      <c r="T324" t="s">
        <v>33</v>
      </c>
      <c r="U324" t="s">
        <v>34</v>
      </c>
      <c r="V324" s="1">
        <v>44770</v>
      </c>
      <c r="W324" t="s">
        <v>35</v>
      </c>
      <c r="X324" t="s">
        <v>1089</v>
      </c>
      <c r="Y324" t="s">
        <v>1090</v>
      </c>
      <c r="Z324" t="s">
        <v>206</v>
      </c>
      <c r="AA324" t="s">
        <v>1091</v>
      </c>
      <c r="AD324" t="s">
        <v>143</v>
      </c>
      <c r="AE324">
        <v>42.765287000000001</v>
      </c>
      <c r="AF324">
        <v>-84.382497000000001</v>
      </c>
      <c r="AG324" t="s">
        <v>40</v>
      </c>
      <c r="AH324" t="s">
        <v>41</v>
      </c>
      <c r="AI324">
        <v>42.765921642999999</v>
      </c>
      <c r="AJ324">
        <v>-84.382195780100005</v>
      </c>
      <c r="AK324">
        <v>6.3464299999793639E-4</v>
      </c>
      <c r="AL324">
        <v>3.0121989999543075E-4</v>
      </c>
      <c r="AM324" t="str">
        <f>_xlfn.IFNA(VLOOKUP(Sheet1!$C324,ADMIX_ALL!A:B,2,FALSE),"none")</f>
        <v>K6-18</v>
      </c>
      <c r="AN324" t="str">
        <f>_xlfn.IFNA(VLOOKUP(Sheet1!C324,ADMIX_SS!A:B,2,FALSE),"none")</f>
        <v>SubSample</v>
      </c>
      <c r="AO324" t="str">
        <f>_xlfn.IFNA(VLOOKUP(Sheet1!$C324,MONG_PHYLO!A:C,3,FALSE),"-")</f>
        <v>-</v>
      </c>
      <c r="AP324" t="str">
        <f>_xlfn.IFNA(VLOOKUP(Sheet1!$C324,MAC_PHYLO!A:C,3,FALSE),"-")</f>
        <v>-</v>
      </c>
      <c r="AQ324" t="str">
        <f>_xlfn.IFNA(VLOOKUP(Sheet1!$C324,ConStruct!A:C,3,FALSE),"-")</f>
        <v>-</v>
      </c>
      <c r="AR324" t="str">
        <f>_xlfn.IFNA(VLOOKUP(Sheet1!$C324,GEA!A:C,3,FALSE),"-")</f>
        <v>-</v>
      </c>
      <c r="AS324" t="str">
        <f>_xlfn.IFNA(VLOOKUP(Sheet1!$C324,MAC_DSUITE!A:D,3,FALSE),"-")</f>
        <v>-</v>
      </c>
      <c r="AT324" t="str">
        <f>_xlfn.IFNA(VLOOKUP(Sheet1!$C324,MONG_DSUITE!A:E,2,FALSE),"-")</f>
        <v>xxx</v>
      </c>
      <c r="AU324" t="str">
        <f>_xlfn.IFNA(VLOOKUP(Sheet1!$C324,MAC_PAINT2!A:D,4,FALSE),"-")</f>
        <v>-</v>
      </c>
    </row>
    <row r="325" spans="1:49" customFormat="1" x14ac:dyDescent="0.4">
      <c r="A325">
        <v>3776</v>
      </c>
      <c r="B325" t="s">
        <v>1116</v>
      </c>
      <c r="C325" t="s">
        <v>1117</v>
      </c>
      <c r="D325" t="str">
        <f>_xlfn.CONCAT(C325,".bam")</f>
        <v>SYST-MOR-0007013.bam</v>
      </c>
      <c r="E325" t="s">
        <v>1118</v>
      </c>
      <c r="F325" t="s">
        <v>2436</v>
      </c>
      <c r="G325" t="s">
        <v>2437</v>
      </c>
      <c r="H325" t="s">
        <v>2523</v>
      </c>
      <c r="I325" t="s">
        <v>1091</v>
      </c>
      <c r="K325" t="s">
        <v>64</v>
      </c>
      <c r="L325" t="s">
        <v>64</v>
      </c>
      <c r="N325" t="s">
        <v>64</v>
      </c>
      <c r="P325" t="s">
        <v>31</v>
      </c>
      <c r="Q325" t="s">
        <v>65</v>
      </c>
      <c r="R325" t="s">
        <v>2599</v>
      </c>
      <c r="S325" s="1">
        <v>44770</v>
      </c>
      <c r="T325" t="s">
        <v>33</v>
      </c>
      <c r="U325" t="s">
        <v>34</v>
      </c>
      <c r="V325" s="1">
        <v>44770</v>
      </c>
      <c r="W325" t="s">
        <v>35</v>
      </c>
      <c r="X325" t="s">
        <v>1089</v>
      </c>
      <c r="Y325" t="s">
        <v>1090</v>
      </c>
      <c r="Z325" t="s">
        <v>206</v>
      </c>
      <c r="AA325" t="s">
        <v>1091</v>
      </c>
      <c r="AD325" t="s">
        <v>64</v>
      </c>
      <c r="AE325">
        <v>42.765120000000003</v>
      </c>
      <c r="AF325">
        <v>-84.382422000000005</v>
      </c>
      <c r="AG325" t="s">
        <v>40</v>
      </c>
      <c r="AH325" t="s">
        <v>41</v>
      </c>
      <c r="AI325">
        <v>42.765253619799999</v>
      </c>
      <c r="AJ325">
        <v>-84.382453011999999</v>
      </c>
      <c r="AK325">
        <v>1.3361979999615414E-4</v>
      </c>
      <c r="AL325">
        <v>-3.1011999993779682E-5</v>
      </c>
      <c r="AM325" t="str">
        <f>_xlfn.IFNA(VLOOKUP(Sheet1!$C325,ADMIX_ALL!A:B,2,FALSE),"none")</f>
        <v>K6-18</v>
      </c>
      <c r="AN325" t="str">
        <f>_xlfn.IFNA(VLOOKUP(Sheet1!C325,ADMIX_SS!A:B,2,FALSE),"none")</f>
        <v>SubSample</v>
      </c>
      <c r="AO325" t="str">
        <f>_xlfn.IFNA(VLOOKUP(Sheet1!$C325,MONG_PHYLO!A:C,3,FALSE),"-")</f>
        <v>-</v>
      </c>
      <c r="AP325" t="str">
        <f>_xlfn.IFNA(VLOOKUP(Sheet1!$C325,MAC_PHYLO!A:C,3,FALSE),"-")</f>
        <v>-</v>
      </c>
      <c r="AQ325" t="str">
        <f>_xlfn.IFNA(VLOOKUP(Sheet1!$C325,ConStruct!A:C,3,FALSE),"-")</f>
        <v>-</v>
      </c>
      <c r="AR325" t="str">
        <f>_xlfn.IFNA(VLOOKUP(Sheet1!$C325,GEA!A:C,3,FALSE),"-")</f>
        <v>-</v>
      </c>
      <c r="AS325" t="str">
        <f>_xlfn.IFNA(VLOOKUP(Sheet1!$C325,MAC_DSUITE!A:D,3,FALSE),"-")</f>
        <v>-</v>
      </c>
      <c r="AT325" t="str">
        <f>_xlfn.IFNA(VLOOKUP(Sheet1!$C325,MONG_DSUITE!A:E,2,FALSE),"-")</f>
        <v>xxx</v>
      </c>
      <c r="AU325" t="str">
        <f>_xlfn.IFNA(VLOOKUP(Sheet1!$C325,MAC_PAINT2!A:D,4,FALSE),"-")</f>
        <v>-</v>
      </c>
    </row>
    <row r="326" spans="1:49" s="16" customFormat="1" x14ac:dyDescent="0.4">
      <c r="A326" s="16">
        <v>3777</v>
      </c>
      <c r="B326" s="16" t="s">
        <v>1119</v>
      </c>
      <c r="C326" s="16" t="s">
        <v>1120</v>
      </c>
      <c r="D326" s="16" t="str">
        <f>_xlfn.CONCAT(C326,".bam")</f>
        <v>SYST-MOR-0007014.bam</v>
      </c>
      <c r="E326" s="16" t="s">
        <v>1121</v>
      </c>
      <c r="F326" s="16" t="s">
        <v>2436</v>
      </c>
      <c r="G326" s="16" t="s">
        <v>2437</v>
      </c>
      <c r="H326" s="16" t="s">
        <v>2523</v>
      </c>
      <c r="I326" s="16" t="s">
        <v>1091</v>
      </c>
      <c r="K326" s="16" t="s">
        <v>45</v>
      </c>
      <c r="L326" s="16" t="s">
        <v>45</v>
      </c>
      <c r="N326" s="16" t="s">
        <v>45</v>
      </c>
      <c r="P326" s="16" t="s">
        <v>31</v>
      </c>
      <c r="Q326" s="16" t="s">
        <v>46</v>
      </c>
      <c r="R326" s="16" t="s">
        <v>2597</v>
      </c>
      <c r="S326" s="17">
        <v>44770</v>
      </c>
      <c r="T326" s="16" t="s">
        <v>33</v>
      </c>
      <c r="U326" s="16" t="s">
        <v>34</v>
      </c>
      <c r="V326" s="17">
        <v>44770</v>
      </c>
      <c r="W326" s="16" t="s">
        <v>35</v>
      </c>
      <c r="X326" s="16" t="s">
        <v>1089</v>
      </c>
      <c r="Y326" s="16" t="s">
        <v>1090</v>
      </c>
      <c r="Z326" s="16" t="s">
        <v>206</v>
      </c>
      <c r="AA326" s="16" t="s">
        <v>1091</v>
      </c>
      <c r="AD326" s="16" t="s">
        <v>45</v>
      </c>
      <c r="AE326" s="16">
        <v>42.765065999999997</v>
      </c>
      <c r="AF326" s="16">
        <v>-84.389009000000001</v>
      </c>
      <c r="AG326" s="16" t="s">
        <v>40</v>
      </c>
      <c r="AH326" s="16" t="s">
        <v>41</v>
      </c>
      <c r="AI326" s="16">
        <v>42.765142587100001</v>
      </c>
      <c r="AJ326" s="16">
        <v>-84.3890029752</v>
      </c>
      <c r="AK326" s="16">
        <v>7.6587100004132935E-5</v>
      </c>
      <c r="AL326" s="16">
        <v>6.0248000011142722E-6</v>
      </c>
      <c r="AM326" s="16" t="str">
        <f>_xlfn.IFNA(VLOOKUP(Sheet1!$C326,ADMIX_ALL!A:B,2,FALSE),"none")</f>
        <v>K6-18</v>
      </c>
      <c r="AN326" s="16" t="str">
        <f>_xlfn.IFNA(VLOOKUP(Sheet1!C326,ADMIX_SS!A:B,2,FALSE),"none")</f>
        <v>SubSample</v>
      </c>
      <c r="AO326" s="16" t="str">
        <f>_xlfn.IFNA(VLOOKUP(Sheet1!$C326,MONG_PHYLO!A:C,3,FALSE),"-")</f>
        <v>-</v>
      </c>
      <c r="AP326" s="16" t="str">
        <f>_xlfn.IFNA(VLOOKUP(Sheet1!$C326,MAC_PHYLO!A:C,3,FALSE),"-")</f>
        <v>-</v>
      </c>
      <c r="AQ326" s="16" t="str">
        <f>_xlfn.IFNA(VLOOKUP(Sheet1!$C326,ConStruct!A:C,3,FALSE),"-")</f>
        <v>ConStruct</v>
      </c>
      <c r="AR326" s="16" t="str">
        <f>_xlfn.IFNA(VLOOKUP(Sheet1!$C326,GEA!A:C,3,FALSE),"-")</f>
        <v>GEA</v>
      </c>
      <c r="AS326" s="16" t="str">
        <f>_xlfn.IFNA(VLOOKUP(Sheet1!$C326,MAC_DSUITE!A:D,3,FALSE),"-")</f>
        <v>xxx</v>
      </c>
      <c r="AT326" s="16" t="str">
        <f>_xlfn.IFNA(VLOOKUP(Sheet1!$C326,MONG_DSUITE!A:E,2,FALSE),"-")</f>
        <v>xxx</v>
      </c>
      <c r="AU326" s="16" t="str">
        <f>_xlfn.IFNA(VLOOKUP(Sheet1!$C326,MAC_PAINT2!A:D,4,FALSE),"-")</f>
        <v>-</v>
      </c>
      <c r="AV326" s="16" t="s">
        <v>9195</v>
      </c>
      <c r="AW326" s="16" t="s">
        <v>9193</v>
      </c>
    </row>
    <row r="327" spans="1:49" customFormat="1" x14ac:dyDescent="0.4">
      <c r="A327">
        <v>3778</v>
      </c>
      <c r="B327" t="s">
        <v>671</v>
      </c>
      <c r="C327" t="s">
        <v>672</v>
      </c>
      <c r="D327" t="str">
        <f>_xlfn.CONCAT(C327,".bam")</f>
        <v>SYST-MOR-0007015.bam</v>
      </c>
      <c r="E327" t="s">
        <v>673</v>
      </c>
      <c r="F327" t="s">
        <v>2420</v>
      </c>
      <c r="G327" t="s">
        <v>2423</v>
      </c>
      <c r="H327" t="s">
        <v>2508</v>
      </c>
      <c r="I327" t="s">
        <v>674</v>
      </c>
      <c r="K327" t="s">
        <v>84</v>
      </c>
      <c r="L327" t="s">
        <v>84</v>
      </c>
      <c r="N327" t="s">
        <v>84</v>
      </c>
      <c r="P327" t="s">
        <v>31</v>
      </c>
      <c r="Q327" t="s">
        <v>85</v>
      </c>
      <c r="R327" t="s">
        <v>2600</v>
      </c>
      <c r="S327" s="1">
        <v>44775</v>
      </c>
      <c r="T327" t="s">
        <v>33</v>
      </c>
      <c r="U327" t="s">
        <v>34</v>
      </c>
      <c r="V327" s="1">
        <v>44779</v>
      </c>
      <c r="W327" t="s">
        <v>35</v>
      </c>
      <c r="X327" t="s">
        <v>634</v>
      </c>
      <c r="Y327" t="s">
        <v>242</v>
      </c>
      <c r="Z327" t="s">
        <v>206</v>
      </c>
      <c r="AA327" t="s">
        <v>674</v>
      </c>
      <c r="AD327" t="s">
        <v>84</v>
      </c>
      <c r="AE327">
        <v>38.980761999999999</v>
      </c>
      <c r="AF327">
        <v>-94.789191000000002</v>
      </c>
      <c r="AG327" t="s">
        <v>40</v>
      </c>
      <c r="AH327" t="s">
        <v>41</v>
      </c>
      <c r="AI327">
        <v>38.980708293500001</v>
      </c>
      <c r="AJ327">
        <v>-94.789142198899995</v>
      </c>
      <c r="AK327">
        <v>-5.3706499997474566E-5</v>
      </c>
      <c r="AL327">
        <v>4.8801100007267451E-5</v>
      </c>
      <c r="AM327" t="str">
        <f>_xlfn.IFNA(VLOOKUP(Sheet1!$C327,ADMIX_ALL!A:B,2,FALSE),"none")</f>
        <v>K6-18</v>
      </c>
      <c r="AN327" t="str">
        <f>_xlfn.IFNA(VLOOKUP(Sheet1!C327,ADMIX_SS!A:B,2,FALSE),"none")</f>
        <v>Constant</v>
      </c>
      <c r="AO327" t="str">
        <f>_xlfn.IFNA(VLOOKUP(Sheet1!$C327,MONG_PHYLO!A:C,3,FALSE),"-")</f>
        <v>mue</v>
      </c>
      <c r="AP327" t="str">
        <f>_xlfn.IFNA(VLOOKUP(Sheet1!$C327,MAC_PHYLO!A:C,3,FALSE),"-")</f>
        <v>-</v>
      </c>
      <c r="AQ327" t="str">
        <f>_xlfn.IFNA(VLOOKUP(Sheet1!$C327,ConStruct!A:C,3,FALSE),"-")</f>
        <v>-</v>
      </c>
      <c r="AR327" t="str">
        <f>_xlfn.IFNA(VLOOKUP(Sheet1!$C327,GEA!A:C,3,FALSE),"-")</f>
        <v>-</v>
      </c>
      <c r="AS327" t="str">
        <f>_xlfn.IFNA(VLOOKUP(Sheet1!$C327,MAC_DSUITE!A:D,3,FALSE),"-")</f>
        <v>-</v>
      </c>
      <c r="AT327" t="str">
        <f>_xlfn.IFNA(VLOOKUP(Sheet1!$C327,MONG_DSUITE!A:E,2,FALSE),"-")</f>
        <v>muehlenbergii</v>
      </c>
      <c r="AU327" t="str">
        <f>_xlfn.IFNA(VLOOKUP(Sheet1!$C327,MAC_PAINT2!A:D,4,FALSE),"-")</f>
        <v>-</v>
      </c>
    </row>
    <row r="328" spans="1:49" customFormat="1" x14ac:dyDescent="0.4">
      <c r="A328">
        <v>3779</v>
      </c>
      <c r="B328" t="s">
        <v>675</v>
      </c>
      <c r="C328" t="s">
        <v>676</v>
      </c>
      <c r="D328" t="str">
        <f>_xlfn.CONCAT(C328,".bam")</f>
        <v>SYST-MOR-0007016.bam</v>
      </c>
      <c r="E328" t="s">
        <v>677</v>
      </c>
      <c r="F328" t="s">
        <v>2420</v>
      </c>
      <c r="G328" t="s">
        <v>2423</v>
      </c>
      <c r="H328" t="s">
        <v>2508</v>
      </c>
      <c r="I328" t="s">
        <v>678</v>
      </c>
      <c r="K328" t="s">
        <v>45</v>
      </c>
      <c r="L328" t="s">
        <v>45</v>
      </c>
      <c r="N328" t="s">
        <v>45</v>
      </c>
      <c r="P328" t="s">
        <v>31</v>
      </c>
      <c r="Q328" t="s">
        <v>46</v>
      </c>
      <c r="R328" t="s">
        <v>2597</v>
      </c>
      <c r="S328" s="1">
        <v>44775</v>
      </c>
      <c r="T328" t="s">
        <v>33</v>
      </c>
      <c r="U328" t="s">
        <v>34</v>
      </c>
      <c r="V328" s="1">
        <v>44779</v>
      </c>
      <c r="W328" t="s">
        <v>35</v>
      </c>
      <c r="X328" t="s">
        <v>634</v>
      </c>
      <c r="Y328" t="s">
        <v>242</v>
      </c>
      <c r="Z328" t="s">
        <v>206</v>
      </c>
      <c r="AA328" t="s">
        <v>678</v>
      </c>
      <c r="AD328" t="s">
        <v>45</v>
      </c>
      <c r="AE328">
        <v>38.980803999999999</v>
      </c>
      <c r="AF328">
        <v>-94.789401999999995</v>
      </c>
      <c r="AG328" t="s">
        <v>40</v>
      </c>
      <c r="AH328" t="s">
        <v>41</v>
      </c>
      <c r="AI328">
        <v>38.980843820700002</v>
      </c>
      <c r="AJ328">
        <v>-94.789308831100001</v>
      </c>
      <c r="AK328">
        <v>3.9820700003190268E-5</v>
      </c>
      <c r="AL328">
        <v>9.3168899994111598E-5</v>
      </c>
      <c r="AM328" t="str">
        <f>_xlfn.IFNA(VLOOKUP(Sheet1!$C328,ADMIX_ALL!A:B,2,FALSE),"none")</f>
        <v>K6-18</v>
      </c>
      <c r="AN328" t="str">
        <f>_xlfn.IFNA(VLOOKUP(Sheet1!C328,ADMIX_SS!A:B,2,FALSE),"none")</f>
        <v>SubSample</v>
      </c>
      <c r="AO328" t="str">
        <f>_xlfn.IFNA(VLOOKUP(Sheet1!$C328,MONG_PHYLO!A:C,3,FALSE),"-")</f>
        <v>-</v>
      </c>
      <c r="AP328" t="str">
        <f>_xlfn.IFNA(VLOOKUP(Sheet1!$C328,MAC_PHYLO!A:C,3,FALSE),"-")</f>
        <v>-</v>
      </c>
      <c r="AQ328" t="str">
        <f>_xlfn.IFNA(VLOOKUP(Sheet1!$C328,ConStruct!A:C,3,FALSE),"-")</f>
        <v>ConStruct</v>
      </c>
      <c r="AR328" t="str">
        <f>_xlfn.IFNA(VLOOKUP(Sheet1!$C328,GEA!A:C,3,FALSE),"-")</f>
        <v>GEA</v>
      </c>
      <c r="AS328" t="str">
        <f>_xlfn.IFNA(VLOOKUP(Sheet1!$C328,MAC_DSUITE!A:D,3,FALSE),"-")</f>
        <v>mac_KS_SMP</v>
      </c>
      <c r="AT328" t="str">
        <f>_xlfn.IFNA(VLOOKUP(Sheet1!$C328,MONG_DSUITE!A:E,2,FALSE),"-")</f>
        <v>macrocarpa_SMP</v>
      </c>
      <c r="AU328" t="str">
        <f>_xlfn.IFNA(VLOOKUP(Sheet1!$C328,MAC_PAINT2!A:D,4,FALSE),"-")</f>
        <v>macpaint</v>
      </c>
      <c r="AV328" t="s">
        <v>9193</v>
      </c>
      <c r="AW328" t="s">
        <v>9193</v>
      </c>
    </row>
    <row r="329" spans="1:49" customFormat="1" x14ac:dyDescent="0.4">
      <c r="A329">
        <v>3780</v>
      </c>
      <c r="B329" t="s">
        <v>679</v>
      </c>
      <c r="C329" t="s">
        <v>680</v>
      </c>
      <c r="D329" t="str">
        <f>_xlfn.CONCAT(C329,".bam")</f>
        <v>SYST-MOR-0007017.bam</v>
      </c>
      <c r="E329" t="s">
        <v>681</v>
      </c>
      <c r="F329" t="s">
        <v>2420</v>
      </c>
      <c r="G329" t="s">
        <v>2423</v>
      </c>
      <c r="H329" t="s">
        <v>2508</v>
      </c>
      <c r="I329" t="s">
        <v>674</v>
      </c>
      <c r="K329" t="s">
        <v>84</v>
      </c>
      <c r="L329" t="s">
        <v>84</v>
      </c>
      <c r="N329" t="s">
        <v>84</v>
      </c>
      <c r="P329" t="s">
        <v>31</v>
      </c>
      <c r="Q329" t="s">
        <v>85</v>
      </c>
      <c r="R329" t="s">
        <v>2600</v>
      </c>
      <c r="S329" s="1">
        <v>44775</v>
      </c>
      <c r="T329" t="s">
        <v>33</v>
      </c>
      <c r="U329" t="s">
        <v>34</v>
      </c>
      <c r="V329" s="1">
        <v>44779</v>
      </c>
      <c r="W329" t="s">
        <v>35</v>
      </c>
      <c r="X329" t="s">
        <v>634</v>
      </c>
      <c r="Y329" t="s">
        <v>242</v>
      </c>
      <c r="Z329" t="s">
        <v>206</v>
      </c>
      <c r="AA329" t="s">
        <v>674</v>
      </c>
      <c r="AD329" t="s">
        <v>84</v>
      </c>
      <c r="AE329">
        <v>38.981130999999998</v>
      </c>
      <c r="AF329">
        <v>-94.790356000000003</v>
      </c>
      <c r="AG329" t="s">
        <v>40</v>
      </c>
      <c r="AH329" t="s">
        <v>41</v>
      </c>
      <c r="AI329">
        <v>38.981256075200001</v>
      </c>
      <c r="AJ329">
        <v>-94.790538372599997</v>
      </c>
      <c r="AK329">
        <v>1.2507520000326622E-4</v>
      </c>
      <c r="AL329">
        <v>-1.8237259999409616E-4</v>
      </c>
      <c r="AM329" t="str">
        <f>_xlfn.IFNA(VLOOKUP(Sheet1!$C329,ADMIX_ALL!A:B,2,FALSE),"none")</f>
        <v>K6-18</v>
      </c>
      <c r="AN329" t="str">
        <f>_xlfn.IFNA(VLOOKUP(Sheet1!C329,ADMIX_SS!A:B,2,FALSE),"none")</f>
        <v>SubSample</v>
      </c>
      <c r="AO329" t="str">
        <f>_xlfn.IFNA(VLOOKUP(Sheet1!$C329,MONG_PHYLO!A:C,3,FALSE),"-")</f>
        <v>-</v>
      </c>
      <c r="AP329" t="str">
        <f>_xlfn.IFNA(VLOOKUP(Sheet1!$C329,MAC_PHYLO!A:C,3,FALSE),"-")</f>
        <v>-</v>
      </c>
      <c r="AQ329" t="str">
        <f>_xlfn.IFNA(VLOOKUP(Sheet1!$C329,ConStruct!A:C,3,FALSE),"-")</f>
        <v>-</v>
      </c>
      <c r="AR329" t="str">
        <f>_xlfn.IFNA(VLOOKUP(Sheet1!$C329,GEA!A:C,3,FALSE),"-")</f>
        <v>-</v>
      </c>
      <c r="AS329" t="str">
        <f>_xlfn.IFNA(VLOOKUP(Sheet1!$C329,MAC_DSUITE!A:D,3,FALSE),"-")</f>
        <v>-</v>
      </c>
      <c r="AT329" t="str">
        <f>_xlfn.IFNA(VLOOKUP(Sheet1!$C329,MONG_DSUITE!A:E,2,FALSE),"-")</f>
        <v>xxx</v>
      </c>
      <c r="AU329" t="str">
        <f>_xlfn.IFNA(VLOOKUP(Sheet1!$C329,MAC_PAINT2!A:D,4,FALSE),"-")</f>
        <v>-</v>
      </c>
    </row>
    <row r="330" spans="1:49" customFormat="1" x14ac:dyDescent="0.4">
      <c r="A330">
        <v>3781</v>
      </c>
      <c r="B330" t="s">
        <v>682</v>
      </c>
      <c r="C330" t="s">
        <v>683</v>
      </c>
      <c r="D330" t="str">
        <f>_xlfn.CONCAT(C330,".bam")</f>
        <v>SYST-MOR-0007018.bam</v>
      </c>
      <c r="E330" t="s">
        <v>684</v>
      </c>
      <c r="F330" t="s">
        <v>2420</v>
      </c>
      <c r="G330" t="s">
        <v>2423</v>
      </c>
      <c r="H330" t="s">
        <v>2508</v>
      </c>
      <c r="I330" t="s">
        <v>678</v>
      </c>
      <c r="K330" t="s">
        <v>45</v>
      </c>
      <c r="L330" t="s">
        <v>45</v>
      </c>
      <c r="N330" t="s">
        <v>45</v>
      </c>
      <c r="P330" t="s">
        <v>31</v>
      </c>
      <c r="Q330" t="s">
        <v>46</v>
      </c>
      <c r="R330" t="s">
        <v>2597</v>
      </c>
      <c r="S330" s="1">
        <v>44775</v>
      </c>
      <c r="T330" t="s">
        <v>33</v>
      </c>
      <c r="U330" t="s">
        <v>34</v>
      </c>
      <c r="V330" s="1">
        <v>44779</v>
      </c>
      <c r="W330" t="s">
        <v>35</v>
      </c>
      <c r="X330" t="s">
        <v>634</v>
      </c>
      <c r="Y330" t="s">
        <v>242</v>
      </c>
      <c r="Z330" t="s">
        <v>206</v>
      </c>
      <c r="AA330" t="s">
        <v>678</v>
      </c>
      <c r="AD330" t="s">
        <v>45</v>
      </c>
      <c r="AE330">
        <v>38.981180999999999</v>
      </c>
      <c r="AF330">
        <v>-94.790358999999995</v>
      </c>
      <c r="AG330" t="s">
        <v>40</v>
      </c>
      <c r="AH330" t="s">
        <v>41</v>
      </c>
      <c r="AI330">
        <v>38.981183460399997</v>
      </c>
      <c r="AJ330">
        <v>-94.790278476899999</v>
      </c>
      <c r="AK330">
        <v>2.4603999975170154E-6</v>
      </c>
      <c r="AL330">
        <v>8.052309999584395E-5</v>
      </c>
      <c r="AM330" t="str">
        <f>_xlfn.IFNA(VLOOKUP(Sheet1!$C330,ADMIX_ALL!A:B,2,FALSE),"none")</f>
        <v>K6-18</v>
      </c>
      <c r="AN330" t="str">
        <f>_xlfn.IFNA(VLOOKUP(Sheet1!C330,ADMIX_SS!A:B,2,FALSE),"none")</f>
        <v>SubSample</v>
      </c>
      <c r="AO330" t="str">
        <f>_xlfn.IFNA(VLOOKUP(Sheet1!$C330,MONG_PHYLO!A:C,3,FALSE),"-")</f>
        <v>-</v>
      </c>
      <c r="AP330" t="str">
        <f>_xlfn.IFNA(VLOOKUP(Sheet1!$C330,MAC_PHYLO!A:C,3,FALSE),"-")</f>
        <v>-</v>
      </c>
      <c r="AQ330" t="str">
        <f>_xlfn.IFNA(VLOOKUP(Sheet1!$C330,ConStruct!A:C,3,FALSE),"-")</f>
        <v>ConStruct</v>
      </c>
      <c r="AR330" t="str">
        <f>_xlfn.IFNA(VLOOKUP(Sheet1!$C330,GEA!A:C,3,FALSE),"-")</f>
        <v>GEA</v>
      </c>
      <c r="AS330" t="str">
        <f>_xlfn.IFNA(VLOOKUP(Sheet1!$C330,MAC_DSUITE!A:D,3,FALSE),"-")</f>
        <v>mac_KS_SMP</v>
      </c>
      <c r="AT330" t="str">
        <f>_xlfn.IFNA(VLOOKUP(Sheet1!$C330,MONG_DSUITE!A:E,2,FALSE),"-")</f>
        <v>macrocarpa_SMP</v>
      </c>
      <c r="AU330" t="str">
        <f>_xlfn.IFNA(VLOOKUP(Sheet1!$C330,MAC_PAINT2!A:D,4,FALSE),"-")</f>
        <v>macpaint</v>
      </c>
      <c r="AV330" t="s">
        <v>9193</v>
      </c>
      <c r="AW330" t="s">
        <v>9193</v>
      </c>
    </row>
    <row r="331" spans="1:49" customFormat="1" x14ac:dyDescent="0.4">
      <c r="A331">
        <v>3782</v>
      </c>
      <c r="B331" t="s">
        <v>685</v>
      </c>
      <c r="C331" t="s">
        <v>686</v>
      </c>
      <c r="D331" t="str">
        <f>_xlfn.CONCAT(C331,".bam")</f>
        <v>SYST-MOR-0007019.bam</v>
      </c>
      <c r="E331" t="s">
        <v>687</v>
      </c>
      <c r="F331" t="s">
        <v>2420</v>
      </c>
      <c r="G331" t="s">
        <v>2423</v>
      </c>
      <c r="H331" t="s">
        <v>2508</v>
      </c>
      <c r="I331" t="s">
        <v>674</v>
      </c>
      <c r="K331" t="s">
        <v>50</v>
      </c>
      <c r="L331" t="s">
        <v>50</v>
      </c>
      <c r="N331" t="s">
        <v>50</v>
      </c>
      <c r="P331" t="s">
        <v>31</v>
      </c>
      <c r="Q331" t="s">
        <v>51</v>
      </c>
      <c r="R331" t="s">
        <v>2598</v>
      </c>
      <c r="S331" s="1">
        <v>44775</v>
      </c>
      <c r="T331" t="s">
        <v>33</v>
      </c>
      <c r="U331" t="s">
        <v>34</v>
      </c>
      <c r="V331" s="1">
        <v>44779</v>
      </c>
      <c r="W331" t="s">
        <v>35</v>
      </c>
      <c r="X331" t="s">
        <v>634</v>
      </c>
      <c r="Y331" t="s">
        <v>242</v>
      </c>
      <c r="Z331" t="s">
        <v>206</v>
      </c>
      <c r="AA331" t="s">
        <v>674</v>
      </c>
      <c r="AD331" t="s">
        <v>50</v>
      </c>
      <c r="AE331">
        <v>38.981382000000004</v>
      </c>
      <c r="AF331">
        <v>-94.791557999999995</v>
      </c>
      <c r="AG331" t="s">
        <v>40</v>
      </c>
      <c r="AH331" t="s">
        <v>41</v>
      </c>
      <c r="AI331">
        <v>38.9816336381</v>
      </c>
      <c r="AJ331">
        <v>-94.791622571700003</v>
      </c>
      <c r="AK331">
        <v>2.5163809999639852E-4</v>
      </c>
      <c r="AL331">
        <v>-6.4571700008286825E-5</v>
      </c>
      <c r="AM331" t="str">
        <f>_xlfn.IFNA(VLOOKUP(Sheet1!$C331,ADMIX_ALL!A:B,2,FALSE),"none")</f>
        <v>K6-18</v>
      </c>
      <c r="AN331" t="str">
        <f>_xlfn.IFNA(VLOOKUP(Sheet1!C331,ADMIX_SS!A:B,2,FALSE),"none")</f>
        <v>SubSample</v>
      </c>
      <c r="AO331" t="str">
        <f>_xlfn.IFNA(VLOOKUP(Sheet1!$C331,MONG_PHYLO!A:C,3,FALSE),"-")</f>
        <v>-</v>
      </c>
      <c r="AP331" t="str">
        <f>_xlfn.IFNA(VLOOKUP(Sheet1!$C331,MAC_PHYLO!A:C,3,FALSE),"-")</f>
        <v>-</v>
      </c>
      <c r="AQ331" t="str">
        <f>_xlfn.IFNA(VLOOKUP(Sheet1!$C331,ConStruct!A:C,3,FALSE),"-")</f>
        <v>-</v>
      </c>
      <c r="AR331" t="str">
        <f>_xlfn.IFNA(VLOOKUP(Sheet1!$C331,GEA!A:C,3,FALSE),"-")</f>
        <v>-</v>
      </c>
      <c r="AS331" t="str">
        <f>_xlfn.IFNA(VLOOKUP(Sheet1!$C331,MAC_DSUITE!A:D,3,FALSE),"-")</f>
        <v>-</v>
      </c>
      <c r="AT331" t="str">
        <f>_xlfn.IFNA(VLOOKUP(Sheet1!$C331,MONG_DSUITE!A:E,2,FALSE),"-")</f>
        <v>xxx</v>
      </c>
      <c r="AU331" t="str">
        <f>_xlfn.IFNA(VLOOKUP(Sheet1!$C331,MAC_PAINT2!A:D,4,FALSE),"-")</f>
        <v>-</v>
      </c>
    </row>
    <row r="332" spans="1:49" customFormat="1" x14ac:dyDescent="0.4">
      <c r="A332">
        <v>3783</v>
      </c>
      <c r="B332" t="s">
        <v>688</v>
      </c>
      <c r="C332" t="s">
        <v>689</v>
      </c>
      <c r="D332" t="str">
        <f>_xlfn.CONCAT(C332,".bam")</f>
        <v>SYST-MOR-0007020.bam</v>
      </c>
      <c r="E332" t="s">
        <v>690</v>
      </c>
      <c r="F332" t="s">
        <v>2420</v>
      </c>
      <c r="G332" t="s">
        <v>2423</v>
      </c>
      <c r="H332" t="s">
        <v>2508</v>
      </c>
      <c r="I332" t="s">
        <v>678</v>
      </c>
      <c r="K332" t="s">
        <v>45</v>
      </c>
      <c r="L332" t="s">
        <v>45</v>
      </c>
      <c r="N332" t="s">
        <v>45</v>
      </c>
      <c r="P332" t="s">
        <v>31</v>
      </c>
      <c r="Q332" t="s">
        <v>46</v>
      </c>
      <c r="R332" t="s">
        <v>2597</v>
      </c>
      <c r="S332" s="1">
        <v>44775</v>
      </c>
      <c r="T332" t="s">
        <v>33</v>
      </c>
      <c r="U332" t="s">
        <v>34</v>
      </c>
      <c r="V332" s="1">
        <v>44779</v>
      </c>
      <c r="W332" t="s">
        <v>35</v>
      </c>
      <c r="X332" t="s">
        <v>634</v>
      </c>
      <c r="Y332" t="s">
        <v>242</v>
      </c>
      <c r="Z332" t="s">
        <v>206</v>
      </c>
      <c r="AA332" t="s">
        <v>678</v>
      </c>
      <c r="AD332" t="s">
        <v>45</v>
      </c>
      <c r="AE332">
        <v>38.981467000000002</v>
      </c>
      <c r="AF332">
        <v>-94.791895999999994</v>
      </c>
      <c r="AG332" t="s">
        <v>40</v>
      </c>
      <c r="AH332" t="s">
        <v>41</v>
      </c>
      <c r="AI332">
        <v>38.9814666706</v>
      </c>
      <c r="AJ332">
        <v>-94.791710497899999</v>
      </c>
      <c r="AK332">
        <v>-3.2940000238568246E-7</v>
      </c>
      <c r="AL332">
        <v>1.8550209999546041E-4</v>
      </c>
      <c r="AM332" t="str">
        <f>_xlfn.IFNA(VLOOKUP(Sheet1!$C332,ADMIX_ALL!A:B,2,FALSE),"none")</f>
        <v>K6-18</v>
      </c>
      <c r="AN332" t="str">
        <f>_xlfn.IFNA(VLOOKUP(Sheet1!C332,ADMIX_SS!A:B,2,FALSE),"none")</f>
        <v>SubSample</v>
      </c>
      <c r="AO332" t="str">
        <f>_xlfn.IFNA(VLOOKUP(Sheet1!$C332,MONG_PHYLO!A:C,3,FALSE),"-")</f>
        <v>-</v>
      </c>
      <c r="AP332" t="str">
        <f>_xlfn.IFNA(VLOOKUP(Sheet1!$C332,MAC_PHYLO!A:C,3,FALSE),"-")</f>
        <v>-</v>
      </c>
      <c r="AQ332" t="str">
        <f>_xlfn.IFNA(VLOOKUP(Sheet1!$C332,ConStruct!A:C,3,FALSE),"-")</f>
        <v>ConStruct</v>
      </c>
      <c r="AR332" t="str">
        <f>_xlfn.IFNA(VLOOKUP(Sheet1!$C332,GEA!A:C,3,FALSE),"-")</f>
        <v>GEA</v>
      </c>
      <c r="AS332" t="str">
        <f>_xlfn.IFNA(VLOOKUP(Sheet1!$C332,MAC_DSUITE!A:D,3,FALSE),"-")</f>
        <v>mac_KS_SMP</v>
      </c>
      <c r="AT332" t="str">
        <f>_xlfn.IFNA(VLOOKUP(Sheet1!$C332,MONG_DSUITE!A:E,2,FALSE),"-")</f>
        <v>macrocarpa_SMP</v>
      </c>
      <c r="AU332" t="str">
        <f>_xlfn.IFNA(VLOOKUP(Sheet1!$C332,MAC_PAINT2!A:D,4,FALSE),"-")</f>
        <v>macpaint</v>
      </c>
      <c r="AV332" t="s">
        <v>9193</v>
      </c>
      <c r="AW332" t="s">
        <v>9193</v>
      </c>
    </row>
    <row r="333" spans="1:49" customFormat="1" x14ac:dyDescent="0.4">
      <c r="A333">
        <v>3784</v>
      </c>
      <c r="B333" t="s">
        <v>691</v>
      </c>
      <c r="C333" t="s">
        <v>692</v>
      </c>
      <c r="D333" t="str">
        <f>_xlfn.CONCAT(C333,".bam")</f>
        <v>SYST-MOR-0007021.bam</v>
      </c>
      <c r="E333" t="s">
        <v>693</v>
      </c>
      <c r="F333" t="s">
        <v>2420</v>
      </c>
      <c r="G333" t="s">
        <v>2423</v>
      </c>
      <c r="H333" t="s">
        <v>2508</v>
      </c>
      <c r="I333" t="s">
        <v>674</v>
      </c>
      <c r="K333" t="s">
        <v>84</v>
      </c>
      <c r="L333" t="s">
        <v>84</v>
      </c>
      <c r="N333" t="s">
        <v>84</v>
      </c>
      <c r="P333" t="s">
        <v>31</v>
      </c>
      <c r="Q333" t="s">
        <v>85</v>
      </c>
      <c r="R333" t="s">
        <v>2600</v>
      </c>
      <c r="S333" s="1">
        <v>44775</v>
      </c>
      <c r="T333" t="s">
        <v>33</v>
      </c>
      <c r="U333" t="s">
        <v>34</v>
      </c>
      <c r="V333" s="1">
        <v>44779</v>
      </c>
      <c r="W333" t="s">
        <v>35</v>
      </c>
      <c r="X333" t="s">
        <v>634</v>
      </c>
      <c r="Y333" t="s">
        <v>242</v>
      </c>
      <c r="Z333" t="s">
        <v>206</v>
      </c>
      <c r="AA333" t="s">
        <v>674</v>
      </c>
      <c r="AD333" t="s">
        <v>84</v>
      </c>
      <c r="AE333">
        <v>38.981538999999998</v>
      </c>
      <c r="AF333">
        <v>-94.792304999999999</v>
      </c>
      <c r="AG333" t="s">
        <v>40</v>
      </c>
      <c r="AH333" t="s">
        <v>41</v>
      </c>
      <c r="AI333">
        <v>38.981646169000001</v>
      </c>
      <c r="AJ333">
        <v>-94.792346600499997</v>
      </c>
      <c r="AK333">
        <v>1.0716900000318219E-4</v>
      </c>
      <c r="AL333">
        <v>-4.1600499997684892E-5</v>
      </c>
      <c r="AM333" t="str">
        <f>_xlfn.IFNA(VLOOKUP(Sheet1!$C333,ADMIX_ALL!A:B,2,FALSE),"none")</f>
        <v>K6-18</v>
      </c>
      <c r="AN333" t="str">
        <f>_xlfn.IFNA(VLOOKUP(Sheet1!C333,ADMIX_SS!A:B,2,FALSE),"none")</f>
        <v>SubSample</v>
      </c>
      <c r="AO333" t="str">
        <f>_xlfn.IFNA(VLOOKUP(Sheet1!$C333,MONG_PHYLO!A:C,3,FALSE),"-")</f>
        <v>-</v>
      </c>
      <c r="AP333" t="str">
        <f>_xlfn.IFNA(VLOOKUP(Sheet1!$C333,MAC_PHYLO!A:C,3,FALSE),"-")</f>
        <v>mue</v>
      </c>
      <c r="AQ333" t="str">
        <f>_xlfn.IFNA(VLOOKUP(Sheet1!$C333,ConStruct!A:C,3,FALSE),"-")</f>
        <v>-</v>
      </c>
      <c r="AR333" t="str">
        <f>_xlfn.IFNA(VLOOKUP(Sheet1!$C333,GEA!A:C,3,FALSE),"-")</f>
        <v>-</v>
      </c>
      <c r="AS333" t="str">
        <f>_xlfn.IFNA(VLOOKUP(Sheet1!$C333,MAC_DSUITE!A:D,3,FALSE),"-")</f>
        <v>mue</v>
      </c>
      <c r="AT333" t="str">
        <f>_xlfn.IFNA(VLOOKUP(Sheet1!$C333,MONG_DSUITE!A:E,2,FALSE),"-")</f>
        <v>xxx</v>
      </c>
      <c r="AU333" t="str">
        <f>_xlfn.IFNA(VLOOKUP(Sheet1!$C333,MAC_PAINT2!A:D,4,FALSE),"-")</f>
        <v>mue-macpaint</v>
      </c>
    </row>
    <row r="334" spans="1:49" customFormat="1" x14ac:dyDescent="0.4">
      <c r="A334">
        <v>3785</v>
      </c>
      <c r="B334" t="s">
        <v>694</v>
      </c>
      <c r="C334" t="s">
        <v>695</v>
      </c>
      <c r="D334" t="str">
        <f>_xlfn.CONCAT(C334,".bam")</f>
        <v>SYST-MOR-0007022.bam</v>
      </c>
      <c r="E334" t="s">
        <v>696</v>
      </c>
      <c r="F334" t="s">
        <v>2420</v>
      </c>
      <c r="G334" t="s">
        <v>2423</v>
      </c>
      <c r="H334" t="s">
        <v>2508</v>
      </c>
      <c r="I334" t="s">
        <v>678</v>
      </c>
      <c r="K334" t="s">
        <v>45</v>
      </c>
      <c r="L334" t="s">
        <v>45</v>
      </c>
      <c r="N334" t="s">
        <v>45</v>
      </c>
      <c r="P334" t="s">
        <v>31</v>
      </c>
      <c r="Q334" t="s">
        <v>46</v>
      </c>
      <c r="R334" t="s">
        <v>2597</v>
      </c>
      <c r="S334" s="1">
        <v>44775</v>
      </c>
      <c r="T334" t="s">
        <v>33</v>
      </c>
      <c r="U334" t="s">
        <v>34</v>
      </c>
      <c r="V334" s="1">
        <v>44779</v>
      </c>
      <c r="W334" t="s">
        <v>35</v>
      </c>
      <c r="X334" t="s">
        <v>634</v>
      </c>
      <c r="Y334" t="s">
        <v>242</v>
      </c>
      <c r="Z334" t="s">
        <v>206</v>
      </c>
      <c r="AA334" t="s">
        <v>678</v>
      </c>
      <c r="AD334" t="s">
        <v>45</v>
      </c>
      <c r="AE334">
        <v>38.981904</v>
      </c>
      <c r="AF334">
        <v>-94.793730999999994</v>
      </c>
      <c r="AG334" t="s">
        <v>40</v>
      </c>
      <c r="AH334" t="s">
        <v>41</v>
      </c>
      <c r="AI334">
        <v>38.981893519000003</v>
      </c>
      <c r="AJ334">
        <v>-94.793885936999999</v>
      </c>
      <c r="AK334">
        <v>-1.0480999996786977E-5</v>
      </c>
      <c r="AL334">
        <v>-1.5493700000490662E-4</v>
      </c>
      <c r="AM334" t="str">
        <f>_xlfn.IFNA(VLOOKUP(Sheet1!$C334,ADMIX_ALL!A:B,2,FALSE),"none")</f>
        <v>K6-18</v>
      </c>
      <c r="AN334" t="str">
        <f>_xlfn.IFNA(VLOOKUP(Sheet1!C334,ADMIX_SS!A:B,2,FALSE),"none")</f>
        <v>SubSample</v>
      </c>
      <c r="AO334" t="str">
        <f>_xlfn.IFNA(VLOOKUP(Sheet1!$C334,MONG_PHYLO!A:C,3,FALSE),"-")</f>
        <v>-</v>
      </c>
      <c r="AP334" t="str">
        <f>_xlfn.IFNA(VLOOKUP(Sheet1!$C334,MAC_PHYLO!A:C,3,FALSE),"-")</f>
        <v>-</v>
      </c>
      <c r="AQ334" t="str">
        <f>_xlfn.IFNA(VLOOKUP(Sheet1!$C334,ConStruct!A:C,3,FALSE),"-")</f>
        <v>ConStruct</v>
      </c>
      <c r="AR334" t="str">
        <f>_xlfn.IFNA(VLOOKUP(Sheet1!$C334,GEA!A:C,3,FALSE),"-")</f>
        <v>GEA</v>
      </c>
      <c r="AS334" t="str">
        <f>_xlfn.IFNA(VLOOKUP(Sheet1!$C334,MAC_DSUITE!A:D,3,FALSE),"-")</f>
        <v>mac_KS_SMP</v>
      </c>
      <c r="AT334" t="str">
        <f>_xlfn.IFNA(VLOOKUP(Sheet1!$C334,MONG_DSUITE!A:E,2,FALSE),"-")</f>
        <v>macrocarpa_SMP</v>
      </c>
      <c r="AU334" t="str">
        <f>_xlfn.IFNA(VLOOKUP(Sheet1!$C334,MAC_PAINT2!A:D,4,FALSE),"-")</f>
        <v>macpaint</v>
      </c>
      <c r="AV334" t="s">
        <v>9193</v>
      </c>
      <c r="AW334" t="s">
        <v>9193</v>
      </c>
    </row>
    <row r="335" spans="1:49" customFormat="1" x14ac:dyDescent="0.4">
      <c r="A335">
        <v>3786</v>
      </c>
      <c r="B335" t="s">
        <v>697</v>
      </c>
      <c r="C335" t="s">
        <v>698</v>
      </c>
      <c r="D335" t="str">
        <f>_xlfn.CONCAT(C335,".bam")</f>
        <v>SYST-MOR-0007023.bam</v>
      </c>
      <c r="E335" t="s">
        <v>699</v>
      </c>
      <c r="F335" t="s">
        <v>2420</v>
      </c>
      <c r="G335" t="s">
        <v>2423</v>
      </c>
      <c r="H335" t="s">
        <v>2508</v>
      </c>
      <c r="I335" t="s">
        <v>674</v>
      </c>
      <c r="K335" t="s">
        <v>84</v>
      </c>
      <c r="L335" t="s">
        <v>84</v>
      </c>
      <c r="N335" t="s">
        <v>84</v>
      </c>
      <c r="P335" t="s">
        <v>31</v>
      </c>
      <c r="Q335" t="s">
        <v>85</v>
      </c>
      <c r="R335" t="s">
        <v>2600</v>
      </c>
      <c r="S335" s="1">
        <v>44775</v>
      </c>
      <c r="T335" t="s">
        <v>33</v>
      </c>
      <c r="U335" t="s">
        <v>34</v>
      </c>
      <c r="V335" s="1">
        <v>44779</v>
      </c>
      <c r="W335" t="s">
        <v>35</v>
      </c>
      <c r="X335" t="s">
        <v>634</v>
      </c>
      <c r="Y335" t="s">
        <v>242</v>
      </c>
      <c r="Z335" t="s">
        <v>206</v>
      </c>
      <c r="AA335" t="s">
        <v>674</v>
      </c>
      <c r="AD335" t="s">
        <v>84</v>
      </c>
      <c r="AE335">
        <v>38.981892999999999</v>
      </c>
      <c r="AF335">
        <v>-94.793893999999995</v>
      </c>
      <c r="AG335" t="s">
        <v>40</v>
      </c>
      <c r="AH335" t="s">
        <v>41</v>
      </c>
      <c r="AI335">
        <v>38.981996113500003</v>
      </c>
      <c r="AJ335">
        <v>-94.793953327599993</v>
      </c>
      <c r="AK335">
        <v>1.0311350000336006E-4</v>
      </c>
      <c r="AL335">
        <v>-5.932759999893733E-5</v>
      </c>
      <c r="AM335" t="str">
        <f>_xlfn.IFNA(VLOOKUP(Sheet1!$C335,ADMIX_ALL!A:B,2,FALSE),"none")</f>
        <v>K6-18</v>
      </c>
      <c r="AN335" t="str">
        <f>_xlfn.IFNA(VLOOKUP(Sheet1!C335,ADMIX_SS!A:B,2,FALSE),"none")</f>
        <v>SubSample</v>
      </c>
      <c r="AO335" t="str">
        <f>_xlfn.IFNA(VLOOKUP(Sheet1!$C335,MONG_PHYLO!A:C,3,FALSE),"-")</f>
        <v>-</v>
      </c>
      <c r="AP335" t="str">
        <f>_xlfn.IFNA(VLOOKUP(Sheet1!$C335,MAC_PHYLO!A:C,3,FALSE),"-")</f>
        <v>-</v>
      </c>
      <c r="AQ335" t="str">
        <f>_xlfn.IFNA(VLOOKUP(Sheet1!$C335,ConStruct!A:C,3,FALSE),"-")</f>
        <v>-</v>
      </c>
      <c r="AR335" t="str">
        <f>_xlfn.IFNA(VLOOKUP(Sheet1!$C335,GEA!A:C,3,FALSE),"-")</f>
        <v>-</v>
      </c>
      <c r="AS335" t="str">
        <f>_xlfn.IFNA(VLOOKUP(Sheet1!$C335,MAC_DSUITE!A:D,3,FALSE),"-")</f>
        <v>-</v>
      </c>
      <c r="AT335" t="str">
        <f>_xlfn.IFNA(VLOOKUP(Sheet1!$C335,MONG_DSUITE!A:E,2,FALSE),"-")</f>
        <v>xxx</v>
      </c>
      <c r="AU335" t="str">
        <f>_xlfn.IFNA(VLOOKUP(Sheet1!$C335,MAC_PAINT2!A:D,4,FALSE),"-")</f>
        <v>-</v>
      </c>
    </row>
    <row r="336" spans="1:49" customFormat="1" x14ac:dyDescent="0.4">
      <c r="A336">
        <v>3787</v>
      </c>
      <c r="B336" t="s">
        <v>700</v>
      </c>
      <c r="C336" t="s">
        <v>701</v>
      </c>
      <c r="D336" t="str">
        <f>_xlfn.CONCAT(C336,".bam")</f>
        <v>SYST-MOR-0007024.bam</v>
      </c>
      <c r="E336" t="s">
        <v>702</v>
      </c>
      <c r="F336" t="s">
        <v>2420</v>
      </c>
      <c r="G336" t="s">
        <v>2423</v>
      </c>
      <c r="H336" t="s">
        <v>2508</v>
      </c>
      <c r="I336" t="s">
        <v>678</v>
      </c>
      <c r="K336" t="s">
        <v>45</v>
      </c>
      <c r="L336" t="s">
        <v>45</v>
      </c>
      <c r="N336" t="s">
        <v>45</v>
      </c>
      <c r="P336" t="s">
        <v>31</v>
      </c>
      <c r="Q336" t="s">
        <v>46</v>
      </c>
      <c r="R336" t="s">
        <v>2597</v>
      </c>
      <c r="S336" s="1">
        <v>44775</v>
      </c>
      <c r="T336" t="s">
        <v>33</v>
      </c>
      <c r="U336" t="s">
        <v>34</v>
      </c>
      <c r="V336" s="1">
        <v>44779</v>
      </c>
      <c r="W336" t="s">
        <v>35</v>
      </c>
      <c r="X336" t="s">
        <v>634</v>
      </c>
      <c r="Y336" t="s">
        <v>242</v>
      </c>
      <c r="Z336" t="s">
        <v>206</v>
      </c>
      <c r="AA336" t="s">
        <v>678</v>
      </c>
      <c r="AD336" t="s">
        <v>45</v>
      </c>
      <c r="AE336">
        <v>38.981943999999999</v>
      </c>
      <c r="AF336">
        <v>-94.794163999999995</v>
      </c>
      <c r="AG336" t="s">
        <v>40</v>
      </c>
      <c r="AH336" t="s">
        <v>41</v>
      </c>
      <c r="AI336">
        <v>38.981980935999999</v>
      </c>
      <c r="AJ336">
        <v>-94.794128090100003</v>
      </c>
      <c r="AK336">
        <v>3.6936000000764579E-5</v>
      </c>
      <c r="AL336">
        <v>3.5909899992248029E-5</v>
      </c>
      <c r="AM336" t="str">
        <f>_xlfn.IFNA(VLOOKUP(Sheet1!$C336,ADMIX_ALL!A:B,2,FALSE),"none")</f>
        <v>K6-18</v>
      </c>
      <c r="AN336" t="str">
        <f>_xlfn.IFNA(VLOOKUP(Sheet1!C336,ADMIX_SS!A:B,2,FALSE),"none")</f>
        <v>SubSample</v>
      </c>
      <c r="AO336" t="str">
        <f>_xlfn.IFNA(VLOOKUP(Sheet1!$C336,MONG_PHYLO!A:C,3,FALSE),"-")</f>
        <v>-</v>
      </c>
      <c r="AP336" t="str">
        <f>_xlfn.IFNA(VLOOKUP(Sheet1!$C336,MAC_PHYLO!A:C,3,FALSE),"-")</f>
        <v>-</v>
      </c>
      <c r="AQ336" t="str">
        <f>_xlfn.IFNA(VLOOKUP(Sheet1!$C336,ConStruct!A:C,3,FALSE),"-")</f>
        <v>ConStruct</v>
      </c>
      <c r="AR336" t="str">
        <f>_xlfn.IFNA(VLOOKUP(Sheet1!$C336,GEA!A:C,3,FALSE),"-")</f>
        <v>GEA</v>
      </c>
      <c r="AS336" t="str">
        <f>_xlfn.IFNA(VLOOKUP(Sheet1!$C336,MAC_DSUITE!A:D,3,FALSE),"-")</f>
        <v>mac_KS_SMP</v>
      </c>
      <c r="AT336" t="str">
        <f>_xlfn.IFNA(VLOOKUP(Sheet1!$C336,MONG_DSUITE!A:E,2,FALSE),"-")</f>
        <v>macrocarpa_SMP</v>
      </c>
      <c r="AU336" t="str">
        <f>_xlfn.IFNA(VLOOKUP(Sheet1!$C336,MAC_PAINT2!A:D,4,FALSE),"-")</f>
        <v>macpaint</v>
      </c>
      <c r="AV336" t="s">
        <v>9193</v>
      </c>
      <c r="AW336" t="s">
        <v>9193</v>
      </c>
    </row>
    <row r="337" spans="1:49" customFormat="1" x14ac:dyDescent="0.4">
      <c r="A337">
        <v>3788</v>
      </c>
      <c r="B337" t="s">
        <v>703</v>
      </c>
      <c r="C337" t="s">
        <v>704</v>
      </c>
      <c r="D337" t="str">
        <f>_xlfn.CONCAT(C337,".bam")</f>
        <v>SYST-MOR-0007025.bam</v>
      </c>
      <c r="E337" t="s">
        <v>705</v>
      </c>
      <c r="F337" t="s">
        <v>2420</v>
      </c>
      <c r="G337" t="s">
        <v>2423</v>
      </c>
      <c r="H337" t="s">
        <v>2508</v>
      </c>
      <c r="I337" t="s">
        <v>674</v>
      </c>
      <c r="K337" t="s">
        <v>84</v>
      </c>
      <c r="L337" t="s">
        <v>84</v>
      </c>
      <c r="N337" t="s">
        <v>84</v>
      </c>
      <c r="P337" t="s">
        <v>31</v>
      </c>
      <c r="Q337" t="s">
        <v>85</v>
      </c>
      <c r="R337" t="s">
        <v>2600</v>
      </c>
      <c r="S337" s="1">
        <v>44775</v>
      </c>
      <c r="T337" t="s">
        <v>33</v>
      </c>
      <c r="U337" t="s">
        <v>34</v>
      </c>
      <c r="V337" s="1">
        <v>44779</v>
      </c>
      <c r="W337" t="s">
        <v>35</v>
      </c>
      <c r="X337" t="s">
        <v>634</v>
      </c>
      <c r="Y337" t="s">
        <v>242</v>
      </c>
      <c r="Z337" t="s">
        <v>206</v>
      </c>
      <c r="AA337" t="s">
        <v>674</v>
      </c>
      <c r="AD337" t="s">
        <v>84</v>
      </c>
      <c r="AE337">
        <v>38.982532999999997</v>
      </c>
      <c r="AF337">
        <v>-94.795299</v>
      </c>
      <c r="AG337" t="s">
        <v>40</v>
      </c>
      <c r="AH337" t="s">
        <v>41</v>
      </c>
      <c r="AI337">
        <v>38.982539889400002</v>
      </c>
      <c r="AJ337">
        <v>-94.795415131499993</v>
      </c>
      <c r="AK337">
        <v>6.889400005150037E-6</v>
      </c>
      <c r="AL337">
        <v>-1.1613149999334382E-4</v>
      </c>
      <c r="AM337" t="str">
        <f>_xlfn.IFNA(VLOOKUP(Sheet1!$C337,ADMIX_ALL!A:B,2,FALSE),"none")</f>
        <v>K6-18</v>
      </c>
      <c r="AN337" t="str">
        <f>_xlfn.IFNA(VLOOKUP(Sheet1!C337,ADMIX_SS!A:B,2,FALSE),"none")</f>
        <v>SubSample</v>
      </c>
      <c r="AO337" t="str">
        <f>_xlfn.IFNA(VLOOKUP(Sheet1!$C337,MONG_PHYLO!A:C,3,FALSE),"-")</f>
        <v>-</v>
      </c>
      <c r="AP337" t="str">
        <f>_xlfn.IFNA(VLOOKUP(Sheet1!$C337,MAC_PHYLO!A:C,3,FALSE),"-")</f>
        <v>-</v>
      </c>
      <c r="AQ337" t="str">
        <f>_xlfn.IFNA(VLOOKUP(Sheet1!$C337,ConStruct!A:C,3,FALSE),"-")</f>
        <v>-</v>
      </c>
      <c r="AR337" t="str">
        <f>_xlfn.IFNA(VLOOKUP(Sheet1!$C337,GEA!A:C,3,FALSE),"-")</f>
        <v>-</v>
      </c>
      <c r="AS337" t="str">
        <f>_xlfn.IFNA(VLOOKUP(Sheet1!$C337,MAC_DSUITE!A:D,3,FALSE),"-")</f>
        <v>-</v>
      </c>
      <c r="AT337" t="str">
        <f>_xlfn.IFNA(VLOOKUP(Sheet1!$C337,MONG_DSUITE!A:E,2,FALSE),"-")</f>
        <v>xxx</v>
      </c>
      <c r="AU337" t="str">
        <f>_xlfn.IFNA(VLOOKUP(Sheet1!$C337,MAC_PAINT2!A:D,4,FALSE),"-")</f>
        <v>-</v>
      </c>
    </row>
    <row r="338" spans="1:49" customFormat="1" x14ac:dyDescent="0.4">
      <c r="A338">
        <v>3789</v>
      </c>
      <c r="B338" t="s">
        <v>706</v>
      </c>
      <c r="C338" t="s">
        <v>707</v>
      </c>
      <c r="D338" t="str">
        <f>_xlfn.CONCAT(C338,".bam")</f>
        <v>SYST-MOR-0007026.bam</v>
      </c>
      <c r="E338" t="s">
        <v>708</v>
      </c>
      <c r="F338" t="s">
        <v>2420</v>
      </c>
      <c r="G338" t="s">
        <v>2423</v>
      </c>
      <c r="H338" t="s">
        <v>2508</v>
      </c>
      <c r="I338" t="s">
        <v>678</v>
      </c>
      <c r="K338" t="s">
        <v>50</v>
      </c>
      <c r="L338" t="s">
        <v>50</v>
      </c>
      <c r="N338" t="s">
        <v>50</v>
      </c>
      <c r="P338" t="s">
        <v>31</v>
      </c>
      <c r="Q338" t="s">
        <v>51</v>
      </c>
      <c r="R338" t="s">
        <v>2598</v>
      </c>
      <c r="S338" s="1">
        <v>44775</v>
      </c>
      <c r="T338" t="s">
        <v>33</v>
      </c>
      <c r="U338" t="s">
        <v>34</v>
      </c>
      <c r="V338" s="1">
        <v>44779</v>
      </c>
      <c r="W338" t="s">
        <v>35</v>
      </c>
      <c r="X338" t="s">
        <v>634</v>
      </c>
      <c r="Y338" t="s">
        <v>242</v>
      </c>
      <c r="Z338" t="s">
        <v>206</v>
      </c>
      <c r="AA338" t="s">
        <v>678</v>
      </c>
      <c r="AD338" t="s">
        <v>50</v>
      </c>
      <c r="AE338">
        <v>38.980547999999999</v>
      </c>
      <c r="AF338">
        <v>-94.789849000000004</v>
      </c>
      <c r="AG338" t="s">
        <v>40</v>
      </c>
      <c r="AH338" t="s">
        <v>41</v>
      </c>
      <c r="AI338">
        <v>38.980742306499998</v>
      </c>
      <c r="AJ338">
        <v>-94.7899410781</v>
      </c>
      <c r="AK338">
        <v>1.9430649999918614E-4</v>
      </c>
      <c r="AL338">
        <v>-9.2078099996228957E-5</v>
      </c>
      <c r="AM338" t="str">
        <f>_xlfn.IFNA(VLOOKUP(Sheet1!$C338,ADMIX_ALL!A:B,2,FALSE),"none")</f>
        <v>K6-18</v>
      </c>
      <c r="AN338" t="str">
        <f>_xlfn.IFNA(VLOOKUP(Sheet1!C338,ADMIX_SS!A:B,2,FALSE),"none")</f>
        <v>SubSample</v>
      </c>
      <c r="AO338" t="str">
        <f>_xlfn.IFNA(VLOOKUP(Sheet1!$C338,MONG_PHYLO!A:C,3,FALSE),"-")</f>
        <v>-</v>
      </c>
      <c r="AP338" t="str">
        <f>_xlfn.IFNA(VLOOKUP(Sheet1!$C338,MAC_PHYLO!A:C,3,FALSE),"-")</f>
        <v>-</v>
      </c>
      <c r="AQ338" t="str">
        <f>_xlfn.IFNA(VLOOKUP(Sheet1!$C338,ConStruct!A:C,3,FALSE),"-")</f>
        <v>-</v>
      </c>
      <c r="AR338" t="str">
        <f>_xlfn.IFNA(VLOOKUP(Sheet1!$C338,GEA!A:C,3,FALSE),"-")</f>
        <v>-</v>
      </c>
      <c r="AS338" t="str">
        <f>_xlfn.IFNA(VLOOKUP(Sheet1!$C338,MAC_DSUITE!A:D,3,FALSE),"-")</f>
        <v>-</v>
      </c>
      <c r="AT338" t="str">
        <f>_xlfn.IFNA(VLOOKUP(Sheet1!$C338,MONG_DSUITE!A:E,2,FALSE),"-")</f>
        <v>xxx</v>
      </c>
      <c r="AU338" t="str">
        <f>_xlfn.IFNA(VLOOKUP(Sheet1!$C338,MAC_PAINT2!A:D,4,FALSE),"-")</f>
        <v>-</v>
      </c>
    </row>
    <row r="339" spans="1:49" customFormat="1" x14ac:dyDescent="0.4">
      <c r="A339">
        <v>3790</v>
      </c>
      <c r="B339" t="s">
        <v>709</v>
      </c>
      <c r="C339" t="s">
        <v>710</v>
      </c>
      <c r="D339" t="str">
        <f>_xlfn.CONCAT(C339,".bam")</f>
        <v>SYST-MOR-0007027.bam</v>
      </c>
      <c r="E339" t="s">
        <v>711</v>
      </c>
      <c r="F339" t="s">
        <v>2420</v>
      </c>
      <c r="G339" t="s">
        <v>2423</v>
      </c>
      <c r="H339" t="s">
        <v>2508</v>
      </c>
      <c r="I339" t="s">
        <v>674</v>
      </c>
      <c r="K339" t="s">
        <v>50</v>
      </c>
      <c r="L339" t="s">
        <v>50</v>
      </c>
      <c r="N339" t="s">
        <v>50</v>
      </c>
      <c r="P339" t="s">
        <v>31</v>
      </c>
      <c r="Q339" t="s">
        <v>51</v>
      </c>
      <c r="R339" t="s">
        <v>2598</v>
      </c>
      <c r="S339" s="1">
        <v>44775</v>
      </c>
      <c r="T339" t="s">
        <v>33</v>
      </c>
      <c r="U339" t="s">
        <v>34</v>
      </c>
      <c r="V339" s="1">
        <v>44779</v>
      </c>
      <c r="W339" t="s">
        <v>35</v>
      </c>
      <c r="X339" t="s">
        <v>634</v>
      </c>
      <c r="Y339" t="s">
        <v>242</v>
      </c>
      <c r="Z339" t="s">
        <v>206</v>
      </c>
      <c r="AA339" t="s">
        <v>674</v>
      </c>
      <c r="AD339" t="s">
        <v>50</v>
      </c>
      <c r="AE339">
        <v>38.980615</v>
      </c>
      <c r="AF339">
        <v>-94.791199000000006</v>
      </c>
      <c r="AG339" t="s">
        <v>40</v>
      </c>
      <c r="AH339" t="s">
        <v>41</v>
      </c>
      <c r="AI339">
        <v>38.980748928200001</v>
      </c>
      <c r="AJ339">
        <v>-94.7911502515</v>
      </c>
      <c r="AK339">
        <v>1.3392820000035499E-4</v>
      </c>
      <c r="AL339">
        <v>4.8748500006468021E-5</v>
      </c>
      <c r="AM339" t="str">
        <f>_xlfn.IFNA(VLOOKUP(Sheet1!$C339,ADMIX_ALL!A:B,2,FALSE),"none")</f>
        <v>K6-18</v>
      </c>
      <c r="AN339" t="str">
        <f>_xlfn.IFNA(VLOOKUP(Sheet1!C339,ADMIX_SS!A:B,2,FALSE),"none")</f>
        <v>SubSample</v>
      </c>
      <c r="AO339" t="str">
        <f>_xlfn.IFNA(VLOOKUP(Sheet1!$C339,MONG_PHYLO!A:C,3,FALSE),"-")</f>
        <v>-</v>
      </c>
      <c r="AP339" t="str">
        <f>_xlfn.IFNA(VLOOKUP(Sheet1!$C339,MAC_PHYLO!A:C,3,FALSE),"-")</f>
        <v>-</v>
      </c>
      <c r="AQ339" t="str">
        <f>_xlfn.IFNA(VLOOKUP(Sheet1!$C339,ConStruct!A:C,3,FALSE),"-")</f>
        <v>-</v>
      </c>
      <c r="AR339" t="str">
        <f>_xlfn.IFNA(VLOOKUP(Sheet1!$C339,GEA!A:C,3,FALSE),"-")</f>
        <v>-</v>
      </c>
      <c r="AS339" t="str">
        <f>_xlfn.IFNA(VLOOKUP(Sheet1!$C339,MAC_DSUITE!A:D,3,FALSE),"-")</f>
        <v>-</v>
      </c>
      <c r="AT339" t="str">
        <f>_xlfn.IFNA(VLOOKUP(Sheet1!$C339,MONG_DSUITE!A:E,2,FALSE),"-")</f>
        <v>xxx</v>
      </c>
      <c r="AU339" t="str">
        <f>_xlfn.IFNA(VLOOKUP(Sheet1!$C339,MAC_PAINT2!A:D,4,FALSE),"-")</f>
        <v>-</v>
      </c>
    </row>
    <row r="340" spans="1:49" customFormat="1" x14ac:dyDescent="0.4">
      <c r="A340">
        <v>3791</v>
      </c>
      <c r="B340" t="s">
        <v>712</v>
      </c>
      <c r="C340" t="s">
        <v>713</v>
      </c>
      <c r="D340" t="str">
        <f>_xlfn.CONCAT(C340,".bam")</f>
        <v>SYST-MOR-0007028.bam</v>
      </c>
      <c r="E340" t="s">
        <v>714</v>
      </c>
      <c r="F340" t="s">
        <v>2420</v>
      </c>
      <c r="G340" t="s">
        <v>2423</v>
      </c>
      <c r="H340" t="s">
        <v>2508</v>
      </c>
      <c r="I340" t="s">
        <v>678</v>
      </c>
      <c r="K340" t="s">
        <v>50</v>
      </c>
      <c r="L340" t="s">
        <v>50</v>
      </c>
      <c r="N340" t="s">
        <v>50</v>
      </c>
      <c r="P340" t="s">
        <v>31</v>
      </c>
      <c r="Q340" t="s">
        <v>51</v>
      </c>
      <c r="R340" t="s">
        <v>2598</v>
      </c>
      <c r="S340" s="1">
        <v>44775</v>
      </c>
      <c r="T340" t="s">
        <v>33</v>
      </c>
      <c r="U340" t="s">
        <v>34</v>
      </c>
      <c r="V340" s="1">
        <v>44779</v>
      </c>
      <c r="W340" t="s">
        <v>35</v>
      </c>
      <c r="X340" t="s">
        <v>634</v>
      </c>
      <c r="Y340" t="s">
        <v>242</v>
      </c>
      <c r="Z340" t="s">
        <v>206</v>
      </c>
      <c r="AA340" t="s">
        <v>678</v>
      </c>
      <c r="AD340" t="s">
        <v>50</v>
      </c>
      <c r="AE340">
        <v>38.988259999999997</v>
      </c>
      <c r="AF340">
        <v>-94.801263000000006</v>
      </c>
      <c r="AG340" t="s">
        <v>40</v>
      </c>
      <c r="AH340" t="s">
        <v>41</v>
      </c>
      <c r="AI340">
        <v>38.988257814199997</v>
      </c>
      <c r="AJ340">
        <v>-94.801288666299996</v>
      </c>
      <c r="AK340">
        <v>-2.1857999996655053E-6</v>
      </c>
      <c r="AL340">
        <v>-2.566629999023462E-5</v>
      </c>
      <c r="AM340" t="str">
        <f>_xlfn.IFNA(VLOOKUP(Sheet1!$C340,ADMIX_ALL!A:B,2,FALSE),"none")</f>
        <v>K6-18</v>
      </c>
      <c r="AN340" t="str">
        <f>_xlfn.IFNA(VLOOKUP(Sheet1!C340,ADMIX_SS!A:B,2,FALSE),"none")</f>
        <v>SubSample</v>
      </c>
      <c r="AO340" t="str">
        <f>_xlfn.IFNA(VLOOKUP(Sheet1!$C340,MONG_PHYLO!A:C,3,FALSE),"-")</f>
        <v>-</v>
      </c>
      <c r="AP340" t="str">
        <f>_xlfn.IFNA(VLOOKUP(Sheet1!$C340,MAC_PHYLO!A:C,3,FALSE),"-")</f>
        <v>-</v>
      </c>
      <c r="AQ340" t="str">
        <f>_xlfn.IFNA(VLOOKUP(Sheet1!$C340,ConStruct!A:C,3,FALSE),"-")</f>
        <v>-</v>
      </c>
      <c r="AR340" t="str">
        <f>_xlfn.IFNA(VLOOKUP(Sheet1!$C340,GEA!A:C,3,FALSE),"-")</f>
        <v>-</v>
      </c>
      <c r="AS340" t="str">
        <f>_xlfn.IFNA(VLOOKUP(Sheet1!$C340,MAC_DSUITE!A:D,3,FALSE),"-")</f>
        <v>-</v>
      </c>
      <c r="AT340" t="str">
        <f>_xlfn.IFNA(VLOOKUP(Sheet1!$C340,MONG_DSUITE!A:E,2,FALSE),"-")</f>
        <v>xxx</v>
      </c>
      <c r="AU340" t="str">
        <f>_xlfn.IFNA(VLOOKUP(Sheet1!$C340,MAC_PAINT2!A:D,4,FALSE),"-")</f>
        <v>-</v>
      </c>
    </row>
    <row r="341" spans="1:49" customFormat="1" x14ac:dyDescent="0.4">
      <c r="A341">
        <v>3792</v>
      </c>
      <c r="B341" t="s">
        <v>715</v>
      </c>
      <c r="C341" t="s">
        <v>716</v>
      </c>
      <c r="D341" t="str">
        <f>_xlfn.CONCAT(C341,".bam")</f>
        <v>SYST-MOR-0007029.bam</v>
      </c>
      <c r="E341" t="s">
        <v>717</v>
      </c>
      <c r="F341" t="s">
        <v>2420</v>
      </c>
      <c r="G341" t="s">
        <v>2423</v>
      </c>
      <c r="H341" t="s">
        <v>2508</v>
      </c>
      <c r="I341" t="s">
        <v>674</v>
      </c>
      <c r="K341" t="s">
        <v>50</v>
      </c>
      <c r="L341" t="s">
        <v>50</v>
      </c>
      <c r="N341" t="s">
        <v>50</v>
      </c>
      <c r="P341" t="s">
        <v>31</v>
      </c>
      <c r="Q341" t="s">
        <v>51</v>
      </c>
      <c r="R341" t="s">
        <v>2598</v>
      </c>
      <c r="S341" s="1">
        <v>44775</v>
      </c>
      <c r="T341" t="s">
        <v>33</v>
      </c>
      <c r="U341" t="s">
        <v>34</v>
      </c>
      <c r="V341" s="1">
        <v>44779</v>
      </c>
      <c r="W341" t="s">
        <v>35</v>
      </c>
      <c r="X341" t="s">
        <v>634</v>
      </c>
      <c r="Y341" t="s">
        <v>242</v>
      </c>
      <c r="Z341" t="s">
        <v>206</v>
      </c>
      <c r="AA341" t="s">
        <v>674</v>
      </c>
      <c r="AD341" t="s">
        <v>50</v>
      </c>
      <c r="AE341">
        <v>38.988771999999997</v>
      </c>
      <c r="AF341">
        <v>-94.801447999999993</v>
      </c>
      <c r="AG341" t="s">
        <v>40</v>
      </c>
      <c r="AH341" t="s">
        <v>41</v>
      </c>
      <c r="AI341">
        <v>38.988887169400002</v>
      </c>
      <c r="AJ341">
        <v>-94.801484886599994</v>
      </c>
      <c r="AK341">
        <v>1.1516940000433351E-4</v>
      </c>
      <c r="AL341">
        <v>-3.6886600000229919E-5</v>
      </c>
      <c r="AM341" t="str">
        <f>_xlfn.IFNA(VLOOKUP(Sheet1!$C341,ADMIX_ALL!A:B,2,FALSE),"none")</f>
        <v>K6-18</v>
      </c>
      <c r="AN341" t="str">
        <f>_xlfn.IFNA(VLOOKUP(Sheet1!C341,ADMIX_SS!A:B,2,FALSE),"none")</f>
        <v>SubSample</v>
      </c>
      <c r="AO341" t="str">
        <f>_xlfn.IFNA(VLOOKUP(Sheet1!$C341,MONG_PHYLO!A:C,3,FALSE),"-")</f>
        <v>-</v>
      </c>
      <c r="AP341" t="str">
        <f>_xlfn.IFNA(VLOOKUP(Sheet1!$C341,MAC_PHYLO!A:C,3,FALSE),"-")</f>
        <v>ste</v>
      </c>
      <c r="AQ341" t="str">
        <f>_xlfn.IFNA(VLOOKUP(Sheet1!$C341,ConStruct!A:C,3,FALSE),"-")</f>
        <v>-</v>
      </c>
      <c r="AR341" t="str">
        <f>_xlfn.IFNA(VLOOKUP(Sheet1!$C341,GEA!A:C,3,FALSE),"-")</f>
        <v>-</v>
      </c>
      <c r="AS341" t="str">
        <f>_xlfn.IFNA(VLOOKUP(Sheet1!$C341,MAC_DSUITE!A:D,3,FALSE),"-")</f>
        <v>ste</v>
      </c>
      <c r="AT341" t="str">
        <f>_xlfn.IFNA(VLOOKUP(Sheet1!$C341,MONG_DSUITE!A:E,2,FALSE),"-")</f>
        <v>xxx</v>
      </c>
      <c r="AU341" t="str">
        <f>_xlfn.IFNA(VLOOKUP(Sheet1!$C341,MAC_PAINT2!A:D,4,FALSE),"-")</f>
        <v>ste-macpaint</v>
      </c>
    </row>
    <row r="342" spans="1:49" customFormat="1" x14ac:dyDescent="0.4">
      <c r="A342">
        <v>3793</v>
      </c>
      <c r="B342" t="s">
        <v>718</v>
      </c>
      <c r="C342" t="s">
        <v>719</v>
      </c>
      <c r="D342" t="str">
        <f>_xlfn.CONCAT(C342,".bam")</f>
        <v>SYST-MOR-0007030.bam</v>
      </c>
      <c r="E342" t="s">
        <v>720</v>
      </c>
      <c r="F342" t="s">
        <v>2420</v>
      </c>
      <c r="G342" t="s">
        <v>2423</v>
      </c>
      <c r="H342" t="s">
        <v>2508</v>
      </c>
      <c r="I342" t="s">
        <v>674</v>
      </c>
      <c r="K342" t="s">
        <v>64</v>
      </c>
      <c r="L342" t="s">
        <v>64</v>
      </c>
      <c r="N342" t="s">
        <v>64</v>
      </c>
      <c r="P342" t="s">
        <v>31</v>
      </c>
      <c r="Q342" t="s">
        <v>65</v>
      </c>
      <c r="R342" t="s">
        <v>2599</v>
      </c>
      <c r="S342" s="1">
        <v>44776</v>
      </c>
      <c r="T342" t="s">
        <v>33</v>
      </c>
      <c r="U342" t="s">
        <v>34</v>
      </c>
      <c r="V342" s="1">
        <v>44779</v>
      </c>
      <c r="W342" t="s">
        <v>35</v>
      </c>
      <c r="X342" t="s">
        <v>634</v>
      </c>
      <c r="Y342" t="s">
        <v>242</v>
      </c>
      <c r="Z342" t="s">
        <v>206</v>
      </c>
      <c r="AA342" t="s">
        <v>674</v>
      </c>
      <c r="AD342" t="s">
        <v>64</v>
      </c>
      <c r="AE342">
        <v>38.980013</v>
      </c>
      <c r="AF342">
        <v>-94.808195999999995</v>
      </c>
      <c r="AG342" t="s">
        <v>40</v>
      </c>
      <c r="AH342" t="s">
        <v>41</v>
      </c>
      <c r="AI342">
        <v>38.980219988199998</v>
      </c>
      <c r="AJ342">
        <v>-94.808407751900006</v>
      </c>
      <c r="AK342">
        <v>2.0698819999864781E-4</v>
      </c>
      <c r="AL342">
        <v>-2.117519000108814E-4</v>
      </c>
      <c r="AM342" t="str">
        <f>_xlfn.IFNA(VLOOKUP(Sheet1!$C342,ADMIX_ALL!A:B,2,FALSE),"none")</f>
        <v>K6-18</v>
      </c>
      <c r="AN342" t="str">
        <f>_xlfn.IFNA(VLOOKUP(Sheet1!C342,ADMIX_SS!A:B,2,FALSE),"none")</f>
        <v>SubSample</v>
      </c>
      <c r="AO342" t="str">
        <f>_xlfn.IFNA(VLOOKUP(Sheet1!$C342,MONG_PHYLO!A:C,3,FALSE),"-")</f>
        <v>-</v>
      </c>
      <c r="AP342" t="str">
        <f>_xlfn.IFNA(VLOOKUP(Sheet1!$C342,MAC_PHYLO!A:C,3,FALSE),"-")</f>
        <v>-</v>
      </c>
      <c r="AQ342" t="str">
        <f>_xlfn.IFNA(VLOOKUP(Sheet1!$C342,ConStruct!A:C,3,FALSE),"-")</f>
        <v>-</v>
      </c>
      <c r="AR342" t="str">
        <f>_xlfn.IFNA(VLOOKUP(Sheet1!$C342,GEA!A:C,3,FALSE),"-")</f>
        <v>-</v>
      </c>
      <c r="AS342" t="str">
        <f>_xlfn.IFNA(VLOOKUP(Sheet1!$C342,MAC_DSUITE!A:D,3,FALSE),"-")</f>
        <v>-</v>
      </c>
      <c r="AT342" t="str">
        <f>_xlfn.IFNA(VLOOKUP(Sheet1!$C342,MONG_DSUITE!A:E,2,FALSE),"-")</f>
        <v>xxx</v>
      </c>
      <c r="AU342" t="str">
        <f>_xlfn.IFNA(VLOOKUP(Sheet1!$C342,MAC_PAINT2!A:D,4,FALSE),"-")</f>
        <v>-</v>
      </c>
    </row>
    <row r="343" spans="1:49" customFormat="1" x14ac:dyDescent="0.4">
      <c r="A343">
        <v>3794</v>
      </c>
      <c r="B343" t="s">
        <v>721</v>
      </c>
      <c r="C343" t="s">
        <v>722</v>
      </c>
      <c r="D343" t="str">
        <f>_xlfn.CONCAT(C343,".bam")</f>
        <v>SYST-MOR-0007031.bam</v>
      </c>
      <c r="E343" t="s">
        <v>723</v>
      </c>
      <c r="F343" t="s">
        <v>2420</v>
      </c>
      <c r="G343" t="s">
        <v>2423</v>
      </c>
      <c r="H343" t="s">
        <v>2508</v>
      </c>
      <c r="I343" t="s">
        <v>678</v>
      </c>
      <c r="K343" t="s">
        <v>64</v>
      </c>
      <c r="L343" t="s">
        <v>64</v>
      </c>
      <c r="N343" t="s">
        <v>64</v>
      </c>
      <c r="P343" t="s">
        <v>31</v>
      </c>
      <c r="Q343" t="s">
        <v>65</v>
      </c>
      <c r="R343" t="s">
        <v>2599</v>
      </c>
      <c r="S343" s="1">
        <v>44776</v>
      </c>
      <c r="T343" t="s">
        <v>33</v>
      </c>
      <c r="U343" t="s">
        <v>34</v>
      </c>
      <c r="V343" s="1">
        <v>44779</v>
      </c>
      <c r="W343" t="s">
        <v>35</v>
      </c>
      <c r="X343" t="s">
        <v>634</v>
      </c>
      <c r="Y343" t="s">
        <v>242</v>
      </c>
      <c r="Z343" t="s">
        <v>206</v>
      </c>
      <c r="AA343" t="s">
        <v>678</v>
      </c>
      <c r="AD343" t="s">
        <v>64</v>
      </c>
      <c r="AE343">
        <v>38.979953000000002</v>
      </c>
      <c r="AF343">
        <v>-94.808064999999999</v>
      </c>
      <c r="AG343" t="s">
        <v>40</v>
      </c>
      <c r="AH343" t="s">
        <v>41</v>
      </c>
      <c r="AI343">
        <v>38.979902984600002</v>
      </c>
      <c r="AJ343">
        <v>-94.807995781399995</v>
      </c>
      <c r="AK343">
        <v>-5.0015399999381316E-5</v>
      </c>
      <c r="AL343">
        <v>6.9218600003750907E-5</v>
      </c>
      <c r="AM343" t="str">
        <f>_xlfn.IFNA(VLOOKUP(Sheet1!$C343,ADMIX_ALL!A:B,2,FALSE),"none")</f>
        <v>K6-18</v>
      </c>
      <c r="AN343" t="str">
        <f>_xlfn.IFNA(VLOOKUP(Sheet1!C343,ADMIX_SS!A:B,2,FALSE),"none")</f>
        <v>SubSample</v>
      </c>
      <c r="AO343" t="str">
        <f>_xlfn.IFNA(VLOOKUP(Sheet1!$C343,MONG_PHYLO!A:C,3,FALSE),"-")</f>
        <v>-</v>
      </c>
      <c r="AP343" t="str">
        <f>_xlfn.IFNA(VLOOKUP(Sheet1!$C343,MAC_PHYLO!A:C,3,FALSE),"-")</f>
        <v>-</v>
      </c>
      <c r="AQ343" t="str">
        <f>_xlfn.IFNA(VLOOKUP(Sheet1!$C343,ConStruct!A:C,3,FALSE),"-")</f>
        <v>-</v>
      </c>
      <c r="AR343" t="str">
        <f>_xlfn.IFNA(VLOOKUP(Sheet1!$C343,GEA!A:C,3,FALSE),"-")</f>
        <v>-</v>
      </c>
      <c r="AS343" t="str">
        <f>_xlfn.IFNA(VLOOKUP(Sheet1!$C343,MAC_DSUITE!A:D,3,FALSE),"-")</f>
        <v>-</v>
      </c>
      <c r="AT343" t="str">
        <f>_xlfn.IFNA(VLOOKUP(Sheet1!$C343,MONG_DSUITE!A:E,2,FALSE),"-")</f>
        <v>xxx</v>
      </c>
      <c r="AU343" t="str">
        <f>_xlfn.IFNA(VLOOKUP(Sheet1!$C343,MAC_PAINT2!A:D,4,FALSE),"-")</f>
        <v>-</v>
      </c>
    </row>
    <row r="344" spans="1:49" customFormat="1" x14ac:dyDescent="0.4">
      <c r="A344">
        <v>3795</v>
      </c>
      <c r="B344" t="s">
        <v>724</v>
      </c>
      <c r="C344" t="s">
        <v>725</v>
      </c>
      <c r="D344" t="str">
        <f>_xlfn.CONCAT(C344,".bam")</f>
        <v>SYST-MOR-0007032.bam</v>
      </c>
      <c r="E344" t="s">
        <v>726</v>
      </c>
      <c r="F344" t="s">
        <v>2420</v>
      </c>
      <c r="G344" t="s">
        <v>2423</v>
      </c>
      <c r="H344" t="s">
        <v>2508</v>
      </c>
      <c r="I344" t="s">
        <v>674</v>
      </c>
      <c r="K344" t="s">
        <v>64</v>
      </c>
      <c r="L344" t="s">
        <v>64</v>
      </c>
      <c r="N344" t="s">
        <v>64</v>
      </c>
      <c r="P344" t="s">
        <v>31</v>
      </c>
      <c r="Q344" t="s">
        <v>65</v>
      </c>
      <c r="R344" t="s">
        <v>2599</v>
      </c>
      <c r="S344" s="1">
        <v>44776</v>
      </c>
      <c r="T344" t="s">
        <v>33</v>
      </c>
      <c r="U344" t="s">
        <v>34</v>
      </c>
      <c r="V344" s="1">
        <v>44779</v>
      </c>
      <c r="W344" t="s">
        <v>35</v>
      </c>
      <c r="X344" t="s">
        <v>634</v>
      </c>
      <c r="Y344" t="s">
        <v>242</v>
      </c>
      <c r="Z344" t="s">
        <v>206</v>
      </c>
      <c r="AA344" t="s">
        <v>674</v>
      </c>
      <c r="AD344" t="s">
        <v>64</v>
      </c>
      <c r="AE344">
        <v>38.979570000000002</v>
      </c>
      <c r="AF344">
        <v>-94.806826999999998</v>
      </c>
      <c r="AG344" t="s">
        <v>40</v>
      </c>
      <c r="AH344" t="s">
        <v>41</v>
      </c>
      <c r="AI344">
        <v>38.979521376699999</v>
      </c>
      <c r="AJ344">
        <v>-94.806841090299997</v>
      </c>
      <c r="AK344">
        <v>-4.8623300003214354E-5</v>
      </c>
      <c r="AL344">
        <v>-1.4090299998770206E-5</v>
      </c>
      <c r="AM344" t="str">
        <f>_xlfn.IFNA(VLOOKUP(Sheet1!$C344,ADMIX_ALL!A:B,2,FALSE),"none")</f>
        <v>K6-18</v>
      </c>
      <c r="AN344" t="str">
        <f>_xlfn.IFNA(VLOOKUP(Sheet1!C344,ADMIX_SS!A:B,2,FALSE),"none")</f>
        <v>SubSample</v>
      </c>
      <c r="AO344" t="str">
        <f>_xlfn.IFNA(VLOOKUP(Sheet1!$C344,MONG_PHYLO!A:C,3,FALSE),"-")</f>
        <v>-</v>
      </c>
      <c r="AP344" t="str">
        <f>_xlfn.IFNA(VLOOKUP(Sheet1!$C344,MAC_PHYLO!A:C,3,FALSE),"-")</f>
        <v>-</v>
      </c>
      <c r="AQ344" t="str">
        <f>_xlfn.IFNA(VLOOKUP(Sheet1!$C344,ConStruct!A:C,3,FALSE),"-")</f>
        <v>-</v>
      </c>
      <c r="AR344" t="str">
        <f>_xlfn.IFNA(VLOOKUP(Sheet1!$C344,GEA!A:C,3,FALSE),"-")</f>
        <v>-</v>
      </c>
      <c r="AS344" t="str">
        <f>_xlfn.IFNA(VLOOKUP(Sheet1!$C344,MAC_DSUITE!A:D,3,FALSE),"-")</f>
        <v>-</v>
      </c>
      <c r="AT344" t="str">
        <f>_xlfn.IFNA(VLOOKUP(Sheet1!$C344,MONG_DSUITE!A:E,2,FALSE),"-")</f>
        <v>xxx</v>
      </c>
      <c r="AU344" t="str">
        <f>_xlfn.IFNA(VLOOKUP(Sheet1!$C344,MAC_PAINT2!A:D,4,FALSE),"-")</f>
        <v>-</v>
      </c>
    </row>
    <row r="345" spans="1:49" customFormat="1" x14ac:dyDescent="0.4">
      <c r="A345">
        <v>3796</v>
      </c>
      <c r="B345" t="s">
        <v>727</v>
      </c>
      <c r="C345" t="s">
        <v>728</v>
      </c>
      <c r="D345" t="str">
        <f>_xlfn.CONCAT(C345,".bam")</f>
        <v>SYST-MOR-0007033.bam</v>
      </c>
      <c r="E345" t="s">
        <v>729</v>
      </c>
      <c r="F345" t="s">
        <v>2420</v>
      </c>
      <c r="G345" t="s">
        <v>2423</v>
      </c>
      <c r="H345" t="s">
        <v>2508</v>
      </c>
      <c r="I345" t="s">
        <v>678</v>
      </c>
      <c r="K345" t="s">
        <v>64</v>
      </c>
      <c r="L345" t="s">
        <v>64</v>
      </c>
      <c r="N345" t="s">
        <v>64</v>
      </c>
      <c r="P345" t="s">
        <v>31</v>
      </c>
      <c r="Q345" t="s">
        <v>65</v>
      </c>
      <c r="R345" t="s">
        <v>2599</v>
      </c>
      <c r="S345" s="1">
        <v>44776</v>
      </c>
      <c r="T345" t="s">
        <v>33</v>
      </c>
      <c r="U345" t="s">
        <v>34</v>
      </c>
      <c r="V345" s="1">
        <v>44779</v>
      </c>
      <c r="W345" t="s">
        <v>35</v>
      </c>
      <c r="X345" t="s">
        <v>634</v>
      </c>
      <c r="Y345" t="s">
        <v>242</v>
      </c>
      <c r="Z345" t="s">
        <v>206</v>
      </c>
      <c r="AA345" t="s">
        <v>678</v>
      </c>
      <c r="AD345" t="s">
        <v>64</v>
      </c>
      <c r="AE345">
        <v>38.979519000000003</v>
      </c>
      <c r="AF345">
        <v>-94.808080000000004</v>
      </c>
      <c r="AG345" t="s">
        <v>40</v>
      </c>
      <c r="AH345" t="s">
        <v>41</v>
      </c>
      <c r="AI345">
        <v>38.979705129800003</v>
      </c>
      <c r="AJ345">
        <v>-94.808309264599998</v>
      </c>
      <c r="AK345">
        <v>1.8612979999943491E-4</v>
      </c>
      <c r="AL345">
        <v>-2.292645999943943E-4</v>
      </c>
      <c r="AM345" t="str">
        <f>_xlfn.IFNA(VLOOKUP(Sheet1!$C345,ADMIX_ALL!A:B,2,FALSE),"none")</f>
        <v>K6-18</v>
      </c>
      <c r="AN345" t="str">
        <f>_xlfn.IFNA(VLOOKUP(Sheet1!C345,ADMIX_SS!A:B,2,FALSE),"none")</f>
        <v>SubSample</v>
      </c>
      <c r="AO345" t="str">
        <f>_xlfn.IFNA(VLOOKUP(Sheet1!$C345,MONG_PHYLO!A:C,3,FALSE),"-")</f>
        <v>-</v>
      </c>
      <c r="AP345" t="str">
        <f>_xlfn.IFNA(VLOOKUP(Sheet1!$C345,MAC_PHYLO!A:C,3,FALSE),"-")</f>
        <v>-</v>
      </c>
      <c r="AQ345" t="str">
        <f>_xlfn.IFNA(VLOOKUP(Sheet1!$C345,ConStruct!A:C,3,FALSE),"-")</f>
        <v>-</v>
      </c>
      <c r="AR345" t="str">
        <f>_xlfn.IFNA(VLOOKUP(Sheet1!$C345,GEA!A:C,3,FALSE),"-")</f>
        <v>-</v>
      </c>
      <c r="AS345" t="str">
        <f>_xlfn.IFNA(VLOOKUP(Sheet1!$C345,MAC_DSUITE!A:D,3,FALSE),"-")</f>
        <v>-</v>
      </c>
      <c r="AT345" t="str">
        <f>_xlfn.IFNA(VLOOKUP(Sheet1!$C345,MONG_DSUITE!A:E,2,FALSE),"-")</f>
        <v>xxx</v>
      </c>
      <c r="AU345" t="str">
        <f>_xlfn.IFNA(VLOOKUP(Sheet1!$C345,MAC_PAINT2!A:D,4,FALSE),"-")</f>
        <v>-</v>
      </c>
    </row>
    <row r="346" spans="1:49" customFormat="1" x14ac:dyDescent="0.4">
      <c r="A346">
        <v>3797</v>
      </c>
      <c r="B346" t="s">
        <v>730</v>
      </c>
      <c r="C346" t="s">
        <v>731</v>
      </c>
      <c r="D346" t="str">
        <f>_xlfn.CONCAT(C346,".bam")</f>
        <v>SYST-MOR-0007034.bam</v>
      </c>
      <c r="E346" t="s">
        <v>732</v>
      </c>
      <c r="F346" t="s">
        <v>2420</v>
      </c>
      <c r="G346" t="s">
        <v>2423</v>
      </c>
      <c r="H346" t="s">
        <v>2508</v>
      </c>
      <c r="I346" t="s">
        <v>674</v>
      </c>
      <c r="K346" t="s">
        <v>64</v>
      </c>
      <c r="L346" t="s">
        <v>64</v>
      </c>
      <c r="N346" t="s">
        <v>64</v>
      </c>
      <c r="P346" t="s">
        <v>31</v>
      </c>
      <c r="Q346" t="s">
        <v>65</v>
      </c>
      <c r="R346" t="s">
        <v>2599</v>
      </c>
      <c r="S346" s="1">
        <v>44776</v>
      </c>
      <c r="T346" t="s">
        <v>33</v>
      </c>
      <c r="U346" t="s">
        <v>34</v>
      </c>
      <c r="V346" s="1">
        <v>44779</v>
      </c>
      <c r="W346" t="s">
        <v>35</v>
      </c>
      <c r="X346" t="s">
        <v>634</v>
      </c>
      <c r="Y346" t="s">
        <v>242</v>
      </c>
      <c r="Z346" t="s">
        <v>206</v>
      </c>
      <c r="AA346" t="s">
        <v>674</v>
      </c>
      <c r="AD346" t="s">
        <v>64</v>
      </c>
      <c r="AE346">
        <v>38.979835000000001</v>
      </c>
      <c r="AF346">
        <v>-94.807522000000006</v>
      </c>
      <c r="AG346" t="s">
        <v>40</v>
      </c>
      <c r="AH346" t="s">
        <v>41</v>
      </c>
      <c r="AI346">
        <v>38.979792511100001</v>
      </c>
      <c r="AJ346">
        <v>-94.807475349000001</v>
      </c>
      <c r="AK346">
        <v>-4.2488900000137164E-5</v>
      </c>
      <c r="AL346">
        <v>4.6651000005226706E-5</v>
      </c>
      <c r="AM346" t="str">
        <f>_xlfn.IFNA(VLOOKUP(Sheet1!$C346,ADMIX_ALL!A:B,2,FALSE),"none")</f>
        <v>K6-18</v>
      </c>
      <c r="AN346" t="str">
        <f>_xlfn.IFNA(VLOOKUP(Sheet1!C346,ADMIX_SS!A:B,2,FALSE),"none")</f>
        <v>SubSample</v>
      </c>
      <c r="AO346" t="str">
        <f>_xlfn.IFNA(VLOOKUP(Sheet1!$C346,MONG_PHYLO!A:C,3,FALSE),"-")</f>
        <v>-</v>
      </c>
      <c r="AP346" t="str">
        <f>_xlfn.IFNA(VLOOKUP(Sheet1!$C346,MAC_PHYLO!A:C,3,FALSE),"-")</f>
        <v>-</v>
      </c>
      <c r="AQ346" t="str">
        <f>_xlfn.IFNA(VLOOKUP(Sheet1!$C346,ConStruct!A:C,3,FALSE),"-")</f>
        <v>-</v>
      </c>
      <c r="AR346" t="str">
        <f>_xlfn.IFNA(VLOOKUP(Sheet1!$C346,GEA!A:C,3,FALSE),"-")</f>
        <v>-</v>
      </c>
      <c r="AS346" t="str">
        <f>_xlfn.IFNA(VLOOKUP(Sheet1!$C346,MAC_DSUITE!A:D,3,FALSE),"-")</f>
        <v>-</v>
      </c>
      <c r="AT346" t="str">
        <f>_xlfn.IFNA(VLOOKUP(Sheet1!$C346,MONG_DSUITE!A:E,2,FALSE),"-")</f>
        <v>xxx</v>
      </c>
      <c r="AU346" t="str">
        <f>_xlfn.IFNA(VLOOKUP(Sheet1!$C346,MAC_PAINT2!A:D,4,FALSE),"-")</f>
        <v>-</v>
      </c>
    </row>
    <row r="347" spans="1:49" customFormat="1" x14ac:dyDescent="0.4">
      <c r="A347">
        <v>3798</v>
      </c>
      <c r="B347" t="s">
        <v>629</v>
      </c>
      <c r="C347" t="s">
        <v>630</v>
      </c>
      <c r="D347" t="str">
        <f>_xlfn.CONCAT(C347,".bam")</f>
        <v>SYST-MOR-0007035.bam</v>
      </c>
      <c r="E347" t="s">
        <v>631</v>
      </c>
      <c r="F347" t="s">
        <v>2420</v>
      </c>
      <c r="G347" t="s">
        <v>2421</v>
      </c>
      <c r="H347" t="s">
        <v>2506</v>
      </c>
      <c r="I347" t="s">
        <v>635</v>
      </c>
      <c r="K347" t="s">
        <v>632</v>
      </c>
      <c r="L347" t="s">
        <v>632</v>
      </c>
      <c r="N347" t="s">
        <v>632</v>
      </c>
      <c r="P347" t="s">
        <v>31</v>
      </c>
      <c r="Q347" t="s">
        <v>633</v>
      </c>
      <c r="R347" t="s">
        <v>2603</v>
      </c>
      <c r="S347" s="1">
        <v>44776</v>
      </c>
      <c r="T347" t="s">
        <v>33</v>
      </c>
      <c r="U347" t="s">
        <v>34</v>
      </c>
      <c r="V347" s="1">
        <v>44779</v>
      </c>
      <c r="W347" t="s">
        <v>35</v>
      </c>
      <c r="X347" t="s">
        <v>634</v>
      </c>
      <c r="Y347" t="s">
        <v>242</v>
      </c>
      <c r="Z347" t="s">
        <v>206</v>
      </c>
      <c r="AA347" t="s">
        <v>635</v>
      </c>
      <c r="AD347" t="s">
        <v>632</v>
      </c>
      <c r="AE347">
        <v>38.917271999999997</v>
      </c>
      <c r="AF347">
        <v>-94.973530999999994</v>
      </c>
      <c r="AG347" t="s">
        <v>40</v>
      </c>
      <c r="AH347" t="s">
        <v>41</v>
      </c>
      <c r="AI347">
        <v>38.917406969699996</v>
      </c>
      <c r="AJ347">
        <v>-94.973637275499996</v>
      </c>
      <c r="AK347">
        <v>1.349696999994876E-4</v>
      </c>
      <c r="AL347">
        <v>-1.062755000020843E-4</v>
      </c>
      <c r="AM347" t="str">
        <f>_xlfn.IFNA(VLOOKUP(Sheet1!$C347,ADMIX_ALL!A:B,2,FALSE),"none")</f>
        <v>K6-18</v>
      </c>
      <c r="AN347" t="str">
        <f>_xlfn.IFNA(VLOOKUP(Sheet1!C347,ADMIX_SS!A:B,2,FALSE),"none")</f>
        <v>SubSample</v>
      </c>
      <c r="AO347" t="str">
        <f>_xlfn.IFNA(VLOOKUP(Sheet1!$C347,MONG_PHYLO!A:C,3,FALSE),"-")</f>
        <v>-</v>
      </c>
      <c r="AP347" t="str">
        <f>_xlfn.IFNA(VLOOKUP(Sheet1!$C347,MAC_PHYLO!A:C,3,FALSE),"-")</f>
        <v>-</v>
      </c>
      <c r="AQ347" t="str">
        <f>_xlfn.IFNA(VLOOKUP(Sheet1!$C347,ConStruct!A:C,3,FALSE),"-")</f>
        <v>-</v>
      </c>
      <c r="AR347" t="str">
        <f>_xlfn.IFNA(VLOOKUP(Sheet1!$C347,GEA!A:C,3,FALSE),"-")</f>
        <v>-</v>
      </c>
      <c r="AS347" t="str">
        <f>_xlfn.IFNA(VLOOKUP(Sheet1!$C347,MAC_DSUITE!A:D,3,FALSE),"-")</f>
        <v>-</v>
      </c>
      <c r="AT347" t="str">
        <f>_xlfn.IFNA(VLOOKUP(Sheet1!$C347,MONG_DSUITE!A:E,2,FALSE),"-")</f>
        <v>xxx</v>
      </c>
      <c r="AU347" t="str">
        <f>_xlfn.IFNA(VLOOKUP(Sheet1!$C347,MAC_PAINT2!A:D,4,FALSE),"-")</f>
        <v>-</v>
      </c>
    </row>
    <row r="348" spans="1:49" customFormat="1" x14ac:dyDescent="0.4">
      <c r="A348">
        <v>3799</v>
      </c>
      <c r="B348" t="s">
        <v>636</v>
      </c>
      <c r="C348" t="s">
        <v>637</v>
      </c>
      <c r="D348" t="str">
        <f>_xlfn.CONCAT(C348,".bam")</f>
        <v>SYST-MOR-0007036.bam</v>
      </c>
      <c r="E348" t="s">
        <v>638</v>
      </c>
      <c r="F348" t="s">
        <v>2420</v>
      </c>
      <c r="G348" t="s">
        <v>2421</v>
      </c>
      <c r="H348" t="s">
        <v>2506</v>
      </c>
      <c r="I348" t="s">
        <v>635</v>
      </c>
      <c r="K348" t="s">
        <v>632</v>
      </c>
      <c r="L348" t="s">
        <v>632</v>
      </c>
      <c r="N348" t="s">
        <v>632</v>
      </c>
      <c r="P348" t="s">
        <v>31</v>
      </c>
      <c r="Q348" t="s">
        <v>633</v>
      </c>
      <c r="R348" t="s">
        <v>2603</v>
      </c>
      <c r="S348" s="1">
        <v>44776</v>
      </c>
      <c r="T348" t="s">
        <v>33</v>
      </c>
      <c r="U348" t="s">
        <v>34</v>
      </c>
      <c r="V348" s="1">
        <v>44779</v>
      </c>
      <c r="W348" t="s">
        <v>35</v>
      </c>
      <c r="X348" t="s">
        <v>634</v>
      </c>
      <c r="Y348" t="s">
        <v>242</v>
      </c>
      <c r="Z348" t="s">
        <v>206</v>
      </c>
      <c r="AA348" t="s">
        <v>635</v>
      </c>
      <c r="AD348" t="s">
        <v>632</v>
      </c>
      <c r="AE348">
        <v>38.917033000000004</v>
      </c>
      <c r="AF348">
        <v>-94.973636999999997</v>
      </c>
      <c r="AG348" t="s">
        <v>40</v>
      </c>
      <c r="AH348" t="s">
        <v>41</v>
      </c>
      <c r="AI348">
        <v>38.9170015001</v>
      </c>
      <c r="AJ348">
        <v>-94.973569621199999</v>
      </c>
      <c r="AK348">
        <v>-3.1499900003950643E-5</v>
      </c>
      <c r="AL348">
        <v>6.7378799997186434E-5</v>
      </c>
      <c r="AM348" t="str">
        <f>_xlfn.IFNA(VLOOKUP(Sheet1!$C348,ADMIX_ALL!A:B,2,FALSE),"none")</f>
        <v>K6-18</v>
      </c>
      <c r="AN348" t="str">
        <f>_xlfn.IFNA(VLOOKUP(Sheet1!C348,ADMIX_SS!A:B,2,FALSE),"none")</f>
        <v>SubSample</v>
      </c>
      <c r="AO348" t="str">
        <f>_xlfn.IFNA(VLOOKUP(Sheet1!$C348,MONG_PHYLO!A:C,3,FALSE),"-")</f>
        <v>-</v>
      </c>
      <c r="AP348" t="str">
        <f>_xlfn.IFNA(VLOOKUP(Sheet1!$C348,MAC_PHYLO!A:C,3,FALSE),"-")</f>
        <v>-</v>
      </c>
      <c r="AQ348" t="str">
        <f>_xlfn.IFNA(VLOOKUP(Sheet1!$C348,ConStruct!A:C,3,FALSE),"-")</f>
        <v>-</v>
      </c>
      <c r="AR348" t="str">
        <f>_xlfn.IFNA(VLOOKUP(Sheet1!$C348,GEA!A:C,3,FALSE),"-")</f>
        <v>-</v>
      </c>
      <c r="AS348" t="str">
        <f>_xlfn.IFNA(VLOOKUP(Sheet1!$C348,MAC_DSUITE!A:D,3,FALSE),"-")</f>
        <v>-</v>
      </c>
      <c r="AT348" t="str">
        <f>_xlfn.IFNA(VLOOKUP(Sheet1!$C348,MONG_DSUITE!A:E,2,FALSE),"-")</f>
        <v>xxx</v>
      </c>
      <c r="AU348" t="str">
        <f>_xlfn.IFNA(VLOOKUP(Sheet1!$C348,MAC_PAINT2!A:D,4,FALSE),"-")</f>
        <v>-</v>
      </c>
    </row>
    <row r="349" spans="1:49" customFormat="1" x14ac:dyDescent="0.4">
      <c r="A349">
        <v>3800</v>
      </c>
      <c r="B349" t="s">
        <v>639</v>
      </c>
      <c r="C349" t="s">
        <v>640</v>
      </c>
      <c r="D349" t="str">
        <f>_xlfn.CONCAT(C349,".bam")</f>
        <v>SYST-MOR-0007037.bam</v>
      </c>
      <c r="E349" t="s">
        <v>641</v>
      </c>
      <c r="F349" t="s">
        <v>2420</v>
      </c>
      <c r="G349" t="s">
        <v>2422</v>
      </c>
      <c r="H349" t="s">
        <v>2507</v>
      </c>
      <c r="I349" t="s">
        <v>643</v>
      </c>
      <c r="K349" t="s">
        <v>45</v>
      </c>
      <c r="L349" t="s">
        <v>45</v>
      </c>
      <c r="N349" t="s">
        <v>45</v>
      </c>
      <c r="P349" t="s">
        <v>31</v>
      </c>
      <c r="Q349" t="s">
        <v>46</v>
      </c>
      <c r="R349" t="s">
        <v>2597</v>
      </c>
      <c r="S349" s="1">
        <v>44777</v>
      </c>
      <c r="T349" t="s">
        <v>33</v>
      </c>
      <c r="U349" t="s">
        <v>34</v>
      </c>
      <c r="V349" s="1">
        <v>44779</v>
      </c>
      <c r="W349" t="s">
        <v>35</v>
      </c>
      <c r="X349" t="s">
        <v>634</v>
      </c>
      <c r="Y349" t="s">
        <v>642</v>
      </c>
      <c r="Z349" t="s">
        <v>206</v>
      </c>
      <c r="AA349" t="s">
        <v>643</v>
      </c>
      <c r="AD349" t="s">
        <v>45</v>
      </c>
      <c r="AE349">
        <v>39.106898999999999</v>
      </c>
      <c r="AF349">
        <v>-96.607647</v>
      </c>
      <c r="AG349" t="s">
        <v>40</v>
      </c>
      <c r="AH349" t="s">
        <v>41</v>
      </c>
      <c r="AI349">
        <v>39.1070968565</v>
      </c>
      <c r="AJ349">
        <v>-96.6077768058</v>
      </c>
      <c r="AK349">
        <v>1.9785650000159194E-4</v>
      </c>
      <c r="AL349">
        <v>-1.298058000003266E-4</v>
      </c>
      <c r="AM349" t="str">
        <f>_xlfn.IFNA(VLOOKUP(Sheet1!$C349,ADMIX_ALL!A:B,2,FALSE),"none")</f>
        <v>K6-18</v>
      </c>
      <c r="AN349" t="str">
        <f>_xlfn.IFNA(VLOOKUP(Sheet1!C349,ADMIX_SS!A:B,2,FALSE),"none")</f>
        <v>SubSample</v>
      </c>
      <c r="AO349" t="str">
        <f>_xlfn.IFNA(VLOOKUP(Sheet1!$C349,MONG_PHYLO!A:C,3,FALSE),"-")</f>
        <v>-</v>
      </c>
      <c r="AP349" t="str">
        <f>_xlfn.IFNA(VLOOKUP(Sheet1!$C349,MAC_PHYLO!A:C,3,FALSE),"-")</f>
        <v>-</v>
      </c>
      <c r="AQ349" t="str">
        <f>_xlfn.IFNA(VLOOKUP(Sheet1!$C349,ConStruct!A:C,3,FALSE),"-")</f>
        <v>ConStruct</v>
      </c>
      <c r="AR349" t="str">
        <f>_xlfn.IFNA(VLOOKUP(Sheet1!$C349,GEA!A:C,3,FALSE),"-")</f>
        <v>GEA</v>
      </c>
      <c r="AS349" t="str">
        <f>_xlfn.IFNA(VLOOKUP(Sheet1!$C349,MAC_DSUITE!A:D,3,FALSE),"-")</f>
        <v>mac_KS_KZP</v>
      </c>
      <c r="AT349" t="str">
        <f>_xlfn.IFNA(VLOOKUP(Sheet1!$C349,MONG_DSUITE!A:E,2,FALSE),"-")</f>
        <v>macrocarpa_KZP</v>
      </c>
      <c r="AU349" t="str">
        <f>_xlfn.IFNA(VLOOKUP(Sheet1!$C349,MAC_PAINT2!A:D,4,FALSE),"-")</f>
        <v>macpaint</v>
      </c>
      <c r="AV349" t="s">
        <v>9193</v>
      </c>
      <c r="AW349" t="s">
        <v>9193</v>
      </c>
    </row>
    <row r="350" spans="1:49" customFormat="1" x14ac:dyDescent="0.4">
      <c r="A350">
        <v>3801</v>
      </c>
      <c r="B350" t="s">
        <v>644</v>
      </c>
      <c r="C350" t="s">
        <v>645</v>
      </c>
      <c r="D350" t="str">
        <f>_xlfn.CONCAT(C350,".bam")</f>
        <v>SYST-MOR-0007038.bam</v>
      </c>
      <c r="E350" t="s">
        <v>646</v>
      </c>
      <c r="F350" t="s">
        <v>2420</v>
      </c>
      <c r="G350" t="s">
        <v>2422</v>
      </c>
      <c r="H350" t="s">
        <v>2507</v>
      </c>
      <c r="I350" t="s">
        <v>643</v>
      </c>
      <c r="K350" t="s">
        <v>45</v>
      </c>
      <c r="L350" t="s">
        <v>45</v>
      </c>
      <c r="N350" t="s">
        <v>45</v>
      </c>
      <c r="P350" t="s">
        <v>31</v>
      </c>
      <c r="Q350" t="s">
        <v>46</v>
      </c>
      <c r="R350" t="s">
        <v>2597</v>
      </c>
      <c r="S350" s="1">
        <v>44777</v>
      </c>
      <c r="T350" t="s">
        <v>33</v>
      </c>
      <c r="U350" t="s">
        <v>34</v>
      </c>
      <c r="V350" s="1">
        <v>44779</v>
      </c>
      <c r="W350" t="s">
        <v>35</v>
      </c>
      <c r="X350" t="s">
        <v>634</v>
      </c>
      <c r="Y350" t="s">
        <v>642</v>
      </c>
      <c r="Z350" t="s">
        <v>206</v>
      </c>
      <c r="AA350" t="s">
        <v>643</v>
      </c>
      <c r="AD350" t="s">
        <v>45</v>
      </c>
      <c r="AE350">
        <v>39.107655999999999</v>
      </c>
      <c r="AF350">
        <v>-96.606831999999997</v>
      </c>
      <c r="AG350" t="s">
        <v>40</v>
      </c>
      <c r="AH350" t="s">
        <v>41</v>
      </c>
      <c r="AI350">
        <v>39.1076285105</v>
      </c>
      <c r="AJ350">
        <v>-96.606824956799997</v>
      </c>
      <c r="AK350">
        <v>-2.7489499998978317E-5</v>
      </c>
      <c r="AL350">
        <v>7.0432000001119377E-6</v>
      </c>
      <c r="AM350" t="str">
        <f>_xlfn.IFNA(VLOOKUP(Sheet1!$C350,ADMIX_ALL!A:B,2,FALSE),"none")</f>
        <v>K6-18</v>
      </c>
      <c r="AN350" t="str">
        <f>_xlfn.IFNA(VLOOKUP(Sheet1!C350,ADMIX_SS!A:B,2,FALSE),"none")</f>
        <v>SubSample</v>
      </c>
      <c r="AO350" t="str">
        <f>_xlfn.IFNA(VLOOKUP(Sheet1!$C350,MONG_PHYLO!A:C,3,FALSE),"-")</f>
        <v>-</v>
      </c>
      <c r="AP350" t="str">
        <f>_xlfn.IFNA(VLOOKUP(Sheet1!$C350,MAC_PHYLO!A:C,3,FALSE),"-")</f>
        <v>-</v>
      </c>
      <c r="AQ350" t="str">
        <f>_xlfn.IFNA(VLOOKUP(Sheet1!$C350,ConStruct!A:C,3,FALSE),"-")</f>
        <v>ConStruct</v>
      </c>
      <c r="AR350" t="str">
        <f>_xlfn.IFNA(VLOOKUP(Sheet1!$C350,GEA!A:C,3,FALSE),"-")</f>
        <v>GEA</v>
      </c>
      <c r="AS350" t="str">
        <f>_xlfn.IFNA(VLOOKUP(Sheet1!$C350,MAC_DSUITE!A:D,3,FALSE),"-")</f>
        <v>mac_KS_KZP</v>
      </c>
      <c r="AT350" t="str">
        <f>_xlfn.IFNA(VLOOKUP(Sheet1!$C350,MONG_DSUITE!A:E,2,FALSE),"-")</f>
        <v>macrocarpa_KZP</v>
      </c>
      <c r="AU350" t="str">
        <f>_xlfn.IFNA(VLOOKUP(Sheet1!$C350,MAC_PAINT2!A:D,4,FALSE),"-")</f>
        <v>macpaint</v>
      </c>
      <c r="AV350" t="s">
        <v>9193</v>
      </c>
      <c r="AW350" t="s">
        <v>9193</v>
      </c>
    </row>
    <row r="351" spans="1:49" customFormat="1" x14ac:dyDescent="0.4">
      <c r="A351">
        <v>3802</v>
      </c>
      <c r="B351" t="s">
        <v>647</v>
      </c>
      <c r="C351" t="s">
        <v>648</v>
      </c>
      <c r="D351" t="str">
        <f>_xlfn.CONCAT(C351,".bam")</f>
        <v>SYST-MOR-0007039.bam</v>
      </c>
      <c r="E351" t="s">
        <v>649</v>
      </c>
      <c r="F351" t="s">
        <v>2420</v>
      </c>
      <c r="G351" t="s">
        <v>2422</v>
      </c>
      <c r="H351" t="s">
        <v>2507</v>
      </c>
      <c r="I351" t="s">
        <v>643</v>
      </c>
      <c r="K351" t="s">
        <v>84</v>
      </c>
      <c r="L351" t="s">
        <v>84</v>
      </c>
      <c r="N351" t="s">
        <v>84</v>
      </c>
      <c r="P351" t="s">
        <v>31</v>
      </c>
      <c r="Q351" t="s">
        <v>85</v>
      </c>
      <c r="R351" t="s">
        <v>2600</v>
      </c>
      <c r="S351" s="1">
        <v>44777</v>
      </c>
      <c r="T351" t="s">
        <v>33</v>
      </c>
      <c r="U351" t="s">
        <v>34</v>
      </c>
      <c r="V351" s="1">
        <v>44779</v>
      </c>
      <c r="W351" t="s">
        <v>35</v>
      </c>
      <c r="X351" t="s">
        <v>634</v>
      </c>
      <c r="Y351" t="s">
        <v>642</v>
      </c>
      <c r="Z351" t="s">
        <v>206</v>
      </c>
      <c r="AA351" t="s">
        <v>643</v>
      </c>
      <c r="AD351" t="s">
        <v>84</v>
      </c>
      <c r="AE351">
        <v>39.107928999999999</v>
      </c>
      <c r="AF351">
        <v>-96.605811000000003</v>
      </c>
      <c r="AG351" t="s">
        <v>40</v>
      </c>
      <c r="AH351" t="s">
        <v>41</v>
      </c>
      <c r="AI351">
        <v>39.107817951599998</v>
      </c>
      <c r="AJ351">
        <v>-96.605737656399995</v>
      </c>
      <c r="AK351">
        <v>-1.1104840000086824E-4</v>
      </c>
      <c r="AL351">
        <v>7.3343600007547138E-5</v>
      </c>
      <c r="AM351" t="str">
        <f>_xlfn.IFNA(VLOOKUP(Sheet1!$C351,ADMIX_ALL!A:B,2,FALSE),"none")</f>
        <v>K6-18</v>
      </c>
      <c r="AN351" t="str">
        <f>_xlfn.IFNA(VLOOKUP(Sheet1!C351,ADMIX_SS!A:B,2,FALSE),"none")</f>
        <v>SubSample</v>
      </c>
      <c r="AO351" t="str">
        <f>_xlfn.IFNA(VLOOKUP(Sheet1!$C351,MONG_PHYLO!A:C,3,FALSE),"-")</f>
        <v>-</v>
      </c>
      <c r="AP351" t="str">
        <f>_xlfn.IFNA(VLOOKUP(Sheet1!$C351,MAC_PHYLO!A:C,3,FALSE),"-")</f>
        <v>-</v>
      </c>
      <c r="AQ351" t="str">
        <f>_xlfn.IFNA(VLOOKUP(Sheet1!$C351,ConStruct!A:C,3,FALSE),"-")</f>
        <v>-</v>
      </c>
      <c r="AR351" t="str">
        <f>_xlfn.IFNA(VLOOKUP(Sheet1!$C351,GEA!A:C,3,FALSE),"-")</f>
        <v>-</v>
      </c>
      <c r="AS351" t="str">
        <f>_xlfn.IFNA(VLOOKUP(Sheet1!$C351,MAC_DSUITE!A:D,3,FALSE),"-")</f>
        <v>-</v>
      </c>
      <c r="AT351" t="str">
        <f>_xlfn.IFNA(VLOOKUP(Sheet1!$C351,MONG_DSUITE!A:E,2,FALSE),"-")</f>
        <v>xxx</v>
      </c>
      <c r="AU351" t="str">
        <f>_xlfn.IFNA(VLOOKUP(Sheet1!$C351,MAC_PAINT2!A:D,4,FALSE),"-")</f>
        <v>-</v>
      </c>
    </row>
    <row r="352" spans="1:49" customFormat="1" x14ac:dyDescent="0.4">
      <c r="A352">
        <v>3803</v>
      </c>
      <c r="B352" t="s">
        <v>650</v>
      </c>
      <c r="C352" t="s">
        <v>651</v>
      </c>
      <c r="D352" t="str">
        <f>_xlfn.CONCAT(C352,".bam")</f>
        <v>SYST-MOR-0007040.bam</v>
      </c>
      <c r="E352" t="s">
        <v>652</v>
      </c>
      <c r="F352" t="s">
        <v>2420</v>
      </c>
      <c r="G352" t="s">
        <v>2422</v>
      </c>
      <c r="H352" t="s">
        <v>2507</v>
      </c>
      <c r="I352" t="s">
        <v>643</v>
      </c>
      <c r="K352" t="s">
        <v>45</v>
      </c>
      <c r="L352" t="s">
        <v>45</v>
      </c>
      <c r="N352" t="s">
        <v>45</v>
      </c>
      <c r="P352" t="s">
        <v>31</v>
      </c>
      <c r="Q352" t="s">
        <v>46</v>
      </c>
      <c r="R352" t="s">
        <v>2597</v>
      </c>
      <c r="S352" s="1">
        <v>44777</v>
      </c>
      <c r="T352" t="s">
        <v>33</v>
      </c>
      <c r="U352" t="s">
        <v>34</v>
      </c>
      <c r="V352" s="1">
        <v>44779</v>
      </c>
      <c r="W352" t="s">
        <v>35</v>
      </c>
      <c r="X352" t="s">
        <v>634</v>
      </c>
      <c r="Y352" t="s">
        <v>642</v>
      </c>
      <c r="Z352" t="s">
        <v>206</v>
      </c>
      <c r="AA352" t="s">
        <v>643</v>
      </c>
      <c r="AD352" t="s">
        <v>45</v>
      </c>
      <c r="AE352">
        <v>39.107911000000001</v>
      </c>
      <c r="AF352">
        <v>-96.604941999999994</v>
      </c>
      <c r="AG352" t="s">
        <v>40</v>
      </c>
      <c r="AH352" t="s">
        <v>41</v>
      </c>
      <c r="AI352">
        <v>39.107852778400002</v>
      </c>
      <c r="AJ352">
        <v>-96.605023769799999</v>
      </c>
      <c r="AK352">
        <v>-5.8221599999797036E-5</v>
      </c>
      <c r="AL352">
        <v>-8.1769800004849458E-5</v>
      </c>
      <c r="AM352" t="str">
        <f>_xlfn.IFNA(VLOOKUP(Sheet1!$C352,ADMIX_ALL!A:B,2,FALSE),"none")</f>
        <v>K6-18</v>
      </c>
      <c r="AN352" t="str">
        <f>_xlfn.IFNA(VLOOKUP(Sheet1!C352,ADMIX_SS!A:B,2,FALSE),"none")</f>
        <v>SubSample</v>
      </c>
      <c r="AO352" t="str">
        <f>_xlfn.IFNA(VLOOKUP(Sheet1!$C352,MONG_PHYLO!A:C,3,FALSE),"-")</f>
        <v>-</v>
      </c>
      <c r="AP352" t="str">
        <f>_xlfn.IFNA(VLOOKUP(Sheet1!$C352,MAC_PHYLO!A:C,3,FALSE),"-")</f>
        <v>-</v>
      </c>
      <c r="AQ352" t="str">
        <f>_xlfn.IFNA(VLOOKUP(Sheet1!$C352,ConStruct!A:C,3,FALSE),"-")</f>
        <v>ConStruct</v>
      </c>
      <c r="AR352" t="str">
        <f>_xlfn.IFNA(VLOOKUP(Sheet1!$C352,GEA!A:C,3,FALSE),"-")</f>
        <v>GEA</v>
      </c>
      <c r="AS352" t="str">
        <f>_xlfn.IFNA(VLOOKUP(Sheet1!$C352,MAC_DSUITE!A:D,3,FALSE),"-")</f>
        <v>mac_KS_KZP</v>
      </c>
      <c r="AT352" t="str">
        <f>_xlfn.IFNA(VLOOKUP(Sheet1!$C352,MONG_DSUITE!A:E,2,FALSE),"-")</f>
        <v>macrocarpa_KZP</v>
      </c>
      <c r="AU352" t="str">
        <f>_xlfn.IFNA(VLOOKUP(Sheet1!$C352,MAC_PAINT2!A:D,4,FALSE),"-")</f>
        <v>macpaint</v>
      </c>
      <c r="AV352" t="s">
        <v>9193</v>
      </c>
      <c r="AW352" t="s">
        <v>9193</v>
      </c>
    </row>
    <row r="353" spans="1:49" customFormat="1" x14ac:dyDescent="0.4">
      <c r="A353">
        <v>3804</v>
      </c>
      <c r="B353" t="s">
        <v>653</v>
      </c>
      <c r="C353" t="s">
        <v>654</v>
      </c>
      <c r="D353" t="str">
        <f>_xlfn.CONCAT(C353,".bam")</f>
        <v>SYST-MOR-0007041.bam</v>
      </c>
      <c r="E353" t="s">
        <v>655</v>
      </c>
      <c r="F353" t="s">
        <v>2420</v>
      </c>
      <c r="G353" t="s">
        <v>2422</v>
      </c>
      <c r="H353" t="s">
        <v>2507</v>
      </c>
      <c r="I353" t="s">
        <v>643</v>
      </c>
      <c r="K353" t="s">
        <v>84</v>
      </c>
      <c r="L353" t="s">
        <v>84</v>
      </c>
      <c r="N353" t="s">
        <v>84</v>
      </c>
      <c r="P353" t="s">
        <v>31</v>
      </c>
      <c r="Q353" t="s">
        <v>85</v>
      </c>
      <c r="R353" t="s">
        <v>2600</v>
      </c>
      <c r="S353" s="1">
        <v>44777</v>
      </c>
      <c r="T353" t="s">
        <v>33</v>
      </c>
      <c r="U353" t="s">
        <v>34</v>
      </c>
      <c r="V353" s="1">
        <v>44779</v>
      </c>
      <c r="W353" t="s">
        <v>35</v>
      </c>
      <c r="X353" t="s">
        <v>634</v>
      </c>
      <c r="Y353" t="s">
        <v>642</v>
      </c>
      <c r="Z353" t="s">
        <v>206</v>
      </c>
      <c r="AA353" t="s">
        <v>643</v>
      </c>
      <c r="AD353" t="s">
        <v>84</v>
      </c>
      <c r="AE353">
        <v>39.107902000000003</v>
      </c>
      <c r="AF353">
        <v>-96.604707000000005</v>
      </c>
      <c r="AG353" t="s">
        <v>40</v>
      </c>
      <c r="AH353" t="s">
        <v>41</v>
      </c>
      <c r="AI353">
        <v>39.107931858400001</v>
      </c>
      <c r="AJ353">
        <v>-96.604679189600006</v>
      </c>
      <c r="AK353">
        <v>2.9858399997806373E-5</v>
      </c>
      <c r="AL353">
        <v>2.781039999888435E-5</v>
      </c>
      <c r="AM353" t="str">
        <f>_xlfn.IFNA(VLOOKUP(Sheet1!$C353,ADMIX_ALL!A:B,2,FALSE),"none")</f>
        <v>K6-18</v>
      </c>
      <c r="AN353" t="str">
        <f>_xlfn.IFNA(VLOOKUP(Sheet1!C353,ADMIX_SS!A:B,2,FALSE),"none")</f>
        <v>SubSample</v>
      </c>
      <c r="AO353" t="str">
        <f>_xlfn.IFNA(VLOOKUP(Sheet1!$C353,MONG_PHYLO!A:C,3,FALSE),"-")</f>
        <v>-</v>
      </c>
      <c r="AP353" t="str">
        <f>_xlfn.IFNA(VLOOKUP(Sheet1!$C353,MAC_PHYLO!A:C,3,FALSE),"-")</f>
        <v>-</v>
      </c>
      <c r="AQ353" t="str">
        <f>_xlfn.IFNA(VLOOKUP(Sheet1!$C353,ConStruct!A:C,3,FALSE),"-")</f>
        <v>-</v>
      </c>
      <c r="AR353" t="str">
        <f>_xlfn.IFNA(VLOOKUP(Sheet1!$C353,GEA!A:C,3,FALSE),"-")</f>
        <v>-</v>
      </c>
      <c r="AS353" t="str">
        <f>_xlfn.IFNA(VLOOKUP(Sheet1!$C353,MAC_DSUITE!A:D,3,FALSE),"-")</f>
        <v>-</v>
      </c>
      <c r="AT353" t="str">
        <f>_xlfn.IFNA(VLOOKUP(Sheet1!$C353,MONG_DSUITE!A:E,2,FALSE),"-")</f>
        <v>xxx</v>
      </c>
      <c r="AU353" t="str">
        <f>_xlfn.IFNA(VLOOKUP(Sheet1!$C353,MAC_PAINT2!A:D,4,FALSE),"-")</f>
        <v>-</v>
      </c>
    </row>
    <row r="354" spans="1:49" customFormat="1" x14ac:dyDescent="0.4">
      <c r="A354">
        <v>3805</v>
      </c>
      <c r="B354" t="s">
        <v>656</v>
      </c>
      <c r="C354" t="s">
        <v>657</v>
      </c>
      <c r="D354" t="str">
        <f>_xlfn.CONCAT(C354,".bam")</f>
        <v>SYST-MOR-0007042.bam</v>
      </c>
      <c r="E354" t="s">
        <v>658</v>
      </c>
      <c r="F354" t="s">
        <v>2420</v>
      </c>
      <c r="G354" t="s">
        <v>2422</v>
      </c>
      <c r="H354" t="s">
        <v>2507</v>
      </c>
      <c r="I354" t="s">
        <v>643</v>
      </c>
      <c r="K354" t="s">
        <v>45</v>
      </c>
      <c r="L354" t="s">
        <v>45</v>
      </c>
      <c r="N354" t="s">
        <v>45</v>
      </c>
      <c r="P354" t="s">
        <v>31</v>
      </c>
      <c r="Q354" t="s">
        <v>46</v>
      </c>
      <c r="R354" t="s">
        <v>2597</v>
      </c>
      <c r="S354" s="1">
        <v>44777</v>
      </c>
      <c r="T354" t="s">
        <v>33</v>
      </c>
      <c r="U354" t="s">
        <v>34</v>
      </c>
      <c r="V354" s="1">
        <v>44779</v>
      </c>
      <c r="W354" t="s">
        <v>35</v>
      </c>
      <c r="X354" t="s">
        <v>634</v>
      </c>
      <c r="Y354" t="s">
        <v>642</v>
      </c>
      <c r="Z354" t="s">
        <v>206</v>
      </c>
      <c r="AA354" t="s">
        <v>643</v>
      </c>
      <c r="AD354" t="s">
        <v>45</v>
      </c>
      <c r="AE354">
        <v>39.107838999999998</v>
      </c>
      <c r="AF354">
        <v>-96.604185000000001</v>
      </c>
      <c r="AG354" t="s">
        <v>40</v>
      </c>
      <c r="AH354" t="s">
        <v>41</v>
      </c>
      <c r="AI354">
        <v>39.107834464</v>
      </c>
      <c r="AJ354">
        <v>-96.604197900800003</v>
      </c>
      <c r="AK354">
        <v>-4.5359999987226729E-6</v>
      </c>
      <c r="AL354">
        <v>-1.2900800001602875E-5</v>
      </c>
      <c r="AM354" t="str">
        <f>_xlfn.IFNA(VLOOKUP(Sheet1!$C354,ADMIX_ALL!A:B,2,FALSE),"none")</f>
        <v>K6-18</v>
      </c>
      <c r="AN354" t="str">
        <f>_xlfn.IFNA(VLOOKUP(Sheet1!C354,ADMIX_SS!A:B,2,FALSE),"none")</f>
        <v>SubSample</v>
      </c>
      <c r="AO354" t="str">
        <f>_xlfn.IFNA(VLOOKUP(Sheet1!$C354,MONG_PHYLO!A:C,3,FALSE),"-")</f>
        <v>-</v>
      </c>
      <c r="AP354" t="str">
        <f>_xlfn.IFNA(VLOOKUP(Sheet1!$C354,MAC_PHYLO!A:C,3,FALSE),"-")</f>
        <v>-</v>
      </c>
      <c r="AQ354" t="str">
        <f>_xlfn.IFNA(VLOOKUP(Sheet1!$C354,ConStruct!A:C,3,FALSE),"-")</f>
        <v>ConStruct</v>
      </c>
      <c r="AR354" t="str">
        <f>_xlfn.IFNA(VLOOKUP(Sheet1!$C354,GEA!A:C,3,FALSE),"-")</f>
        <v>GEA</v>
      </c>
      <c r="AS354" t="str">
        <f>_xlfn.IFNA(VLOOKUP(Sheet1!$C354,MAC_DSUITE!A:D,3,FALSE),"-")</f>
        <v>mac_KS_KZP</v>
      </c>
      <c r="AT354" t="str">
        <f>_xlfn.IFNA(VLOOKUP(Sheet1!$C354,MONG_DSUITE!A:E,2,FALSE),"-")</f>
        <v>macrocarpa_KZP</v>
      </c>
      <c r="AU354" t="str">
        <f>_xlfn.IFNA(VLOOKUP(Sheet1!$C354,MAC_PAINT2!A:D,4,FALSE),"-")</f>
        <v>macpaint</v>
      </c>
      <c r="AV354" t="s">
        <v>9193</v>
      </c>
      <c r="AW354" t="s">
        <v>9193</v>
      </c>
    </row>
    <row r="355" spans="1:49" customFormat="1" x14ac:dyDescent="0.4">
      <c r="A355">
        <v>3806</v>
      </c>
      <c r="B355" t="s">
        <v>659</v>
      </c>
      <c r="C355" t="s">
        <v>660</v>
      </c>
      <c r="D355" t="str">
        <f>_xlfn.CONCAT(C355,".bam")</f>
        <v>SYST-MOR-0007043.bam</v>
      </c>
      <c r="E355" t="s">
        <v>661</v>
      </c>
      <c r="F355" t="s">
        <v>2420</v>
      </c>
      <c r="G355" t="s">
        <v>2422</v>
      </c>
      <c r="H355" t="s">
        <v>2507</v>
      </c>
      <c r="I355" t="s">
        <v>643</v>
      </c>
      <c r="K355" t="s">
        <v>84</v>
      </c>
      <c r="L355" t="s">
        <v>84</v>
      </c>
      <c r="N355" t="s">
        <v>84</v>
      </c>
      <c r="P355" t="s">
        <v>31</v>
      </c>
      <c r="Q355" t="s">
        <v>85</v>
      </c>
      <c r="R355" t="s">
        <v>2600</v>
      </c>
      <c r="S355" s="1">
        <v>44777</v>
      </c>
      <c r="T355" t="s">
        <v>33</v>
      </c>
      <c r="U355" t="s">
        <v>34</v>
      </c>
      <c r="V355" s="1">
        <v>44779</v>
      </c>
      <c r="W355" t="s">
        <v>35</v>
      </c>
      <c r="X355" t="s">
        <v>634</v>
      </c>
      <c r="Y355" t="s">
        <v>642</v>
      </c>
      <c r="Z355" t="s">
        <v>206</v>
      </c>
      <c r="AA355" t="s">
        <v>643</v>
      </c>
      <c r="AD355" t="s">
        <v>84</v>
      </c>
      <c r="AE355">
        <v>39.107810999999998</v>
      </c>
      <c r="AF355">
        <v>-96.603104000000002</v>
      </c>
      <c r="AG355" t="s">
        <v>40</v>
      </c>
      <c r="AH355" t="s">
        <v>41</v>
      </c>
      <c r="AI355">
        <v>39.107834924999999</v>
      </c>
      <c r="AJ355">
        <v>-96.603051507900005</v>
      </c>
      <c r="AK355">
        <v>2.3925000000701857E-5</v>
      </c>
      <c r="AL355">
        <v>5.2492099996470643E-5</v>
      </c>
      <c r="AM355" t="str">
        <f>_xlfn.IFNA(VLOOKUP(Sheet1!$C355,ADMIX_ALL!A:B,2,FALSE),"none")</f>
        <v>K6-18</v>
      </c>
      <c r="AN355" t="str">
        <f>_xlfn.IFNA(VLOOKUP(Sheet1!C355,ADMIX_SS!A:B,2,FALSE),"none")</f>
        <v>SubSample</v>
      </c>
      <c r="AO355" t="str">
        <f>_xlfn.IFNA(VLOOKUP(Sheet1!$C355,MONG_PHYLO!A:C,3,FALSE),"-")</f>
        <v>-</v>
      </c>
      <c r="AP355" t="str">
        <f>_xlfn.IFNA(VLOOKUP(Sheet1!$C355,MAC_PHYLO!A:C,3,FALSE),"-")</f>
        <v>-</v>
      </c>
      <c r="AQ355" t="str">
        <f>_xlfn.IFNA(VLOOKUP(Sheet1!$C355,ConStruct!A:C,3,FALSE),"-")</f>
        <v>-</v>
      </c>
      <c r="AR355" t="str">
        <f>_xlfn.IFNA(VLOOKUP(Sheet1!$C355,GEA!A:C,3,FALSE),"-")</f>
        <v>-</v>
      </c>
      <c r="AS355" t="str">
        <f>_xlfn.IFNA(VLOOKUP(Sheet1!$C355,MAC_DSUITE!A:D,3,FALSE),"-")</f>
        <v>-</v>
      </c>
      <c r="AT355" t="str">
        <f>_xlfn.IFNA(VLOOKUP(Sheet1!$C355,MONG_DSUITE!A:E,2,FALSE),"-")</f>
        <v>xxx</v>
      </c>
      <c r="AU355" t="str">
        <f>_xlfn.IFNA(VLOOKUP(Sheet1!$C355,MAC_PAINT2!A:D,4,FALSE),"-")</f>
        <v>-</v>
      </c>
    </row>
    <row r="356" spans="1:49" customFormat="1" x14ac:dyDescent="0.4">
      <c r="A356">
        <v>3807</v>
      </c>
      <c r="B356" t="s">
        <v>662</v>
      </c>
      <c r="C356" t="s">
        <v>663</v>
      </c>
      <c r="D356" t="str">
        <f>_xlfn.CONCAT(C356,".bam")</f>
        <v>SYST-MOR-0007044.bam</v>
      </c>
      <c r="E356" t="s">
        <v>664</v>
      </c>
      <c r="F356" t="s">
        <v>2420</v>
      </c>
      <c r="G356" t="s">
        <v>2422</v>
      </c>
      <c r="H356" t="s">
        <v>2507</v>
      </c>
      <c r="I356" t="s">
        <v>643</v>
      </c>
      <c r="K356" t="s">
        <v>84</v>
      </c>
      <c r="L356" t="s">
        <v>84</v>
      </c>
      <c r="N356" t="s">
        <v>84</v>
      </c>
      <c r="P356" t="s">
        <v>31</v>
      </c>
      <c r="Q356" t="s">
        <v>85</v>
      </c>
      <c r="R356" t="s">
        <v>2600</v>
      </c>
      <c r="S356" s="1">
        <v>44777</v>
      </c>
      <c r="T356" t="s">
        <v>33</v>
      </c>
      <c r="U356" t="s">
        <v>34</v>
      </c>
      <c r="V356" s="1">
        <v>44779</v>
      </c>
      <c r="W356" t="s">
        <v>35</v>
      </c>
      <c r="X356" t="s">
        <v>634</v>
      </c>
      <c r="Y356" t="s">
        <v>642</v>
      </c>
      <c r="Z356" t="s">
        <v>206</v>
      </c>
      <c r="AA356" t="s">
        <v>643</v>
      </c>
      <c r="AD356" t="s">
        <v>84</v>
      </c>
      <c r="AE356">
        <v>39.107945999999998</v>
      </c>
      <c r="AF356">
        <v>-96.602301999999995</v>
      </c>
      <c r="AG356" t="s">
        <v>40</v>
      </c>
      <c r="AH356" t="s">
        <v>41</v>
      </c>
      <c r="AI356">
        <v>39.107914092100003</v>
      </c>
      <c r="AJ356">
        <v>-96.602334519899998</v>
      </c>
      <c r="AK356">
        <v>-3.190789999507615E-5</v>
      </c>
      <c r="AL356">
        <v>-3.2519900003080693E-5</v>
      </c>
      <c r="AM356" t="str">
        <f>_xlfn.IFNA(VLOOKUP(Sheet1!$C356,ADMIX_ALL!A:B,2,FALSE),"none")</f>
        <v>K6-18</v>
      </c>
      <c r="AN356" t="str">
        <f>_xlfn.IFNA(VLOOKUP(Sheet1!C356,ADMIX_SS!A:B,2,FALSE),"none")</f>
        <v>SubSample</v>
      </c>
      <c r="AO356" t="str">
        <f>_xlfn.IFNA(VLOOKUP(Sheet1!$C356,MONG_PHYLO!A:C,3,FALSE),"-")</f>
        <v>-</v>
      </c>
      <c r="AP356" t="str">
        <f>_xlfn.IFNA(VLOOKUP(Sheet1!$C356,MAC_PHYLO!A:C,3,FALSE),"-")</f>
        <v>-</v>
      </c>
      <c r="AQ356" t="str">
        <f>_xlfn.IFNA(VLOOKUP(Sheet1!$C356,ConStruct!A:C,3,FALSE),"-")</f>
        <v>-</v>
      </c>
      <c r="AR356" t="str">
        <f>_xlfn.IFNA(VLOOKUP(Sheet1!$C356,GEA!A:C,3,FALSE),"-")</f>
        <v>-</v>
      </c>
      <c r="AS356" t="str">
        <f>_xlfn.IFNA(VLOOKUP(Sheet1!$C356,MAC_DSUITE!A:D,3,FALSE),"-")</f>
        <v>-</v>
      </c>
      <c r="AT356" t="str">
        <f>_xlfn.IFNA(VLOOKUP(Sheet1!$C356,MONG_DSUITE!A:E,2,FALSE),"-")</f>
        <v>xxx</v>
      </c>
      <c r="AU356" t="str">
        <f>_xlfn.IFNA(VLOOKUP(Sheet1!$C356,MAC_PAINT2!A:D,4,FALSE),"-")</f>
        <v>-</v>
      </c>
    </row>
    <row r="357" spans="1:49" customFormat="1" x14ac:dyDescent="0.4">
      <c r="A357">
        <v>3808</v>
      </c>
      <c r="B357" t="s">
        <v>665</v>
      </c>
      <c r="C357" t="s">
        <v>666</v>
      </c>
      <c r="D357" t="str">
        <f>_xlfn.CONCAT(C357,".bam")</f>
        <v>SYST-MOR-0007045.bam</v>
      </c>
      <c r="E357" t="s">
        <v>667</v>
      </c>
      <c r="F357" t="s">
        <v>2420</v>
      </c>
      <c r="G357" t="s">
        <v>2422</v>
      </c>
      <c r="H357" t="s">
        <v>2507</v>
      </c>
      <c r="I357" t="s">
        <v>643</v>
      </c>
      <c r="K357" t="s">
        <v>45</v>
      </c>
      <c r="L357" t="s">
        <v>45</v>
      </c>
      <c r="N357" t="s">
        <v>45</v>
      </c>
      <c r="P357" t="s">
        <v>31</v>
      </c>
      <c r="Q357" t="s">
        <v>46</v>
      </c>
      <c r="R357" t="s">
        <v>2597</v>
      </c>
      <c r="S357" s="1">
        <v>44777</v>
      </c>
      <c r="T357" t="s">
        <v>33</v>
      </c>
      <c r="U357" t="s">
        <v>34</v>
      </c>
      <c r="V357" s="1">
        <v>44779</v>
      </c>
      <c r="W357" t="s">
        <v>35</v>
      </c>
      <c r="X357" t="s">
        <v>634</v>
      </c>
      <c r="Y357" t="s">
        <v>642</v>
      </c>
      <c r="Z357" t="s">
        <v>206</v>
      </c>
      <c r="AA357" t="s">
        <v>643</v>
      </c>
      <c r="AD357" t="s">
        <v>45</v>
      </c>
      <c r="AE357">
        <v>39.108091999999999</v>
      </c>
      <c r="AF357">
        <v>-96.602193999999997</v>
      </c>
      <c r="AG357" t="s">
        <v>40</v>
      </c>
      <c r="AH357" t="s">
        <v>41</v>
      </c>
      <c r="AI357">
        <v>39.108099834999997</v>
      </c>
      <c r="AJ357">
        <v>-96.6022109707</v>
      </c>
      <c r="AK357">
        <v>7.8349999981242036E-6</v>
      </c>
      <c r="AL357">
        <v>-1.6970700002616468E-5</v>
      </c>
      <c r="AM357" t="str">
        <f>_xlfn.IFNA(VLOOKUP(Sheet1!$C357,ADMIX_ALL!A:B,2,FALSE),"none")</f>
        <v>K6-18</v>
      </c>
      <c r="AN357" t="str">
        <f>_xlfn.IFNA(VLOOKUP(Sheet1!C357,ADMIX_SS!A:B,2,FALSE),"none")</f>
        <v>SubSample</v>
      </c>
      <c r="AO357" t="str">
        <f>_xlfn.IFNA(VLOOKUP(Sheet1!$C357,MONG_PHYLO!A:C,3,FALSE),"-")</f>
        <v>-</v>
      </c>
      <c r="AP357" t="str">
        <f>_xlfn.IFNA(VLOOKUP(Sheet1!$C357,MAC_PHYLO!A:C,3,FALSE),"-")</f>
        <v>-</v>
      </c>
      <c r="AQ357" t="str">
        <f>_xlfn.IFNA(VLOOKUP(Sheet1!$C357,ConStruct!A:C,3,FALSE),"-")</f>
        <v>ConStruct</v>
      </c>
      <c r="AR357" t="str">
        <f>_xlfn.IFNA(VLOOKUP(Sheet1!$C357,GEA!A:C,3,FALSE),"-")</f>
        <v>GEA</v>
      </c>
      <c r="AS357" t="str">
        <f>_xlfn.IFNA(VLOOKUP(Sheet1!$C357,MAC_DSUITE!A:D,3,FALSE),"-")</f>
        <v>mac_KS_KZP</v>
      </c>
      <c r="AT357" t="str">
        <f>_xlfn.IFNA(VLOOKUP(Sheet1!$C357,MONG_DSUITE!A:E,2,FALSE),"-")</f>
        <v>macrocarpa_KZP</v>
      </c>
      <c r="AU357" t="str">
        <f>_xlfn.IFNA(VLOOKUP(Sheet1!$C357,MAC_PAINT2!A:D,4,FALSE),"-")</f>
        <v>macpaint</v>
      </c>
      <c r="AV357" t="s">
        <v>9193</v>
      </c>
      <c r="AW357" t="s">
        <v>9193</v>
      </c>
    </row>
    <row r="358" spans="1:49" customFormat="1" x14ac:dyDescent="0.4">
      <c r="A358">
        <v>3809</v>
      </c>
      <c r="B358" t="s">
        <v>668</v>
      </c>
      <c r="C358" t="s">
        <v>669</v>
      </c>
      <c r="D358" t="str">
        <f>_xlfn.CONCAT(C358,".bam")</f>
        <v>SYST-MOR-0007046.bam</v>
      </c>
      <c r="E358" t="s">
        <v>670</v>
      </c>
      <c r="F358" t="s">
        <v>2420</v>
      </c>
      <c r="G358" t="s">
        <v>2422</v>
      </c>
      <c r="H358" t="s">
        <v>2507</v>
      </c>
      <c r="I358" t="s">
        <v>643</v>
      </c>
      <c r="K358" t="s">
        <v>84</v>
      </c>
      <c r="L358" t="s">
        <v>84</v>
      </c>
      <c r="N358" t="s">
        <v>84</v>
      </c>
      <c r="P358" t="s">
        <v>31</v>
      </c>
      <c r="Q358" t="s">
        <v>85</v>
      </c>
      <c r="R358" t="s">
        <v>2600</v>
      </c>
      <c r="S358" s="1">
        <v>44777</v>
      </c>
      <c r="T358" t="s">
        <v>33</v>
      </c>
      <c r="U358" t="s">
        <v>34</v>
      </c>
      <c r="V358" s="1">
        <v>44779</v>
      </c>
      <c r="W358" t="s">
        <v>35</v>
      </c>
      <c r="X358" t="s">
        <v>634</v>
      </c>
      <c r="Y358" t="s">
        <v>642</v>
      </c>
      <c r="Z358" t="s">
        <v>206</v>
      </c>
      <c r="AA358" t="s">
        <v>643</v>
      </c>
      <c r="AD358" t="s">
        <v>84</v>
      </c>
      <c r="AE358">
        <v>39.106907</v>
      </c>
      <c r="AF358">
        <v>-96.603869000000003</v>
      </c>
      <c r="AG358" t="s">
        <v>40</v>
      </c>
      <c r="AH358" t="s">
        <v>41</v>
      </c>
      <c r="AI358">
        <v>39.106822684400001</v>
      </c>
      <c r="AJ358">
        <v>-96.604165882000004</v>
      </c>
      <c r="AK358">
        <v>-8.431559999877436E-5</v>
      </c>
      <c r="AL358">
        <v>-2.9688200000066445E-4</v>
      </c>
      <c r="AM358" t="str">
        <f>_xlfn.IFNA(VLOOKUP(Sheet1!$C358,ADMIX_ALL!A:B,2,FALSE),"none")</f>
        <v>K6-18</v>
      </c>
      <c r="AN358" t="str">
        <f>_xlfn.IFNA(VLOOKUP(Sheet1!C358,ADMIX_SS!A:B,2,FALSE),"none")</f>
        <v>Constant</v>
      </c>
      <c r="AO358" t="str">
        <f>_xlfn.IFNA(VLOOKUP(Sheet1!$C358,MONG_PHYLO!A:C,3,FALSE),"-")</f>
        <v>mue</v>
      </c>
      <c r="AP358" t="str">
        <f>_xlfn.IFNA(VLOOKUP(Sheet1!$C358,MAC_PHYLO!A:C,3,FALSE),"-")</f>
        <v>-</v>
      </c>
      <c r="AQ358" t="str">
        <f>_xlfn.IFNA(VLOOKUP(Sheet1!$C358,ConStruct!A:C,3,FALSE),"-")</f>
        <v>-</v>
      </c>
      <c r="AR358" t="str">
        <f>_xlfn.IFNA(VLOOKUP(Sheet1!$C358,GEA!A:C,3,FALSE),"-")</f>
        <v>-</v>
      </c>
      <c r="AS358" t="str">
        <f>_xlfn.IFNA(VLOOKUP(Sheet1!$C358,MAC_DSUITE!A:D,3,FALSE),"-")</f>
        <v>-</v>
      </c>
      <c r="AT358" t="str">
        <f>_xlfn.IFNA(VLOOKUP(Sheet1!$C358,MONG_DSUITE!A:E,2,FALSE),"-")</f>
        <v>muehlenbergii</v>
      </c>
      <c r="AU358" t="str">
        <f>_xlfn.IFNA(VLOOKUP(Sheet1!$C358,MAC_PAINT2!A:D,4,FALSE),"-")</f>
        <v>-</v>
      </c>
    </row>
    <row r="359" spans="1:49" x14ac:dyDescent="0.4">
      <c r="A359" s="18">
        <v>3810</v>
      </c>
      <c r="B359" s="18" t="s">
        <v>1682</v>
      </c>
      <c r="C359" s="18" t="s">
        <v>1683</v>
      </c>
      <c r="D359" s="18" t="str">
        <f>_xlfn.CONCAT(C359,".bam")</f>
        <v>SYST-MOR-0007047.bam</v>
      </c>
      <c r="E359" s="18" t="s">
        <v>1684</v>
      </c>
      <c r="F359" s="18" t="s">
        <v>2448</v>
      </c>
      <c r="G359" s="18" t="s">
        <v>2450</v>
      </c>
      <c r="H359" s="18" t="s">
        <v>2538</v>
      </c>
      <c r="I359" s="18" t="s">
        <v>1686</v>
      </c>
      <c r="K359" s="18" t="s">
        <v>143</v>
      </c>
      <c r="L359" s="18" t="s">
        <v>45</v>
      </c>
      <c r="N359" s="18" t="s">
        <v>45</v>
      </c>
      <c r="P359" s="18" t="s">
        <v>31</v>
      </c>
      <c r="Q359" s="18" t="s">
        <v>46</v>
      </c>
      <c r="R359" s="18" t="s">
        <v>2597</v>
      </c>
      <c r="S359" s="19">
        <v>44788</v>
      </c>
      <c r="T359" s="18" t="s">
        <v>33</v>
      </c>
      <c r="U359" s="18" t="s">
        <v>34</v>
      </c>
      <c r="V359" s="19">
        <v>44796</v>
      </c>
      <c r="W359" s="18" t="s">
        <v>35</v>
      </c>
      <c r="X359" s="18" t="s">
        <v>1654</v>
      </c>
      <c r="Y359" s="18" t="s">
        <v>1685</v>
      </c>
      <c r="Z359" s="18" t="s">
        <v>206</v>
      </c>
      <c r="AA359" s="18" t="s">
        <v>1686</v>
      </c>
      <c r="AD359" s="18" t="s">
        <v>45</v>
      </c>
      <c r="AE359" s="18">
        <v>43.057822999999999</v>
      </c>
      <c r="AF359" s="18">
        <v>-78.971293000000003</v>
      </c>
      <c r="AG359" s="18" t="s">
        <v>40</v>
      </c>
      <c r="AH359" s="18" t="s">
        <v>41</v>
      </c>
      <c r="AI359" s="18">
        <v>43.057807423200003</v>
      </c>
      <c r="AJ359" s="18">
        <v>-78.971383329600002</v>
      </c>
      <c r="AK359" s="18">
        <v>-1.5576799995642432E-5</v>
      </c>
      <c r="AL359" s="18">
        <v>-9.0329599998995036E-5</v>
      </c>
      <c r="AM359" s="18" t="str">
        <f>_xlfn.IFNA(VLOOKUP(Sheet1!$C359,ADMIX_ALL!A:B,2,FALSE),"none")</f>
        <v>K6-18</v>
      </c>
      <c r="AN359" s="18" t="str">
        <f>_xlfn.IFNA(VLOOKUP(Sheet1!C359,ADMIX_SS!A:B,2,FALSE),"none")</f>
        <v>SubSample</v>
      </c>
      <c r="AO359" s="18" t="str">
        <f>_xlfn.IFNA(VLOOKUP(Sheet1!$C359,MONG_PHYLO!A:C,3,FALSE),"-")</f>
        <v>-</v>
      </c>
      <c r="AP359" s="18" t="str">
        <f>_xlfn.IFNA(VLOOKUP(Sheet1!$C359,MAC_PHYLO!A:C,3,FALSE),"-")</f>
        <v>-</v>
      </c>
      <c r="AQ359" s="18" t="str">
        <f>_xlfn.IFNA(VLOOKUP(Sheet1!$C359,ConStruct!A:C,3,FALSE),"-")</f>
        <v>ConStruct</v>
      </c>
      <c r="AR359" s="18" t="str">
        <f>_xlfn.IFNA(VLOOKUP(Sheet1!$C359,GEA!A:C,3,FALSE),"-")</f>
        <v>-</v>
      </c>
      <c r="AS359" s="18" t="str">
        <f>_xlfn.IFNA(VLOOKUP(Sheet1!$C359,MAC_DSUITE!A:D,3,FALSE),"-")</f>
        <v>-</v>
      </c>
      <c r="AT359" s="18" t="str">
        <f>_xlfn.IFNA(VLOOKUP(Sheet1!$C359,MONG_DSUITE!A:E,2,FALSE),"-")</f>
        <v>xxx</v>
      </c>
      <c r="AU359" s="18" t="str">
        <f>_xlfn.IFNA(VLOOKUP(Sheet1!$C359,MAC_PAINT2!A:D,4,FALSE),"-")</f>
        <v>-</v>
      </c>
    </row>
    <row r="360" spans="1:49" x14ac:dyDescent="0.4">
      <c r="A360" s="18">
        <v>3811</v>
      </c>
      <c r="B360" s="18" t="s">
        <v>1687</v>
      </c>
      <c r="C360" s="18" t="s">
        <v>1688</v>
      </c>
      <c r="D360" s="18" t="str">
        <f>_xlfn.CONCAT(C360,".bam")</f>
        <v>SYST-MOR-0007048.bam</v>
      </c>
      <c r="E360" s="18" t="s">
        <v>1689</v>
      </c>
      <c r="F360" s="18" t="s">
        <v>2448</v>
      </c>
      <c r="G360" s="18" t="s">
        <v>2450</v>
      </c>
      <c r="H360" s="18" t="s">
        <v>2538</v>
      </c>
      <c r="I360" s="18" t="s">
        <v>1686</v>
      </c>
      <c r="K360" s="18" t="s">
        <v>45</v>
      </c>
      <c r="L360" s="18" t="s">
        <v>45</v>
      </c>
      <c r="N360" s="18" t="s">
        <v>45</v>
      </c>
      <c r="P360" s="18" t="s">
        <v>31</v>
      </c>
      <c r="Q360" s="18" t="s">
        <v>46</v>
      </c>
      <c r="R360" s="18" t="s">
        <v>2597</v>
      </c>
      <c r="S360" s="19">
        <v>44788</v>
      </c>
      <c r="T360" s="18" t="s">
        <v>33</v>
      </c>
      <c r="U360" s="18" t="s">
        <v>34</v>
      </c>
      <c r="V360" s="19">
        <v>44796</v>
      </c>
      <c r="W360" s="18" t="s">
        <v>35</v>
      </c>
      <c r="X360" s="18" t="s">
        <v>1654</v>
      </c>
      <c r="Y360" s="18" t="s">
        <v>1685</v>
      </c>
      <c r="Z360" s="18" t="s">
        <v>206</v>
      </c>
      <c r="AA360" s="18" t="s">
        <v>1686</v>
      </c>
      <c r="AD360" s="18" t="s">
        <v>45</v>
      </c>
      <c r="AE360" s="18">
        <v>43.059486999999997</v>
      </c>
      <c r="AF360" s="18">
        <v>-78.972201999999996</v>
      </c>
      <c r="AG360" s="18" t="s">
        <v>40</v>
      </c>
      <c r="AH360" s="18" t="s">
        <v>41</v>
      </c>
      <c r="AI360" s="18">
        <v>43.059450402000003</v>
      </c>
      <c r="AJ360" s="18">
        <v>-78.972306847599995</v>
      </c>
      <c r="AK360" s="18">
        <v>-3.6597999994114616E-5</v>
      </c>
      <c r="AL360" s="18">
        <v>-1.0484759999940252E-4</v>
      </c>
      <c r="AM360" s="18" t="str">
        <f>_xlfn.IFNA(VLOOKUP(Sheet1!$C360,ADMIX_ALL!A:B,2,FALSE),"none")</f>
        <v>K6-18</v>
      </c>
      <c r="AN360" s="18" t="str">
        <f>_xlfn.IFNA(VLOOKUP(Sheet1!C360,ADMIX_SS!A:B,2,FALSE),"none")</f>
        <v>SubSample</v>
      </c>
      <c r="AO360" s="18" t="str">
        <f>_xlfn.IFNA(VLOOKUP(Sheet1!$C360,MONG_PHYLO!A:C,3,FALSE),"-")</f>
        <v>-</v>
      </c>
      <c r="AP360" s="18" t="str">
        <f>_xlfn.IFNA(VLOOKUP(Sheet1!$C360,MAC_PHYLO!A:C,3,FALSE),"-")</f>
        <v>-</v>
      </c>
      <c r="AQ360" s="18" t="str">
        <f>_xlfn.IFNA(VLOOKUP(Sheet1!$C360,ConStruct!A:C,3,FALSE),"-")</f>
        <v>ConStruct</v>
      </c>
      <c r="AR360" s="18" t="str">
        <f>_xlfn.IFNA(VLOOKUP(Sheet1!$C360,GEA!A:C,3,FALSE),"-")</f>
        <v>-</v>
      </c>
      <c r="AS360" s="18" t="str">
        <f>_xlfn.IFNA(VLOOKUP(Sheet1!$C360,MAC_DSUITE!A:D,3,FALSE),"-")</f>
        <v>-</v>
      </c>
      <c r="AT360" s="18" t="str">
        <f>_xlfn.IFNA(VLOOKUP(Sheet1!$C360,MONG_DSUITE!A:E,2,FALSE),"-")</f>
        <v>macrocarpa_BIP</v>
      </c>
      <c r="AU360" s="18" t="str">
        <f>_xlfn.IFNA(VLOOKUP(Sheet1!$C360,MAC_PAINT2!A:D,4,FALSE),"-")</f>
        <v>-</v>
      </c>
      <c r="AV360" s="18" t="s">
        <v>9195</v>
      </c>
      <c r="AW360" s="18" t="s">
        <v>9196</v>
      </c>
    </row>
    <row r="361" spans="1:49" s="16" customFormat="1" x14ac:dyDescent="0.4">
      <c r="A361" s="16">
        <v>3812</v>
      </c>
      <c r="B361" s="16" t="s">
        <v>1690</v>
      </c>
      <c r="C361" s="16" t="s">
        <v>1691</v>
      </c>
      <c r="D361" s="16" t="str">
        <f>_xlfn.CONCAT(C361,".bam")</f>
        <v>SYST-MOR-0007049.bam</v>
      </c>
      <c r="E361" s="16" t="s">
        <v>1692</v>
      </c>
      <c r="F361" s="16" t="s">
        <v>2448</v>
      </c>
      <c r="G361" s="16" t="s">
        <v>2450</v>
      </c>
      <c r="H361" s="16" t="s">
        <v>2538</v>
      </c>
      <c r="I361" s="16" t="s">
        <v>1686</v>
      </c>
      <c r="K361" s="16" t="s">
        <v>45</v>
      </c>
      <c r="L361" s="16" t="s">
        <v>45</v>
      </c>
      <c r="N361" s="16" t="s">
        <v>45</v>
      </c>
      <c r="P361" s="16" t="s">
        <v>31</v>
      </c>
      <c r="Q361" s="16" t="s">
        <v>46</v>
      </c>
      <c r="R361" s="16" t="s">
        <v>2597</v>
      </c>
      <c r="S361" s="17">
        <v>44788</v>
      </c>
      <c r="T361" s="16" t="s">
        <v>33</v>
      </c>
      <c r="U361" s="16" t="s">
        <v>34</v>
      </c>
      <c r="V361" s="17">
        <v>44796</v>
      </c>
      <c r="W361" s="16" t="s">
        <v>35</v>
      </c>
      <c r="X361" s="16" t="s">
        <v>1654</v>
      </c>
      <c r="Y361" s="16" t="s">
        <v>1685</v>
      </c>
      <c r="Z361" s="16" t="s">
        <v>206</v>
      </c>
      <c r="AA361" s="16" t="s">
        <v>1686</v>
      </c>
      <c r="AD361" s="16" t="s">
        <v>45</v>
      </c>
      <c r="AE361" s="16">
        <v>43.060034000000002</v>
      </c>
      <c r="AF361" s="16">
        <v>-78.972550999999996</v>
      </c>
      <c r="AG361" s="16" t="s">
        <v>40</v>
      </c>
      <c r="AH361" s="16" t="s">
        <v>41</v>
      </c>
      <c r="AI361" s="16">
        <v>43.0598326167</v>
      </c>
      <c r="AJ361" s="16">
        <v>-78.972598035000004</v>
      </c>
      <c r="AK361" s="16">
        <v>-2.0138330000207816E-4</v>
      </c>
      <c r="AL361" s="16">
        <v>-4.7035000008577299E-5</v>
      </c>
      <c r="AM361" s="16" t="str">
        <f>_xlfn.IFNA(VLOOKUP(Sheet1!$C361,ADMIX_ALL!A:B,2,FALSE),"none")</f>
        <v>K6-18</v>
      </c>
      <c r="AN361" s="16" t="str">
        <f>_xlfn.IFNA(VLOOKUP(Sheet1!C361,ADMIX_SS!A:B,2,FALSE),"none")</f>
        <v>SubSample</v>
      </c>
      <c r="AO361" s="16" t="str">
        <f>_xlfn.IFNA(VLOOKUP(Sheet1!$C361,MONG_PHYLO!A:C,3,FALSE),"-")</f>
        <v>-</v>
      </c>
      <c r="AP361" s="16" t="str">
        <f>_xlfn.IFNA(VLOOKUP(Sheet1!$C361,MAC_PHYLO!A:C,3,FALSE),"-")</f>
        <v>-</v>
      </c>
      <c r="AQ361" s="16" t="str">
        <f>_xlfn.IFNA(VLOOKUP(Sheet1!$C361,ConStruct!A:C,3,FALSE),"-")</f>
        <v>ConStruct</v>
      </c>
      <c r="AR361" s="16" t="str">
        <f>_xlfn.IFNA(VLOOKUP(Sheet1!$C361,GEA!A:C,3,FALSE),"-")</f>
        <v>-</v>
      </c>
      <c r="AS361" s="16" t="str">
        <f>_xlfn.IFNA(VLOOKUP(Sheet1!$C361,MAC_DSUITE!A:D,3,FALSE),"-")</f>
        <v>xxx</v>
      </c>
      <c r="AT361" s="16" t="str">
        <f>_xlfn.IFNA(VLOOKUP(Sheet1!$C361,MONG_DSUITE!A:E,2,FALSE),"-")</f>
        <v>macrocarpa_BIP</v>
      </c>
      <c r="AU361" s="16" t="str">
        <f>_xlfn.IFNA(VLOOKUP(Sheet1!$C361,MAC_PAINT2!A:D,4,FALSE),"-")</f>
        <v>-</v>
      </c>
      <c r="AV361" s="16" t="s">
        <v>9195</v>
      </c>
      <c r="AW361" s="16" t="s">
        <v>9193</v>
      </c>
    </row>
    <row r="362" spans="1:49" x14ac:dyDescent="0.4">
      <c r="A362" s="18">
        <v>3813</v>
      </c>
      <c r="B362" s="18" t="s">
        <v>1693</v>
      </c>
      <c r="C362" s="18" t="s">
        <v>1694</v>
      </c>
      <c r="D362" s="18" t="str">
        <f>_xlfn.CONCAT(C362,".bam")</f>
        <v>SYST-MOR-0007050.bam</v>
      </c>
      <c r="E362" s="18" t="s">
        <v>1695</v>
      </c>
      <c r="F362" s="18" t="s">
        <v>2448</v>
      </c>
      <c r="G362" s="18" t="s">
        <v>2450</v>
      </c>
      <c r="H362" s="18" t="s">
        <v>2538</v>
      </c>
      <c r="I362" s="18" t="s">
        <v>1686</v>
      </c>
      <c r="K362" s="18" t="s">
        <v>8558</v>
      </c>
      <c r="L362" s="18" t="s">
        <v>45</v>
      </c>
      <c r="N362" s="18" t="s">
        <v>45</v>
      </c>
      <c r="P362" s="18" t="s">
        <v>31</v>
      </c>
      <c r="Q362" s="18" t="s">
        <v>46</v>
      </c>
      <c r="R362" s="18" t="s">
        <v>2597</v>
      </c>
      <c r="S362" s="19">
        <v>44788</v>
      </c>
      <c r="T362" s="18" t="s">
        <v>33</v>
      </c>
      <c r="U362" s="18" t="s">
        <v>34</v>
      </c>
      <c r="V362" s="19">
        <v>44796</v>
      </c>
      <c r="W362" s="18" t="s">
        <v>35</v>
      </c>
      <c r="X362" s="18" t="s">
        <v>1654</v>
      </c>
      <c r="Y362" s="18" t="s">
        <v>1685</v>
      </c>
      <c r="Z362" s="18" t="s">
        <v>206</v>
      </c>
      <c r="AA362" s="18" t="s">
        <v>1686</v>
      </c>
      <c r="AD362" s="18" t="s">
        <v>45</v>
      </c>
      <c r="AE362" s="18">
        <v>43.061137000000002</v>
      </c>
      <c r="AF362" s="18">
        <v>-78.973082000000005</v>
      </c>
      <c r="AG362" s="18" t="s">
        <v>40</v>
      </c>
      <c r="AH362" s="18" t="s">
        <v>41</v>
      </c>
      <c r="AI362" s="18">
        <v>43.061139858399997</v>
      </c>
      <c r="AJ362" s="18">
        <v>-78.973371014099996</v>
      </c>
      <c r="AK362" s="18">
        <v>2.8583999949205463E-6</v>
      </c>
      <c r="AL362" s="18">
        <v>-2.890140999909363E-4</v>
      </c>
      <c r="AM362" s="18" t="str">
        <f>_xlfn.IFNA(VLOOKUP(Sheet1!$C362,ADMIX_ALL!A:B,2,FALSE),"none")</f>
        <v>K6-18</v>
      </c>
      <c r="AN362" s="18" t="str">
        <f>_xlfn.IFNA(VLOOKUP(Sheet1!C362,ADMIX_SS!A:B,2,FALSE),"none")</f>
        <v>SubSample</v>
      </c>
      <c r="AO362" s="18" t="str">
        <f>_xlfn.IFNA(VLOOKUP(Sheet1!$C362,MONG_PHYLO!A:C,3,FALSE),"-")</f>
        <v>-</v>
      </c>
      <c r="AP362" s="18" t="str">
        <f>_xlfn.IFNA(VLOOKUP(Sheet1!$C362,MAC_PHYLO!A:C,3,FALSE),"-")</f>
        <v>-</v>
      </c>
      <c r="AQ362" s="18" t="str">
        <f>_xlfn.IFNA(VLOOKUP(Sheet1!$C362,ConStruct!A:C,3,FALSE),"-")</f>
        <v>ConStruct</v>
      </c>
      <c r="AR362" s="18" t="str">
        <f>_xlfn.IFNA(VLOOKUP(Sheet1!$C362,GEA!A:C,3,FALSE),"-")</f>
        <v>-</v>
      </c>
      <c r="AS362" s="18" t="str">
        <f>_xlfn.IFNA(VLOOKUP(Sheet1!$C362,MAC_DSUITE!A:D,3,FALSE),"-")</f>
        <v>-</v>
      </c>
      <c r="AT362" s="18" t="str">
        <f>_xlfn.IFNA(VLOOKUP(Sheet1!$C362,MONG_DSUITE!A:E,2,FALSE),"-")</f>
        <v>xxx</v>
      </c>
      <c r="AU362" s="18" t="str">
        <f>_xlfn.IFNA(VLOOKUP(Sheet1!$C362,MAC_PAINT2!A:D,4,FALSE),"-")</f>
        <v>-</v>
      </c>
    </row>
    <row r="363" spans="1:49" customFormat="1" x14ac:dyDescent="0.4">
      <c r="A363">
        <v>3814</v>
      </c>
      <c r="B363" t="s">
        <v>1696</v>
      </c>
      <c r="C363" t="s">
        <v>1697</v>
      </c>
      <c r="D363" t="str">
        <f>_xlfn.CONCAT(C363,".bam")</f>
        <v>SYST-MOR-0007051.bam</v>
      </c>
      <c r="E363" t="s">
        <v>1698</v>
      </c>
      <c r="F363" t="s">
        <v>2448</v>
      </c>
      <c r="G363" t="s">
        <v>2450</v>
      </c>
      <c r="H363" t="s">
        <v>2538</v>
      </c>
      <c r="I363" t="s">
        <v>1686</v>
      </c>
      <c r="K363" t="s">
        <v>64</v>
      </c>
      <c r="L363" t="s">
        <v>64</v>
      </c>
      <c r="N363" t="s">
        <v>64</v>
      </c>
      <c r="P363" t="s">
        <v>31</v>
      </c>
      <c r="Q363" t="s">
        <v>65</v>
      </c>
      <c r="R363" t="s">
        <v>2599</v>
      </c>
      <c r="S363" s="1">
        <v>44788</v>
      </c>
      <c r="T363" t="s">
        <v>33</v>
      </c>
      <c r="U363" t="s">
        <v>34</v>
      </c>
      <c r="V363" s="1">
        <v>44796</v>
      </c>
      <c r="W363" t="s">
        <v>35</v>
      </c>
      <c r="X363" t="s">
        <v>1654</v>
      </c>
      <c r="Y363" t="s">
        <v>1685</v>
      </c>
      <c r="Z363" t="s">
        <v>206</v>
      </c>
      <c r="AA363" t="s">
        <v>1686</v>
      </c>
      <c r="AD363" t="s">
        <v>64</v>
      </c>
      <c r="AE363">
        <v>43.057209</v>
      </c>
      <c r="AF363">
        <v>-78.986107000000004</v>
      </c>
      <c r="AG363" t="s">
        <v>40</v>
      </c>
      <c r="AH363" t="s">
        <v>41</v>
      </c>
      <c r="AI363">
        <v>43.057086914800003</v>
      </c>
      <c r="AJ363">
        <v>-78.986177640099996</v>
      </c>
      <c r="AK363">
        <v>-1.2208519999745704E-4</v>
      </c>
      <c r="AL363">
        <v>-7.0640099991692296E-5</v>
      </c>
      <c r="AM363" t="str">
        <f>_xlfn.IFNA(VLOOKUP(Sheet1!$C363,ADMIX_ALL!A:B,2,FALSE),"none")</f>
        <v>K6-18</v>
      </c>
      <c r="AN363" t="str">
        <f>_xlfn.IFNA(VLOOKUP(Sheet1!C363,ADMIX_SS!A:B,2,FALSE),"none")</f>
        <v>SubSample</v>
      </c>
      <c r="AO363" t="str">
        <f>_xlfn.IFNA(VLOOKUP(Sheet1!$C363,MONG_PHYLO!A:C,3,FALSE),"-")</f>
        <v>-</v>
      </c>
      <c r="AP363" t="str">
        <f>_xlfn.IFNA(VLOOKUP(Sheet1!$C363,MAC_PHYLO!A:C,3,FALSE),"-")</f>
        <v>-</v>
      </c>
      <c r="AQ363" t="str">
        <f>_xlfn.IFNA(VLOOKUP(Sheet1!$C363,ConStruct!A:C,3,FALSE),"-")</f>
        <v>-</v>
      </c>
      <c r="AR363" t="str">
        <f>_xlfn.IFNA(VLOOKUP(Sheet1!$C363,GEA!A:C,3,FALSE),"-")</f>
        <v>-</v>
      </c>
      <c r="AS363" t="str">
        <f>_xlfn.IFNA(VLOOKUP(Sheet1!$C363,MAC_DSUITE!A:D,3,FALSE),"-")</f>
        <v>-</v>
      </c>
      <c r="AT363" t="str">
        <f>_xlfn.IFNA(VLOOKUP(Sheet1!$C363,MONG_DSUITE!A:E,2,FALSE),"-")</f>
        <v>xxx</v>
      </c>
      <c r="AU363" t="str">
        <f>_xlfn.IFNA(VLOOKUP(Sheet1!$C363,MAC_PAINT2!A:D,4,FALSE),"-")</f>
        <v>-</v>
      </c>
    </row>
    <row r="364" spans="1:49" customFormat="1" x14ac:dyDescent="0.4">
      <c r="A364">
        <v>3815</v>
      </c>
      <c r="B364" t="s">
        <v>1699</v>
      </c>
      <c r="C364" t="s">
        <v>1700</v>
      </c>
      <c r="D364" t="str">
        <f>_xlfn.CONCAT(C364,".bam")</f>
        <v>SYST-MOR-0007052.bam</v>
      </c>
      <c r="E364" t="s">
        <v>1701</v>
      </c>
      <c r="F364" t="s">
        <v>2448</v>
      </c>
      <c r="G364" t="s">
        <v>2450</v>
      </c>
      <c r="H364" t="s">
        <v>2538</v>
      </c>
      <c r="I364" t="s">
        <v>1686</v>
      </c>
      <c r="K364" t="s">
        <v>143</v>
      </c>
      <c r="L364" t="s">
        <v>143</v>
      </c>
      <c r="N364" t="s">
        <v>143</v>
      </c>
      <c r="P364" t="s">
        <v>31</v>
      </c>
      <c r="Q364" t="s">
        <v>144</v>
      </c>
      <c r="R364" t="s">
        <v>2601</v>
      </c>
      <c r="S364" s="1">
        <v>44788</v>
      </c>
      <c r="T364" t="s">
        <v>33</v>
      </c>
      <c r="U364" t="s">
        <v>34</v>
      </c>
      <c r="V364" s="1">
        <v>44796</v>
      </c>
      <c r="W364" t="s">
        <v>35</v>
      </c>
      <c r="X364" t="s">
        <v>1654</v>
      </c>
      <c r="Y364" t="s">
        <v>1685</v>
      </c>
      <c r="Z364" t="s">
        <v>206</v>
      </c>
      <c r="AA364" t="s">
        <v>1686</v>
      </c>
      <c r="AD364" t="s">
        <v>143</v>
      </c>
      <c r="AE364">
        <v>43.057170999999997</v>
      </c>
      <c r="AF364">
        <v>-78.985855999999998</v>
      </c>
      <c r="AG364" t="s">
        <v>40</v>
      </c>
      <c r="AH364" t="s">
        <v>41</v>
      </c>
      <c r="AI364">
        <v>43.057043743400001</v>
      </c>
      <c r="AJ364">
        <v>-78.985976839900005</v>
      </c>
      <c r="AK364">
        <v>-1.2725659999546224E-4</v>
      </c>
      <c r="AL364">
        <v>-1.2083990000633094E-4</v>
      </c>
      <c r="AM364" t="str">
        <f>_xlfn.IFNA(VLOOKUP(Sheet1!$C364,ADMIX_ALL!A:B,2,FALSE),"none")</f>
        <v>K6-18</v>
      </c>
      <c r="AN364" t="str">
        <f>_xlfn.IFNA(VLOOKUP(Sheet1!C364,ADMIX_SS!A:B,2,FALSE),"none")</f>
        <v>SubSample</v>
      </c>
      <c r="AO364" t="str">
        <f>_xlfn.IFNA(VLOOKUP(Sheet1!$C364,MONG_PHYLO!A:C,3,FALSE),"-")</f>
        <v>-</v>
      </c>
      <c r="AP364" t="str">
        <f>_xlfn.IFNA(VLOOKUP(Sheet1!$C364,MAC_PHYLO!A:C,3,FALSE),"-")</f>
        <v>-</v>
      </c>
      <c r="AQ364" t="str">
        <f>_xlfn.IFNA(VLOOKUP(Sheet1!$C364,ConStruct!A:C,3,FALSE),"-")</f>
        <v>-</v>
      </c>
      <c r="AR364" t="str">
        <f>_xlfn.IFNA(VLOOKUP(Sheet1!$C364,GEA!A:C,3,FALSE),"-")</f>
        <v>-</v>
      </c>
      <c r="AS364" t="str">
        <f>_xlfn.IFNA(VLOOKUP(Sheet1!$C364,MAC_DSUITE!A:D,3,FALSE),"-")</f>
        <v>-</v>
      </c>
      <c r="AT364" t="str">
        <f>_xlfn.IFNA(VLOOKUP(Sheet1!$C364,MONG_DSUITE!A:E,2,FALSE),"-")</f>
        <v>xxx</v>
      </c>
      <c r="AU364" t="str">
        <f>_xlfn.IFNA(VLOOKUP(Sheet1!$C364,MAC_PAINT2!A:D,4,FALSE),"-")</f>
        <v>-</v>
      </c>
    </row>
    <row r="365" spans="1:49" customFormat="1" x14ac:dyDescent="0.4">
      <c r="A365">
        <v>3816</v>
      </c>
      <c r="B365" t="s">
        <v>1702</v>
      </c>
      <c r="C365" t="s">
        <v>1703</v>
      </c>
      <c r="D365" t="str">
        <f>_xlfn.CONCAT(C365,".bam")</f>
        <v>SYST-MOR-0007053.bam</v>
      </c>
      <c r="E365" t="s">
        <v>1704</v>
      </c>
      <c r="F365" t="s">
        <v>2448</v>
      </c>
      <c r="G365" t="s">
        <v>2450</v>
      </c>
      <c r="H365" t="s">
        <v>2538</v>
      </c>
      <c r="I365" t="s">
        <v>1686</v>
      </c>
      <c r="K365" t="s">
        <v>64</v>
      </c>
      <c r="L365" t="s">
        <v>64</v>
      </c>
      <c r="N365" t="s">
        <v>64</v>
      </c>
      <c r="P365" t="s">
        <v>31</v>
      </c>
      <c r="Q365" t="s">
        <v>65</v>
      </c>
      <c r="R365" t="s">
        <v>2599</v>
      </c>
      <c r="S365" s="1">
        <v>44788</v>
      </c>
      <c r="T365" t="s">
        <v>33</v>
      </c>
      <c r="U365" t="s">
        <v>34</v>
      </c>
      <c r="V365" s="1">
        <v>44796</v>
      </c>
      <c r="W365" t="s">
        <v>35</v>
      </c>
      <c r="X365" t="s">
        <v>1654</v>
      </c>
      <c r="Y365" t="s">
        <v>1685</v>
      </c>
      <c r="Z365" t="s">
        <v>206</v>
      </c>
      <c r="AA365" t="s">
        <v>1686</v>
      </c>
      <c r="AD365" t="s">
        <v>64</v>
      </c>
      <c r="AE365">
        <v>43.056780000000003</v>
      </c>
      <c r="AF365">
        <v>-78.985106999999999</v>
      </c>
      <c r="AG365" t="s">
        <v>40</v>
      </c>
      <c r="AH365" t="s">
        <v>41</v>
      </c>
      <c r="AI365">
        <v>43.056894634000002</v>
      </c>
      <c r="AJ365">
        <v>-78.985356465099997</v>
      </c>
      <c r="AK365">
        <v>1.1463399999911417E-4</v>
      </c>
      <c r="AL365">
        <v>-2.4946509999779209E-4</v>
      </c>
      <c r="AM365" t="str">
        <f>_xlfn.IFNA(VLOOKUP(Sheet1!$C365,ADMIX_ALL!A:B,2,FALSE),"none")</f>
        <v>K6-18</v>
      </c>
      <c r="AN365" t="str">
        <f>_xlfn.IFNA(VLOOKUP(Sheet1!C365,ADMIX_SS!A:B,2,FALSE),"none")</f>
        <v>SubSample</v>
      </c>
      <c r="AO365" t="str">
        <f>_xlfn.IFNA(VLOOKUP(Sheet1!$C365,MONG_PHYLO!A:C,3,FALSE),"-")</f>
        <v>-</v>
      </c>
      <c r="AP365" t="str">
        <f>_xlfn.IFNA(VLOOKUP(Sheet1!$C365,MAC_PHYLO!A:C,3,FALSE),"-")</f>
        <v>-</v>
      </c>
      <c r="AQ365" t="str">
        <f>_xlfn.IFNA(VLOOKUP(Sheet1!$C365,ConStruct!A:C,3,FALSE),"-")</f>
        <v>-</v>
      </c>
      <c r="AR365" t="str">
        <f>_xlfn.IFNA(VLOOKUP(Sheet1!$C365,GEA!A:C,3,FALSE),"-")</f>
        <v>-</v>
      </c>
      <c r="AS365" t="str">
        <f>_xlfn.IFNA(VLOOKUP(Sheet1!$C365,MAC_DSUITE!A:D,3,FALSE),"-")</f>
        <v>-</v>
      </c>
      <c r="AT365" t="str">
        <f>_xlfn.IFNA(VLOOKUP(Sheet1!$C365,MONG_DSUITE!A:E,2,FALSE),"-")</f>
        <v>xxx</v>
      </c>
      <c r="AU365" t="str">
        <f>_xlfn.IFNA(VLOOKUP(Sheet1!$C365,MAC_PAINT2!A:D,4,FALSE),"-")</f>
        <v>-</v>
      </c>
    </row>
    <row r="366" spans="1:49" customFormat="1" x14ac:dyDescent="0.4">
      <c r="A366">
        <v>3817</v>
      </c>
      <c r="B366" t="s">
        <v>1705</v>
      </c>
      <c r="C366" t="s">
        <v>1706</v>
      </c>
      <c r="D366" t="str">
        <f>_xlfn.CONCAT(C366,".bam")</f>
        <v>SYST-MOR-0007054.bam</v>
      </c>
      <c r="E366" t="s">
        <v>1707</v>
      </c>
      <c r="F366" t="s">
        <v>2448</v>
      </c>
      <c r="G366" t="s">
        <v>2450</v>
      </c>
      <c r="H366" t="s">
        <v>2538</v>
      </c>
      <c r="I366" t="s">
        <v>1686</v>
      </c>
      <c r="K366" t="s">
        <v>64</v>
      </c>
      <c r="L366" t="s">
        <v>64</v>
      </c>
      <c r="N366" t="s">
        <v>64</v>
      </c>
      <c r="P366" t="s">
        <v>31</v>
      </c>
      <c r="Q366" t="s">
        <v>65</v>
      </c>
      <c r="R366" t="s">
        <v>2599</v>
      </c>
      <c r="S366" s="1">
        <v>44788</v>
      </c>
      <c r="T366" t="s">
        <v>33</v>
      </c>
      <c r="U366" t="s">
        <v>34</v>
      </c>
      <c r="V366" s="1">
        <v>44796</v>
      </c>
      <c r="W366" t="s">
        <v>35</v>
      </c>
      <c r="X366" t="s">
        <v>1654</v>
      </c>
      <c r="Y366" t="s">
        <v>1685</v>
      </c>
      <c r="Z366" t="s">
        <v>206</v>
      </c>
      <c r="AA366" t="s">
        <v>1686</v>
      </c>
      <c r="AD366" t="s">
        <v>64</v>
      </c>
      <c r="AE366">
        <v>43.056680999999998</v>
      </c>
      <c r="AF366">
        <v>-78.984002000000004</v>
      </c>
      <c r="AG366" t="s">
        <v>40</v>
      </c>
      <c r="AH366" t="s">
        <v>41</v>
      </c>
      <c r="AI366">
        <v>43.056719074999997</v>
      </c>
      <c r="AJ366">
        <v>-78.983997842400001</v>
      </c>
      <c r="AK366">
        <v>3.8074999999082593E-5</v>
      </c>
      <c r="AL366">
        <v>4.1576000029408533E-6</v>
      </c>
      <c r="AM366" t="str">
        <f>_xlfn.IFNA(VLOOKUP(Sheet1!$C366,ADMIX_ALL!A:B,2,FALSE),"none")</f>
        <v>K6-18</v>
      </c>
      <c r="AN366" t="str">
        <f>_xlfn.IFNA(VLOOKUP(Sheet1!C366,ADMIX_SS!A:B,2,FALSE),"none")</f>
        <v>SubSample</v>
      </c>
      <c r="AO366" t="str">
        <f>_xlfn.IFNA(VLOOKUP(Sheet1!$C366,MONG_PHYLO!A:C,3,FALSE),"-")</f>
        <v>-</v>
      </c>
      <c r="AP366" t="str">
        <f>_xlfn.IFNA(VLOOKUP(Sheet1!$C366,MAC_PHYLO!A:C,3,FALSE),"-")</f>
        <v>-</v>
      </c>
      <c r="AQ366" t="str">
        <f>_xlfn.IFNA(VLOOKUP(Sheet1!$C366,ConStruct!A:C,3,FALSE),"-")</f>
        <v>-</v>
      </c>
      <c r="AR366" t="str">
        <f>_xlfn.IFNA(VLOOKUP(Sheet1!$C366,GEA!A:C,3,FALSE),"-")</f>
        <v>-</v>
      </c>
      <c r="AS366" t="str">
        <f>_xlfn.IFNA(VLOOKUP(Sheet1!$C366,MAC_DSUITE!A:D,3,FALSE),"-")</f>
        <v>-</v>
      </c>
      <c r="AT366" t="str">
        <f>_xlfn.IFNA(VLOOKUP(Sheet1!$C366,MONG_DSUITE!A:E,2,FALSE),"-")</f>
        <v>xxx</v>
      </c>
      <c r="AU366" t="str">
        <f>_xlfn.IFNA(VLOOKUP(Sheet1!$C366,MAC_PAINT2!A:D,4,FALSE),"-")</f>
        <v>-</v>
      </c>
    </row>
    <row r="367" spans="1:49" customFormat="1" x14ac:dyDescent="0.4">
      <c r="A367">
        <v>3818</v>
      </c>
      <c r="B367" t="s">
        <v>1708</v>
      </c>
      <c r="C367" t="s">
        <v>1709</v>
      </c>
      <c r="D367" t="str">
        <f>_xlfn.CONCAT(C367,".bam")</f>
        <v>SYST-MOR-0007055.bam</v>
      </c>
      <c r="E367" t="s">
        <v>1710</v>
      </c>
      <c r="F367" t="s">
        <v>2448</v>
      </c>
      <c r="G367" t="s">
        <v>2450</v>
      </c>
      <c r="H367" t="s">
        <v>2538</v>
      </c>
      <c r="I367" t="s">
        <v>1686</v>
      </c>
      <c r="K367" t="s">
        <v>143</v>
      </c>
      <c r="L367" t="s">
        <v>143</v>
      </c>
      <c r="N367" t="s">
        <v>143</v>
      </c>
      <c r="P367" t="s">
        <v>31</v>
      </c>
      <c r="Q367" t="s">
        <v>144</v>
      </c>
      <c r="R367" t="s">
        <v>2601</v>
      </c>
      <c r="S367" s="1">
        <v>44788</v>
      </c>
      <c r="T367" t="s">
        <v>33</v>
      </c>
      <c r="U367" t="s">
        <v>34</v>
      </c>
      <c r="V367" s="1">
        <v>44796</v>
      </c>
      <c r="W367" t="s">
        <v>35</v>
      </c>
      <c r="X367" t="s">
        <v>1654</v>
      </c>
      <c r="Y367" t="s">
        <v>1685</v>
      </c>
      <c r="Z367" t="s">
        <v>206</v>
      </c>
      <c r="AA367" t="s">
        <v>1686</v>
      </c>
      <c r="AD367" t="s">
        <v>143</v>
      </c>
      <c r="AE367">
        <v>43.056547999999999</v>
      </c>
      <c r="AF367">
        <v>-78.983165999999997</v>
      </c>
      <c r="AG367" t="s">
        <v>40</v>
      </c>
      <c r="AH367" t="s">
        <v>41</v>
      </c>
      <c r="AI367">
        <v>43.056817632700003</v>
      </c>
      <c r="AJ367">
        <v>-78.984047286500001</v>
      </c>
      <c r="AK367">
        <v>2.696327000037968E-4</v>
      </c>
      <c r="AL367">
        <v>-8.8128650000385278E-4</v>
      </c>
      <c r="AM367" t="str">
        <f>_xlfn.IFNA(VLOOKUP(Sheet1!$C367,ADMIX_ALL!A:B,2,FALSE),"none")</f>
        <v>K6-18</v>
      </c>
      <c r="AN367" t="str">
        <f>_xlfn.IFNA(VLOOKUP(Sheet1!C367,ADMIX_SS!A:B,2,FALSE),"none")</f>
        <v>SubSample</v>
      </c>
      <c r="AO367" t="str">
        <f>_xlfn.IFNA(VLOOKUP(Sheet1!$C367,MONG_PHYLO!A:C,3,FALSE),"-")</f>
        <v>-</v>
      </c>
      <c r="AP367" t="str">
        <f>_xlfn.IFNA(VLOOKUP(Sheet1!$C367,MAC_PHYLO!A:C,3,FALSE),"-")</f>
        <v>-</v>
      </c>
      <c r="AQ367" t="str">
        <f>_xlfn.IFNA(VLOOKUP(Sheet1!$C367,ConStruct!A:C,3,FALSE),"-")</f>
        <v>-</v>
      </c>
      <c r="AR367" t="str">
        <f>_xlfn.IFNA(VLOOKUP(Sheet1!$C367,GEA!A:C,3,FALSE),"-")</f>
        <v>-</v>
      </c>
      <c r="AS367" t="str">
        <f>_xlfn.IFNA(VLOOKUP(Sheet1!$C367,MAC_DSUITE!A:D,3,FALSE),"-")</f>
        <v>-</v>
      </c>
      <c r="AT367" t="str">
        <f>_xlfn.IFNA(VLOOKUP(Sheet1!$C367,MONG_DSUITE!A:E,2,FALSE),"-")</f>
        <v>xxx</v>
      </c>
      <c r="AU367" t="str">
        <f>_xlfn.IFNA(VLOOKUP(Sheet1!$C367,MAC_PAINT2!A:D,4,FALSE),"-")</f>
        <v>-</v>
      </c>
    </row>
    <row r="368" spans="1:49" customFormat="1" x14ac:dyDescent="0.4">
      <c r="A368">
        <v>3819</v>
      </c>
      <c r="B368" t="s">
        <v>1711</v>
      </c>
      <c r="C368" t="s">
        <v>1712</v>
      </c>
      <c r="D368" t="str">
        <f>_xlfn.CONCAT(C368,".bam")</f>
        <v>SYST-MOR-0007056.bam</v>
      </c>
      <c r="E368" t="s">
        <v>1713</v>
      </c>
      <c r="F368" t="s">
        <v>2448</v>
      </c>
      <c r="G368" t="s">
        <v>2450</v>
      </c>
      <c r="H368" t="s">
        <v>2538</v>
      </c>
      <c r="I368" t="s">
        <v>1686</v>
      </c>
      <c r="K368" t="s">
        <v>8558</v>
      </c>
      <c r="L368" t="s">
        <v>45</v>
      </c>
      <c r="N368" t="s">
        <v>45</v>
      </c>
      <c r="P368" t="s">
        <v>31</v>
      </c>
      <c r="Q368" t="s">
        <v>46</v>
      </c>
      <c r="R368" t="s">
        <v>2597</v>
      </c>
      <c r="S368" s="1">
        <v>44788</v>
      </c>
      <c r="T368" t="s">
        <v>33</v>
      </c>
      <c r="U368" t="s">
        <v>34</v>
      </c>
      <c r="V368" s="1">
        <v>44796</v>
      </c>
      <c r="W368" t="s">
        <v>35</v>
      </c>
      <c r="X368" t="s">
        <v>1654</v>
      </c>
      <c r="Y368" t="s">
        <v>1685</v>
      </c>
      <c r="Z368" t="s">
        <v>206</v>
      </c>
      <c r="AA368" t="s">
        <v>1686</v>
      </c>
      <c r="AD368" t="s">
        <v>45</v>
      </c>
      <c r="AE368">
        <v>43.056674000000001</v>
      </c>
      <c r="AF368">
        <v>-78.981437</v>
      </c>
      <c r="AG368" t="s">
        <v>40</v>
      </c>
      <c r="AH368" t="s">
        <v>41</v>
      </c>
      <c r="AI368">
        <v>43.056682068900002</v>
      </c>
      <c r="AJ368">
        <v>-78.981487210899999</v>
      </c>
      <c r="AK368">
        <v>8.0689000014899648E-6</v>
      </c>
      <c r="AL368">
        <v>-5.0210899999569847E-5</v>
      </c>
      <c r="AM368" t="str">
        <f>_xlfn.IFNA(VLOOKUP(Sheet1!$C368,ADMIX_ALL!A:B,2,FALSE),"none")</f>
        <v>K6-18</v>
      </c>
      <c r="AN368" t="str">
        <f>_xlfn.IFNA(VLOOKUP(Sheet1!C368,ADMIX_SS!A:B,2,FALSE),"none")</f>
        <v>SubSample</v>
      </c>
      <c r="AO368" t="str">
        <f>_xlfn.IFNA(VLOOKUP(Sheet1!$C368,MONG_PHYLO!A:C,3,FALSE),"-")</f>
        <v>-</v>
      </c>
      <c r="AP368" t="str">
        <f>_xlfn.IFNA(VLOOKUP(Sheet1!$C368,MAC_PHYLO!A:C,3,FALSE),"-")</f>
        <v>-</v>
      </c>
      <c r="AQ368" t="str">
        <f>_xlfn.IFNA(VLOOKUP(Sheet1!$C368,ConStruct!A:C,3,FALSE),"-")</f>
        <v>ConStruct</v>
      </c>
      <c r="AR368" t="str">
        <f>_xlfn.IFNA(VLOOKUP(Sheet1!$C368,GEA!A:C,3,FALSE),"-")</f>
        <v>-</v>
      </c>
      <c r="AS368" t="str">
        <f>_xlfn.IFNA(VLOOKUP(Sheet1!$C368,MAC_DSUITE!A:D,3,FALSE),"-")</f>
        <v>-</v>
      </c>
      <c r="AT368" t="str">
        <f>_xlfn.IFNA(VLOOKUP(Sheet1!$C368,MONG_DSUITE!A:E,2,FALSE),"-")</f>
        <v>xxx</v>
      </c>
      <c r="AU368" t="str">
        <f>_xlfn.IFNA(VLOOKUP(Sheet1!$C368,MAC_PAINT2!A:D,4,FALSE),"-")</f>
        <v>-</v>
      </c>
    </row>
    <row r="369" spans="1:49" customFormat="1" x14ac:dyDescent="0.4">
      <c r="A369">
        <v>3820</v>
      </c>
      <c r="B369" t="s">
        <v>1714</v>
      </c>
      <c r="C369" t="s">
        <v>1715</v>
      </c>
      <c r="D369" t="str">
        <f>_xlfn.CONCAT(C369,".bam")</f>
        <v>SYST-MOR-0007057.bam</v>
      </c>
      <c r="E369" t="s">
        <v>1716</v>
      </c>
      <c r="F369" t="s">
        <v>2448</v>
      </c>
      <c r="G369" t="s">
        <v>2450</v>
      </c>
      <c r="H369" t="s">
        <v>2538</v>
      </c>
      <c r="I369" t="s">
        <v>1686</v>
      </c>
      <c r="K369" t="s">
        <v>143</v>
      </c>
      <c r="L369" t="s">
        <v>143</v>
      </c>
      <c r="N369" t="s">
        <v>143</v>
      </c>
      <c r="P369" t="s">
        <v>31</v>
      </c>
      <c r="Q369" t="s">
        <v>144</v>
      </c>
      <c r="R369" t="s">
        <v>2601</v>
      </c>
      <c r="S369" s="1">
        <v>44788</v>
      </c>
      <c r="T369" t="s">
        <v>33</v>
      </c>
      <c r="U369" t="s">
        <v>34</v>
      </c>
      <c r="V369" s="1">
        <v>44796</v>
      </c>
      <c r="W369" t="s">
        <v>35</v>
      </c>
      <c r="X369" t="s">
        <v>1654</v>
      </c>
      <c r="Y369" t="s">
        <v>1685</v>
      </c>
      <c r="Z369" t="s">
        <v>206</v>
      </c>
      <c r="AA369" t="s">
        <v>1686</v>
      </c>
      <c r="AD369" t="s">
        <v>143</v>
      </c>
      <c r="AE369">
        <v>43.056244999999997</v>
      </c>
      <c r="AF369">
        <v>-78.978697999999994</v>
      </c>
      <c r="AG369" t="s">
        <v>40</v>
      </c>
      <c r="AH369" t="s">
        <v>41</v>
      </c>
      <c r="AI369">
        <v>43.055664797799999</v>
      </c>
      <c r="AJ369">
        <v>-78.978361989800007</v>
      </c>
      <c r="AK369">
        <v>-5.8020219999832534E-4</v>
      </c>
      <c r="AL369">
        <v>3.3601019998741322E-4</v>
      </c>
      <c r="AM369" t="str">
        <f>_xlfn.IFNA(VLOOKUP(Sheet1!$C369,ADMIX_ALL!A:B,2,FALSE),"none")</f>
        <v>K6-18</v>
      </c>
      <c r="AN369" t="str">
        <f>_xlfn.IFNA(VLOOKUP(Sheet1!C369,ADMIX_SS!A:B,2,FALSE),"none")</f>
        <v>SubSample</v>
      </c>
      <c r="AO369" t="str">
        <f>_xlfn.IFNA(VLOOKUP(Sheet1!$C369,MONG_PHYLO!A:C,3,FALSE),"-")</f>
        <v>-</v>
      </c>
      <c r="AP369" t="str">
        <f>_xlfn.IFNA(VLOOKUP(Sheet1!$C369,MAC_PHYLO!A:C,3,FALSE),"-")</f>
        <v>-</v>
      </c>
      <c r="AQ369" t="str">
        <f>_xlfn.IFNA(VLOOKUP(Sheet1!$C369,ConStruct!A:C,3,FALSE),"-")</f>
        <v>-</v>
      </c>
      <c r="AR369" t="str">
        <f>_xlfn.IFNA(VLOOKUP(Sheet1!$C369,GEA!A:C,3,FALSE),"-")</f>
        <v>-</v>
      </c>
      <c r="AS369" t="str">
        <f>_xlfn.IFNA(VLOOKUP(Sheet1!$C369,MAC_DSUITE!A:D,3,FALSE),"-")</f>
        <v>-</v>
      </c>
      <c r="AT369" t="str">
        <f>_xlfn.IFNA(VLOOKUP(Sheet1!$C369,MONG_DSUITE!A:E,2,FALSE),"-")</f>
        <v>xxx</v>
      </c>
      <c r="AU369" t="str">
        <f>_xlfn.IFNA(VLOOKUP(Sheet1!$C369,MAC_PAINT2!A:D,4,FALSE),"-")</f>
        <v>-</v>
      </c>
    </row>
    <row r="370" spans="1:49" customFormat="1" x14ac:dyDescent="0.4">
      <c r="A370">
        <v>3821</v>
      </c>
      <c r="B370" t="s">
        <v>1717</v>
      </c>
      <c r="C370" t="s">
        <v>1718</v>
      </c>
      <c r="D370" t="str">
        <f>_xlfn.CONCAT(C370,".bam")</f>
        <v>SYST-MOR-0007058.bam</v>
      </c>
      <c r="E370" t="s">
        <v>1719</v>
      </c>
      <c r="F370" t="s">
        <v>2448</v>
      </c>
      <c r="G370" t="s">
        <v>2450</v>
      </c>
      <c r="H370" t="s">
        <v>2538</v>
      </c>
      <c r="I370" t="s">
        <v>1686</v>
      </c>
      <c r="K370" t="s">
        <v>64</v>
      </c>
      <c r="L370" t="s">
        <v>64</v>
      </c>
      <c r="N370" t="s">
        <v>64</v>
      </c>
      <c r="P370" t="s">
        <v>31</v>
      </c>
      <c r="Q370" t="s">
        <v>65</v>
      </c>
      <c r="R370" t="s">
        <v>2599</v>
      </c>
      <c r="S370" s="1">
        <v>44788</v>
      </c>
      <c r="T370" t="s">
        <v>33</v>
      </c>
      <c r="U370" t="s">
        <v>34</v>
      </c>
      <c r="V370" s="1">
        <v>44796</v>
      </c>
      <c r="W370" t="s">
        <v>35</v>
      </c>
      <c r="X370" t="s">
        <v>1654</v>
      </c>
      <c r="Y370" t="s">
        <v>1685</v>
      </c>
      <c r="Z370" t="s">
        <v>206</v>
      </c>
      <c r="AA370" t="s">
        <v>1686</v>
      </c>
      <c r="AD370" t="s">
        <v>64</v>
      </c>
      <c r="AE370">
        <v>43.055698999999997</v>
      </c>
      <c r="AF370">
        <v>-78.976797000000005</v>
      </c>
      <c r="AG370" t="s">
        <v>40</v>
      </c>
      <c r="AH370" t="s">
        <v>41</v>
      </c>
      <c r="AI370">
        <v>43.055789773400001</v>
      </c>
      <c r="AJ370">
        <v>-78.976873560000001</v>
      </c>
      <c r="AK370">
        <v>9.077340000374079E-5</v>
      </c>
      <c r="AL370">
        <v>-7.6559999996561601E-5</v>
      </c>
      <c r="AM370" t="str">
        <f>_xlfn.IFNA(VLOOKUP(Sheet1!$C370,ADMIX_ALL!A:B,2,FALSE),"none")</f>
        <v>K6-18</v>
      </c>
      <c r="AN370" t="str">
        <f>_xlfn.IFNA(VLOOKUP(Sheet1!C370,ADMIX_SS!A:B,2,FALSE),"none")</f>
        <v>none</v>
      </c>
      <c r="AO370" t="str">
        <f>_xlfn.IFNA(VLOOKUP(Sheet1!$C370,MONG_PHYLO!A:C,3,FALSE),"-")</f>
        <v>-</v>
      </c>
      <c r="AP370" t="str">
        <f>_xlfn.IFNA(VLOOKUP(Sheet1!$C370,MAC_PHYLO!A:C,3,FALSE),"-")</f>
        <v>-</v>
      </c>
      <c r="AQ370" t="str">
        <f>_xlfn.IFNA(VLOOKUP(Sheet1!$C370,ConStruct!A:C,3,FALSE),"-")</f>
        <v>-</v>
      </c>
      <c r="AR370" t="str">
        <f>_xlfn.IFNA(VLOOKUP(Sheet1!$C370,GEA!A:C,3,FALSE),"-")</f>
        <v>-</v>
      </c>
      <c r="AS370" t="str">
        <f>_xlfn.IFNA(VLOOKUP(Sheet1!$C370,MAC_DSUITE!A:D,3,FALSE),"-")</f>
        <v>-</v>
      </c>
      <c r="AT370" t="str">
        <f>_xlfn.IFNA(VLOOKUP(Sheet1!$C370,MONG_DSUITE!A:E,2,FALSE),"-")</f>
        <v>xxx</v>
      </c>
      <c r="AU370" t="str">
        <f>_xlfn.IFNA(VLOOKUP(Sheet1!$C370,MAC_PAINT2!A:D,4,FALSE),"-")</f>
        <v>-</v>
      </c>
    </row>
    <row r="371" spans="1:49" customFormat="1" x14ac:dyDescent="0.4">
      <c r="A371">
        <v>3822</v>
      </c>
      <c r="B371" t="s">
        <v>1720</v>
      </c>
      <c r="C371" t="s">
        <v>1721</v>
      </c>
      <c r="D371" t="str">
        <f>_xlfn.CONCAT(C371,".bam")</f>
        <v>SYST-MOR-0007059.bam</v>
      </c>
      <c r="E371" t="s">
        <v>1722</v>
      </c>
      <c r="F371" t="s">
        <v>2448</v>
      </c>
      <c r="G371" t="s">
        <v>2450</v>
      </c>
      <c r="H371" t="s">
        <v>2538</v>
      </c>
      <c r="I371" t="s">
        <v>1686</v>
      </c>
      <c r="K371" t="s">
        <v>143</v>
      </c>
      <c r="L371" t="s">
        <v>143</v>
      </c>
      <c r="N371" t="s">
        <v>143</v>
      </c>
      <c r="P371" t="s">
        <v>31</v>
      </c>
      <c r="Q371" t="s">
        <v>144</v>
      </c>
      <c r="R371" t="s">
        <v>2601</v>
      </c>
      <c r="S371" s="1">
        <v>44788</v>
      </c>
      <c r="T371" t="s">
        <v>33</v>
      </c>
      <c r="U371" t="s">
        <v>34</v>
      </c>
      <c r="V371" s="1">
        <v>44796</v>
      </c>
      <c r="W371" t="s">
        <v>35</v>
      </c>
      <c r="X371" t="s">
        <v>1654</v>
      </c>
      <c r="Y371" t="s">
        <v>1685</v>
      </c>
      <c r="Z371" t="s">
        <v>206</v>
      </c>
      <c r="AA371" t="s">
        <v>1686</v>
      </c>
      <c r="AD371" t="s">
        <v>143</v>
      </c>
      <c r="AE371">
        <v>43.055625999999997</v>
      </c>
      <c r="AF371">
        <v>-78.974952999999999</v>
      </c>
      <c r="AG371" t="s">
        <v>40</v>
      </c>
      <c r="AH371" t="s">
        <v>41</v>
      </c>
      <c r="AI371">
        <v>43.055558558599998</v>
      </c>
      <c r="AJ371">
        <v>-78.974873973100003</v>
      </c>
      <c r="AK371">
        <v>-6.7441399998813267E-5</v>
      </c>
      <c r="AL371">
        <v>7.9026899996392785E-5</v>
      </c>
      <c r="AM371" t="str">
        <f>_xlfn.IFNA(VLOOKUP(Sheet1!$C371,ADMIX_ALL!A:B,2,FALSE),"none")</f>
        <v>K6-18</v>
      </c>
      <c r="AN371" t="str">
        <f>_xlfn.IFNA(VLOOKUP(Sheet1!C371,ADMIX_SS!A:B,2,FALSE),"none")</f>
        <v>SubSample</v>
      </c>
      <c r="AO371" t="str">
        <f>_xlfn.IFNA(VLOOKUP(Sheet1!$C371,MONG_PHYLO!A:C,3,FALSE),"-")</f>
        <v>-</v>
      </c>
      <c r="AP371" t="str">
        <f>_xlfn.IFNA(VLOOKUP(Sheet1!$C371,MAC_PHYLO!A:C,3,FALSE),"-")</f>
        <v>-</v>
      </c>
      <c r="AQ371" t="str">
        <f>_xlfn.IFNA(VLOOKUP(Sheet1!$C371,ConStruct!A:C,3,FALSE),"-")</f>
        <v>-</v>
      </c>
      <c r="AR371" t="str">
        <f>_xlfn.IFNA(VLOOKUP(Sheet1!$C371,GEA!A:C,3,FALSE),"-")</f>
        <v>-</v>
      </c>
      <c r="AS371" t="str">
        <f>_xlfn.IFNA(VLOOKUP(Sheet1!$C371,MAC_DSUITE!A:D,3,FALSE),"-")</f>
        <v>-</v>
      </c>
      <c r="AT371" t="str">
        <f>_xlfn.IFNA(VLOOKUP(Sheet1!$C371,MONG_DSUITE!A:E,2,FALSE),"-")</f>
        <v>xxx</v>
      </c>
      <c r="AU371" t="str">
        <f>_xlfn.IFNA(VLOOKUP(Sheet1!$C371,MAC_PAINT2!A:D,4,FALSE),"-")</f>
        <v>-</v>
      </c>
    </row>
    <row r="372" spans="1:49" customFormat="1" x14ac:dyDescent="0.4">
      <c r="A372">
        <v>3823</v>
      </c>
      <c r="B372" t="s">
        <v>1723</v>
      </c>
      <c r="C372" t="s">
        <v>1724</v>
      </c>
      <c r="D372" t="str">
        <f>_xlfn.CONCAT(C372,".bam")</f>
        <v>SYST-MOR-0007060.bam</v>
      </c>
      <c r="E372" t="s">
        <v>1725</v>
      </c>
      <c r="F372" t="s">
        <v>2448</v>
      </c>
      <c r="G372" t="s">
        <v>2450</v>
      </c>
      <c r="H372" t="s">
        <v>2538</v>
      </c>
      <c r="I372" t="s">
        <v>1686</v>
      </c>
      <c r="K372" t="s">
        <v>143</v>
      </c>
      <c r="L372" t="s">
        <v>143</v>
      </c>
      <c r="N372" t="s">
        <v>143</v>
      </c>
      <c r="P372" t="s">
        <v>31</v>
      </c>
      <c r="Q372" t="s">
        <v>144</v>
      </c>
      <c r="R372" t="s">
        <v>2601</v>
      </c>
      <c r="S372" s="1">
        <v>44788</v>
      </c>
      <c r="T372" t="s">
        <v>33</v>
      </c>
      <c r="U372" t="s">
        <v>34</v>
      </c>
      <c r="V372" s="1">
        <v>44796</v>
      </c>
      <c r="W372" t="s">
        <v>35</v>
      </c>
      <c r="X372" t="s">
        <v>1654</v>
      </c>
      <c r="Y372" t="s">
        <v>1685</v>
      </c>
      <c r="Z372" t="s">
        <v>206</v>
      </c>
      <c r="AA372" t="s">
        <v>1686</v>
      </c>
      <c r="AD372" t="s">
        <v>143</v>
      </c>
      <c r="AE372">
        <v>43.055681</v>
      </c>
      <c r="AF372">
        <v>-78.974018999999998</v>
      </c>
      <c r="AG372" t="s">
        <v>40</v>
      </c>
      <c r="AH372" t="s">
        <v>41</v>
      </c>
      <c r="AI372">
        <v>43.055667464400003</v>
      </c>
      <c r="AJ372">
        <v>-78.974000641999993</v>
      </c>
      <c r="AK372">
        <v>-1.3535599997283043E-5</v>
      </c>
      <c r="AL372">
        <v>1.8358000005491704E-5</v>
      </c>
      <c r="AM372" t="str">
        <f>_xlfn.IFNA(VLOOKUP(Sheet1!$C372,ADMIX_ALL!A:B,2,FALSE),"none")</f>
        <v>K6-18</v>
      </c>
      <c r="AN372" t="str">
        <f>_xlfn.IFNA(VLOOKUP(Sheet1!C372,ADMIX_SS!A:B,2,FALSE),"none")</f>
        <v>SubSample</v>
      </c>
      <c r="AO372" t="str">
        <f>_xlfn.IFNA(VLOOKUP(Sheet1!$C372,MONG_PHYLO!A:C,3,FALSE),"-")</f>
        <v>-</v>
      </c>
      <c r="AP372" t="str">
        <f>_xlfn.IFNA(VLOOKUP(Sheet1!$C372,MAC_PHYLO!A:C,3,FALSE),"-")</f>
        <v>-</v>
      </c>
      <c r="AQ372" t="str">
        <f>_xlfn.IFNA(VLOOKUP(Sheet1!$C372,ConStruct!A:C,3,FALSE),"-")</f>
        <v>-</v>
      </c>
      <c r="AR372" t="str">
        <f>_xlfn.IFNA(VLOOKUP(Sheet1!$C372,GEA!A:C,3,FALSE),"-")</f>
        <v>-</v>
      </c>
      <c r="AS372" t="str">
        <f>_xlfn.IFNA(VLOOKUP(Sheet1!$C372,MAC_DSUITE!A:D,3,FALSE),"-")</f>
        <v>-</v>
      </c>
      <c r="AT372" t="str">
        <f>_xlfn.IFNA(VLOOKUP(Sheet1!$C372,MONG_DSUITE!A:E,2,FALSE),"-")</f>
        <v>xxx</v>
      </c>
      <c r="AU372" t="str">
        <f>_xlfn.IFNA(VLOOKUP(Sheet1!$C372,MAC_PAINT2!A:D,4,FALSE),"-")</f>
        <v>-</v>
      </c>
    </row>
    <row r="373" spans="1:49" customFormat="1" x14ac:dyDescent="0.4">
      <c r="A373">
        <v>3824</v>
      </c>
      <c r="B373" t="s">
        <v>1785</v>
      </c>
      <c r="C373" t="s">
        <v>1786</v>
      </c>
      <c r="D373" t="str">
        <f>_xlfn.CONCAT(C373,".bam")</f>
        <v>SYST-MOR-0007061.bam</v>
      </c>
      <c r="E373" t="s">
        <v>1787</v>
      </c>
      <c r="F373" t="s">
        <v>2448</v>
      </c>
      <c r="G373" t="s">
        <v>2453</v>
      </c>
      <c r="H373" t="s">
        <v>2541</v>
      </c>
      <c r="I373" t="s">
        <v>1789</v>
      </c>
      <c r="K373" t="s">
        <v>64</v>
      </c>
      <c r="L373" t="s">
        <v>64</v>
      </c>
      <c r="N373" t="s">
        <v>64</v>
      </c>
      <c r="P373" t="s">
        <v>31</v>
      </c>
      <c r="Q373" t="s">
        <v>65</v>
      </c>
      <c r="R373" t="s">
        <v>2599</v>
      </c>
      <c r="S373" s="1">
        <v>44789</v>
      </c>
      <c r="T373" t="s">
        <v>33</v>
      </c>
      <c r="U373" t="s">
        <v>34</v>
      </c>
      <c r="V373" s="1">
        <v>44796</v>
      </c>
      <c r="W373" t="s">
        <v>35</v>
      </c>
      <c r="X373" t="s">
        <v>1654</v>
      </c>
      <c r="Y373" t="s">
        <v>1788</v>
      </c>
      <c r="Z373" t="s">
        <v>206</v>
      </c>
      <c r="AA373" t="s">
        <v>1789</v>
      </c>
      <c r="AD373" t="s">
        <v>64</v>
      </c>
      <c r="AE373">
        <v>42.706592000000001</v>
      </c>
      <c r="AF373">
        <v>-76.900946000000005</v>
      </c>
      <c r="AG373" t="s">
        <v>40</v>
      </c>
      <c r="AH373" t="s">
        <v>41</v>
      </c>
      <c r="AI373">
        <v>42.706530913800002</v>
      </c>
      <c r="AJ373">
        <v>-76.900968756599994</v>
      </c>
      <c r="AK373">
        <v>-6.1086199998783286E-5</v>
      </c>
      <c r="AL373">
        <v>-2.2756599989293136E-5</v>
      </c>
      <c r="AM373" t="str">
        <f>_xlfn.IFNA(VLOOKUP(Sheet1!$C373,ADMIX_ALL!A:B,2,FALSE),"none")</f>
        <v>K6-18</v>
      </c>
      <c r="AN373" t="str">
        <f>_xlfn.IFNA(VLOOKUP(Sheet1!C373,ADMIX_SS!A:B,2,FALSE),"none")</f>
        <v>Constant</v>
      </c>
      <c r="AO373" t="str">
        <f>_xlfn.IFNA(VLOOKUP(Sheet1!$C373,MONG_PHYLO!A:C,3,FALSE),"-")</f>
        <v>alb</v>
      </c>
      <c r="AP373" t="str">
        <f>_xlfn.IFNA(VLOOKUP(Sheet1!$C373,MAC_PHYLO!A:C,3,FALSE),"-")</f>
        <v>-</v>
      </c>
      <c r="AQ373" t="str">
        <f>_xlfn.IFNA(VLOOKUP(Sheet1!$C373,ConStruct!A:C,3,FALSE),"-")</f>
        <v>-</v>
      </c>
      <c r="AR373" t="str">
        <f>_xlfn.IFNA(VLOOKUP(Sheet1!$C373,GEA!A:C,3,FALSE),"-")</f>
        <v>-</v>
      </c>
      <c r="AS373" t="str">
        <f>_xlfn.IFNA(VLOOKUP(Sheet1!$C373,MAC_DSUITE!A:D,3,FALSE),"-")</f>
        <v>-</v>
      </c>
      <c r="AT373" t="str">
        <f>_xlfn.IFNA(VLOOKUP(Sheet1!$C373,MONG_DSUITE!A:E,2,FALSE),"-")</f>
        <v>alba</v>
      </c>
      <c r="AU373" t="str">
        <f>_xlfn.IFNA(VLOOKUP(Sheet1!$C373,MAC_PAINT2!A:D,4,FALSE),"-")</f>
        <v>-</v>
      </c>
    </row>
    <row r="374" spans="1:49" customFormat="1" x14ac:dyDescent="0.4">
      <c r="A374">
        <v>3825</v>
      </c>
      <c r="B374" t="s">
        <v>1790</v>
      </c>
      <c r="C374" t="s">
        <v>1791</v>
      </c>
      <c r="D374" t="str">
        <f>_xlfn.CONCAT(C374,".bam")</f>
        <v>SYST-MOR-0007062.bam</v>
      </c>
      <c r="E374" t="s">
        <v>1792</v>
      </c>
      <c r="F374" t="s">
        <v>2448</v>
      </c>
      <c r="G374" t="s">
        <v>2453</v>
      </c>
      <c r="H374" t="s">
        <v>2541</v>
      </c>
      <c r="I374" t="s">
        <v>1789</v>
      </c>
      <c r="K374" t="s">
        <v>64</v>
      </c>
      <c r="L374" t="s">
        <v>64</v>
      </c>
      <c r="N374" t="s">
        <v>64</v>
      </c>
      <c r="P374" t="s">
        <v>31</v>
      </c>
      <c r="Q374" t="s">
        <v>65</v>
      </c>
      <c r="R374" t="s">
        <v>2599</v>
      </c>
      <c r="S374" s="1">
        <v>44789</v>
      </c>
      <c r="T374" t="s">
        <v>33</v>
      </c>
      <c r="U374" t="s">
        <v>34</v>
      </c>
      <c r="V374" s="1">
        <v>44796</v>
      </c>
      <c r="W374" t="s">
        <v>35</v>
      </c>
      <c r="X374" t="s">
        <v>1654</v>
      </c>
      <c r="Y374" t="s">
        <v>1788</v>
      </c>
      <c r="Z374" t="s">
        <v>38</v>
      </c>
      <c r="AA374" t="s">
        <v>1789</v>
      </c>
      <c r="AD374" t="s">
        <v>64</v>
      </c>
      <c r="AE374">
        <v>42.700906000000003</v>
      </c>
      <c r="AF374">
        <v>-76.897109</v>
      </c>
      <c r="AG374" t="s">
        <v>40</v>
      </c>
      <c r="AH374" t="s">
        <v>41</v>
      </c>
      <c r="AI374">
        <v>42.700942740800002</v>
      </c>
      <c r="AJ374">
        <v>-76.897104866899994</v>
      </c>
      <c r="AK374">
        <v>3.6740799998824514E-5</v>
      </c>
      <c r="AL374">
        <v>4.1331000062427847E-6</v>
      </c>
      <c r="AM374" t="str">
        <f>_xlfn.IFNA(VLOOKUP(Sheet1!$C374,ADMIX_ALL!A:B,2,FALSE),"none")</f>
        <v>K6-18</v>
      </c>
      <c r="AN374" t="str">
        <f>_xlfn.IFNA(VLOOKUP(Sheet1!C374,ADMIX_SS!A:B,2,FALSE),"none")</f>
        <v>SubSample</v>
      </c>
      <c r="AO374" t="str">
        <f>_xlfn.IFNA(VLOOKUP(Sheet1!$C374,MONG_PHYLO!A:C,3,FALSE),"-")</f>
        <v>-</v>
      </c>
      <c r="AP374" t="str">
        <f>_xlfn.IFNA(VLOOKUP(Sheet1!$C374,MAC_PHYLO!A:C,3,FALSE),"-")</f>
        <v>-</v>
      </c>
      <c r="AQ374" t="str">
        <f>_xlfn.IFNA(VLOOKUP(Sheet1!$C374,ConStruct!A:C,3,FALSE),"-")</f>
        <v>-</v>
      </c>
      <c r="AR374" t="str">
        <f>_xlfn.IFNA(VLOOKUP(Sheet1!$C374,GEA!A:C,3,FALSE),"-")</f>
        <v>-</v>
      </c>
      <c r="AS374" t="str">
        <f>_xlfn.IFNA(VLOOKUP(Sheet1!$C374,MAC_DSUITE!A:D,3,FALSE),"-")</f>
        <v>-</v>
      </c>
      <c r="AT374" t="str">
        <f>_xlfn.IFNA(VLOOKUP(Sheet1!$C374,MONG_DSUITE!A:E,2,FALSE),"-")</f>
        <v>xxx</v>
      </c>
      <c r="AU374" t="str">
        <f>_xlfn.IFNA(VLOOKUP(Sheet1!$C374,MAC_PAINT2!A:D,4,FALSE),"-")</f>
        <v>-</v>
      </c>
    </row>
    <row r="375" spans="1:49" customFormat="1" x14ac:dyDescent="0.4">
      <c r="A375">
        <v>3826</v>
      </c>
      <c r="B375" t="s">
        <v>1793</v>
      </c>
      <c r="C375" t="s">
        <v>1794</v>
      </c>
      <c r="D375" t="str">
        <f>_xlfn.CONCAT(C375,".bam")</f>
        <v>SYST-MOR-0007063.bam</v>
      </c>
      <c r="E375" t="s">
        <v>1795</v>
      </c>
      <c r="F375" t="s">
        <v>2448</v>
      </c>
      <c r="G375" t="s">
        <v>2453</v>
      </c>
      <c r="H375" t="s">
        <v>2541</v>
      </c>
      <c r="I375" t="s">
        <v>1789</v>
      </c>
      <c r="K375" t="s">
        <v>64</v>
      </c>
      <c r="L375" t="s">
        <v>64</v>
      </c>
      <c r="N375" t="s">
        <v>64</v>
      </c>
      <c r="P375" t="s">
        <v>31</v>
      </c>
      <c r="Q375" t="s">
        <v>65</v>
      </c>
      <c r="R375" t="s">
        <v>2599</v>
      </c>
      <c r="S375" s="1">
        <v>44789</v>
      </c>
      <c r="T375" t="s">
        <v>33</v>
      </c>
      <c r="U375" t="s">
        <v>34</v>
      </c>
      <c r="V375" s="1">
        <v>44796</v>
      </c>
      <c r="W375" t="s">
        <v>35</v>
      </c>
      <c r="X375" t="s">
        <v>1654</v>
      </c>
      <c r="Y375" t="s">
        <v>1788</v>
      </c>
      <c r="Z375" t="s">
        <v>206</v>
      </c>
      <c r="AA375" t="s">
        <v>1789</v>
      </c>
      <c r="AD375" t="s">
        <v>64</v>
      </c>
      <c r="AE375">
        <v>42.700262000000002</v>
      </c>
      <c r="AF375">
        <v>-76.896737000000002</v>
      </c>
      <c r="AG375" t="s">
        <v>40</v>
      </c>
      <c r="AH375" t="s">
        <v>41</v>
      </c>
      <c r="AI375">
        <v>42.7003873978</v>
      </c>
      <c r="AJ375">
        <v>-76.896642018199998</v>
      </c>
      <c r="AK375">
        <v>1.2539779999798384E-4</v>
      </c>
      <c r="AL375">
        <v>9.4981800003779426E-5</v>
      </c>
      <c r="AM375" t="str">
        <f>_xlfn.IFNA(VLOOKUP(Sheet1!$C375,ADMIX_ALL!A:B,2,FALSE),"none")</f>
        <v>K6-18</v>
      </c>
      <c r="AN375" t="str">
        <f>_xlfn.IFNA(VLOOKUP(Sheet1!C375,ADMIX_SS!A:B,2,FALSE),"none")</f>
        <v>none</v>
      </c>
      <c r="AO375" t="str">
        <f>_xlfn.IFNA(VLOOKUP(Sheet1!$C375,MONG_PHYLO!A:C,3,FALSE),"-")</f>
        <v>-</v>
      </c>
      <c r="AP375" t="str">
        <f>_xlfn.IFNA(VLOOKUP(Sheet1!$C375,MAC_PHYLO!A:C,3,FALSE),"-")</f>
        <v>-</v>
      </c>
      <c r="AQ375" t="str">
        <f>_xlfn.IFNA(VLOOKUP(Sheet1!$C375,ConStruct!A:C,3,FALSE),"-")</f>
        <v>-</v>
      </c>
      <c r="AR375" t="str">
        <f>_xlfn.IFNA(VLOOKUP(Sheet1!$C375,GEA!A:C,3,FALSE),"-")</f>
        <v>-</v>
      </c>
      <c r="AS375" t="str">
        <f>_xlfn.IFNA(VLOOKUP(Sheet1!$C375,MAC_DSUITE!A:D,3,FALSE),"-")</f>
        <v>-</v>
      </c>
      <c r="AT375" t="str">
        <f>_xlfn.IFNA(VLOOKUP(Sheet1!$C375,MONG_DSUITE!A:E,2,FALSE),"-")</f>
        <v>xxx</v>
      </c>
      <c r="AU375" t="str">
        <f>_xlfn.IFNA(VLOOKUP(Sheet1!$C375,MAC_PAINT2!A:D,4,FALSE),"-")</f>
        <v>-</v>
      </c>
    </row>
    <row r="376" spans="1:49" customFormat="1" x14ac:dyDescent="0.4">
      <c r="A376">
        <v>3827</v>
      </c>
      <c r="B376" t="s">
        <v>1796</v>
      </c>
      <c r="C376" t="s">
        <v>1797</v>
      </c>
      <c r="D376" t="str">
        <f>_xlfn.CONCAT(C376,".bam")</f>
        <v>SYST-MOR-0007064.bam</v>
      </c>
      <c r="E376" t="s">
        <v>1798</v>
      </c>
      <c r="F376" t="s">
        <v>2448</v>
      </c>
      <c r="G376" t="s">
        <v>2453</v>
      </c>
      <c r="H376" t="s">
        <v>2541</v>
      </c>
      <c r="I376" t="s">
        <v>1789</v>
      </c>
      <c r="K376" t="s">
        <v>64</v>
      </c>
      <c r="L376" t="s">
        <v>64</v>
      </c>
      <c r="N376" t="s">
        <v>64</v>
      </c>
      <c r="P376" t="s">
        <v>31</v>
      </c>
      <c r="Q376" t="s">
        <v>65</v>
      </c>
      <c r="R376" t="s">
        <v>2599</v>
      </c>
      <c r="S376" s="1">
        <v>44789</v>
      </c>
      <c r="T376" t="s">
        <v>33</v>
      </c>
      <c r="U376" t="s">
        <v>34</v>
      </c>
      <c r="V376" s="1">
        <v>44796</v>
      </c>
      <c r="W376" t="s">
        <v>35</v>
      </c>
      <c r="X376" t="s">
        <v>1654</v>
      </c>
      <c r="Y376" t="s">
        <v>1788</v>
      </c>
      <c r="Z376" t="s">
        <v>38</v>
      </c>
      <c r="AA376" t="s">
        <v>1789</v>
      </c>
      <c r="AD376" t="s">
        <v>64</v>
      </c>
      <c r="AE376">
        <v>42.699741000000003</v>
      </c>
      <c r="AF376">
        <v>-76.895966000000001</v>
      </c>
      <c r="AG376" t="s">
        <v>40</v>
      </c>
      <c r="AH376" t="s">
        <v>41</v>
      </c>
      <c r="AI376">
        <v>42.699530725400002</v>
      </c>
      <c r="AJ376">
        <v>-76.895885802899997</v>
      </c>
      <c r="AK376">
        <v>-2.1027460000055953E-4</v>
      </c>
      <c r="AL376">
        <v>8.0197100004397726E-5</v>
      </c>
      <c r="AM376" t="str">
        <f>_xlfn.IFNA(VLOOKUP(Sheet1!$C376,ADMIX_ALL!A:B,2,FALSE),"none")</f>
        <v>K6-18</v>
      </c>
      <c r="AN376" t="str">
        <f>_xlfn.IFNA(VLOOKUP(Sheet1!C376,ADMIX_SS!A:B,2,FALSE),"none")</f>
        <v>SubSample</v>
      </c>
      <c r="AO376" t="str">
        <f>_xlfn.IFNA(VLOOKUP(Sheet1!$C376,MONG_PHYLO!A:C,3,FALSE),"-")</f>
        <v>-</v>
      </c>
      <c r="AP376" t="str">
        <f>_xlfn.IFNA(VLOOKUP(Sheet1!$C376,MAC_PHYLO!A:C,3,FALSE),"-")</f>
        <v>-</v>
      </c>
      <c r="AQ376" t="str">
        <f>_xlfn.IFNA(VLOOKUP(Sheet1!$C376,ConStruct!A:C,3,FALSE),"-")</f>
        <v>-</v>
      </c>
      <c r="AR376" t="str">
        <f>_xlfn.IFNA(VLOOKUP(Sheet1!$C376,GEA!A:C,3,FALSE),"-")</f>
        <v>-</v>
      </c>
      <c r="AS376" t="str">
        <f>_xlfn.IFNA(VLOOKUP(Sheet1!$C376,MAC_DSUITE!A:D,3,FALSE),"-")</f>
        <v>-</v>
      </c>
      <c r="AT376" t="str">
        <f>_xlfn.IFNA(VLOOKUP(Sheet1!$C376,MONG_DSUITE!A:E,2,FALSE),"-")</f>
        <v>xxx</v>
      </c>
      <c r="AU376" t="str">
        <f>_xlfn.IFNA(VLOOKUP(Sheet1!$C376,MAC_PAINT2!A:D,4,FALSE),"-")</f>
        <v>-</v>
      </c>
    </row>
    <row r="377" spans="1:49" customFormat="1" x14ac:dyDescent="0.4">
      <c r="A377">
        <v>3828</v>
      </c>
      <c r="B377" t="s">
        <v>1799</v>
      </c>
      <c r="C377" t="s">
        <v>1800</v>
      </c>
      <c r="D377" t="str">
        <f>_xlfn.CONCAT(C377,".bam")</f>
        <v>SYST-MOR-0007065.bam</v>
      </c>
      <c r="E377" t="s">
        <v>1801</v>
      </c>
      <c r="F377" t="s">
        <v>2448</v>
      </c>
      <c r="G377" t="s">
        <v>2453</v>
      </c>
      <c r="H377" t="s">
        <v>2541</v>
      </c>
      <c r="I377" t="s">
        <v>1789</v>
      </c>
      <c r="K377" t="s">
        <v>64</v>
      </c>
      <c r="L377" t="s">
        <v>64</v>
      </c>
      <c r="N377" t="s">
        <v>64</v>
      </c>
      <c r="P377" t="s">
        <v>31</v>
      </c>
      <c r="Q377" t="s">
        <v>65</v>
      </c>
      <c r="R377" t="s">
        <v>2599</v>
      </c>
      <c r="S377" s="1">
        <v>44789</v>
      </c>
      <c r="T377" t="s">
        <v>33</v>
      </c>
      <c r="U377" t="s">
        <v>34</v>
      </c>
      <c r="V377" s="1">
        <v>44796</v>
      </c>
      <c r="W377" t="s">
        <v>35</v>
      </c>
      <c r="X377" t="s">
        <v>1654</v>
      </c>
      <c r="Y377" t="s">
        <v>1788</v>
      </c>
      <c r="Z377" t="s">
        <v>206</v>
      </c>
      <c r="AA377" t="s">
        <v>1789</v>
      </c>
      <c r="AD377" t="s">
        <v>64</v>
      </c>
      <c r="AE377">
        <v>42.698391999999998</v>
      </c>
      <c r="AF377">
        <v>-76.895201</v>
      </c>
      <c r="AG377" t="s">
        <v>40</v>
      </c>
      <c r="AH377" t="s">
        <v>41</v>
      </c>
      <c r="AI377">
        <v>42.698556832100003</v>
      </c>
      <c r="AJ377">
        <v>-76.895155822899994</v>
      </c>
      <c r="AK377">
        <v>1.6483210000473036E-4</v>
      </c>
      <c r="AL377">
        <v>4.5177100005844295E-5</v>
      </c>
      <c r="AM377" t="str">
        <f>_xlfn.IFNA(VLOOKUP(Sheet1!$C377,ADMIX_ALL!A:B,2,FALSE),"none")</f>
        <v>K6-18</v>
      </c>
      <c r="AN377" t="str">
        <f>_xlfn.IFNA(VLOOKUP(Sheet1!C377,ADMIX_SS!A:B,2,FALSE),"none")</f>
        <v>SubSample</v>
      </c>
      <c r="AO377" t="str">
        <f>_xlfn.IFNA(VLOOKUP(Sheet1!$C377,MONG_PHYLO!A:C,3,FALSE),"-")</f>
        <v>-</v>
      </c>
      <c r="AP377" t="str">
        <f>_xlfn.IFNA(VLOOKUP(Sheet1!$C377,MAC_PHYLO!A:C,3,FALSE),"-")</f>
        <v>-</v>
      </c>
      <c r="AQ377" t="str">
        <f>_xlfn.IFNA(VLOOKUP(Sheet1!$C377,ConStruct!A:C,3,FALSE),"-")</f>
        <v>-</v>
      </c>
      <c r="AR377" t="str">
        <f>_xlfn.IFNA(VLOOKUP(Sheet1!$C377,GEA!A:C,3,FALSE),"-")</f>
        <v>-</v>
      </c>
      <c r="AS377" t="str">
        <f>_xlfn.IFNA(VLOOKUP(Sheet1!$C377,MAC_DSUITE!A:D,3,FALSE),"-")</f>
        <v>-</v>
      </c>
      <c r="AT377" t="str">
        <f>_xlfn.IFNA(VLOOKUP(Sheet1!$C377,MONG_DSUITE!A:E,2,FALSE),"-")</f>
        <v>xxx</v>
      </c>
      <c r="AU377" t="str">
        <f>_xlfn.IFNA(VLOOKUP(Sheet1!$C377,MAC_PAINT2!A:D,4,FALSE),"-")</f>
        <v>-</v>
      </c>
    </row>
    <row r="378" spans="1:49" customFormat="1" x14ac:dyDescent="0.4">
      <c r="A378">
        <v>3829</v>
      </c>
      <c r="B378" t="s">
        <v>1802</v>
      </c>
      <c r="C378" t="s">
        <v>1803</v>
      </c>
      <c r="D378" t="str">
        <f>_xlfn.CONCAT(C378,".bam")</f>
        <v>SYST-MOR-0007066.bam</v>
      </c>
      <c r="E378" t="s">
        <v>1804</v>
      </c>
      <c r="F378" t="s">
        <v>2448</v>
      </c>
      <c r="G378" t="s">
        <v>2453</v>
      </c>
      <c r="H378" t="s">
        <v>2541</v>
      </c>
      <c r="I378" t="s">
        <v>1789</v>
      </c>
      <c r="K378" t="s">
        <v>45</v>
      </c>
      <c r="L378" t="s">
        <v>45</v>
      </c>
      <c r="N378" t="s">
        <v>45</v>
      </c>
      <c r="P378" t="s">
        <v>31</v>
      </c>
      <c r="Q378" t="s">
        <v>46</v>
      </c>
      <c r="R378" t="s">
        <v>2597</v>
      </c>
      <c r="S378" s="1">
        <v>44789</v>
      </c>
      <c r="T378" t="s">
        <v>33</v>
      </c>
      <c r="U378" t="s">
        <v>34</v>
      </c>
      <c r="V378" s="1">
        <v>44796</v>
      </c>
      <c r="W378" t="s">
        <v>35</v>
      </c>
      <c r="X378" t="s">
        <v>1654</v>
      </c>
      <c r="Y378" t="s">
        <v>1788</v>
      </c>
      <c r="Z378" t="s">
        <v>38</v>
      </c>
      <c r="AA378" t="s">
        <v>1789</v>
      </c>
      <c r="AD378" t="s">
        <v>45</v>
      </c>
      <c r="AE378">
        <v>42.740504999999999</v>
      </c>
      <c r="AF378">
        <v>-76.905844999999999</v>
      </c>
      <c r="AG378" t="s">
        <v>40</v>
      </c>
      <c r="AH378" t="s">
        <v>41</v>
      </c>
      <c r="AI378">
        <v>42.740603895</v>
      </c>
      <c r="AJ378">
        <v>-76.905875522700001</v>
      </c>
      <c r="AK378">
        <v>9.8895000000709388E-5</v>
      </c>
      <c r="AL378">
        <v>-3.0522700001256453E-5</v>
      </c>
      <c r="AM378" t="str">
        <f>_xlfn.IFNA(VLOOKUP(Sheet1!$C378,ADMIX_ALL!A:B,2,FALSE),"none")</f>
        <v>K6-18</v>
      </c>
      <c r="AN378" t="str">
        <f>_xlfn.IFNA(VLOOKUP(Sheet1!C378,ADMIX_SS!A:B,2,FALSE),"none")</f>
        <v>SubSample</v>
      </c>
      <c r="AO378" t="str">
        <f>_xlfn.IFNA(VLOOKUP(Sheet1!$C378,MONG_PHYLO!A:C,3,FALSE),"-")</f>
        <v>-</v>
      </c>
      <c r="AP378" t="str">
        <f>_xlfn.IFNA(VLOOKUP(Sheet1!$C378,MAC_PHYLO!A:C,3,FALSE),"-")</f>
        <v>-</v>
      </c>
      <c r="AQ378" t="str">
        <f>_xlfn.IFNA(VLOOKUP(Sheet1!$C378,ConStruct!A:C,3,FALSE),"-")</f>
        <v>ConStruct</v>
      </c>
      <c r="AR378" t="str">
        <f>_xlfn.IFNA(VLOOKUP(Sheet1!$C378,GEA!A:C,3,FALSE),"-")</f>
        <v>GEA</v>
      </c>
      <c r="AS378" t="str">
        <f>_xlfn.IFNA(VLOOKUP(Sheet1!$C378,MAC_DSUITE!A:D,3,FALSE),"-")</f>
        <v>mac_NY_SSP</v>
      </c>
      <c r="AT378" t="str">
        <f>_xlfn.IFNA(VLOOKUP(Sheet1!$C378,MONG_DSUITE!A:E,2,FALSE),"-")</f>
        <v>macrocarpa_SSP</v>
      </c>
      <c r="AU378" t="str">
        <f>_xlfn.IFNA(VLOOKUP(Sheet1!$C378,MAC_PAINT2!A:D,4,FALSE),"-")</f>
        <v>macpaint</v>
      </c>
      <c r="AV378" t="s">
        <v>9193</v>
      </c>
      <c r="AW378" t="s">
        <v>9193</v>
      </c>
    </row>
    <row r="379" spans="1:49" x14ac:dyDescent="0.4">
      <c r="A379" s="18">
        <v>3830</v>
      </c>
      <c r="B379" s="18" t="s">
        <v>1805</v>
      </c>
      <c r="C379" s="18" t="s">
        <v>1806</v>
      </c>
      <c r="D379" s="18" t="str">
        <f>_xlfn.CONCAT(C379,".bam")</f>
        <v>SYST-MOR-0007067.bam</v>
      </c>
      <c r="E379" s="18" t="s">
        <v>1807</v>
      </c>
      <c r="F379" s="18" t="s">
        <v>2448</v>
      </c>
      <c r="G379" s="18" t="s">
        <v>2453</v>
      </c>
      <c r="H379" s="18" t="s">
        <v>2541</v>
      </c>
      <c r="I379" s="18" t="s">
        <v>1789</v>
      </c>
      <c r="K379" s="18" t="s">
        <v>45</v>
      </c>
      <c r="L379" s="18" t="s">
        <v>45</v>
      </c>
      <c r="N379" s="18" t="s">
        <v>45</v>
      </c>
      <c r="P379" s="18" t="s">
        <v>31</v>
      </c>
      <c r="Q379" s="18" t="s">
        <v>46</v>
      </c>
      <c r="R379" s="18" t="s">
        <v>2597</v>
      </c>
      <c r="S379" s="19">
        <v>44789</v>
      </c>
      <c r="T379" s="18" t="s">
        <v>33</v>
      </c>
      <c r="U379" s="18" t="s">
        <v>34</v>
      </c>
      <c r="V379" s="19">
        <v>44796</v>
      </c>
      <c r="W379" s="18" t="s">
        <v>35</v>
      </c>
      <c r="X379" s="18" t="s">
        <v>1654</v>
      </c>
      <c r="Y379" s="18" t="s">
        <v>1788</v>
      </c>
      <c r="Z379" s="18" t="s">
        <v>206</v>
      </c>
      <c r="AA379" s="18" t="s">
        <v>1789</v>
      </c>
      <c r="AD379" s="18" t="s">
        <v>45</v>
      </c>
      <c r="AE379" s="18">
        <v>42.740713</v>
      </c>
      <c r="AF379" s="18">
        <v>-76.904984999999996</v>
      </c>
      <c r="AG379" s="18" t="s">
        <v>40</v>
      </c>
      <c r="AH379" s="18" t="s">
        <v>41</v>
      </c>
      <c r="AI379" s="18">
        <v>42.740661001699998</v>
      </c>
      <c r="AJ379" s="18">
        <v>-76.904846778500001</v>
      </c>
      <c r="AK379" s="18">
        <v>-5.1998300001798725E-5</v>
      </c>
      <c r="AL379" s="18">
        <v>1.3822149999498379E-4</v>
      </c>
      <c r="AM379" s="18" t="str">
        <f>_xlfn.IFNA(VLOOKUP(Sheet1!$C379,ADMIX_ALL!A:B,2,FALSE),"none")</f>
        <v>K6-18</v>
      </c>
      <c r="AN379" s="18" t="str">
        <f>_xlfn.IFNA(VLOOKUP(Sheet1!C379,ADMIX_SS!A:B,2,FALSE),"none")</f>
        <v>SubSample</v>
      </c>
      <c r="AO379" s="18" t="str">
        <f>_xlfn.IFNA(VLOOKUP(Sheet1!$C379,MONG_PHYLO!A:C,3,FALSE),"-")</f>
        <v>-</v>
      </c>
      <c r="AP379" s="18" t="str">
        <f>_xlfn.IFNA(VLOOKUP(Sheet1!$C379,MAC_PHYLO!A:C,3,FALSE),"-")</f>
        <v>-</v>
      </c>
      <c r="AQ379" s="18" t="str">
        <f>_xlfn.IFNA(VLOOKUP(Sheet1!$C379,ConStruct!A:C,3,FALSE),"-")</f>
        <v>ConStruct</v>
      </c>
      <c r="AR379" s="18" t="str">
        <f>_xlfn.IFNA(VLOOKUP(Sheet1!$C379,GEA!A:C,3,FALSE),"-")</f>
        <v>-</v>
      </c>
      <c r="AS379" s="18" t="str">
        <f>_xlfn.IFNA(VLOOKUP(Sheet1!$C379,MAC_DSUITE!A:D,3,FALSE),"-")</f>
        <v>-</v>
      </c>
      <c r="AT379" s="18" t="str">
        <f>_xlfn.IFNA(VLOOKUP(Sheet1!$C379,MONG_DSUITE!A:E,2,FALSE),"-")</f>
        <v>xxx</v>
      </c>
      <c r="AU379" s="18" t="str">
        <f>_xlfn.IFNA(VLOOKUP(Sheet1!$C379,MAC_PAINT2!A:D,4,FALSE),"-")</f>
        <v>-</v>
      </c>
    </row>
    <row r="380" spans="1:49" x14ac:dyDescent="0.4">
      <c r="A380" s="18">
        <v>3831</v>
      </c>
      <c r="B380" s="18" t="s">
        <v>1808</v>
      </c>
      <c r="C380" s="18" t="s">
        <v>1809</v>
      </c>
      <c r="D380" s="18" t="str">
        <f>_xlfn.CONCAT(C380,".bam")</f>
        <v>SYST-MOR-0007068.bam</v>
      </c>
      <c r="E380" s="18" t="s">
        <v>1810</v>
      </c>
      <c r="F380" s="18" t="s">
        <v>2448</v>
      </c>
      <c r="G380" s="18" t="s">
        <v>2453</v>
      </c>
      <c r="H380" s="18" t="s">
        <v>2541</v>
      </c>
      <c r="I380" s="18" t="s">
        <v>1789</v>
      </c>
      <c r="K380" s="18" t="s">
        <v>143</v>
      </c>
      <c r="L380" s="18" t="s">
        <v>45</v>
      </c>
      <c r="N380" s="18" t="s">
        <v>45</v>
      </c>
      <c r="P380" s="18" t="s">
        <v>31</v>
      </c>
      <c r="Q380" s="18" t="s">
        <v>46</v>
      </c>
      <c r="R380" s="18" t="s">
        <v>2597</v>
      </c>
      <c r="S380" s="19">
        <v>44789</v>
      </c>
      <c r="T380" s="18" t="s">
        <v>33</v>
      </c>
      <c r="U380" s="18" t="s">
        <v>34</v>
      </c>
      <c r="V380" s="19">
        <v>44796</v>
      </c>
      <c r="W380" s="18" t="s">
        <v>35</v>
      </c>
      <c r="X380" s="18" t="s">
        <v>1654</v>
      </c>
      <c r="Y380" s="18" t="s">
        <v>1788</v>
      </c>
      <c r="Z380" s="18" t="s">
        <v>38</v>
      </c>
      <c r="AA380" s="18" t="s">
        <v>1789</v>
      </c>
      <c r="AD380" s="18" t="s">
        <v>45</v>
      </c>
      <c r="AE380" s="18">
        <v>42.741551000000001</v>
      </c>
      <c r="AF380" s="18">
        <v>-76.901053000000005</v>
      </c>
      <c r="AG380" s="18" t="s">
        <v>40</v>
      </c>
      <c r="AH380" s="18" t="s">
        <v>41</v>
      </c>
      <c r="AI380" s="18">
        <v>42.741538141900001</v>
      </c>
      <c r="AJ380" s="18">
        <v>-76.901106806499996</v>
      </c>
      <c r="AK380" s="18">
        <v>-1.2858099999846218E-5</v>
      </c>
      <c r="AL380" s="18">
        <v>-5.3806499991537748E-5</v>
      </c>
      <c r="AM380" s="18" t="str">
        <f>_xlfn.IFNA(VLOOKUP(Sheet1!$C380,ADMIX_ALL!A:B,2,FALSE),"none")</f>
        <v>K6-18</v>
      </c>
      <c r="AN380" s="18" t="str">
        <f>_xlfn.IFNA(VLOOKUP(Sheet1!C380,ADMIX_SS!A:B,2,FALSE),"none")</f>
        <v>SubSample</v>
      </c>
      <c r="AO380" s="18" t="str">
        <f>_xlfn.IFNA(VLOOKUP(Sheet1!$C380,MONG_PHYLO!A:C,3,FALSE),"-")</f>
        <v>-</v>
      </c>
      <c r="AP380" s="18" t="str">
        <f>_xlfn.IFNA(VLOOKUP(Sheet1!$C380,MAC_PHYLO!A:C,3,FALSE),"-")</f>
        <v>-</v>
      </c>
      <c r="AQ380" s="18" t="str">
        <f>_xlfn.IFNA(VLOOKUP(Sheet1!$C380,ConStruct!A:C,3,FALSE),"-")</f>
        <v>ConStruct</v>
      </c>
      <c r="AR380" s="18" t="str">
        <f>_xlfn.IFNA(VLOOKUP(Sheet1!$C380,GEA!A:C,3,FALSE),"-")</f>
        <v>-</v>
      </c>
      <c r="AS380" s="18" t="str">
        <f>_xlfn.IFNA(VLOOKUP(Sheet1!$C380,MAC_DSUITE!A:D,3,FALSE),"-")</f>
        <v>-</v>
      </c>
      <c r="AT380" s="18" t="str">
        <f>_xlfn.IFNA(VLOOKUP(Sheet1!$C380,MONG_DSUITE!A:E,2,FALSE),"-")</f>
        <v>xxx</v>
      </c>
      <c r="AU380" s="18" t="str">
        <f>_xlfn.IFNA(VLOOKUP(Sheet1!$C380,MAC_PAINT2!A:D,4,FALSE),"-")</f>
        <v>-</v>
      </c>
    </row>
    <row r="381" spans="1:49" s="16" customFormat="1" x14ac:dyDescent="0.4">
      <c r="A381" s="16">
        <v>3832</v>
      </c>
      <c r="B381" s="16" t="s">
        <v>1811</v>
      </c>
      <c r="C381" s="16" t="s">
        <v>1812</v>
      </c>
      <c r="D381" s="16" t="str">
        <f>_xlfn.CONCAT(C381,".bam")</f>
        <v>SYST-MOR-0007069.bam</v>
      </c>
      <c r="E381" s="16" t="s">
        <v>1813</v>
      </c>
      <c r="F381" s="16" t="s">
        <v>2448</v>
      </c>
      <c r="G381" s="16" t="s">
        <v>2453</v>
      </c>
      <c r="H381" s="16" t="s">
        <v>2541</v>
      </c>
      <c r="I381" s="16" t="s">
        <v>1789</v>
      </c>
      <c r="K381" s="16" t="s">
        <v>45</v>
      </c>
      <c r="L381" s="16" t="s">
        <v>45</v>
      </c>
      <c r="N381" s="16" t="s">
        <v>45</v>
      </c>
      <c r="P381" s="16" t="s">
        <v>31</v>
      </c>
      <c r="Q381" s="16" t="s">
        <v>46</v>
      </c>
      <c r="R381" s="16" t="s">
        <v>2597</v>
      </c>
      <c r="S381" s="17">
        <v>44789</v>
      </c>
      <c r="T381" s="16" t="s">
        <v>33</v>
      </c>
      <c r="U381" s="16" t="s">
        <v>34</v>
      </c>
      <c r="V381" s="17">
        <v>44796</v>
      </c>
      <c r="W381" s="16" t="s">
        <v>35</v>
      </c>
      <c r="X381" s="16" t="s">
        <v>1654</v>
      </c>
      <c r="Y381" s="16" t="s">
        <v>1788</v>
      </c>
      <c r="Z381" s="16" t="s">
        <v>206</v>
      </c>
      <c r="AA381" s="16" t="s">
        <v>1789</v>
      </c>
      <c r="AD381" s="16" t="s">
        <v>45</v>
      </c>
      <c r="AE381" s="16">
        <v>42.734695000000002</v>
      </c>
      <c r="AF381" s="16">
        <v>-76.903081</v>
      </c>
      <c r="AG381" s="16" t="s">
        <v>40</v>
      </c>
      <c r="AH381" s="16" t="s">
        <v>41</v>
      </c>
      <c r="AI381" s="16">
        <v>42.735050926</v>
      </c>
      <c r="AJ381" s="16">
        <v>-76.902997260999996</v>
      </c>
      <c r="AK381" s="16">
        <v>3.5592599999745289E-4</v>
      </c>
      <c r="AL381" s="16">
        <v>8.3739000004356967E-5</v>
      </c>
      <c r="AM381" s="16" t="str">
        <f>_xlfn.IFNA(VLOOKUP(Sheet1!$C381,ADMIX_ALL!A:B,2,FALSE),"none")</f>
        <v>K6-18</v>
      </c>
      <c r="AN381" s="16" t="str">
        <f>_xlfn.IFNA(VLOOKUP(Sheet1!C381,ADMIX_SS!A:B,2,FALSE),"none")</f>
        <v>SubSample</v>
      </c>
      <c r="AO381" s="16" t="str">
        <f>_xlfn.IFNA(VLOOKUP(Sheet1!$C381,MONG_PHYLO!A:C,3,FALSE),"-")</f>
        <v>-</v>
      </c>
      <c r="AP381" s="16" t="str">
        <f>_xlfn.IFNA(VLOOKUP(Sheet1!$C381,MAC_PHYLO!A:C,3,FALSE),"-")</f>
        <v>-</v>
      </c>
      <c r="AQ381" s="16" t="str">
        <f>_xlfn.IFNA(VLOOKUP(Sheet1!$C381,ConStruct!A:C,3,FALSE),"-")</f>
        <v>ConStruct</v>
      </c>
      <c r="AR381" s="16" t="str">
        <f>_xlfn.IFNA(VLOOKUP(Sheet1!$C381,GEA!A:C,3,FALSE),"-")</f>
        <v>GEA</v>
      </c>
      <c r="AS381" s="16" t="str">
        <f>_xlfn.IFNA(VLOOKUP(Sheet1!$C381,MAC_DSUITE!A:D,3,FALSE),"-")</f>
        <v>mac_NY_SSP</v>
      </c>
      <c r="AT381" s="16" t="str">
        <f>_xlfn.IFNA(VLOOKUP(Sheet1!$C381,MONG_DSUITE!A:E,2,FALSE),"-")</f>
        <v>macrocarpa_SSP</v>
      </c>
      <c r="AU381" s="16" t="str">
        <f>_xlfn.IFNA(VLOOKUP(Sheet1!$C381,MAC_PAINT2!A:D,4,FALSE),"-")</f>
        <v>-</v>
      </c>
      <c r="AV381" s="16" t="s">
        <v>9195</v>
      </c>
      <c r="AW381" s="16" t="s">
        <v>9193</v>
      </c>
    </row>
    <row r="382" spans="1:49" s="16" customFormat="1" x14ac:dyDescent="0.4">
      <c r="A382" s="16">
        <v>3833</v>
      </c>
      <c r="B382" s="16" t="s">
        <v>1814</v>
      </c>
      <c r="C382" s="16" t="s">
        <v>1815</v>
      </c>
      <c r="D382" s="16" t="str">
        <f>_xlfn.CONCAT(C382,".bam")</f>
        <v>SYST-MOR-0007070.bam</v>
      </c>
      <c r="E382" s="16" t="s">
        <v>1816</v>
      </c>
      <c r="F382" s="16" t="s">
        <v>2448</v>
      </c>
      <c r="G382" s="16" t="s">
        <v>2453</v>
      </c>
      <c r="H382" s="16" t="s">
        <v>2541</v>
      </c>
      <c r="I382" s="16" t="s">
        <v>1789</v>
      </c>
      <c r="K382" s="16" t="s">
        <v>45</v>
      </c>
      <c r="L382" s="16" t="s">
        <v>45</v>
      </c>
      <c r="N382" s="16" t="s">
        <v>45</v>
      </c>
      <c r="P382" s="16" t="s">
        <v>31</v>
      </c>
      <c r="Q382" s="16" t="s">
        <v>46</v>
      </c>
      <c r="R382" s="16" t="s">
        <v>2597</v>
      </c>
      <c r="S382" s="17">
        <v>44789</v>
      </c>
      <c r="T382" s="16" t="s">
        <v>33</v>
      </c>
      <c r="U382" s="16" t="s">
        <v>34</v>
      </c>
      <c r="V382" s="17">
        <v>44796</v>
      </c>
      <c r="W382" s="16" t="s">
        <v>35</v>
      </c>
      <c r="X382" s="16" t="s">
        <v>1654</v>
      </c>
      <c r="Y382" s="16" t="s">
        <v>1788</v>
      </c>
      <c r="Z382" s="16" t="s">
        <v>38</v>
      </c>
      <c r="AA382" s="16" t="s">
        <v>1789</v>
      </c>
      <c r="AD382" s="16" t="s">
        <v>45</v>
      </c>
      <c r="AE382" s="16">
        <v>42.733991000000003</v>
      </c>
      <c r="AF382" s="16">
        <v>-76.902518000000001</v>
      </c>
      <c r="AG382" s="16" t="s">
        <v>40</v>
      </c>
      <c r="AH382" s="16" t="s">
        <v>41</v>
      </c>
      <c r="AI382" s="16">
        <v>42.7341461834</v>
      </c>
      <c r="AJ382" s="16">
        <v>-76.902493257100005</v>
      </c>
      <c r="AK382" s="16">
        <v>1.5518339999687214E-4</v>
      </c>
      <c r="AL382" s="16">
        <v>2.4742899995544576E-5</v>
      </c>
      <c r="AM382" s="16" t="str">
        <f>_xlfn.IFNA(VLOOKUP(Sheet1!$C382,ADMIX_ALL!A:B,2,FALSE),"none")</f>
        <v>K6-18</v>
      </c>
      <c r="AN382" s="16" t="str">
        <f>_xlfn.IFNA(VLOOKUP(Sheet1!C382,ADMIX_SS!A:B,2,FALSE),"none")</f>
        <v>SubSample</v>
      </c>
      <c r="AO382" s="16" t="str">
        <f>_xlfn.IFNA(VLOOKUP(Sheet1!$C382,MONG_PHYLO!A:C,3,FALSE),"-")</f>
        <v>-</v>
      </c>
      <c r="AP382" s="16" t="str">
        <f>_xlfn.IFNA(VLOOKUP(Sheet1!$C382,MAC_PHYLO!A:C,3,FALSE),"-")</f>
        <v>-</v>
      </c>
      <c r="AQ382" s="16" t="str">
        <f>_xlfn.IFNA(VLOOKUP(Sheet1!$C382,ConStruct!A:C,3,FALSE),"-")</f>
        <v>ConStruct</v>
      </c>
      <c r="AR382" s="16" t="str">
        <f>_xlfn.IFNA(VLOOKUP(Sheet1!$C382,GEA!A:C,3,FALSE),"-")</f>
        <v>GEA</v>
      </c>
      <c r="AS382" s="16" t="str">
        <f>_xlfn.IFNA(VLOOKUP(Sheet1!$C382,MAC_DSUITE!A:D,3,FALSE),"-")</f>
        <v>mac_NY_SSP</v>
      </c>
      <c r="AT382" s="16" t="str">
        <f>_xlfn.IFNA(VLOOKUP(Sheet1!$C382,MONG_DSUITE!A:E,2,FALSE),"-")</f>
        <v>macrocarpa_SSP</v>
      </c>
      <c r="AU382" s="16" t="str">
        <f>_xlfn.IFNA(VLOOKUP(Sheet1!$C382,MAC_PAINT2!A:D,4,FALSE),"-")</f>
        <v>-</v>
      </c>
      <c r="AV382" s="16" t="s">
        <v>9195</v>
      </c>
      <c r="AW382" s="16" t="s">
        <v>9193</v>
      </c>
    </row>
    <row r="383" spans="1:49" s="16" customFormat="1" x14ac:dyDescent="0.4">
      <c r="A383" s="16">
        <v>3834</v>
      </c>
      <c r="B383" s="16" t="s">
        <v>1752</v>
      </c>
      <c r="C383" s="16" t="s">
        <v>1753</v>
      </c>
      <c r="D383" s="16" t="str">
        <f>_xlfn.CONCAT(C383,".bam")</f>
        <v>SYST-MOR-0007071.bam</v>
      </c>
      <c r="E383" s="16" t="s">
        <v>1754</v>
      </c>
      <c r="F383" s="16" t="s">
        <v>2448</v>
      </c>
      <c r="G383" s="16" t="s">
        <v>2452</v>
      </c>
      <c r="H383" s="16" t="s">
        <v>2540</v>
      </c>
      <c r="I383" s="16" t="s">
        <v>1756</v>
      </c>
      <c r="K383" s="16" t="s">
        <v>45</v>
      </c>
      <c r="L383" s="16" t="s">
        <v>45</v>
      </c>
      <c r="N383" s="16" t="s">
        <v>45</v>
      </c>
      <c r="P383" s="16" t="s">
        <v>31</v>
      </c>
      <c r="Q383" s="16" t="s">
        <v>46</v>
      </c>
      <c r="R383" s="16" t="s">
        <v>2597</v>
      </c>
      <c r="S383" s="17">
        <v>44790</v>
      </c>
      <c r="T383" s="16" t="s">
        <v>33</v>
      </c>
      <c r="U383" s="16" t="s">
        <v>34</v>
      </c>
      <c r="V383" s="17">
        <v>44796</v>
      </c>
      <c r="W383" s="16" t="s">
        <v>35</v>
      </c>
      <c r="X383" s="16" t="s">
        <v>1654</v>
      </c>
      <c r="Y383" s="16" t="s">
        <v>1755</v>
      </c>
      <c r="Z383" s="16" t="s">
        <v>38</v>
      </c>
      <c r="AA383" s="16" t="s">
        <v>1756</v>
      </c>
      <c r="AD383" s="16" t="s">
        <v>45</v>
      </c>
      <c r="AE383" s="16">
        <v>44.101258999999999</v>
      </c>
      <c r="AF383" s="16">
        <v>-76.074804999999998</v>
      </c>
      <c r="AG383" s="16" t="s">
        <v>40</v>
      </c>
      <c r="AH383" s="16" t="s">
        <v>41</v>
      </c>
      <c r="AI383" s="16">
        <v>44.101446862400003</v>
      </c>
      <c r="AJ383" s="16">
        <v>-76.074779816000003</v>
      </c>
      <c r="AK383" s="16">
        <v>1.8786240000423504E-4</v>
      </c>
      <c r="AL383" s="16">
        <v>2.518399999473786E-5</v>
      </c>
      <c r="AM383" s="16" t="str">
        <f>_xlfn.IFNA(VLOOKUP(Sheet1!$C383,ADMIX_ALL!A:B,2,FALSE),"none")</f>
        <v>K6-18</v>
      </c>
      <c r="AN383" s="16" t="str">
        <f>_xlfn.IFNA(VLOOKUP(Sheet1!C383,ADMIX_SS!A:B,2,FALSE),"none")</f>
        <v>SubSample</v>
      </c>
      <c r="AO383" s="16" t="str">
        <f>_xlfn.IFNA(VLOOKUP(Sheet1!$C383,MONG_PHYLO!A:C,3,FALSE),"-")</f>
        <v>-</v>
      </c>
      <c r="AP383" s="16" t="str">
        <f>_xlfn.IFNA(VLOOKUP(Sheet1!$C383,MAC_PHYLO!A:C,3,FALSE),"-")</f>
        <v>-</v>
      </c>
      <c r="AQ383" s="16" t="str">
        <f>_xlfn.IFNA(VLOOKUP(Sheet1!$C383,ConStruct!A:C,3,FALSE),"-")</f>
        <v>ConStruct</v>
      </c>
      <c r="AR383" s="16" t="str">
        <f>_xlfn.IFNA(VLOOKUP(Sheet1!$C383,GEA!A:C,3,FALSE),"-")</f>
        <v>GEA</v>
      </c>
      <c r="AS383" s="16" t="str">
        <f>_xlfn.IFNA(VLOOKUP(Sheet1!$C383,MAC_DSUITE!A:D,3,FALSE),"-")</f>
        <v>mac_NY_CMB</v>
      </c>
      <c r="AT383" s="16" t="str">
        <f>_xlfn.IFNA(VLOOKUP(Sheet1!$C383,MONG_DSUITE!A:E,2,FALSE),"-")</f>
        <v>macrocarpa_CMB</v>
      </c>
      <c r="AU383" s="16" t="str">
        <f>_xlfn.IFNA(VLOOKUP(Sheet1!$C383,MAC_PAINT2!A:D,4,FALSE),"-")</f>
        <v>-</v>
      </c>
      <c r="AV383" s="16" t="s">
        <v>9195</v>
      </c>
      <c r="AW383" s="16" t="s">
        <v>9193</v>
      </c>
    </row>
    <row r="384" spans="1:49" customFormat="1" x14ac:dyDescent="0.4">
      <c r="A384">
        <v>3835</v>
      </c>
      <c r="B384" t="s">
        <v>1757</v>
      </c>
      <c r="C384" t="s">
        <v>1758</v>
      </c>
      <c r="D384" t="str">
        <f>_xlfn.CONCAT(C384,".bam")</f>
        <v>SYST-MOR-0007072.bam</v>
      </c>
      <c r="E384" t="s">
        <v>1759</v>
      </c>
      <c r="F384" t="s">
        <v>2448</v>
      </c>
      <c r="G384" t="s">
        <v>2452</v>
      </c>
      <c r="H384" t="s">
        <v>2540</v>
      </c>
      <c r="I384" t="s">
        <v>1756</v>
      </c>
      <c r="K384" t="s">
        <v>45</v>
      </c>
      <c r="L384" t="s">
        <v>45</v>
      </c>
      <c r="N384" t="s">
        <v>45</v>
      </c>
      <c r="P384" t="s">
        <v>31</v>
      </c>
      <c r="Q384" t="s">
        <v>46</v>
      </c>
      <c r="R384" t="s">
        <v>2597</v>
      </c>
      <c r="S384" s="1">
        <v>44790</v>
      </c>
      <c r="T384" t="s">
        <v>33</v>
      </c>
      <c r="U384" t="s">
        <v>34</v>
      </c>
      <c r="V384" s="1">
        <v>44796</v>
      </c>
      <c r="W384" t="s">
        <v>35</v>
      </c>
      <c r="X384" t="s">
        <v>1654</v>
      </c>
      <c r="Y384" t="s">
        <v>1760</v>
      </c>
      <c r="Z384" t="s">
        <v>38</v>
      </c>
      <c r="AA384" t="s">
        <v>1756</v>
      </c>
      <c r="AD384" t="s">
        <v>45</v>
      </c>
      <c r="AE384">
        <v>44.099711999999997</v>
      </c>
      <c r="AF384">
        <v>-76.075817999999998</v>
      </c>
      <c r="AG384" t="s">
        <v>40</v>
      </c>
      <c r="AH384" t="s">
        <v>41</v>
      </c>
      <c r="AI384">
        <v>44.099611141799997</v>
      </c>
      <c r="AJ384">
        <v>-76.075925370700006</v>
      </c>
      <c r="AK384">
        <v>-1.0085819999972045E-4</v>
      </c>
      <c r="AL384">
        <v>-1.0737070000743643E-4</v>
      </c>
      <c r="AM384" t="str">
        <f>_xlfn.IFNA(VLOOKUP(Sheet1!$C384,ADMIX_ALL!A:B,2,FALSE),"none")</f>
        <v>K6-18</v>
      </c>
      <c r="AN384" t="str">
        <f>_xlfn.IFNA(VLOOKUP(Sheet1!C384,ADMIX_SS!A:B,2,FALSE),"none")</f>
        <v>SubSample</v>
      </c>
      <c r="AO384" t="str">
        <f>_xlfn.IFNA(VLOOKUP(Sheet1!$C384,MONG_PHYLO!A:C,3,FALSE),"-")</f>
        <v>-</v>
      </c>
      <c r="AP384" t="str">
        <f>_xlfn.IFNA(VLOOKUP(Sheet1!$C384,MAC_PHYLO!A:C,3,FALSE),"-")</f>
        <v>-</v>
      </c>
      <c r="AQ384" t="str">
        <f>_xlfn.IFNA(VLOOKUP(Sheet1!$C384,ConStruct!A:C,3,FALSE),"-")</f>
        <v>ConStruct</v>
      </c>
      <c r="AR384" t="str">
        <f>_xlfn.IFNA(VLOOKUP(Sheet1!$C384,GEA!A:C,3,FALSE),"-")</f>
        <v>GEA</v>
      </c>
      <c r="AS384" t="str">
        <f>_xlfn.IFNA(VLOOKUP(Sheet1!$C384,MAC_DSUITE!A:D,3,FALSE),"-")</f>
        <v>mac_NY_CMB</v>
      </c>
      <c r="AT384" t="str">
        <f>_xlfn.IFNA(VLOOKUP(Sheet1!$C384,MONG_DSUITE!A:E,2,FALSE),"-")</f>
        <v>macrocarpa_CMB</v>
      </c>
      <c r="AU384" t="str">
        <f>_xlfn.IFNA(VLOOKUP(Sheet1!$C384,MAC_PAINT2!A:D,4,FALSE),"-")</f>
        <v>macpaint</v>
      </c>
      <c r="AV384" t="s">
        <v>9193</v>
      </c>
      <c r="AW384" t="s">
        <v>9193</v>
      </c>
    </row>
    <row r="385" spans="1:49" customFormat="1" x14ac:dyDescent="0.4">
      <c r="A385">
        <v>3836</v>
      </c>
      <c r="B385" t="s">
        <v>1761</v>
      </c>
      <c r="C385" t="s">
        <v>1762</v>
      </c>
      <c r="D385" t="str">
        <f>_xlfn.CONCAT(C385,".bam")</f>
        <v>SYST-MOR-0007073.bam</v>
      </c>
      <c r="E385" t="s">
        <v>1763</v>
      </c>
      <c r="F385" t="s">
        <v>2448</v>
      </c>
      <c r="G385" t="s">
        <v>2452</v>
      </c>
      <c r="H385" t="s">
        <v>2540</v>
      </c>
      <c r="I385" t="s">
        <v>1756</v>
      </c>
      <c r="K385" t="s">
        <v>45</v>
      </c>
      <c r="L385" t="s">
        <v>45</v>
      </c>
      <c r="N385" t="s">
        <v>45</v>
      </c>
      <c r="P385" t="s">
        <v>31</v>
      </c>
      <c r="Q385" t="s">
        <v>46</v>
      </c>
      <c r="R385" t="s">
        <v>2597</v>
      </c>
      <c r="S385" s="1">
        <v>44790</v>
      </c>
      <c r="T385" t="s">
        <v>33</v>
      </c>
      <c r="U385" t="s">
        <v>34</v>
      </c>
      <c r="V385" s="1">
        <v>44796</v>
      </c>
      <c r="W385" t="s">
        <v>35</v>
      </c>
      <c r="X385" t="s">
        <v>1654</v>
      </c>
      <c r="Y385" t="s">
        <v>1755</v>
      </c>
      <c r="Z385" t="s">
        <v>38</v>
      </c>
      <c r="AA385" t="s">
        <v>1756</v>
      </c>
      <c r="AD385" t="s">
        <v>45</v>
      </c>
      <c r="AE385">
        <v>44.098863999999999</v>
      </c>
      <c r="AF385">
        <v>-76.076791</v>
      </c>
      <c r="AG385" t="s">
        <v>40</v>
      </c>
      <c r="AH385" t="s">
        <v>41</v>
      </c>
      <c r="AI385">
        <v>44.098601457699999</v>
      </c>
      <c r="AJ385">
        <v>-76.076817121399998</v>
      </c>
      <c r="AK385">
        <v>-2.6254229999977952E-4</v>
      </c>
      <c r="AL385">
        <v>-2.6121399997691697E-5</v>
      </c>
      <c r="AM385" t="str">
        <f>_xlfn.IFNA(VLOOKUP(Sheet1!$C385,ADMIX_ALL!A:B,2,FALSE),"none")</f>
        <v>K6-18</v>
      </c>
      <c r="AN385" t="str">
        <f>_xlfn.IFNA(VLOOKUP(Sheet1!C385,ADMIX_SS!A:B,2,FALSE),"none")</f>
        <v>SubSample</v>
      </c>
      <c r="AO385" t="str">
        <f>_xlfn.IFNA(VLOOKUP(Sheet1!$C385,MONG_PHYLO!A:C,3,FALSE),"-")</f>
        <v>-</v>
      </c>
      <c r="AP385" t="str">
        <f>_xlfn.IFNA(VLOOKUP(Sheet1!$C385,MAC_PHYLO!A:C,3,FALSE),"-")</f>
        <v>-</v>
      </c>
      <c r="AQ385" t="str">
        <f>_xlfn.IFNA(VLOOKUP(Sheet1!$C385,ConStruct!A:C,3,FALSE),"-")</f>
        <v>ConStruct</v>
      </c>
      <c r="AR385" t="str">
        <f>_xlfn.IFNA(VLOOKUP(Sheet1!$C385,GEA!A:C,3,FALSE),"-")</f>
        <v>GEA</v>
      </c>
      <c r="AS385" t="str">
        <f>_xlfn.IFNA(VLOOKUP(Sheet1!$C385,MAC_DSUITE!A:D,3,FALSE),"-")</f>
        <v>mac_NY_CMB</v>
      </c>
      <c r="AT385" t="str">
        <f>_xlfn.IFNA(VLOOKUP(Sheet1!$C385,MONG_DSUITE!A:E,2,FALSE),"-")</f>
        <v>macrocarpa_CMB</v>
      </c>
      <c r="AU385" t="str">
        <f>_xlfn.IFNA(VLOOKUP(Sheet1!$C385,MAC_PAINT2!A:D,4,FALSE),"-")</f>
        <v>macpaint</v>
      </c>
      <c r="AV385" t="s">
        <v>9193</v>
      </c>
      <c r="AW385" t="s">
        <v>9193</v>
      </c>
    </row>
    <row r="386" spans="1:49" x14ac:dyDescent="0.4">
      <c r="A386" s="18">
        <v>3837</v>
      </c>
      <c r="B386" s="18" t="s">
        <v>1764</v>
      </c>
      <c r="C386" s="18" t="s">
        <v>1765</v>
      </c>
      <c r="D386" s="18" t="str">
        <f>_xlfn.CONCAT(C386,".bam")</f>
        <v>SYST-MOR-0007074.bam</v>
      </c>
      <c r="E386" s="18" t="s">
        <v>1766</v>
      </c>
      <c r="F386" s="18" t="s">
        <v>2448</v>
      </c>
      <c r="G386" s="18" t="s">
        <v>2452</v>
      </c>
      <c r="H386" s="18" t="s">
        <v>2540</v>
      </c>
      <c r="I386" s="18" t="s">
        <v>1756</v>
      </c>
      <c r="K386" s="18" t="s">
        <v>45</v>
      </c>
      <c r="L386" s="18" t="s">
        <v>45</v>
      </c>
      <c r="N386" s="18" t="s">
        <v>45</v>
      </c>
      <c r="P386" s="18" t="s">
        <v>31</v>
      </c>
      <c r="Q386" s="18" t="s">
        <v>46</v>
      </c>
      <c r="R386" s="18" t="s">
        <v>2597</v>
      </c>
      <c r="S386" s="19">
        <v>44790</v>
      </c>
      <c r="T386" s="18" t="s">
        <v>33</v>
      </c>
      <c r="U386" s="18" t="s">
        <v>34</v>
      </c>
      <c r="V386" s="19">
        <v>44796</v>
      </c>
      <c r="W386" s="18" t="s">
        <v>35</v>
      </c>
      <c r="X386" s="18" t="s">
        <v>1654</v>
      </c>
      <c r="Y386" s="18" t="s">
        <v>1760</v>
      </c>
      <c r="Z386" s="18" t="s">
        <v>38</v>
      </c>
      <c r="AA386" s="18" t="s">
        <v>1756</v>
      </c>
      <c r="AD386" s="18" t="s">
        <v>45</v>
      </c>
      <c r="AE386" s="18">
        <v>44.098672999999998</v>
      </c>
      <c r="AF386" s="18">
        <v>-76.078697000000005</v>
      </c>
      <c r="AG386" s="18" t="s">
        <v>40</v>
      </c>
      <c r="AH386" s="18" t="s">
        <v>41</v>
      </c>
      <c r="AI386" s="18">
        <v>44.098671362799998</v>
      </c>
      <c r="AJ386" s="18">
        <v>-76.078800782599998</v>
      </c>
      <c r="AK386" s="18">
        <v>-1.6372000004594156E-6</v>
      </c>
      <c r="AL386" s="18">
        <v>-1.0378259999299644E-4</v>
      </c>
      <c r="AM386" s="18" t="str">
        <f>_xlfn.IFNA(VLOOKUP(Sheet1!$C386,ADMIX_ALL!A:B,2,FALSE),"none")</f>
        <v>K6-18</v>
      </c>
      <c r="AN386" s="18" t="str">
        <f>_xlfn.IFNA(VLOOKUP(Sheet1!C386,ADMIX_SS!A:B,2,FALSE),"none")</f>
        <v>SubSample</v>
      </c>
      <c r="AO386" s="18" t="str">
        <f>_xlfn.IFNA(VLOOKUP(Sheet1!$C386,MONG_PHYLO!A:C,3,FALSE),"-")</f>
        <v>-</v>
      </c>
      <c r="AP386" s="18" t="str">
        <f>_xlfn.IFNA(VLOOKUP(Sheet1!$C386,MAC_PHYLO!A:C,3,FALSE),"-")</f>
        <v>-</v>
      </c>
      <c r="AQ386" s="18" t="str">
        <f>_xlfn.IFNA(VLOOKUP(Sheet1!$C386,ConStruct!A:C,3,FALSE),"-")</f>
        <v>ConStruct</v>
      </c>
      <c r="AR386" s="18" t="str">
        <f>_xlfn.IFNA(VLOOKUP(Sheet1!$C386,GEA!A:C,3,FALSE),"-")</f>
        <v>-</v>
      </c>
      <c r="AS386" s="18" t="str">
        <f>_xlfn.IFNA(VLOOKUP(Sheet1!$C386,MAC_DSUITE!A:D,3,FALSE),"-")</f>
        <v>-</v>
      </c>
      <c r="AT386" s="18" t="str">
        <f>_xlfn.IFNA(VLOOKUP(Sheet1!$C386,MONG_DSUITE!A:E,2,FALSE),"-")</f>
        <v>macrocarpa_CMB</v>
      </c>
      <c r="AU386" s="18" t="str">
        <f>_xlfn.IFNA(VLOOKUP(Sheet1!$C386,MAC_PAINT2!A:D,4,FALSE),"-")</f>
        <v>-</v>
      </c>
      <c r="AV386" s="18" t="s">
        <v>9195</v>
      </c>
      <c r="AW386" s="18" t="s">
        <v>9196</v>
      </c>
    </row>
    <row r="387" spans="1:49" customFormat="1" x14ac:dyDescent="0.4">
      <c r="A387">
        <v>3838</v>
      </c>
      <c r="B387" t="s">
        <v>1767</v>
      </c>
      <c r="C387" t="s">
        <v>1768</v>
      </c>
      <c r="D387" t="str">
        <f>_xlfn.CONCAT(C387,".bam")</f>
        <v>SYST-MOR-0007075.bam</v>
      </c>
      <c r="E387" t="s">
        <v>1769</v>
      </c>
      <c r="F387" t="s">
        <v>2448</v>
      </c>
      <c r="G387" t="s">
        <v>2452</v>
      </c>
      <c r="H387" t="s">
        <v>2540</v>
      </c>
      <c r="I387" t="s">
        <v>1756</v>
      </c>
      <c r="K387" t="s">
        <v>64</v>
      </c>
      <c r="L387" t="s">
        <v>64</v>
      </c>
      <c r="N387" t="s">
        <v>64</v>
      </c>
      <c r="P387" t="s">
        <v>31</v>
      </c>
      <c r="Q387" t="s">
        <v>65</v>
      </c>
      <c r="R387" t="s">
        <v>2599</v>
      </c>
      <c r="S387" s="1">
        <v>44790</v>
      </c>
      <c r="T387" t="s">
        <v>33</v>
      </c>
      <c r="U387" t="s">
        <v>34</v>
      </c>
      <c r="V387" s="1">
        <v>44796</v>
      </c>
      <c r="W387" t="s">
        <v>35</v>
      </c>
      <c r="X387" t="s">
        <v>1654</v>
      </c>
      <c r="Y387" t="s">
        <v>1755</v>
      </c>
      <c r="Z387" t="s">
        <v>38</v>
      </c>
      <c r="AA387" t="s">
        <v>1756</v>
      </c>
      <c r="AD387" t="s">
        <v>64</v>
      </c>
      <c r="AE387">
        <v>44.098024000000002</v>
      </c>
      <c r="AF387">
        <v>-76.079464000000002</v>
      </c>
      <c r="AG387" t="s">
        <v>40</v>
      </c>
      <c r="AH387" t="s">
        <v>41</v>
      </c>
      <c r="AI387">
        <v>44.098207172999999</v>
      </c>
      <c r="AJ387">
        <v>-76.079331189499996</v>
      </c>
      <c r="AK387">
        <v>1.8317299999637271E-4</v>
      </c>
      <c r="AL387">
        <v>1.328105000055757E-4</v>
      </c>
      <c r="AM387" t="str">
        <f>_xlfn.IFNA(VLOOKUP(Sheet1!$C387,ADMIX_ALL!A:B,2,FALSE),"none")</f>
        <v>K6-18</v>
      </c>
      <c r="AN387" t="str">
        <f>_xlfn.IFNA(VLOOKUP(Sheet1!C387,ADMIX_SS!A:B,2,FALSE),"none")</f>
        <v>SubSample</v>
      </c>
      <c r="AO387" t="str">
        <f>_xlfn.IFNA(VLOOKUP(Sheet1!$C387,MONG_PHYLO!A:C,3,FALSE),"-")</f>
        <v>-</v>
      </c>
      <c r="AP387" t="str">
        <f>_xlfn.IFNA(VLOOKUP(Sheet1!$C387,MAC_PHYLO!A:C,3,FALSE),"-")</f>
        <v>-</v>
      </c>
      <c r="AQ387" t="str">
        <f>_xlfn.IFNA(VLOOKUP(Sheet1!$C387,ConStruct!A:C,3,FALSE),"-")</f>
        <v>-</v>
      </c>
      <c r="AR387" t="str">
        <f>_xlfn.IFNA(VLOOKUP(Sheet1!$C387,GEA!A:C,3,FALSE),"-")</f>
        <v>-</v>
      </c>
      <c r="AS387" t="str">
        <f>_xlfn.IFNA(VLOOKUP(Sheet1!$C387,MAC_DSUITE!A:D,3,FALSE),"-")</f>
        <v>-</v>
      </c>
      <c r="AT387" t="str">
        <f>_xlfn.IFNA(VLOOKUP(Sheet1!$C387,MONG_DSUITE!A:E,2,FALSE),"-")</f>
        <v>xxx</v>
      </c>
      <c r="AU387" t="str">
        <f>_xlfn.IFNA(VLOOKUP(Sheet1!$C387,MAC_PAINT2!A:D,4,FALSE),"-")</f>
        <v>-</v>
      </c>
    </row>
    <row r="388" spans="1:49" s="16" customFormat="1" x14ac:dyDescent="0.4">
      <c r="A388" s="16">
        <v>3839</v>
      </c>
      <c r="B388" s="16" t="s">
        <v>1770</v>
      </c>
      <c r="C388" s="16" t="s">
        <v>1771</v>
      </c>
      <c r="D388" s="16" t="str">
        <f>_xlfn.CONCAT(C388,".bam")</f>
        <v>SYST-MOR-0007076.bam</v>
      </c>
      <c r="E388" s="16" t="s">
        <v>1772</v>
      </c>
      <c r="F388" s="16" t="s">
        <v>2448</v>
      </c>
      <c r="G388" s="16" t="s">
        <v>2452</v>
      </c>
      <c r="H388" s="16" t="s">
        <v>2540</v>
      </c>
      <c r="I388" s="16" t="s">
        <v>1756</v>
      </c>
      <c r="K388" s="16" t="s">
        <v>45</v>
      </c>
      <c r="L388" s="16" t="s">
        <v>45</v>
      </c>
      <c r="N388" s="16" t="s">
        <v>45</v>
      </c>
      <c r="P388" s="16" t="s">
        <v>31</v>
      </c>
      <c r="Q388" s="16" t="s">
        <v>46</v>
      </c>
      <c r="R388" s="16" t="s">
        <v>2597</v>
      </c>
      <c r="S388" s="17">
        <v>44790</v>
      </c>
      <c r="T388" s="16" t="s">
        <v>33</v>
      </c>
      <c r="U388" s="16" t="s">
        <v>34</v>
      </c>
      <c r="V388" s="17">
        <v>44796</v>
      </c>
      <c r="W388" s="16" t="s">
        <v>35</v>
      </c>
      <c r="X388" s="16" t="s">
        <v>1654</v>
      </c>
      <c r="Y388" s="16" t="s">
        <v>1760</v>
      </c>
      <c r="Z388" s="16" t="s">
        <v>38</v>
      </c>
      <c r="AA388" s="16" t="s">
        <v>1756</v>
      </c>
      <c r="AD388" s="16" t="s">
        <v>45</v>
      </c>
      <c r="AE388" s="16">
        <v>44.097946999999998</v>
      </c>
      <c r="AF388" s="16">
        <v>-76.079857000000004</v>
      </c>
      <c r="AG388" s="16" t="s">
        <v>40</v>
      </c>
      <c r="AH388" s="16" t="s">
        <v>41</v>
      </c>
      <c r="AI388" s="16">
        <v>44.098000265700001</v>
      </c>
      <c r="AJ388" s="16">
        <v>-76.079870564900006</v>
      </c>
      <c r="AK388" s="16">
        <v>5.3265700003635175E-5</v>
      </c>
      <c r="AL388" s="16">
        <v>-1.3564900001483693E-5</v>
      </c>
      <c r="AM388" s="16" t="str">
        <f>_xlfn.IFNA(VLOOKUP(Sheet1!$C388,ADMIX_ALL!A:B,2,FALSE),"none")</f>
        <v>K6-18</v>
      </c>
      <c r="AN388" s="16" t="str">
        <f>_xlfn.IFNA(VLOOKUP(Sheet1!C388,ADMIX_SS!A:B,2,FALSE),"none")</f>
        <v>SubSample</v>
      </c>
      <c r="AO388" s="16" t="str">
        <f>_xlfn.IFNA(VLOOKUP(Sheet1!$C388,MONG_PHYLO!A:C,3,FALSE),"-")</f>
        <v>-</v>
      </c>
      <c r="AP388" s="16" t="str">
        <f>_xlfn.IFNA(VLOOKUP(Sheet1!$C388,MAC_PHYLO!A:C,3,FALSE),"-")</f>
        <v>-</v>
      </c>
      <c r="AQ388" s="16" t="str">
        <f>_xlfn.IFNA(VLOOKUP(Sheet1!$C388,ConStruct!A:C,3,FALSE),"-")</f>
        <v>ConStruct</v>
      </c>
      <c r="AR388" s="16" t="str">
        <f>_xlfn.IFNA(VLOOKUP(Sheet1!$C388,GEA!A:C,3,FALSE),"-")</f>
        <v>GEA</v>
      </c>
      <c r="AS388" s="16" t="str">
        <f>_xlfn.IFNA(VLOOKUP(Sheet1!$C388,MAC_DSUITE!A:D,3,FALSE),"-")</f>
        <v>mac_NY_CMB</v>
      </c>
      <c r="AT388" s="16" t="str">
        <f>_xlfn.IFNA(VLOOKUP(Sheet1!$C388,MONG_DSUITE!A:E,2,FALSE),"-")</f>
        <v>macrocarpa_CMB</v>
      </c>
      <c r="AU388" s="16" t="str">
        <f>_xlfn.IFNA(VLOOKUP(Sheet1!$C388,MAC_PAINT2!A:D,4,FALSE),"-")</f>
        <v>-</v>
      </c>
      <c r="AV388" s="16" t="s">
        <v>9195</v>
      </c>
      <c r="AW388" s="16" t="s">
        <v>9193</v>
      </c>
    </row>
    <row r="389" spans="1:49" customFormat="1" x14ac:dyDescent="0.4">
      <c r="A389">
        <v>3840</v>
      </c>
      <c r="B389" t="s">
        <v>1773</v>
      </c>
      <c r="C389" t="s">
        <v>1774</v>
      </c>
      <c r="D389" t="str">
        <f>_xlfn.CONCAT(C389,".bam")</f>
        <v>SYST-MOR-0007077.bam</v>
      </c>
      <c r="E389" t="s">
        <v>1775</v>
      </c>
      <c r="F389" t="s">
        <v>2448</v>
      </c>
      <c r="G389" t="s">
        <v>2452</v>
      </c>
      <c r="H389" t="s">
        <v>2540</v>
      </c>
      <c r="I389" t="s">
        <v>1756</v>
      </c>
      <c r="K389" t="s">
        <v>8557</v>
      </c>
      <c r="L389" t="s">
        <v>64</v>
      </c>
      <c r="N389" t="s">
        <v>64</v>
      </c>
      <c r="P389" t="s">
        <v>31</v>
      </c>
      <c r="Q389" t="s">
        <v>65</v>
      </c>
      <c r="R389" t="s">
        <v>2599</v>
      </c>
      <c r="S389" s="1">
        <v>44790</v>
      </c>
      <c r="T389" t="s">
        <v>33</v>
      </c>
      <c r="U389" t="s">
        <v>34</v>
      </c>
      <c r="V389" s="1">
        <v>44796</v>
      </c>
      <c r="W389" t="s">
        <v>35</v>
      </c>
      <c r="X389" t="s">
        <v>1654</v>
      </c>
      <c r="Y389" t="s">
        <v>1755</v>
      </c>
      <c r="Z389" t="s">
        <v>38</v>
      </c>
      <c r="AA389" t="s">
        <v>1756</v>
      </c>
      <c r="AD389" t="s">
        <v>64</v>
      </c>
      <c r="AE389">
        <v>44.097900000000003</v>
      </c>
      <c r="AF389">
        <v>-76.080360999999996</v>
      </c>
      <c r="AG389" t="s">
        <v>40</v>
      </c>
      <c r="AH389" t="s">
        <v>41</v>
      </c>
      <c r="AI389">
        <v>44.097956051200001</v>
      </c>
      <c r="AJ389">
        <v>-76.080299215500006</v>
      </c>
      <c r="AK389">
        <v>5.6051199997853018E-5</v>
      </c>
      <c r="AL389">
        <v>6.1784499990835684E-5</v>
      </c>
      <c r="AM389" t="str">
        <f>_xlfn.IFNA(VLOOKUP(Sheet1!$C389,ADMIX_ALL!A:B,2,FALSE),"none")</f>
        <v>K6-18</v>
      </c>
      <c r="AN389" t="str">
        <f>_xlfn.IFNA(VLOOKUP(Sheet1!C389,ADMIX_SS!A:B,2,FALSE),"none")</f>
        <v>SubSample</v>
      </c>
      <c r="AO389" t="str">
        <f>_xlfn.IFNA(VLOOKUP(Sheet1!$C389,MONG_PHYLO!A:C,3,FALSE),"-")</f>
        <v>-</v>
      </c>
      <c r="AP389" t="str">
        <f>_xlfn.IFNA(VLOOKUP(Sheet1!$C389,MAC_PHYLO!A:C,3,FALSE),"-")</f>
        <v>-</v>
      </c>
      <c r="AQ389" t="str">
        <f>_xlfn.IFNA(VLOOKUP(Sheet1!$C389,ConStruct!A:C,3,FALSE),"-")</f>
        <v>-</v>
      </c>
      <c r="AR389" t="str">
        <f>_xlfn.IFNA(VLOOKUP(Sheet1!$C389,GEA!A:C,3,FALSE),"-")</f>
        <v>-</v>
      </c>
      <c r="AS389" t="str">
        <f>_xlfn.IFNA(VLOOKUP(Sheet1!$C389,MAC_DSUITE!A:D,3,FALSE),"-")</f>
        <v>-</v>
      </c>
      <c r="AT389" t="str">
        <f>_xlfn.IFNA(VLOOKUP(Sheet1!$C389,MONG_DSUITE!A:E,2,FALSE),"-")</f>
        <v>xxx</v>
      </c>
      <c r="AU389" t="str">
        <f>_xlfn.IFNA(VLOOKUP(Sheet1!$C389,MAC_PAINT2!A:D,4,FALSE),"-")</f>
        <v>-</v>
      </c>
    </row>
    <row r="390" spans="1:49" customFormat="1" x14ac:dyDescent="0.4">
      <c r="A390">
        <v>3841</v>
      </c>
      <c r="B390" t="s">
        <v>1776</v>
      </c>
      <c r="C390" t="s">
        <v>1777</v>
      </c>
      <c r="D390" t="str">
        <f>_xlfn.CONCAT(C390,".bam")</f>
        <v>SYST-MOR-0007078.bam</v>
      </c>
      <c r="E390" t="s">
        <v>1778</v>
      </c>
      <c r="F390" t="s">
        <v>2448</v>
      </c>
      <c r="G390" t="s">
        <v>2452</v>
      </c>
      <c r="H390" t="s">
        <v>2540</v>
      </c>
      <c r="I390" t="s">
        <v>1756</v>
      </c>
      <c r="K390" t="s">
        <v>64</v>
      </c>
      <c r="L390" t="s">
        <v>64</v>
      </c>
      <c r="N390" t="s">
        <v>64</v>
      </c>
      <c r="P390" t="s">
        <v>31</v>
      </c>
      <c r="Q390" t="s">
        <v>65</v>
      </c>
      <c r="R390" t="s">
        <v>2599</v>
      </c>
      <c r="S390" s="1">
        <v>44790</v>
      </c>
      <c r="T390" t="s">
        <v>33</v>
      </c>
      <c r="U390" t="s">
        <v>34</v>
      </c>
      <c r="V390" s="1">
        <v>44796</v>
      </c>
      <c r="W390" t="s">
        <v>35</v>
      </c>
      <c r="X390" t="s">
        <v>1654</v>
      </c>
      <c r="Y390" t="s">
        <v>1760</v>
      </c>
      <c r="Z390" t="s">
        <v>38</v>
      </c>
      <c r="AA390" t="s">
        <v>1756</v>
      </c>
      <c r="AD390" t="s">
        <v>64</v>
      </c>
      <c r="AE390">
        <v>44.099964</v>
      </c>
      <c r="AF390">
        <v>-76.075710000000001</v>
      </c>
      <c r="AG390" t="s">
        <v>40</v>
      </c>
      <c r="AH390" t="s">
        <v>41</v>
      </c>
      <c r="AI390">
        <v>44.0999882017</v>
      </c>
      <c r="AJ390">
        <v>-76.075804168399998</v>
      </c>
      <c r="AK390">
        <v>2.4201700000503479E-5</v>
      </c>
      <c r="AL390">
        <v>-9.4168399996874541E-5</v>
      </c>
      <c r="AM390" t="str">
        <f>_xlfn.IFNA(VLOOKUP(Sheet1!$C390,ADMIX_ALL!A:B,2,FALSE),"none")</f>
        <v>K6-18</v>
      </c>
      <c r="AN390" t="str">
        <f>_xlfn.IFNA(VLOOKUP(Sheet1!C390,ADMIX_SS!A:B,2,FALSE),"none")</f>
        <v>SubSample</v>
      </c>
      <c r="AO390" t="str">
        <f>_xlfn.IFNA(VLOOKUP(Sheet1!$C390,MONG_PHYLO!A:C,3,FALSE),"-")</f>
        <v>-</v>
      </c>
      <c r="AP390" t="str">
        <f>_xlfn.IFNA(VLOOKUP(Sheet1!$C390,MAC_PHYLO!A:C,3,FALSE),"-")</f>
        <v>-</v>
      </c>
      <c r="AQ390" t="str">
        <f>_xlfn.IFNA(VLOOKUP(Sheet1!$C390,ConStruct!A:C,3,FALSE),"-")</f>
        <v>-</v>
      </c>
      <c r="AR390" t="str">
        <f>_xlfn.IFNA(VLOOKUP(Sheet1!$C390,GEA!A:C,3,FALSE),"-")</f>
        <v>-</v>
      </c>
      <c r="AS390" t="str">
        <f>_xlfn.IFNA(VLOOKUP(Sheet1!$C390,MAC_DSUITE!A:D,3,FALSE),"-")</f>
        <v>-</v>
      </c>
      <c r="AT390" t="str">
        <f>_xlfn.IFNA(VLOOKUP(Sheet1!$C390,MONG_DSUITE!A:E,2,FALSE),"-")</f>
        <v>xxx</v>
      </c>
      <c r="AU390" t="str">
        <f>_xlfn.IFNA(VLOOKUP(Sheet1!$C390,MAC_PAINT2!A:D,4,FALSE),"-")</f>
        <v>-</v>
      </c>
    </row>
    <row r="391" spans="1:49" customFormat="1" x14ac:dyDescent="0.4">
      <c r="A391">
        <v>3842</v>
      </c>
      <c r="B391" t="s">
        <v>1779</v>
      </c>
      <c r="C391" t="s">
        <v>1780</v>
      </c>
      <c r="D391" t="str">
        <f>_xlfn.CONCAT(C391,".bam")</f>
        <v>SYST-MOR-0007079.bam</v>
      </c>
      <c r="E391" t="s">
        <v>1781</v>
      </c>
      <c r="F391" t="s">
        <v>2448</v>
      </c>
      <c r="G391" t="s">
        <v>2452</v>
      </c>
      <c r="H391" t="s">
        <v>2540</v>
      </c>
      <c r="I391" t="s">
        <v>1756</v>
      </c>
      <c r="K391" t="s">
        <v>64</v>
      </c>
      <c r="L391" t="s">
        <v>64</v>
      </c>
      <c r="N391" t="s">
        <v>64</v>
      </c>
      <c r="P391" t="s">
        <v>31</v>
      </c>
      <c r="Q391" t="s">
        <v>65</v>
      </c>
      <c r="R391" t="s">
        <v>2599</v>
      </c>
      <c r="S391" s="1">
        <v>44790</v>
      </c>
      <c r="T391" t="s">
        <v>33</v>
      </c>
      <c r="U391" t="s">
        <v>34</v>
      </c>
      <c r="V391" s="1">
        <v>44796</v>
      </c>
      <c r="W391" t="s">
        <v>35</v>
      </c>
      <c r="X391" t="s">
        <v>1654</v>
      </c>
      <c r="Y391" t="s">
        <v>1755</v>
      </c>
      <c r="Z391" t="s">
        <v>38</v>
      </c>
      <c r="AA391" t="s">
        <v>1756</v>
      </c>
      <c r="AD391" t="s">
        <v>64</v>
      </c>
      <c r="AE391">
        <v>44.100976000000003</v>
      </c>
      <c r="AF391">
        <v>-76.076863000000003</v>
      </c>
      <c r="AG391" t="s">
        <v>40</v>
      </c>
      <c r="AH391" t="s">
        <v>41</v>
      </c>
      <c r="AI391">
        <v>44.101026468000001</v>
      </c>
      <c r="AJ391">
        <v>-76.076854085600004</v>
      </c>
      <c r="AK391">
        <v>5.0467999997749757E-5</v>
      </c>
      <c r="AL391">
        <v>8.914399998616318E-6</v>
      </c>
      <c r="AM391" t="str">
        <f>_xlfn.IFNA(VLOOKUP(Sheet1!$C391,ADMIX_ALL!A:B,2,FALSE),"none")</f>
        <v>K6-18</v>
      </c>
      <c r="AN391" t="str">
        <f>_xlfn.IFNA(VLOOKUP(Sheet1!C391,ADMIX_SS!A:B,2,FALSE),"none")</f>
        <v>SubSample</v>
      </c>
      <c r="AO391" t="str">
        <f>_xlfn.IFNA(VLOOKUP(Sheet1!$C391,MONG_PHYLO!A:C,3,FALSE),"-")</f>
        <v>-</v>
      </c>
      <c r="AP391" t="str">
        <f>_xlfn.IFNA(VLOOKUP(Sheet1!$C391,MAC_PHYLO!A:C,3,FALSE),"-")</f>
        <v>-</v>
      </c>
      <c r="AQ391" t="str">
        <f>_xlfn.IFNA(VLOOKUP(Sheet1!$C391,ConStruct!A:C,3,FALSE),"-")</f>
        <v>-</v>
      </c>
      <c r="AR391" t="str">
        <f>_xlfn.IFNA(VLOOKUP(Sheet1!$C391,GEA!A:C,3,FALSE),"-")</f>
        <v>-</v>
      </c>
      <c r="AS391" t="str">
        <f>_xlfn.IFNA(VLOOKUP(Sheet1!$C391,MAC_DSUITE!A:D,3,FALSE),"-")</f>
        <v>-</v>
      </c>
      <c r="AT391" t="str">
        <f>_xlfn.IFNA(VLOOKUP(Sheet1!$C391,MONG_DSUITE!A:E,2,FALSE),"-")</f>
        <v>xxx</v>
      </c>
      <c r="AU391" t="str">
        <f>_xlfn.IFNA(VLOOKUP(Sheet1!$C391,MAC_PAINT2!A:D,4,FALSE),"-")</f>
        <v>-</v>
      </c>
    </row>
    <row r="392" spans="1:49" customFormat="1" x14ac:dyDescent="0.4">
      <c r="A392">
        <v>3843</v>
      </c>
      <c r="B392" t="s">
        <v>1782</v>
      </c>
      <c r="C392" t="s">
        <v>1783</v>
      </c>
      <c r="D392" t="str">
        <f>_xlfn.CONCAT(C392,".bam")</f>
        <v>SYST-MOR-0007080.bam</v>
      </c>
      <c r="E392" t="s">
        <v>1784</v>
      </c>
      <c r="F392" t="s">
        <v>2448</v>
      </c>
      <c r="G392" t="s">
        <v>2452</v>
      </c>
      <c r="H392" t="s">
        <v>2540</v>
      </c>
      <c r="I392" t="s">
        <v>1756</v>
      </c>
      <c r="K392" t="s">
        <v>64</v>
      </c>
      <c r="L392" t="s">
        <v>64</v>
      </c>
      <c r="N392" t="s">
        <v>64</v>
      </c>
      <c r="P392" t="s">
        <v>31</v>
      </c>
      <c r="Q392" t="s">
        <v>65</v>
      </c>
      <c r="R392" t="s">
        <v>2599</v>
      </c>
      <c r="S392" s="1">
        <v>44790</v>
      </c>
      <c r="T392" t="s">
        <v>33</v>
      </c>
      <c r="U392" t="s">
        <v>34</v>
      </c>
      <c r="V392" s="1">
        <v>44796</v>
      </c>
      <c r="W392" t="s">
        <v>35</v>
      </c>
      <c r="X392" t="s">
        <v>1654</v>
      </c>
      <c r="Y392" t="s">
        <v>1760</v>
      </c>
      <c r="Z392" t="s">
        <v>38</v>
      </c>
      <c r="AA392" t="s">
        <v>1756</v>
      </c>
      <c r="AD392" t="s">
        <v>64</v>
      </c>
      <c r="AE392">
        <v>44.102083</v>
      </c>
      <c r="AF392">
        <v>-76.078216999999995</v>
      </c>
      <c r="AG392" t="s">
        <v>40</v>
      </c>
      <c r="AH392" t="s">
        <v>41</v>
      </c>
      <c r="AI392">
        <v>44.102035313899997</v>
      </c>
      <c r="AJ392">
        <v>-76.078288732199994</v>
      </c>
      <c r="AK392">
        <v>-4.7686100003829779E-5</v>
      </c>
      <c r="AL392">
        <v>-7.1732199998564283E-5</v>
      </c>
      <c r="AM392" t="str">
        <f>_xlfn.IFNA(VLOOKUP(Sheet1!$C392,ADMIX_ALL!A:B,2,FALSE),"none")</f>
        <v>K6-18</v>
      </c>
      <c r="AN392" t="str">
        <f>_xlfn.IFNA(VLOOKUP(Sheet1!C392,ADMIX_SS!A:B,2,FALSE),"none")</f>
        <v>Constant</v>
      </c>
      <c r="AO392" t="str">
        <f>_xlfn.IFNA(VLOOKUP(Sheet1!$C392,MONG_PHYLO!A:C,3,FALSE),"-")</f>
        <v>alb</v>
      </c>
      <c r="AP392" t="str">
        <f>_xlfn.IFNA(VLOOKUP(Sheet1!$C392,MAC_PHYLO!A:C,3,FALSE),"-")</f>
        <v>-</v>
      </c>
      <c r="AQ392" t="str">
        <f>_xlfn.IFNA(VLOOKUP(Sheet1!$C392,ConStruct!A:C,3,FALSE),"-")</f>
        <v>-</v>
      </c>
      <c r="AR392" t="str">
        <f>_xlfn.IFNA(VLOOKUP(Sheet1!$C392,GEA!A:C,3,FALSE),"-")</f>
        <v>-</v>
      </c>
      <c r="AS392" t="str">
        <f>_xlfn.IFNA(VLOOKUP(Sheet1!$C392,MAC_DSUITE!A:D,3,FALSE),"-")</f>
        <v>-</v>
      </c>
      <c r="AT392" t="str">
        <f>_xlfn.IFNA(VLOOKUP(Sheet1!$C392,MONG_DSUITE!A:E,2,FALSE),"-")</f>
        <v>alba</v>
      </c>
      <c r="AU392" t="str">
        <f>_xlfn.IFNA(VLOOKUP(Sheet1!$C392,MAC_PAINT2!A:D,4,FALSE),"-")</f>
        <v>-</v>
      </c>
    </row>
    <row r="393" spans="1:49" customFormat="1" x14ac:dyDescent="0.4">
      <c r="A393">
        <v>3844</v>
      </c>
      <c r="B393" t="s">
        <v>2265</v>
      </c>
      <c r="C393" t="s">
        <v>2266</v>
      </c>
      <c r="D393" t="str">
        <f>_xlfn.CONCAT(C393,".bam")</f>
        <v>SYST-MOR-0007081.bam</v>
      </c>
      <c r="E393" t="s">
        <v>2267</v>
      </c>
      <c r="F393" t="s">
        <v>2466</v>
      </c>
      <c r="G393" t="s">
        <v>2467</v>
      </c>
      <c r="H393" t="s">
        <v>2554</v>
      </c>
      <c r="I393" t="s">
        <v>2270</v>
      </c>
      <c r="K393" t="s">
        <v>64</v>
      </c>
      <c r="L393" t="s">
        <v>64</v>
      </c>
      <c r="N393" t="s">
        <v>64</v>
      </c>
      <c r="P393" t="s">
        <v>31</v>
      </c>
      <c r="Q393" t="s">
        <v>65</v>
      </c>
      <c r="R393" t="s">
        <v>2599</v>
      </c>
      <c r="S393" s="1">
        <v>44791</v>
      </c>
      <c r="T393" t="s">
        <v>33</v>
      </c>
      <c r="U393" t="s">
        <v>34</v>
      </c>
      <c r="V393" s="1">
        <v>44796</v>
      </c>
      <c r="W393" t="s">
        <v>35</v>
      </c>
      <c r="X393" t="s">
        <v>2268</v>
      </c>
      <c r="Y393" t="s">
        <v>2269</v>
      </c>
      <c r="Z393" t="s">
        <v>38</v>
      </c>
      <c r="AA393" t="s">
        <v>2270</v>
      </c>
      <c r="AD393" t="s">
        <v>64</v>
      </c>
      <c r="AE393">
        <v>43.604565999999998</v>
      </c>
      <c r="AF393">
        <v>-73.180250999999998</v>
      </c>
      <c r="AG393" t="s">
        <v>40</v>
      </c>
      <c r="AH393" t="s">
        <v>41</v>
      </c>
      <c r="AI393">
        <v>43.604514123900003</v>
      </c>
      <c r="AJ393">
        <v>-73.180291727300002</v>
      </c>
      <c r="AK393">
        <v>-5.1876099995240565E-5</v>
      </c>
      <c r="AL393">
        <v>-4.0727300003595701E-5</v>
      </c>
      <c r="AM393" t="str">
        <f>_xlfn.IFNA(VLOOKUP(Sheet1!$C393,ADMIX_ALL!A:B,2,FALSE),"none")</f>
        <v>K6-18</v>
      </c>
      <c r="AN393" t="str">
        <f>_xlfn.IFNA(VLOOKUP(Sheet1!C393,ADMIX_SS!A:B,2,FALSE),"none")</f>
        <v>SubSample</v>
      </c>
      <c r="AO393" t="str">
        <f>_xlfn.IFNA(VLOOKUP(Sheet1!$C393,MONG_PHYLO!A:C,3,FALSE),"-")</f>
        <v>-</v>
      </c>
      <c r="AP393" t="str">
        <f>_xlfn.IFNA(VLOOKUP(Sheet1!$C393,MAC_PHYLO!A:C,3,FALSE),"-")</f>
        <v>-</v>
      </c>
      <c r="AQ393" t="str">
        <f>_xlfn.IFNA(VLOOKUP(Sheet1!$C393,ConStruct!A:C,3,FALSE),"-")</f>
        <v>-</v>
      </c>
      <c r="AR393" t="str">
        <f>_xlfn.IFNA(VLOOKUP(Sheet1!$C393,GEA!A:C,3,FALSE),"-")</f>
        <v>-</v>
      </c>
      <c r="AS393" t="str">
        <f>_xlfn.IFNA(VLOOKUP(Sheet1!$C393,MAC_DSUITE!A:D,3,FALSE),"-")</f>
        <v>-</v>
      </c>
      <c r="AT393" t="str">
        <f>_xlfn.IFNA(VLOOKUP(Sheet1!$C393,MONG_DSUITE!A:E,2,FALSE),"-")</f>
        <v>xxx</v>
      </c>
      <c r="AU393" t="str">
        <f>_xlfn.IFNA(VLOOKUP(Sheet1!$C393,MAC_PAINT2!A:D,4,FALSE),"-")</f>
        <v>-</v>
      </c>
    </row>
    <row r="394" spans="1:49" customFormat="1" x14ac:dyDescent="0.4">
      <c r="A394">
        <v>3845</v>
      </c>
      <c r="B394" t="s">
        <v>2271</v>
      </c>
      <c r="C394" t="s">
        <v>2272</v>
      </c>
      <c r="D394" t="str">
        <f>_xlfn.CONCAT(C394,".bam")</f>
        <v>SYST-MOR-0007082.bam</v>
      </c>
      <c r="E394" t="s">
        <v>2273</v>
      </c>
      <c r="F394" t="s">
        <v>2466</v>
      </c>
      <c r="G394" t="s">
        <v>2467</v>
      </c>
      <c r="H394" t="s">
        <v>2554</v>
      </c>
      <c r="I394" t="s">
        <v>2270</v>
      </c>
      <c r="K394" t="s">
        <v>45</v>
      </c>
      <c r="L394" t="s">
        <v>45</v>
      </c>
      <c r="N394" t="s">
        <v>45</v>
      </c>
      <c r="P394" t="s">
        <v>113</v>
      </c>
      <c r="Q394" t="s">
        <v>46</v>
      </c>
      <c r="R394" t="s">
        <v>2597</v>
      </c>
      <c r="S394" s="1">
        <v>44791</v>
      </c>
      <c r="T394" t="s">
        <v>33</v>
      </c>
      <c r="U394" t="s">
        <v>34</v>
      </c>
      <c r="V394" s="1">
        <v>44796</v>
      </c>
      <c r="W394" t="s">
        <v>35</v>
      </c>
      <c r="X394" t="s">
        <v>2268</v>
      </c>
      <c r="Y394" t="s">
        <v>2269</v>
      </c>
      <c r="Z394" t="s">
        <v>38</v>
      </c>
      <c r="AA394" t="s">
        <v>2270</v>
      </c>
      <c r="AD394" t="s">
        <v>45</v>
      </c>
      <c r="AE394">
        <v>43.601897000000001</v>
      </c>
      <c r="AF394">
        <v>-73.181962999999996</v>
      </c>
      <c r="AG394" t="s">
        <v>40</v>
      </c>
      <c r="AH394" t="s">
        <v>41</v>
      </c>
      <c r="AI394">
        <v>43.602051688400003</v>
      </c>
      <c r="AJ394">
        <v>-73.181909183100004</v>
      </c>
      <c r="AK394">
        <v>1.5468840000210093E-4</v>
      </c>
      <c r="AL394">
        <v>5.3816899992398248E-5</v>
      </c>
      <c r="AM394" t="str">
        <f>_xlfn.IFNA(VLOOKUP(Sheet1!$C394,ADMIX_ALL!A:B,2,FALSE),"none")</f>
        <v>K6-18</v>
      </c>
      <c r="AN394" t="str">
        <f>_xlfn.IFNA(VLOOKUP(Sheet1!C394,ADMIX_SS!A:B,2,FALSE),"none")</f>
        <v>SubSample</v>
      </c>
      <c r="AO394" t="str">
        <f>_xlfn.IFNA(VLOOKUP(Sheet1!$C394,MONG_PHYLO!A:C,3,FALSE),"-")</f>
        <v>-</v>
      </c>
      <c r="AP394" t="str">
        <f>_xlfn.IFNA(VLOOKUP(Sheet1!$C394,MAC_PHYLO!A:C,3,FALSE),"-")</f>
        <v>-</v>
      </c>
      <c r="AQ394" t="str">
        <f>_xlfn.IFNA(VLOOKUP(Sheet1!$C394,ConStruct!A:C,3,FALSE),"-")</f>
        <v>ConStruct</v>
      </c>
      <c r="AR394" t="str">
        <f>_xlfn.IFNA(VLOOKUP(Sheet1!$C394,GEA!A:C,3,FALSE),"-")</f>
        <v>-</v>
      </c>
      <c r="AS394" t="str">
        <f>_xlfn.IFNA(VLOOKUP(Sheet1!$C394,MAC_DSUITE!A:D,3,FALSE),"-")</f>
        <v>-</v>
      </c>
      <c r="AT394" t="str">
        <f>_xlfn.IFNA(VLOOKUP(Sheet1!$C394,MONG_DSUITE!A:E,2,FALSE),"-")</f>
        <v>xxx</v>
      </c>
      <c r="AU394" t="str">
        <f>_xlfn.IFNA(VLOOKUP(Sheet1!$C394,MAC_PAINT2!A:D,4,FALSE),"-")</f>
        <v>-</v>
      </c>
    </row>
    <row r="395" spans="1:49" customFormat="1" x14ac:dyDescent="0.4">
      <c r="A395">
        <v>3846</v>
      </c>
      <c r="B395" t="s">
        <v>2274</v>
      </c>
      <c r="C395" t="s">
        <v>2275</v>
      </c>
      <c r="D395" t="str">
        <f>_xlfn.CONCAT(C395,".bam")</f>
        <v>SYST-MOR-0007083.bam</v>
      </c>
      <c r="E395" t="s">
        <v>2276</v>
      </c>
      <c r="F395" t="s">
        <v>2466</v>
      </c>
      <c r="G395" t="s">
        <v>2467</v>
      </c>
      <c r="H395" t="s">
        <v>2554</v>
      </c>
      <c r="I395" t="s">
        <v>2270</v>
      </c>
      <c r="K395" t="s">
        <v>45</v>
      </c>
      <c r="L395" t="s">
        <v>45</v>
      </c>
      <c r="N395" t="s">
        <v>45</v>
      </c>
      <c r="P395" t="s">
        <v>31</v>
      </c>
      <c r="Q395" t="s">
        <v>46</v>
      </c>
      <c r="R395" t="s">
        <v>2597</v>
      </c>
      <c r="S395" s="1">
        <v>44791</v>
      </c>
      <c r="T395" t="s">
        <v>33</v>
      </c>
      <c r="U395" t="s">
        <v>34</v>
      </c>
      <c r="V395" s="1">
        <v>44796</v>
      </c>
      <c r="W395" t="s">
        <v>35</v>
      </c>
      <c r="X395" t="s">
        <v>2268</v>
      </c>
      <c r="Y395" t="s">
        <v>2269</v>
      </c>
      <c r="Z395" t="s">
        <v>38</v>
      </c>
      <c r="AA395" t="s">
        <v>2270</v>
      </c>
      <c r="AD395" t="s">
        <v>45</v>
      </c>
      <c r="AE395">
        <v>43.600834999999996</v>
      </c>
      <c r="AF395">
        <v>-73.182905000000005</v>
      </c>
      <c r="AG395" t="s">
        <v>40</v>
      </c>
      <c r="AH395" t="s">
        <v>41</v>
      </c>
      <c r="AI395">
        <v>43.601845661200002</v>
      </c>
      <c r="AJ395">
        <v>-73.181869452900003</v>
      </c>
      <c r="AK395">
        <v>1.0106612000058135E-3</v>
      </c>
      <c r="AL395">
        <v>1.0355471000025318E-3</v>
      </c>
      <c r="AM395" t="str">
        <f>_xlfn.IFNA(VLOOKUP(Sheet1!$C395,ADMIX_ALL!A:B,2,FALSE),"none")</f>
        <v>K6-18</v>
      </c>
      <c r="AN395" t="str">
        <f>_xlfn.IFNA(VLOOKUP(Sheet1!C395,ADMIX_SS!A:B,2,FALSE),"none")</f>
        <v>SubSample</v>
      </c>
      <c r="AO395" t="str">
        <f>_xlfn.IFNA(VLOOKUP(Sheet1!$C395,MONG_PHYLO!A:C,3,FALSE),"-")</f>
        <v>-</v>
      </c>
      <c r="AP395" t="str">
        <f>_xlfn.IFNA(VLOOKUP(Sheet1!$C395,MAC_PHYLO!A:C,3,FALSE),"-")</f>
        <v>-</v>
      </c>
      <c r="AQ395" t="str">
        <f>_xlfn.IFNA(VLOOKUP(Sheet1!$C395,ConStruct!A:C,3,FALSE),"-")</f>
        <v>ConStruct</v>
      </c>
      <c r="AR395" t="str">
        <f>_xlfn.IFNA(VLOOKUP(Sheet1!$C395,GEA!A:C,3,FALSE),"-")</f>
        <v>-</v>
      </c>
      <c r="AS395" t="str">
        <f>_xlfn.IFNA(VLOOKUP(Sheet1!$C395,MAC_DSUITE!A:D,3,FALSE),"-")</f>
        <v>-</v>
      </c>
      <c r="AT395" t="str">
        <f>_xlfn.IFNA(VLOOKUP(Sheet1!$C395,MONG_DSUITE!A:E,2,FALSE),"-")</f>
        <v>xxx</v>
      </c>
      <c r="AU395" t="str">
        <f>_xlfn.IFNA(VLOOKUP(Sheet1!$C395,MAC_PAINT2!A:D,4,FALSE),"-")</f>
        <v>-</v>
      </c>
    </row>
    <row r="396" spans="1:49" customFormat="1" x14ac:dyDescent="0.4">
      <c r="A396">
        <v>3847</v>
      </c>
      <c r="B396" t="s">
        <v>2277</v>
      </c>
      <c r="C396" t="s">
        <v>2278</v>
      </c>
      <c r="D396" t="str">
        <f>_xlfn.CONCAT(C396,".bam")</f>
        <v>SYST-MOR-0007084.bam</v>
      </c>
      <c r="E396" t="s">
        <v>2279</v>
      </c>
      <c r="F396" t="s">
        <v>2466</v>
      </c>
      <c r="G396" t="s">
        <v>2467</v>
      </c>
      <c r="H396" t="s">
        <v>2554</v>
      </c>
      <c r="I396" t="s">
        <v>2270</v>
      </c>
      <c r="K396" t="s">
        <v>64</v>
      </c>
      <c r="L396" t="s">
        <v>64</v>
      </c>
      <c r="N396" t="s">
        <v>64</v>
      </c>
      <c r="P396" t="s">
        <v>113</v>
      </c>
      <c r="Q396" t="s">
        <v>65</v>
      </c>
      <c r="R396" t="s">
        <v>2599</v>
      </c>
      <c r="S396" s="1">
        <v>44791</v>
      </c>
      <c r="T396" t="s">
        <v>33</v>
      </c>
      <c r="U396" t="s">
        <v>34</v>
      </c>
      <c r="V396" s="1">
        <v>44796</v>
      </c>
      <c r="W396" t="s">
        <v>35</v>
      </c>
      <c r="X396" t="s">
        <v>2268</v>
      </c>
      <c r="Y396" t="s">
        <v>2269</v>
      </c>
      <c r="Z396" t="s">
        <v>38</v>
      </c>
      <c r="AA396" t="s">
        <v>2270</v>
      </c>
      <c r="AD396" t="s">
        <v>64</v>
      </c>
      <c r="AE396">
        <v>43.600448</v>
      </c>
      <c r="AF396">
        <v>-73.183369999999996</v>
      </c>
      <c r="AG396" t="s">
        <v>40</v>
      </c>
      <c r="AH396" t="s">
        <v>41</v>
      </c>
      <c r="AI396">
        <v>43.600874953000002</v>
      </c>
      <c r="AJ396">
        <v>-73.182965051500005</v>
      </c>
      <c r="AK396">
        <v>4.2695300000161751E-4</v>
      </c>
      <c r="AL396">
        <v>4.0494849999106464E-4</v>
      </c>
      <c r="AM396" t="str">
        <f>_xlfn.IFNA(VLOOKUP(Sheet1!$C396,ADMIX_ALL!A:B,2,FALSE),"none")</f>
        <v>K6-18</v>
      </c>
      <c r="AN396" t="str">
        <f>_xlfn.IFNA(VLOOKUP(Sheet1!C396,ADMIX_SS!A:B,2,FALSE),"none")</f>
        <v>SubSample</v>
      </c>
      <c r="AO396" t="str">
        <f>_xlfn.IFNA(VLOOKUP(Sheet1!$C396,MONG_PHYLO!A:C,3,FALSE),"-")</f>
        <v>-</v>
      </c>
      <c r="AP396" t="str">
        <f>_xlfn.IFNA(VLOOKUP(Sheet1!$C396,MAC_PHYLO!A:C,3,FALSE),"-")</f>
        <v>-</v>
      </c>
      <c r="AQ396" t="str">
        <f>_xlfn.IFNA(VLOOKUP(Sheet1!$C396,ConStruct!A:C,3,FALSE),"-")</f>
        <v>-</v>
      </c>
      <c r="AR396" t="str">
        <f>_xlfn.IFNA(VLOOKUP(Sheet1!$C396,GEA!A:C,3,FALSE),"-")</f>
        <v>-</v>
      </c>
      <c r="AS396" t="str">
        <f>_xlfn.IFNA(VLOOKUP(Sheet1!$C396,MAC_DSUITE!A:D,3,FALSE),"-")</f>
        <v>-</v>
      </c>
      <c r="AT396" t="str">
        <f>_xlfn.IFNA(VLOOKUP(Sheet1!$C396,MONG_DSUITE!A:E,2,FALSE),"-")</f>
        <v>xxx</v>
      </c>
      <c r="AU396" t="str">
        <f>_xlfn.IFNA(VLOOKUP(Sheet1!$C396,MAC_PAINT2!A:D,4,FALSE),"-")</f>
        <v>-</v>
      </c>
    </row>
    <row r="397" spans="1:49" s="16" customFormat="1" x14ac:dyDescent="0.4">
      <c r="A397" s="16">
        <v>3848</v>
      </c>
      <c r="B397" s="16" t="s">
        <v>2280</v>
      </c>
      <c r="C397" s="16" t="s">
        <v>2281</v>
      </c>
      <c r="D397" s="16" t="str">
        <f>_xlfn.CONCAT(C397,".bam")</f>
        <v>SYST-MOR-0007085.bam</v>
      </c>
      <c r="E397" s="16" t="s">
        <v>2282</v>
      </c>
      <c r="F397" s="16" t="s">
        <v>2466</v>
      </c>
      <c r="G397" s="16" t="s">
        <v>2467</v>
      </c>
      <c r="H397" s="16" t="s">
        <v>2554</v>
      </c>
      <c r="I397" s="16" t="s">
        <v>2270</v>
      </c>
      <c r="K397" s="16" t="s">
        <v>45</v>
      </c>
      <c r="L397" s="16" t="s">
        <v>45</v>
      </c>
      <c r="N397" s="16" t="s">
        <v>45</v>
      </c>
      <c r="P397" s="16" t="s">
        <v>31</v>
      </c>
      <c r="Q397" s="16" t="s">
        <v>46</v>
      </c>
      <c r="R397" s="16" t="s">
        <v>2597</v>
      </c>
      <c r="S397" s="17">
        <v>44791</v>
      </c>
      <c r="T397" s="16" t="s">
        <v>33</v>
      </c>
      <c r="U397" s="16" t="s">
        <v>34</v>
      </c>
      <c r="V397" s="17">
        <v>44796</v>
      </c>
      <c r="W397" s="16" t="s">
        <v>35</v>
      </c>
      <c r="X397" s="16" t="s">
        <v>2268</v>
      </c>
      <c r="Y397" s="16" t="s">
        <v>2269</v>
      </c>
      <c r="Z397" s="16" t="s">
        <v>38</v>
      </c>
      <c r="AA397" s="16" t="s">
        <v>2270</v>
      </c>
      <c r="AD397" s="16" t="s">
        <v>45</v>
      </c>
      <c r="AE397" s="16">
        <v>43.6</v>
      </c>
      <c r="AF397" s="16">
        <v>-73.183676000000006</v>
      </c>
      <c r="AG397" s="16" t="s">
        <v>40</v>
      </c>
      <c r="AH397" s="16" t="s">
        <v>41</v>
      </c>
      <c r="AI397" s="16">
        <v>43.599862293400001</v>
      </c>
      <c r="AJ397" s="16">
        <v>-73.183721015299994</v>
      </c>
      <c r="AK397" s="16">
        <v>-1.3770660000034241E-4</v>
      </c>
      <c r="AL397" s="16">
        <v>-4.5015299988904189E-5</v>
      </c>
      <c r="AM397" s="16" t="str">
        <f>_xlfn.IFNA(VLOOKUP(Sheet1!$C397,ADMIX_ALL!A:B,2,FALSE),"none")</f>
        <v>K6-18</v>
      </c>
      <c r="AN397" s="16" t="str">
        <f>_xlfn.IFNA(VLOOKUP(Sheet1!C397,ADMIX_SS!A:B,2,FALSE),"none")</f>
        <v>SubSample</v>
      </c>
      <c r="AO397" s="16" t="str">
        <f>_xlfn.IFNA(VLOOKUP(Sheet1!$C397,MONG_PHYLO!A:C,3,FALSE),"-")</f>
        <v>-</v>
      </c>
      <c r="AP397" s="16" t="str">
        <f>_xlfn.IFNA(VLOOKUP(Sheet1!$C397,MAC_PHYLO!A:C,3,FALSE),"-")</f>
        <v>-</v>
      </c>
      <c r="AQ397" s="16" t="str">
        <f>_xlfn.IFNA(VLOOKUP(Sheet1!$C397,ConStruct!A:C,3,FALSE),"-")</f>
        <v>ConStruct</v>
      </c>
      <c r="AR397" s="16" t="str">
        <f>_xlfn.IFNA(VLOOKUP(Sheet1!$C397,GEA!A:C,3,FALSE),"-")</f>
        <v>GEA</v>
      </c>
      <c r="AS397" s="16" t="str">
        <f>_xlfn.IFNA(VLOOKUP(Sheet1!$C397,MAC_DSUITE!A:D,3,FALSE),"-")</f>
        <v>mac_VT_DHT</v>
      </c>
      <c r="AT397" s="16" t="str">
        <f>_xlfn.IFNA(VLOOKUP(Sheet1!$C397,MONG_DSUITE!A:E,2,FALSE),"-")</f>
        <v>xxx</v>
      </c>
      <c r="AU397" s="16" t="str">
        <f>_xlfn.IFNA(VLOOKUP(Sheet1!$C397,MAC_PAINT2!A:D,4,FALSE),"-")</f>
        <v>-</v>
      </c>
      <c r="AV397" s="16" t="s">
        <v>9194</v>
      </c>
      <c r="AW397" s="16" t="s">
        <v>9193</v>
      </c>
    </row>
    <row r="398" spans="1:49" s="16" customFormat="1" x14ac:dyDescent="0.4">
      <c r="A398" s="16">
        <v>3849</v>
      </c>
      <c r="B398" s="16" t="s">
        <v>2283</v>
      </c>
      <c r="C398" s="16" t="s">
        <v>2284</v>
      </c>
      <c r="D398" s="16" t="str">
        <f>_xlfn.CONCAT(C398,".bam")</f>
        <v>SYST-MOR-0007086.bam</v>
      </c>
      <c r="E398" s="16" t="s">
        <v>2285</v>
      </c>
      <c r="F398" s="16" t="s">
        <v>2466</v>
      </c>
      <c r="G398" s="16" t="s">
        <v>2467</v>
      </c>
      <c r="H398" s="16" t="s">
        <v>2554</v>
      </c>
      <c r="I398" s="16" t="s">
        <v>2270</v>
      </c>
      <c r="K398" s="16" t="s">
        <v>45</v>
      </c>
      <c r="L398" s="16" t="s">
        <v>45</v>
      </c>
      <c r="N398" s="16" t="s">
        <v>45</v>
      </c>
      <c r="P398" s="16" t="s">
        <v>113</v>
      </c>
      <c r="Q398" s="16" t="s">
        <v>46</v>
      </c>
      <c r="R398" s="16" t="s">
        <v>2597</v>
      </c>
      <c r="S398" s="17">
        <v>44791</v>
      </c>
      <c r="T398" s="16" t="s">
        <v>33</v>
      </c>
      <c r="U398" s="16" t="s">
        <v>34</v>
      </c>
      <c r="V398" s="17">
        <v>44796</v>
      </c>
      <c r="W398" s="16" t="s">
        <v>35</v>
      </c>
      <c r="X398" s="16" t="s">
        <v>2268</v>
      </c>
      <c r="Y398" s="16" t="s">
        <v>2269</v>
      </c>
      <c r="Z398" s="16" t="s">
        <v>38</v>
      </c>
      <c r="AA398" s="16" t="s">
        <v>2270</v>
      </c>
      <c r="AD398" s="16" t="s">
        <v>45</v>
      </c>
      <c r="AE398" s="16">
        <v>43.599099000000002</v>
      </c>
      <c r="AF398" s="16">
        <v>-73.184667000000005</v>
      </c>
      <c r="AG398" s="16" t="s">
        <v>40</v>
      </c>
      <c r="AH398" s="16" t="s">
        <v>41</v>
      </c>
      <c r="AI398" s="16">
        <v>43.599324468600003</v>
      </c>
      <c r="AJ398" s="16">
        <v>-73.184531964399994</v>
      </c>
      <c r="AK398" s="16">
        <v>2.2546860000005609E-4</v>
      </c>
      <c r="AL398" s="16">
        <v>1.3503560001026926E-4</v>
      </c>
      <c r="AM398" s="16" t="str">
        <f>_xlfn.IFNA(VLOOKUP(Sheet1!$C398,ADMIX_ALL!A:B,2,FALSE),"none")</f>
        <v>K6-18</v>
      </c>
      <c r="AN398" s="16" t="str">
        <f>_xlfn.IFNA(VLOOKUP(Sheet1!C398,ADMIX_SS!A:B,2,FALSE),"none")</f>
        <v>SubSample</v>
      </c>
      <c r="AO398" s="16" t="str">
        <f>_xlfn.IFNA(VLOOKUP(Sheet1!$C398,MONG_PHYLO!A:C,3,FALSE),"-")</f>
        <v>-</v>
      </c>
      <c r="AP398" s="16" t="str">
        <f>_xlfn.IFNA(VLOOKUP(Sheet1!$C398,MAC_PHYLO!A:C,3,FALSE),"-")</f>
        <v>-</v>
      </c>
      <c r="AQ398" s="16" t="str">
        <f>_xlfn.IFNA(VLOOKUP(Sheet1!$C398,ConStruct!A:C,3,FALSE),"-")</f>
        <v>ConStruct</v>
      </c>
      <c r="AR398" s="16" t="str">
        <f>_xlfn.IFNA(VLOOKUP(Sheet1!$C398,GEA!A:C,3,FALSE),"-")</f>
        <v>GEA</v>
      </c>
      <c r="AS398" s="16" t="str">
        <f>_xlfn.IFNA(VLOOKUP(Sheet1!$C398,MAC_DSUITE!A:D,3,FALSE),"-")</f>
        <v>mac_VT_DHT</v>
      </c>
      <c r="AT398" s="16" t="str">
        <f>_xlfn.IFNA(VLOOKUP(Sheet1!$C398,MONG_DSUITE!A:E,2,FALSE),"-")</f>
        <v>macrocarpa_DHT</v>
      </c>
      <c r="AU398" s="16" t="str">
        <f>_xlfn.IFNA(VLOOKUP(Sheet1!$C398,MAC_PAINT2!A:D,4,FALSE),"-")</f>
        <v>-</v>
      </c>
      <c r="AV398" s="16" t="s">
        <v>9195</v>
      </c>
      <c r="AW398" s="16" t="s">
        <v>9193</v>
      </c>
    </row>
    <row r="399" spans="1:49" customFormat="1" x14ac:dyDescent="0.4">
      <c r="A399">
        <v>3850</v>
      </c>
      <c r="B399" t="s">
        <v>2286</v>
      </c>
      <c r="C399" t="s">
        <v>2287</v>
      </c>
      <c r="D399" t="str">
        <f>_xlfn.CONCAT(C399,".bam")</f>
        <v>SYST-MOR-0007087.bam</v>
      </c>
      <c r="E399" t="s">
        <v>2288</v>
      </c>
      <c r="F399" t="s">
        <v>2466</v>
      </c>
      <c r="G399" t="s">
        <v>2467</v>
      </c>
      <c r="H399" t="s">
        <v>2554</v>
      </c>
      <c r="I399" t="s">
        <v>2270</v>
      </c>
      <c r="K399" t="s">
        <v>64</v>
      </c>
      <c r="L399" t="s">
        <v>64</v>
      </c>
      <c r="N399" t="s">
        <v>64</v>
      </c>
      <c r="P399" t="s">
        <v>31</v>
      </c>
      <c r="Q399" t="s">
        <v>65</v>
      </c>
      <c r="R399" t="s">
        <v>2599</v>
      </c>
      <c r="S399" s="1">
        <v>44791</v>
      </c>
      <c r="T399" t="s">
        <v>33</v>
      </c>
      <c r="U399" t="s">
        <v>34</v>
      </c>
      <c r="V399" s="1">
        <v>44796</v>
      </c>
      <c r="W399" t="s">
        <v>35</v>
      </c>
      <c r="X399" t="s">
        <v>2268</v>
      </c>
      <c r="Y399" t="s">
        <v>2269</v>
      </c>
      <c r="Z399" t="s">
        <v>38</v>
      </c>
      <c r="AA399" t="s">
        <v>2270</v>
      </c>
      <c r="AD399" t="s">
        <v>64</v>
      </c>
      <c r="AE399">
        <v>43.598788999999996</v>
      </c>
      <c r="AF399">
        <v>-73.185412999999997</v>
      </c>
      <c r="AG399" t="s">
        <v>40</v>
      </c>
      <c r="AH399" t="s">
        <v>41</v>
      </c>
      <c r="AI399">
        <v>43.598946360900001</v>
      </c>
      <c r="AJ399">
        <v>-73.185360515599996</v>
      </c>
      <c r="AK399">
        <v>1.5736090000473268E-4</v>
      </c>
      <c r="AL399">
        <v>5.2484400001162612E-5</v>
      </c>
      <c r="AM399" t="str">
        <f>_xlfn.IFNA(VLOOKUP(Sheet1!$C399,ADMIX_ALL!A:B,2,FALSE),"none")</f>
        <v>K6-18</v>
      </c>
      <c r="AN399" t="str">
        <f>_xlfn.IFNA(VLOOKUP(Sheet1!C399,ADMIX_SS!A:B,2,FALSE),"none")</f>
        <v>SubSample</v>
      </c>
      <c r="AO399" t="str">
        <f>_xlfn.IFNA(VLOOKUP(Sheet1!$C399,MONG_PHYLO!A:C,3,FALSE),"-")</f>
        <v>-</v>
      </c>
      <c r="AP399" t="str">
        <f>_xlfn.IFNA(VLOOKUP(Sheet1!$C399,MAC_PHYLO!A:C,3,FALSE),"-")</f>
        <v>-</v>
      </c>
      <c r="AQ399" s="13" t="str">
        <f>_xlfn.IFNA(VLOOKUP(Sheet1!$C399,ConStruct!A:C,3,FALSE),"-")</f>
        <v>-</v>
      </c>
      <c r="AR399" s="13" t="str">
        <f>_xlfn.IFNA(VLOOKUP(Sheet1!$C399,GEA!A:C,3,FALSE),"-")</f>
        <v>-</v>
      </c>
      <c r="AS399" s="13" t="str">
        <f>_xlfn.IFNA(VLOOKUP(Sheet1!$C399,MAC_DSUITE!A:D,3,FALSE),"-")</f>
        <v>-</v>
      </c>
      <c r="AT399" s="13" t="str">
        <f>_xlfn.IFNA(VLOOKUP(Sheet1!$C399,MONG_DSUITE!A:E,2,FALSE),"-")</f>
        <v>xxx</v>
      </c>
      <c r="AU399" t="str">
        <f>_xlfn.IFNA(VLOOKUP(Sheet1!$C399,MAC_PAINT2!A:D,4,FALSE),"-")</f>
        <v>-</v>
      </c>
    </row>
    <row r="400" spans="1:49" x14ac:dyDescent="0.4">
      <c r="A400" s="18">
        <v>3851</v>
      </c>
      <c r="B400" s="18" t="s">
        <v>2289</v>
      </c>
      <c r="C400" s="18" t="s">
        <v>2290</v>
      </c>
      <c r="D400" s="18" t="str">
        <f>_xlfn.CONCAT(C400,".bam")</f>
        <v>SYST-MOR-0007088.bam</v>
      </c>
      <c r="E400" s="18" t="s">
        <v>2291</v>
      </c>
      <c r="F400" s="18" t="s">
        <v>2466</v>
      </c>
      <c r="G400" s="18" t="s">
        <v>2467</v>
      </c>
      <c r="H400" s="18" t="s">
        <v>2554</v>
      </c>
      <c r="I400" s="18" t="s">
        <v>2270</v>
      </c>
      <c r="K400" s="18" t="s">
        <v>45</v>
      </c>
      <c r="L400" s="18" t="s">
        <v>45</v>
      </c>
      <c r="N400" s="18" t="s">
        <v>45</v>
      </c>
      <c r="P400" s="18" t="s">
        <v>113</v>
      </c>
      <c r="Q400" s="18" t="s">
        <v>46</v>
      </c>
      <c r="R400" s="18" t="s">
        <v>2597</v>
      </c>
      <c r="S400" s="19">
        <v>44791</v>
      </c>
      <c r="T400" s="18" t="s">
        <v>33</v>
      </c>
      <c r="U400" s="18" t="s">
        <v>34</v>
      </c>
      <c r="V400" s="19">
        <v>44796</v>
      </c>
      <c r="W400" s="18" t="s">
        <v>35</v>
      </c>
      <c r="X400" s="18" t="s">
        <v>2268</v>
      </c>
      <c r="Y400" s="18" t="s">
        <v>2269</v>
      </c>
      <c r="Z400" s="18" t="s">
        <v>38</v>
      </c>
      <c r="AA400" s="18" t="s">
        <v>2270</v>
      </c>
      <c r="AD400" s="18" t="s">
        <v>45</v>
      </c>
      <c r="AE400" s="18">
        <v>43.598002999999999</v>
      </c>
      <c r="AF400" s="18">
        <v>-73.186823000000004</v>
      </c>
      <c r="AG400" s="18" t="s">
        <v>40</v>
      </c>
      <c r="AH400" s="18" t="s">
        <v>41</v>
      </c>
      <c r="AI400" s="18">
        <v>43.597817402399997</v>
      </c>
      <c r="AJ400" s="18">
        <v>-73.186865737700003</v>
      </c>
      <c r="AK400" s="18">
        <v>-1.8559760000158576E-4</v>
      </c>
      <c r="AL400" s="18">
        <v>-4.2737699999406686E-5</v>
      </c>
      <c r="AM400" s="18" t="str">
        <f>_xlfn.IFNA(VLOOKUP(Sheet1!$C400,ADMIX_ALL!A:B,2,FALSE),"none")</f>
        <v>K6-18</v>
      </c>
      <c r="AN400" s="18" t="str">
        <f>_xlfn.IFNA(VLOOKUP(Sheet1!C400,ADMIX_SS!A:B,2,FALSE),"none")</f>
        <v>SubSample</v>
      </c>
      <c r="AO400" s="18" t="str">
        <f>_xlfn.IFNA(VLOOKUP(Sheet1!$C400,MONG_PHYLO!A:C,3,FALSE),"-")</f>
        <v>-</v>
      </c>
      <c r="AP400" s="18" t="str">
        <f>_xlfn.IFNA(VLOOKUP(Sheet1!$C400,MAC_PHYLO!A:C,3,FALSE),"-")</f>
        <v>-</v>
      </c>
      <c r="AQ400" s="18" t="str">
        <f>_xlfn.IFNA(VLOOKUP(Sheet1!$C400,ConStruct!A:C,3,FALSE),"-")</f>
        <v>ConStruct</v>
      </c>
      <c r="AR400" s="18" t="str">
        <f>_xlfn.IFNA(VLOOKUP(Sheet1!$C400,GEA!A:C,3,FALSE),"-")</f>
        <v>-</v>
      </c>
      <c r="AS400" s="18" t="str">
        <f>_xlfn.IFNA(VLOOKUP(Sheet1!$C400,MAC_DSUITE!A:D,3,FALSE),"-")</f>
        <v>-</v>
      </c>
      <c r="AT400" s="18" t="str">
        <f>_xlfn.IFNA(VLOOKUP(Sheet1!$C400,MONG_DSUITE!A:E,2,FALSE),"-")</f>
        <v>macrocarpa_DHT</v>
      </c>
      <c r="AU400" s="18" t="str">
        <f>_xlfn.IFNA(VLOOKUP(Sheet1!$C400,MAC_PAINT2!A:D,4,FALSE),"-")</f>
        <v>-</v>
      </c>
      <c r="AV400" s="18" t="s">
        <v>9195</v>
      </c>
      <c r="AW400" s="18" t="s">
        <v>9196</v>
      </c>
    </row>
    <row r="401" spans="1:47" customFormat="1" x14ac:dyDescent="0.4">
      <c r="A401">
        <v>3852</v>
      </c>
      <c r="B401" t="s">
        <v>2292</v>
      </c>
      <c r="C401" t="s">
        <v>2293</v>
      </c>
      <c r="D401" t="str">
        <f>_xlfn.CONCAT(C401,".bam")</f>
        <v>SYST-MOR-0007089.bam</v>
      </c>
      <c r="E401" t="s">
        <v>2294</v>
      </c>
      <c r="F401" t="s">
        <v>2466</v>
      </c>
      <c r="G401" t="s">
        <v>2467</v>
      </c>
      <c r="H401" t="s">
        <v>2554</v>
      </c>
      <c r="I401" t="s">
        <v>2270</v>
      </c>
      <c r="K401" t="s">
        <v>64</v>
      </c>
      <c r="L401" t="s">
        <v>64</v>
      </c>
      <c r="N401" t="s">
        <v>64</v>
      </c>
      <c r="P401" t="s">
        <v>31</v>
      </c>
      <c r="Q401" t="s">
        <v>65</v>
      </c>
      <c r="R401" t="s">
        <v>2599</v>
      </c>
      <c r="S401" s="1">
        <v>44791</v>
      </c>
      <c r="T401" t="s">
        <v>33</v>
      </c>
      <c r="U401" t="s">
        <v>34</v>
      </c>
      <c r="V401" s="1">
        <v>44796</v>
      </c>
      <c r="W401" t="s">
        <v>35</v>
      </c>
      <c r="X401" t="s">
        <v>2268</v>
      </c>
      <c r="Y401" t="s">
        <v>2269</v>
      </c>
      <c r="Z401" t="s">
        <v>38</v>
      </c>
      <c r="AA401" t="s">
        <v>2270</v>
      </c>
      <c r="AD401" t="s">
        <v>64</v>
      </c>
      <c r="AE401">
        <v>43.600133</v>
      </c>
      <c r="AF401">
        <v>-73.183418000000003</v>
      </c>
      <c r="AG401" t="s">
        <v>40</v>
      </c>
      <c r="AH401" t="s">
        <v>41</v>
      </c>
      <c r="AI401">
        <v>43.600306199000002</v>
      </c>
      <c r="AJ401">
        <v>-73.183858394699996</v>
      </c>
      <c r="AK401">
        <v>1.7319900000245525E-4</v>
      </c>
      <c r="AL401">
        <v>-4.4039469999290759E-4</v>
      </c>
      <c r="AM401" t="str">
        <f>_xlfn.IFNA(VLOOKUP(Sheet1!$C401,ADMIX_ALL!A:B,2,FALSE),"none")</f>
        <v>K6-18</v>
      </c>
      <c r="AN401" t="str">
        <f>_xlfn.IFNA(VLOOKUP(Sheet1!C401,ADMIX_SS!A:B,2,FALSE),"none")</f>
        <v>SubSample</v>
      </c>
      <c r="AO401" t="str">
        <f>_xlfn.IFNA(VLOOKUP(Sheet1!$C401,MONG_PHYLO!A:C,3,FALSE),"-")</f>
        <v>-</v>
      </c>
      <c r="AP401" t="str">
        <f>_xlfn.IFNA(VLOOKUP(Sheet1!$C401,MAC_PHYLO!A:C,3,FALSE),"-")</f>
        <v>-</v>
      </c>
      <c r="AQ401" t="str">
        <f>_xlfn.IFNA(VLOOKUP(Sheet1!$C401,ConStruct!A:C,3,FALSE),"-")</f>
        <v>-</v>
      </c>
      <c r="AR401" t="str">
        <f>_xlfn.IFNA(VLOOKUP(Sheet1!$C401,GEA!A:C,3,FALSE),"-")</f>
        <v>-</v>
      </c>
      <c r="AS401" t="str">
        <f>_xlfn.IFNA(VLOOKUP(Sheet1!$C401,MAC_DSUITE!A:D,3,FALSE),"-")</f>
        <v>-</v>
      </c>
      <c r="AT401" t="str">
        <f>_xlfn.IFNA(VLOOKUP(Sheet1!$C401,MONG_DSUITE!A:E,2,FALSE),"-")</f>
        <v>xxx</v>
      </c>
      <c r="AU401" t="str">
        <f>_xlfn.IFNA(VLOOKUP(Sheet1!$C401,MAC_PAINT2!A:D,4,FALSE),"-")</f>
        <v>-</v>
      </c>
    </row>
    <row r="402" spans="1:47" customFormat="1" x14ac:dyDescent="0.4">
      <c r="A402">
        <v>3853</v>
      </c>
      <c r="B402" t="s">
        <v>1726</v>
      </c>
      <c r="C402" t="s">
        <v>1727</v>
      </c>
      <c r="D402" t="str">
        <f>_xlfn.CONCAT(C402,".bam")</f>
        <v>SYST-MOR-0007090.bam</v>
      </c>
      <c r="E402" t="s">
        <v>1728</v>
      </c>
      <c r="F402" t="s">
        <v>2448</v>
      </c>
      <c r="G402" t="s">
        <v>2451</v>
      </c>
      <c r="H402" t="s">
        <v>2539</v>
      </c>
      <c r="I402" t="s">
        <v>1732</v>
      </c>
      <c r="K402" t="s">
        <v>1729</v>
      </c>
      <c r="L402" t="s">
        <v>1729</v>
      </c>
      <c r="N402" t="s">
        <v>1729</v>
      </c>
      <c r="P402" t="s">
        <v>31</v>
      </c>
      <c r="Q402" t="s">
        <v>1730</v>
      </c>
      <c r="R402" t="s">
        <v>2604</v>
      </c>
      <c r="S402" s="1">
        <v>44791</v>
      </c>
      <c r="T402" t="s">
        <v>33</v>
      </c>
      <c r="U402" t="s">
        <v>34</v>
      </c>
      <c r="V402" s="1">
        <v>44796</v>
      </c>
      <c r="W402" t="s">
        <v>35</v>
      </c>
      <c r="X402" t="s">
        <v>1654</v>
      </c>
      <c r="Y402" t="s">
        <v>1731</v>
      </c>
      <c r="Z402" t="s">
        <v>206</v>
      </c>
      <c r="AA402" t="s">
        <v>1732</v>
      </c>
      <c r="AD402" t="s">
        <v>1729</v>
      </c>
      <c r="AE402">
        <v>43.081232</v>
      </c>
      <c r="AF402">
        <v>-73.301637999999997</v>
      </c>
      <c r="AG402" t="s">
        <v>40</v>
      </c>
      <c r="AH402" t="s">
        <v>41</v>
      </c>
      <c r="AI402">
        <v>43.081381400200002</v>
      </c>
      <c r="AJ402">
        <v>-73.301493208899998</v>
      </c>
      <c r="AK402">
        <v>1.4940020000153709E-4</v>
      </c>
      <c r="AL402">
        <v>1.4479109999854245E-4</v>
      </c>
      <c r="AM402" t="str">
        <f>_xlfn.IFNA(VLOOKUP(Sheet1!$C402,ADMIX_ALL!A:B,2,FALSE),"none")</f>
        <v>K6-18</v>
      </c>
      <c r="AN402" t="str">
        <f>_xlfn.IFNA(VLOOKUP(Sheet1!C402,ADMIX_SS!A:B,2,FALSE),"none")</f>
        <v>Constant</v>
      </c>
      <c r="AO402" t="str">
        <f>_xlfn.IFNA(VLOOKUP(Sheet1!$C402,MONG_PHYLO!A:C,3,FALSE),"-")</f>
        <v>mon</v>
      </c>
      <c r="AP402" t="str">
        <f>_xlfn.IFNA(VLOOKUP(Sheet1!$C402,MAC_PHYLO!A:C,3,FALSE),"-")</f>
        <v>mon</v>
      </c>
      <c r="AQ402" t="str">
        <f>_xlfn.IFNA(VLOOKUP(Sheet1!$C402,ConStruct!A:C,3,FALSE),"-")</f>
        <v>-</v>
      </c>
      <c r="AR402" t="str">
        <f>_xlfn.IFNA(VLOOKUP(Sheet1!$C402,GEA!A:C,3,FALSE),"-")</f>
        <v>-</v>
      </c>
      <c r="AS402" t="str">
        <f>_xlfn.IFNA(VLOOKUP(Sheet1!$C402,MAC_DSUITE!A:D,3,FALSE),"-")</f>
        <v>xxx</v>
      </c>
      <c r="AT402" t="str">
        <f>_xlfn.IFNA(VLOOKUP(Sheet1!$C402,MONG_DSUITE!A:E,2,FALSE),"-")</f>
        <v>montana</v>
      </c>
      <c r="AU402" t="str">
        <f>_xlfn.IFNA(VLOOKUP(Sheet1!$C402,MAC_PAINT2!A:D,4,FALSE),"-")</f>
        <v>-</v>
      </c>
    </row>
    <row r="403" spans="1:47" customFormat="1" x14ac:dyDescent="0.4">
      <c r="A403">
        <v>3854</v>
      </c>
      <c r="B403" t="s">
        <v>1733</v>
      </c>
      <c r="C403" t="s">
        <v>1734</v>
      </c>
      <c r="D403" t="str">
        <f>_xlfn.CONCAT(C403,".bam")</f>
        <v>SYST-MOR-0007091.bam</v>
      </c>
      <c r="E403" t="s">
        <v>1735</v>
      </c>
      <c r="F403" t="s">
        <v>2448</v>
      </c>
      <c r="G403" t="s">
        <v>2451</v>
      </c>
      <c r="H403" t="s">
        <v>2539</v>
      </c>
      <c r="I403" t="s">
        <v>1736</v>
      </c>
      <c r="K403" t="s">
        <v>64</v>
      </c>
      <c r="L403" t="s">
        <v>64</v>
      </c>
      <c r="N403" t="s">
        <v>64</v>
      </c>
      <c r="P403" t="s">
        <v>113</v>
      </c>
      <c r="Q403" t="s">
        <v>65</v>
      </c>
      <c r="R403" t="s">
        <v>2599</v>
      </c>
      <c r="S403" s="1">
        <v>44791</v>
      </c>
      <c r="T403" t="s">
        <v>33</v>
      </c>
      <c r="U403" t="s">
        <v>34</v>
      </c>
      <c r="V403" s="1">
        <v>44796</v>
      </c>
      <c r="W403" t="s">
        <v>35</v>
      </c>
      <c r="X403" t="s">
        <v>1654</v>
      </c>
      <c r="Y403" t="s">
        <v>1731</v>
      </c>
      <c r="Z403" t="s">
        <v>38</v>
      </c>
      <c r="AA403" t="s">
        <v>1736</v>
      </c>
      <c r="AD403" t="s">
        <v>64</v>
      </c>
      <c r="AE403">
        <v>43.081313999999999</v>
      </c>
      <c r="AF403">
        <v>-73.296727000000004</v>
      </c>
      <c r="AG403" t="s">
        <v>40</v>
      </c>
      <c r="AH403" t="s">
        <v>41</v>
      </c>
      <c r="AI403">
        <v>43.0812603655</v>
      </c>
      <c r="AJ403">
        <v>-73.296682834699993</v>
      </c>
      <c r="AK403">
        <v>-5.3634499998622687E-5</v>
      </c>
      <c r="AL403">
        <v>4.416530001094543E-5</v>
      </c>
      <c r="AM403" t="str">
        <f>_xlfn.IFNA(VLOOKUP(Sheet1!$C403,ADMIX_ALL!A:B,2,FALSE),"none")</f>
        <v>K6-18</v>
      </c>
      <c r="AN403" t="str">
        <f>_xlfn.IFNA(VLOOKUP(Sheet1!C403,ADMIX_SS!A:B,2,FALSE),"none")</f>
        <v>SubSample</v>
      </c>
      <c r="AO403" t="str">
        <f>_xlfn.IFNA(VLOOKUP(Sheet1!$C403,MONG_PHYLO!A:C,3,FALSE),"-")</f>
        <v>-</v>
      </c>
      <c r="AP403" t="str">
        <f>_xlfn.IFNA(VLOOKUP(Sheet1!$C403,MAC_PHYLO!A:C,3,FALSE),"-")</f>
        <v>-</v>
      </c>
      <c r="AQ403" t="str">
        <f>_xlfn.IFNA(VLOOKUP(Sheet1!$C403,ConStruct!A:C,3,FALSE),"-")</f>
        <v>-</v>
      </c>
      <c r="AR403" t="str">
        <f>_xlfn.IFNA(VLOOKUP(Sheet1!$C403,GEA!A:C,3,FALSE),"-")</f>
        <v>-</v>
      </c>
      <c r="AS403" t="str">
        <f>_xlfn.IFNA(VLOOKUP(Sheet1!$C403,MAC_DSUITE!A:D,3,FALSE),"-")</f>
        <v>-</v>
      </c>
      <c r="AT403" t="str">
        <f>_xlfn.IFNA(VLOOKUP(Sheet1!$C403,MONG_DSUITE!A:E,2,FALSE),"-")</f>
        <v>xxx</v>
      </c>
      <c r="AU403" t="str">
        <f>_xlfn.IFNA(VLOOKUP(Sheet1!$C403,MAC_PAINT2!A:D,4,FALSE),"-")</f>
        <v>-</v>
      </c>
    </row>
    <row r="404" spans="1:47" customFormat="1" x14ac:dyDescent="0.4">
      <c r="A404">
        <v>3855</v>
      </c>
      <c r="B404" t="s">
        <v>1737</v>
      </c>
      <c r="C404" t="s">
        <v>1738</v>
      </c>
      <c r="D404" t="str">
        <f>_xlfn.CONCAT(C404,".bam")</f>
        <v>SYST-MOR-0007092.bam</v>
      </c>
      <c r="E404" t="s">
        <v>1739</v>
      </c>
      <c r="F404" t="s">
        <v>2448</v>
      </c>
      <c r="G404" t="s">
        <v>2451</v>
      </c>
      <c r="H404" t="s">
        <v>2539</v>
      </c>
      <c r="I404" t="s">
        <v>1732</v>
      </c>
      <c r="K404" t="s">
        <v>1729</v>
      </c>
      <c r="L404" t="s">
        <v>1729</v>
      </c>
      <c r="N404" t="s">
        <v>1729</v>
      </c>
      <c r="P404" t="s">
        <v>31</v>
      </c>
      <c r="Q404" t="s">
        <v>1730</v>
      </c>
      <c r="R404" t="s">
        <v>2604</v>
      </c>
      <c r="S404" s="1">
        <v>44791</v>
      </c>
      <c r="T404" t="s">
        <v>33</v>
      </c>
      <c r="U404" t="s">
        <v>34</v>
      </c>
      <c r="V404" s="1">
        <v>44796</v>
      </c>
      <c r="W404" t="s">
        <v>35</v>
      </c>
      <c r="X404" t="s">
        <v>1654</v>
      </c>
      <c r="Y404" t="s">
        <v>1731</v>
      </c>
      <c r="Z404" t="s">
        <v>206</v>
      </c>
      <c r="AA404" t="s">
        <v>1732</v>
      </c>
      <c r="AD404" t="s">
        <v>1729</v>
      </c>
      <c r="AE404">
        <v>43.081209000000001</v>
      </c>
      <c r="AF404">
        <v>-73.296002000000001</v>
      </c>
      <c r="AG404" t="s">
        <v>40</v>
      </c>
      <c r="AH404" t="s">
        <v>41</v>
      </c>
      <c r="AI404">
        <v>43.081108820700003</v>
      </c>
      <c r="AJ404">
        <v>-73.295898707700005</v>
      </c>
      <c r="AK404">
        <v>-1.0017929999861508E-4</v>
      </c>
      <c r="AL404">
        <v>1.0329229999683776E-4</v>
      </c>
      <c r="AM404" t="str">
        <f>_xlfn.IFNA(VLOOKUP(Sheet1!$C404,ADMIX_ALL!A:B,2,FALSE),"none")</f>
        <v>K6-18</v>
      </c>
      <c r="AN404" t="str">
        <f>_xlfn.IFNA(VLOOKUP(Sheet1!C404,ADMIX_SS!A:B,2,FALSE),"none")</f>
        <v>Constant</v>
      </c>
      <c r="AO404" t="str">
        <f>_xlfn.IFNA(VLOOKUP(Sheet1!$C404,MONG_PHYLO!A:C,3,FALSE),"-")</f>
        <v>mon</v>
      </c>
      <c r="AP404" t="str">
        <f>_xlfn.IFNA(VLOOKUP(Sheet1!$C404,MAC_PHYLO!A:C,3,FALSE),"-")</f>
        <v>mon</v>
      </c>
      <c r="AQ404" t="str">
        <f>_xlfn.IFNA(VLOOKUP(Sheet1!$C404,ConStruct!A:C,3,FALSE),"-")</f>
        <v>-</v>
      </c>
      <c r="AR404" t="str">
        <f>_xlfn.IFNA(VLOOKUP(Sheet1!$C404,GEA!A:C,3,FALSE),"-")</f>
        <v>-</v>
      </c>
      <c r="AS404" t="str">
        <f>_xlfn.IFNA(VLOOKUP(Sheet1!$C404,MAC_DSUITE!A:D,3,FALSE),"-")</f>
        <v>xxx</v>
      </c>
      <c r="AT404" t="str">
        <f>_xlfn.IFNA(VLOOKUP(Sheet1!$C404,MONG_DSUITE!A:E,2,FALSE),"-")</f>
        <v>montana</v>
      </c>
      <c r="AU404" t="str">
        <f>_xlfn.IFNA(VLOOKUP(Sheet1!$C404,MAC_PAINT2!A:D,4,FALSE),"-")</f>
        <v>-</v>
      </c>
    </row>
    <row r="405" spans="1:47" customFormat="1" x14ac:dyDescent="0.4">
      <c r="A405">
        <v>3856</v>
      </c>
      <c r="B405" t="s">
        <v>1740</v>
      </c>
      <c r="C405" t="s">
        <v>1741</v>
      </c>
      <c r="D405" t="str">
        <f>_xlfn.CONCAT(C405,".bam")</f>
        <v>SYST-MOR-0007093.bam</v>
      </c>
      <c r="E405" t="s">
        <v>1742</v>
      </c>
      <c r="F405" t="s">
        <v>2448</v>
      </c>
      <c r="G405" t="s">
        <v>2451</v>
      </c>
      <c r="H405" t="s">
        <v>2539</v>
      </c>
      <c r="I405" t="s">
        <v>1736</v>
      </c>
      <c r="K405" t="s">
        <v>1729</v>
      </c>
      <c r="L405" t="s">
        <v>1729</v>
      </c>
      <c r="N405" t="s">
        <v>1729</v>
      </c>
      <c r="P405" t="s">
        <v>113</v>
      </c>
      <c r="Q405" t="s">
        <v>1730</v>
      </c>
      <c r="R405" t="s">
        <v>2604</v>
      </c>
      <c r="S405" s="1">
        <v>44791</v>
      </c>
      <c r="T405" t="s">
        <v>33</v>
      </c>
      <c r="U405" t="s">
        <v>34</v>
      </c>
      <c r="V405" s="1">
        <v>44796</v>
      </c>
      <c r="W405" t="s">
        <v>35</v>
      </c>
      <c r="X405" t="s">
        <v>1654</v>
      </c>
      <c r="Y405" t="s">
        <v>1731</v>
      </c>
      <c r="Z405" t="s">
        <v>38</v>
      </c>
      <c r="AA405" t="s">
        <v>1736</v>
      </c>
      <c r="AD405" t="s">
        <v>1729</v>
      </c>
      <c r="AE405">
        <v>43.081346000000003</v>
      </c>
      <c r="AF405">
        <v>-73.294872999999995</v>
      </c>
      <c r="AG405" t="s">
        <v>40</v>
      </c>
      <c r="AH405" t="s">
        <v>41</v>
      </c>
      <c r="AI405">
        <v>43.081266484300002</v>
      </c>
      <c r="AJ405">
        <v>-73.294965801800004</v>
      </c>
      <c r="AK405">
        <v>-7.9515700001309142E-5</v>
      </c>
      <c r="AL405">
        <v>-9.2801800008146529E-5</v>
      </c>
      <c r="AM405" t="str">
        <f>_xlfn.IFNA(VLOOKUP(Sheet1!$C405,ADMIX_ALL!A:B,2,FALSE),"none")</f>
        <v>K6-18</v>
      </c>
      <c r="AN405" t="str">
        <f>_xlfn.IFNA(VLOOKUP(Sheet1!C405,ADMIX_SS!A:B,2,FALSE),"none")</f>
        <v>SubSample</v>
      </c>
      <c r="AO405" t="str">
        <f>_xlfn.IFNA(VLOOKUP(Sheet1!$C405,MONG_PHYLO!A:C,3,FALSE),"-")</f>
        <v>-</v>
      </c>
      <c r="AP405" t="str">
        <f>_xlfn.IFNA(VLOOKUP(Sheet1!$C405,MAC_PHYLO!A:C,3,FALSE),"-")</f>
        <v>-</v>
      </c>
      <c r="AQ405" t="str">
        <f>_xlfn.IFNA(VLOOKUP(Sheet1!$C405,ConStruct!A:C,3,FALSE),"-")</f>
        <v>-</v>
      </c>
      <c r="AR405" t="str">
        <f>_xlfn.IFNA(VLOOKUP(Sheet1!$C405,GEA!A:C,3,FALSE),"-")</f>
        <v>-</v>
      </c>
      <c r="AS405" t="str">
        <f>_xlfn.IFNA(VLOOKUP(Sheet1!$C405,MAC_DSUITE!A:D,3,FALSE),"-")</f>
        <v>-</v>
      </c>
      <c r="AT405" t="str">
        <f>_xlfn.IFNA(VLOOKUP(Sheet1!$C405,MONG_DSUITE!A:E,2,FALSE),"-")</f>
        <v>xxx</v>
      </c>
      <c r="AU405" t="str">
        <f>_xlfn.IFNA(VLOOKUP(Sheet1!$C405,MAC_PAINT2!A:D,4,FALSE),"-")</f>
        <v>-</v>
      </c>
    </row>
    <row r="406" spans="1:47" customFormat="1" x14ac:dyDescent="0.4">
      <c r="A406">
        <v>3857</v>
      </c>
      <c r="B406" t="s">
        <v>1743</v>
      </c>
      <c r="C406" t="s">
        <v>1744</v>
      </c>
      <c r="D406" t="str">
        <f>_xlfn.CONCAT(C406,".bam")</f>
        <v>SYST-MOR-0007094.bam</v>
      </c>
      <c r="E406" t="s">
        <v>1745</v>
      </c>
      <c r="F406" t="s">
        <v>2448</v>
      </c>
      <c r="G406" t="s">
        <v>2451</v>
      </c>
      <c r="H406" t="s">
        <v>2539</v>
      </c>
      <c r="I406" t="s">
        <v>1732</v>
      </c>
      <c r="K406" t="s">
        <v>1729</v>
      </c>
      <c r="L406" t="s">
        <v>1729</v>
      </c>
      <c r="N406" t="s">
        <v>1729</v>
      </c>
      <c r="P406" t="s">
        <v>31</v>
      </c>
      <c r="Q406" t="s">
        <v>1730</v>
      </c>
      <c r="R406" t="s">
        <v>2604</v>
      </c>
      <c r="S406" s="1">
        <v>44791</v>
      </c>
      <c r="T406" t="s">
        <v>33</v>
      </c>
      <c r="U406" t="s">
        <v>34</v>
      </c>
      <c r="V406" s="1">
        <v>44796</v>
      </c>
      <c r="W406" t="s">
        <v>35</v>
      </c>
      <c r="X406" t="s">
        <v>1654</v>
      </c>
      <c r="Y406" t="s">
        <v>1731</v>
      </c>
      <c r="Z406" t="s">
        <v>206</v>
      </c>
      <c r="AA406" t="s">
        <v>1732</v>
      </c>
      <c r="AD406" t="s">
        <v>1729</v>
      </c>
      <c r="AE406">
        <v>43.081440000000001</v>
      </c>
      <c r="AF406">
        <v>-73.293407999999999</v>
      </c>
      <c r="AG406" t="s">
        <v>40</v>
      </c>
      <c r="AH406" t="s">
        <v>41</v>
      </c>
      <c r="AI406">
        <v>43.081321008499998</v>
      </c>
      <c r="AJ406">
        <v>-73.293487988500004</v>
      </c>
      <c r="AK406">
        <v>-1.1899150000260761E-4</v>
      </c>
      <c r="AL406">
        <v>-7.9988500004901653E-5</v>
      </c>
      <c r="AM406" t="str">
        <f>_xlfn.IFNA(VLOOKUP(Sheet1!$C406,ADMIX_ALL!A:B,2,FALSE),"none")</f>
        <v>K6-18</v>
      </c>
      <c r="AN406" t="str">
        <f>_xlfn.IFNA(VLOOKUP(Sheet1!C406,ADMIX_SS!A:B,2,FALSE),"none")</f>
        <v>Constant</v>
      </c>
      <c r="AO406" t="str">
        <f>_xlfn.IFNA(VLOOKUP(Sheet1!$C406,MONG_PHYLO!A:C,3,FALSE),"-")</f>
        <v>mon</v>
      </c>
      <c r="AP406" t="str">
        <f>_xlfn.IFNA(VLOOKUP(Sheet1!$C406,MAC_PHYLO!A:C,3,FALSE),"-")</f>
        <v>mon</v>
      </c>
      <c r="AQ406" t="str">
        <f>_xlfn.IFNA(VLOOKUP(Sheet1!$C406,ConStruct!A:C,3,FALSE),"-")</f>
        <v>-</v>
      </c>
      <c r="AR406" t="str">
        <f>_xlfn.IFNA(VLOOKUP(Sheet1!$C406,GEA!A:C,3,FALSE),"-")</f>
        <v>-</v>
      </c>
      <c r="AS406" t="str">
        <f>_xlfn.IFNA(VLOOKUP(Sheet1!$C406,MAC_DSUITE!A:D,3,FALSE),"-")</f>
        <v>xxx</v>
      </c>
      <c r="AT406" t="str">
        <f>_xlfn.IFNA(VLOOKUP(Sheet1!$C406,MONG_DSUITE!A:E,2,FALSE),"-")</f>
        <v>montana</v>
      </c>
      <c r="AU406" t="str">
        <f>_xlfn.IFNA(VLOOKUP(Sheet1!$C406,MAC_PAINT2!A:D,4,FALSE),"-")</f>
        <v>-</v>
      </c>
    </row>
    <row r="407" spans="1:47" customFormat="1" x14ac:dyDescent="0.4">
      <c r="A407">
        <v>3858</v>
      </c>
      <c r="B407" t="s">
        <v>1746</v>
      </c>
      <c r="C407" t="s">
        <v>1747</v>
      </c>
      <c r="D407" t="str">
        <f>_xlfn.CONCAT(C407,".bam")</f>
        <v>SYST-MOR-0007095.bam</v>
      </c>
      <c r="E407" t="s">
        <v>1748</v>
      </c>
      <c r="F407" t="s">
        <v>2448</v>
      </c>
      <c r="G407" t="s">
        <v>2451</v>
      </c>
      <c r="H407" t="s">
        <v>2539</v>
      </c>
      <c r="I407" t="s">
        <v>1736</v>
      </c>
      <c r="K407" t="s">
        <v>1729</v>
      </c>
      <c r="L407" t="s">
        <v>1729</v>
      </c>
      <c r="N407" t="s">
        <v>1729</v>
      </c>
      <c r="P407" t="s">
        <v>113</v>
      </c>
      <c r="Q407" t="s">
        <v>1730</v>
      </c>
      <c r="R407" t="s">
        <v>2604</v>
      </c>
      <c r="S407" s="1">
        <v>44791</v>
      </c>
      <c r="T407" t="s">
        <v>33</v>
      </c>
      <c r="U407" t="s">
        <v>34</v>
      </c>
      <c r="V407" s="1">
        <v>44796</v>
      </c>
      <c r="W407" t="s">
        <v>35</v>
      </c>
      <c r="X407" t="s">
        <v>1654</v>
      </c>
      <c r="Y407" t="s">
        <v>1731</v>
      </c>
      <c r="Z407" t="s">
        <v>38</v>
      </c>
      <c r="AA407" t="s">
        <v>1736</v>
      </c>
      <c r="AD407" t="s">
        <v>1729</v>
      </c>
      <c r="AE407">
        <v>43.081873999999999</v>
      </c>
      <c r="AF407">
        <v>-73.292845</v>
      </c>
      <c r="AG407" t="s">
        <v>40</v>
      </c>
      <c r="AH407" t="s">
        <v>41</v>
      </c>
      <c r="AI407">
        <v>43.082004762300002</v>
      </c>
      <c r="AJ407">
        <v>-73.292692545899996</v>
      </c>
      <c r="AK407">
        <v>1.3076230000308442E-4</v>
      </c>
      <c r="AL407">
        <v>1.5245410000375159E-4</v>
      </c>
      <c r="AM407" t="str">
        <f>_xlfn.IFNA(VLOOKUP(Sheet1!$C407,ADMIX_ALL!A:B,2,FALSE),"none")</f>
        <v>K6-18</v>
      </c>
      <c r="AN407" t="str">
        <f>_xlfn.IFNA(VLOOKUP(Sheet1!C407,ADMIX_SS!A:B,2,FALSE),"none")</f>
        <v>SubSample</v>
      </c>
      <c r="AO407" t="str">
        <f>_xlfn.IFNA(VLOOKUP(Sheet1!$C407,MONG_PHYLO!A:C,3,FALSE),"-")</f>
        <v>-</v>
      </c>
      <c r="AP407" t="str">
        <f>_xlfn.IFNA(VLOOKUP(Sheet1!$C407,MAC_PHYLO!A:C,3,FALSE),"-")</f>
        <v>-</v>
      </c>
      <c r="AQ407" t="str">
        <f>_xlfn.IFNA(VLOOKUP(Sheet1!$C407,ConStruct!A:C,3,FALSE),"-")</f>
        <v>-</v>
      </c>
      <c r="AR407" t="str">
        <f>_xlfn.IFNA(VLOOKUP(Sheet1!$C407,GEA!A:C,3,FALSE),"-")</f>
        <v>-</v>
      </c>
      <c r="AS407" t="str">
        <f>_xlfn.IFNA(VLOOKUP(Sheet1!$C407,MAC_DSUITE!A:D,3,FALSE),"-")</f>
        <v>-</v>
      </c>
      <c r="AT407" t="str">
        <f>_xlfn.IFNA(VLOOKUP(Sheet1!$C407,MONG_DSUITE!A:E,2,FALSE),"-")</f>
        <v>xxx</v>
      </c>
      <c r="AU407" t="str">
        <f>_xlfn.IFNA(VLOOKUP(Sheet1!$C407,MAC_PAINT2!A:D,4,FALSE),"-")</f>
        <v>-</v>
      </c>
    </row>
    <row r="408" spans="1:47" customFormat="1" x14ac:dyDescent="0.4">
      <c r="A408">
        <v>3859</v>
      </c>
      <c r="B408" t="s">
        <v>1657</v>
      </c>
      <c r="C408" t="s">
        <v>1658</v>
      </c>
      <c r="D408" t="str">
        <f>_xlfn.CONCAT(C408,".bam")</f>
        <v>SYST-MOR-0007096.bam</v>
      </c>
      <c r="E408" t="s">
        <v>1659</v>
      </c>
      <c r="F408" t="s">
        <v>2448</v>
      </c>
      <c r="G408" t="s">
        <v>2449</v>
      </c>
      <c r="H408" t="s">
        <v>2537</v>
      </c>
      <c r="I408" t="s">
        <v>1656</v>
      </c>
      <c r="K408" t="s">
        <v>632</v>
      </c>
      <c r="L408" t="s">
        <v>632</v>
      </c>
      <c r="N408" t="s">
        <v>632</v>
      </c>
      <c r="P408" t="s">
        <v>31</v>
      </c>
      <c r="Q408" t="s">
        <v>633</v>
      </c>
      <c r="R408" t="s">
        <v>2603</v>
      </c>
      <c r="S408" s="1">
        <v>44792</v>
      </c>
      <c r="T408" t="s">
        <v>33</v>
      </c>
      <c r="U408" t="s">
        <v>34</v>
      </c>
      <c r="V408" s="1">
        <v>44796</v>
      </c>
      <c r="W408" t="s">
        <v>35</v>
      </c>
      <c r="X408" t="s">
        <v>1654</v>
      </c>
      <c r="Y408" t="s">
        <v>1660</v>
      </c>
      <c r="Z408" t="s">
        <v>38</v>
      </c>
      <c r="AA408" t="s">
        <v>1656</v>
      </c>
      <c r="AD408" t="s">
        <v>632</v>
      </c>
      <c r="AE408">
        <v>42.719489000000003</v>
      </c>
      <c r="AF408">
        <v>-73.860055000000003</v>
      </c>
      <c r="AG408" t="s">
        <v>40</v>
      </c>
      <c r="AH408" t="s">
        <v>41</v>
      </c>
      <c r="AI408">
        <v>42.719609574499998</v>
      </c>
      <c r="AJ408">
        <v>-73.860288793300001</v>
      </c>
      <c r="AK408">
        <v>1.2057449999502978E-4</v>
      </c>
      <c r="AL408">
        <v>-2.3379329999784204E-4</v>
      </c>
      <c r="AM408" t="str">
        <f>_xlfn.IFNA(VLOOKUP(Sheet1!$C408,ADMIX_ALL!A:B,2,FALSE),"none")</f>
        <v>K6-18</v>
      </c>
      <c r="AN408" t="str">
        <f>_xlfn.IFNA(VLOOKUP(Sheet1!C408,ADMIX_SS!A:B,2,FALSE),"none")</f>
        <v>SubSample</v>
      </c>
      <c r="AO408" t="str">
        <f>_xlfn.IFNA(VLOOKUP(Sheet1!$C408,MONG_PHYLO!A:C,3,FALSE),"-")</f>
        <v>-</v>
      </c>
      <c r="AP408" t="str">
        <f>_xlfn.IFNA(VLOOKUP(Sheet1!$C408,MAC_PHYLO!A:C,3,FALSE),"-")</f>
        <v>-</v>
      </c>
      <c r="AQ408" t="str">
        <f>_xlfn.IFNA(VLOOKUP(Sheet1!$C408,ConStruct!A:C,3,FALSE),"-")</f>
        <v>-</v>
      </c>
      <c r="AR408" t="str">
        <f>_xlfn.IFNA(VLOOKUP(Sheet1!$C408,GEA!A:C,3,FALSE),"-")</f>
        <v>-</v>
      </c>
      <c r="AS408" t="str">
        <f>_xlfn.IFNA(VLOOKUP(Sheet1!$C408,MAC_DSUITE!A:D,3,FALSE),"-")</f>
        <v>-</v>
      </c>
      <c r="AT408" t="str">
        <f>_xlfn.IFNA(VLOOKUP(Sheet1!$C408,MONG_DSUITE!A:E,2,FALSE),"-")</f>
        <v>xxx</v>
      </c>
      <c r="AU408" t="str">
        <f>_xlfn.IFNA(VLOOKUP(Sheet1!$C408,MAC_PAINT2!A:D,4,FALSE),"-")</f>
        <v>-</v>
      </c>
    </row>
    <row r="409" spans="1:47" customFormat="1" x14ac:dyDescent="0.4">
      <c r="A409">
        <v>3860</v>
      </c>
      <c r="B409" t="s">
        <v>1651</v>
      </c>
      <c r="C409" t="s">
        <v>1652</v>
      </c>
      <c r="D409" t="str">
        <f>_xlfn.CONCAT(C409,".bam")</f>
        <v>SYST-MOR-0007097.bam</v>
      </c>
      <c r="E409" t="s">
        <v>1653</v>
      </c>
      <c r="F409" t="s">
        <v>2448</v>
      </c>
      <c r="G409" t="s">
        <v>2449</v>
      </c>
      <c r="H409" t="s">
        <v>2537</v>
      </c>
      <c r="I409" t="s">
        <v>1656</v>
      </c>
      <c r="K409" t="s">
        <v>64</v>
      </c>
      <c r="L409" t="s">
        <v>64</v>
      </c>
      <c r="N409" t="s">
        <v>64</v>
      </c>
      <c r="P409" t="s">
        <v>31</v>
      </c>
      <c r="Q409" t="s">
        <v>65</v>
      </c>
      <c r="R409" t="s">
        <v>2599</v>
      </c>
      <c r="S409" s="1">
        <v>44792</v>
      </c>
      <c r="T409" t="s">
        <v>33</v>
      </c>
      <c r="U409" t="s">
        <v>34</v>
      </c>
      <c r="V409" s="1">
        <v>44796</v>
      </c>
      <c r="W409" t="s">
        <v>35</v>
      </c>
      <c r="X409" t="s">
        <v>1654</v>
      </c>
      <c r="Y409" t="s">
        <v>1655</v>
      </c>
      <c r="Z409" t="s">
        <v>38</v>
      </c>
      <c r="AA409" t="s">
        <v>1656</v>
      </c>
      <c r="AD409" t="s">
        <v>64</v>
      </c>
      <c r="AE409">
        <v>42.720314000000002</v>
      </c>
      <c r="AF409">
        <v>-73.858947999999998</v>
      </c>
      <c r="AG409" t="s">
        <v>40</v>
      </c>
      <c r="AH409" t="s">
        <v>41</v>
      </c>
      <c r="AI409">
        <v>42.7202075394</v>
      </c>
      <c r="AJ409">
        <v>-73.859128402600007</v>
      </c>
      <c r="AK409">
        <v>-1.0646060000141233E-4</v>
      </c>
      <c r="AL409">
        <v>-1.8040260000873332E-4</v>
      </c>
      <c r="AM409" t="str">
        <f>_xlfn.IFNA(VLOOKUP(Sheet1!$C409,ADMIX_ALL!A:B,2,FALSE),"none")</f>
        <v>K6-18</v>
      </c>
      <c r="AN409" t="str">
        <f>_xlfn.IFNA(VLOOKUP(Sheet1!C409,ADMIX_SS!A:B,2,FALSE),"none")</f>
        <v>SubSample</v>
      </c>
      <c r="AO409" t="str">
        <f>_xlfn.IFNA(VLOOKUP(Sheet1!$C409,MONG_PHYLO!A:C,3,FALSE),"-")</f>
        <v>-</v>
      </c>
      <c r="AP409" t="str">
        <f>_xlfn.IFNA(VLOOKUP(Sheet1!$C409,MAC_PHYLO!A:C,3,FALSE),"-")</f>
        <v>-</v>
      </c>
      <c r="AQ409" t="str">
        <f>_xlfn.IFNA(VLOOKUP(Sheet1!$C409,ConStruct!A:C,3,FALSE),"-")</f>
        <v>-</v>
      </c>
      <c r="AR409" t="str">
        <f>_xlfn.IFNA(VLOOKUP(Sheet1!$C409,GEA!A:C,3,FALSE),"-")</f>
        <v>-</v>
      </c>
      <c r="AS409" t="str">
        <f>_xlfn.IFNA(VLOOKUP(Sheet1!$C409,MAC_DSUITE!A:D,3,FALSE),"-")</f>
        <v>-</v>
      </c>
      <c r="AT409" t="str">
        <f>_xlfn.IFNA(VLOOKUP(Sheet1!$C409,MONG_DSUITE!A:E,2,FALSE),"-")</f>
        <v>xxx</v>
      </c>
      <c r="AU409" t="str">
        <f>_xlfn.IFNA(VLOOKUP(Sheet1!$C409,MAC_PAINT2!A:D,4,FALSE),"-")</f>
        <v>-</v>
      </c>
    </row>
    <row r="410" spans="1:47" customFormat="1" x14ac:dyDescent="0.4">
      <c r="A410">
        <v>3861</v>
      </c>
      <c r="B410" t="s">
        <v>1661</v>
      </c>
      <c r="C410" t="s">
        <v>1662</v>
      </c>
      <c r="D410" t="str">
        <f>_xlfn.CONCAT(C410,".bam")</f>
        <v>SYST-MOR-0007098.bam</v>
      </c>
      <c r="E410" t="s">
        <v>1663</v>
      </c>
      <c r="F410" t="s">
        <v>2448</v>
      </c>
      <c r="G410" t="s">
        <v>2449</v>
      </c>
      <c r="H410" t="s">
        <v>2537</v>
      </c>
      <c r="I410" t="s">
        <v>1656</v>
      </c>
      <c r="K410" t="s">
        <v>632</v>
      </c>
      <c r="L410" t="s">
        <v>632</v>
      </c>
      <c r="N410" t="s">
        <v>632</v>
      </c>
      <c r="P410" t="s">
        <v>31</v>
      </c>
      <c r="Q410" t="s">
        <v>633</v>
      </c>
      <c r="R410" t="s">
        <v>2603</v>
      </c>
      <c r="S410" s="1">
        <v>44792</v>
      </c>
      <c r="T410" t="s">
        <v>33</v>
      </c>
      <c r="U410" t="s">
        <v>34</v>
      </c>
      <c r="V410" s="1">
        <v>44796</v>
      </c>
      <c r="W410" t="s">
        <v>35</v>
      </c>
      <c r="X410" t="s">
        <v>1654</v>
      </c>
      <c r="Y410" t="s">
        <v>1660</v>
      </c>
      <c r="Z410" t="s">
        <v>38</v>
      </c>
      <c r="AA410" t="s">
        <v>1656</v>
      </c>
      <c r="AD410" t="s">
        <v>632</v>
      </c>
      <c r="AE410">
        <v>42.720207000000002</v>
      </c>
      <c r="AF410">
        <v>-73.858750999999998</v>
      </c>
      <c r="AG410" t="s">
        <v>40</v>
      </c>
      <c r="AH410" t="s">
        <v>41</v>
      </c>
      <c r="AI410">
        <v>42.720396802800003</v>
      </c>
      <c r="AJ410">
        <v>-73.859043912999994</v>
      </c>
      <c r="AK410">
        <v>1.8980280000135963E-4</v>
      </c>
      <c r="AL410">
        <v>-2.9291299999556486E-4</v>
      </c>
      <c r="AM410" t="str">
        <f>_xlfn.IFNA(VLOOKUP(Sheet1!$C410,ADMIX_ALL!A:B,2,FALSE),"none")</f>
        <v>K6-18</v>
      </c>
      <c r="AN410" t="str">
        <f>_xlfn.IFNA(VLOOKUP(Sheet1!C410,ADMIX_SS!A:B,2,FALSE),"none")</f>
        <v>SubSample</v>
      </c>
      <c r="AO410" t="str">
        <f>_xlfn.IFNA(VLOOKUP(Sheet1!$C410,MONG_PHYLO!A:C,3,FALSE),"-")</f>
        <v>-</v>
      </c>
      <c r="AP410" t="str">
        <f>_xlfn.IFNA(VLOOKUP(Sheet1!$C410,MAC_PHYLO!A:C,3,FALSE),"-")</f>
        <v>pri</v>
      </c>
      <c r="AQ410" t="str">
        <f>_xlfn.IFNA(VLOOKUP(Sheet1!$C410,ConStruct!A:C,3,FALSE),"-")</f>
        <v>-</v>
      </c>
      <c r="AR410" t="str">
        <f>_xlfn.IFNA(VLOOKUP(Sheet1!$C410,GEA!A:C,3,FALSE),"-")</f>
        <v>-</v>
      </c>
      <c r="AS410" t="str">
        <f>_xlfn.IFNA(VLOOKUP(Sheet1!$C410,MAC_DSUITE!A:D,3,FALSE),"-")</f>
        <v>xxx</v>
      </c>
      <c r="AT410" t="str">
        <f>_xlfn.IFNA(VLOOKUP(Sheet1!$C410,MONG_DSUITE!A:E,2,FALSE),"-")</f>
        <v>xxx</v>
      </c>
      <c r="AU410" t="str">
        <f>_xlfn.IFNA(VLOOKUP(Sheet1!$C410,MAC_PAINT2!A:D,4,FALSE),"-")</f>
        <v>-</v>
      </c>
    </row>
    <row r="411" spans="1:47" customFormat="1" x14ac:dyDescent="0.4">
      <c r="A411">
        <v>3862</v>
      </c>
      <c r="B411" t="s">
        <v>1664</v>
      </c>
      <c r="C411" t="s">
        <v>1665</v>
      </c>
      <c r="D411" t="str">
        <f>_xlfn.CONCAT(C411,".bam")</f>
        <v>SYST-MOR-0007099.bam</v>
      </c>
      <c r="E411" t="s">
        <v>1666</v>
      </c>
      <c r="F411" t="s">
        <v>2448</v>
      </c>
      <c r="G411" t="s">
        <v>2449</v>
      </c>
      <c r="H411" t="s">
        <v>2537</v>
      </c>
      <c r="I411" t="s">
        <v>1656</v>
      </c>
      <c r="K411" t="s">
        <v>632</v>
      </c>
      <c r="L411" t="s">
        <v>632</v>
      </c>
      <c r="N411" t="s">
        <v>632</v>
      </c>
      <c r="P411" t="s">
        <v>31</v>
      </c>
      <c r="Q411" t="s">
        <v>633</v>
      </c>
      <c r="R411" t="s">
        <v>2603</v>
      </c>
      <c r="S411" s="1">
        <v>44792</v>
      </c>
      <c r="T411" t="s">
        <v>33</v>
      </c>
      <c r="U411" t="s">
        <v>34</v>
      </c>
      <c r="V411" s="1">
        <v>44796</v>
      </c>
      <c r="W411" t="s">
        <v>35</v>
      </c>
      <c r="X411" t="s">
        <v>1654</v>
      </c>
      <c r="Y411" t="s">
        <v>1655</v>
      </c>
      <c r="Z411" t="s">
        <v>38</v>
      </c>
      <c r="AA411" t="s">
        <v>1656</v>
      </c>
      <c r="AD411" t="s">
        <v>632</v>
      </c>
      <c r="AE411">
        <v>42.718048000000003</v>
      </c>
      <c r="AF411">
        <v>-73.855642000000003</v>
      </c>
      <c r="AG411" t="s">
        <v>40</v>
      </c>
      <c r="AH411" t="s">
        <v>41</v>
      </c>
      <c r="AI411">
        <v>42.718425546799999</v>
      </c>
      <c r="AJ411">
        <v>-73.855817131799995</v>
      </c>
      <c r="AK411">
        <v>3.7754679999579821E-4</v>
      </c>
      <c r="AL411">
        <v>-1.7513179999184558E-4</v>
      </c>
      <c r="AM411" t="str">
        <f>_xlfn.IFNA(VLOOKUP(Sheet1!$C411,ADMIX_ALL!A:B,2,FALSE),"none")</f>
        <v>K6-18</v>
      </c>
      <c r="AN411" t="str">
        <f>_xlfn.IFNA(VLOOKUP(Sheet1!C411,ADMIX_SS!A:B,2,FALSE),"none")</f>
        <v>SubSample</v>
      </c>
      <c r="AO411" t="str">
        <f>_xlfn.IFNA(VLOOKUP(Sheet1!$C411,MONG_PHYLO!A:C,3,FALSE),"-")</f>
        <v>-</v>
      </c>
      <c r="AP411" t="str">
        <f>_xlfn.IFNA(VLOOKUP(Sheet1!$C411,MAC_PHYLO!A:C,3,FALSE),"-")</f>
        <v>-</v>
      </c>
      <c r="AQ411" t="str">
        <f>_xlfn.IFNA(VLOOKUP(Sheet1!$C411,ConStruct!A:C,3,FALSE),"-")</f>
        <v>-</v>
      </c>
      <c r="AR411" t="str">
        <f>_xlfn.IFNA(VLOOKUP(Sheet1!$C411,GEA!A:C,3,FALSE),"-")</f>
        <v>-</v>
      </c>
      <c r="AS411" t="str">
        <f>_xlfn.IFNA(VLOOKUP(Sheet1!$C411,MAC_DSUITE!A:D,3,FALSE),"-")</f>
        <v>-</v>
      </c>
      <c r="AT411" t="str">
        <f>_xlfn.IFNA(VLOOKUP(Sheet1!$C411,MONG_DSUITE!A:E,2,FALSE),"-")</f>
        <v>xxx</v>
      </c>
      <c r="AU411" t="str">
        <f>_xlfn.IFNA(VLOOKUP(Sheet1!$C411,MAC_PAINT2!A:D,4,FALSE),"-")</f>
        <v>-</v>
      </c>
    </row>
    <row r="412" spans="1:47" customFormat="1" x14ac:dyDescent="0.4">
      <c r="A412">
        <v>3863</v>
      </c>
      <c r="B412" t="s">
        <v>1667</v>
      </c>
      <c r="C412" t="s">
        <v>1668</v>
      </c>
      <c r="D412" t="str">
        <f>_xlfn.CONCAT(C412,".bam")</f>
        <v>SYST-MOR-0007100.bam</v>
      </c>
      <c r="E412" t="s">
        <v>1669</v>
      </c>
      <c r="F412" t="s">
        <v>2448</v>
      </c>
      <c r="G412" t="s">
        <v>2449</v>
      </c>
      <c r="H412" t="s">
        <v>2537</v>
      </c>
      <c r="I412" t="s">
        <v>1656</v>
      </c>
      <c r="K412" t="s">
        <v>632</v>
      </c>
      <c r="L412" t="s">
        <v>632</v>
      </c>
      <c r="N412" t="s">
        <v>632</v>
      </c>
      <c r="P412" t="s">
        <v>31</v>
      </c>
      <c r="Q412" t="s">
        <v>633</v>
      </c>
      <c r="R412" t="s">
        <v>2603</v>
      </c>
      <c r="S412" s="1">
        <v>44792</v>
      </c>
      <c r="T412" t="s">
        <v>33</v>
      </c>
      <c r="U412" t="s">
        <v>34</v>
      </c>
      <c r="V412" s="1">
        <v>44796</v>
      </c>
      <c r="W412" t="s">
        <v>35</v>
      </c>
      <c r="X412" t="s">
        <v>1654</v>
      </c>
      <c r="Y412" t="s">
        <v>1660</v>
      </c>
      <c r="Z412" t="s">
        <v>38</v>
      </c>
      <c r="AA412" t="s">
        <v>1656</v>
      </c>
      <c r="AD412" t="s">
        <v>632</v>
      </c>
      <c r="AE412">
        <v>42.717212000000004</v>
      </c>
      <c r="AF412">
        <v>-73.855942999999996</v>
      </c>
      <c r="AG412" t="s">
        <v>40</v>
      </c>
      <c r="AH412" t="s">
        <v>41</v>
      </c>
      <c r="AI412">
        <v>42.717255475000002</v>
      </c>
      <c r="AJ412">
        <v>-73.855988793099996</v>
      </c>
      <c r="AK412">
        <v>4.3474999998238673E-5</v>
      </c>
      <c r="AL412">
        <v>-4.5793099999968945E-5</v>
      </c>
      <c r="AM412" t="str">
        <f>_xlfn.IFNA(VLOOKUP(Sheet1!$C412,ADMIX_ALL!A:B,2,FALSE),"none")</f>
        <v>K6-18</v>
      </c>
      <c r="AN412" t="str">
        <f>_xlfn.IFNA(VLOOKUP(Sheet1!C412,ADMIX_SS!A:B,2,FALSE),"none")</f>
        <v>SubSample</v>
      </c>
      <c r="AO412" t="str">
        <f>_xlfn.IFNA(VLOOKUP(Sheet1!$C412,MONG_PHYLO!A:C,3,FALSE),"-")</f>
        <v>pri</v>
      </c>
      <c r="AP412" t="str">
        <f>_xlfn.IFNA(VLOOKUP(Sheet1!$C412,MAC_PHYLO!A:C,3,FALSE),"-")</f>
        <v>-</v>
      </c>
      <c r="AQ412" t="str">
        <f>_xlfn.IFNA(VLOOKUP(Sheet1!$C412,ConStruct!A:C,3,FALSE),"-")</f>
        <v>-</v>
      </c>
      <c r="AR412" t="str">
        <f>_xlfn.IFNA(VLOOKUP(Sheet1!$C412,GEA!A:C,3,FALSE),"-")</f>
        <v>-</v>
      </c>
      <c r="AS412" t="str">
        <f>_xlfn.IFNA(VLOOKUP(Sheet1!$C412,MAC_DSUITE!A:D,3,FALSE),"-")</f>
        <v>-</v>
      </c>
      <c r="AT412" t="str">
        <f>_xlfn.IFNA(VLOOKUP(Sheet1!$C412,MONG_DSUITE!A:E,2,FALSE),"-")</f>
        <v>xxx</v>
      </c>
      <c r="AU412" t="str">
        <f>_xlfn.IFNA(VLOOKUP(Sheet1!$C412,MAC_PAINT2!A:D,4,FALSE),"-")</f>
        <v>-</v>
      </c>
    </row>
    <row r="413" spans="1:47" customFormat="1" x14ac:dyDescent="0.4">
      <c r="A413">
        <v>3864</v>
      </c>
      <c r="B413" t="s">
        <v>1670</v>
      </c>
      <c r="C413" t="s">
        <v>1671</v>
      </c>
      <c r="D413" t="str">
        <f>_xlfn.CONCAT(C413,".bam")</f>
        <v>SYST-MOR-0007101.bam</v>
      </c>
      <c r="E413" t="s">
        <v>1672</v>
      </c>
      <c r="F413" t="s">
        <v>2448</v>
      </c>
      <c r="G413" t="s">
        <v>2449</v>
      </c>
      <c r="H413" t="s">
        <v>2537</v>
      </c>
      <c r="I413" t="s">
        <v>1656</v>
      </c>
      <c r="K413" t="s">
        <v>64</v>
      </c>
      <c r="L413" t="s">
        <v>64</v>
      </c>
      <c r="N413" t="s">
        <v>64</v>
      </c>
      <c r="P413" t="s">
        <v>31</v>
      </c>
      <c r="Q413" t="s">
        <v>65</v>
      </c>
      <c r="R413" t="s">
        <v>2599</v>
      </c>
      <c r="S413" s="1">
        <v>44792</v>
      </c>
      <c r="T413" t="s">
        <v>33</v>
      </c>
      <c r="U413" t="s">
        <v>34</v>
      </c>
      <c r="V413" s="1">
        <v>44796</v>
      </c>
      <c r="W413" t="s">
        <v>35</v>
      </c>
      <c r="X413" t="s">
        <v>1654</v>
      </c>
      <c r="Y413" t="s">
        <v>1655</v>
      </c>
      <c r="Z413" t="s">
        <v>38</v>
      </c>
      <c r="AA413" t="s">
        <v>1656</v>
      </c>
      <c r="AD413" t="s">
        <v>64</v>
      </c>
      <c r="AE413">
        <v>42.717061999999999</v>
      </c>
      <c r="AF413">
        <v>-73.855643999999998</v>
      </c>
      <c r="AG413" t="s">
        <v>40</v>
      </c>
      <c r="AH413" t="s">
        <v>41</v>
      </c>
      <c r="AI413">
        <v>42.717474326500003</v>
      </c>
      <c r="AJ413">
        <v>-73.855383954999994</v>
      </c>
      <c r="AK413">
        <v>4.123265000046672E-4</v>
      </c>
      <c r="AL413">
        <v>2.6004500000453845E-4</v>
      </c>
      <c r="AM413" t="str">
        <f>_xlfn.IFNA(VLOOKUP(Sheet1!$C413,ADMIX_ALL!A:B,2,FALSE),"none")</f>
        <v>K6-18</v>
      </c>
      <c r="AN413" t="str">
        <f>_xlfn.IFNA(VLOOKUP(Sheet1!C413,ADMIX_SS!A:B,2,FALSE),"none")</f>
        <v>none</v>
      </c>
      <c r="AO413" t="str">
        <f>_xlfn.IFNA(VLOOKUP(Sheet1!$C413,MONG_PHYLO!A:C,3,FALSE),"-")</f>
        <v>-</v>
      </c>
      <c r="AP413" t="str">
        <f>_xlfn.IFNA(VLOOKUP(Sheet1!$C413,MAC_PHYLO!A:C,3,FALSE),"-")</f>
        <v>-</v>
      </c>
      <c r="AQ413" t="str">
        <f>_xlfn.IFNA(VLOOKUP(Sheet1!$C413,ConStruct!A:C,3,FALSE),"-")</f>
        <v>-</v>
      </c>
      <c r="AR413" t="str">
        <f>_xlfn.IFNA(VLOOKUP(Sheet1!$C413,GEA!A:C,3,FALSE),"-")</f>
        <v>-</v>
      </c>
      <c r="AS413" t="str">
        <f>_xlfn.IFNA(VLOOKUP(Sheet1!$C413,MAC_DSUITE!A:D,3,FALSE),"-")</f>
        <v>-</v>
      </c>
      <c r="AT413" t="str">
        <f>_xlfn.IFNA(VLOOKUP(Sheet1!$C413,MONG_DSUITE!A:E,2,FALSE),"-")</f>
        <v>xxx</v>
      </c>
      <c r="AU413" t="str">
        <f>_xlfn.IFNA(VLOOKUP(Sheet1!$C413,MAC_PAINT2!A:D,4,FALSE),"-")</f>
        <v>-</v>
      </c>
    </row>
    <row r="414" spans="1:47" customFormat="1" x14ac:dyDescent="0.4">
      <c r="A414">
        <v>3865</v>
      </c>
      <c r="B414" t="s">
        <v>1673</v>
      </c>
      <c r="C414" t="s">
        <v>1674</v>
      </c>
      <c r="D414" t="str">
        <f>_xlfn.CONCAT(C414,".bam")</f>
        <v>SYST-MOR-0007102.bam</v>
      </c>
      <c r="E414" t="s">
        <v>1675</v>
      </c>
      <c r="F414" t="s">
        <v>2448</v>
      </c>
      <c r="G414" t="s">
        <v>2449</v>
      </c>
      <c r="H414" t="s">
        <v>2537</v>
      </c>
      <c r="I414" t="s">
        <v>1656</v>
      </c>
      <c r="K414" t="s">
        <v>64</v>
      </c>
      <c r="L414" t="s">
        <v>64</v>
      </c>
      <c r="N414" t="s">
        <v>64</v>
      </c>
      <c r="P414" t="s">
        <v>31</v>
      </c>
      <c r="Q414" t="s">
        <v>65</v>
      </c>
      <c r="R414" t="s">
        <v>2599</v>
      </c>
      <c r="S414" s="1">
        <v>44792</v>
      </c>
      <c r="T414" t="s">
        <v>33</v>
      </c>
      <c r="U414" t="s">
        <v>34</v>
      </c>
      <c r="V414" s="1">
        <v>44796</v>
      </c>
      <c r="W414" t="s">
        <v>35</v>
      </c>
      <c r="X414" t="s">
        <v>1654</v>
      </c>
      <c r="Y414" t="s">
        <v>1660</v>
      </c>
      <c r="Z414" t="s">
        <v>38</v>
      </c>
      <c r="AA414" t="s">
        <v>1656</v>
      </c>
      <c r="AD414" t="s">
        <v>64</v>
      </c>
      <c r="AE414">
        <v>42.716617999999997</v>
      </c>
      <c r="AF414">
        <v>-73.854881000000006</v>
      </c>
      <c r="AG414" t="s">
        <v>40</v>
      </c>
      <c r="AH414" t="s">
        <v>41</v>
      </c>
      <c r="AI414">
        <v>42.7167561232</v>
      </c>
      <c r="AJ414">
        <v>-73.855013391100002</v>
      </c>
      <c r="AK414">
        <v>1.3812320000283762E-4</v>
      </c>
      <c r="AL414">
        <v>-1.3239109999574339E-4</v>
      </c>
      <c r="AM414" t="str">
        <f>_xlfn.IFNA(VLOOKUP(Sheet1!$C414,ADMIX_ALL!A:B,2,FALSE),"none")</f>
        <v>K6-18</v>
      </c>
      <c r="AN414" t="str">
        <f>_xlfn.IFNA(VLOOKUP(Sheet1!C414,ADMIX_SS!A:B,2,FALSE),"none")</f>
        <v>SubSample</v>
      </c>
      <c r="AO414" t="str">
        <f>_xlfn.IFNA(VLOOKUP(Sheet1!$C414,MONG_PHYLO!A:C,3,FALSE),"-")</f>
        <v>-</v>
      </c>
      <c r="AP414" t="str">
        <f>_xlfn.IFNA(VLOOKUP(Sheet1!$C414,MAC_PHYLO!A:C,3,FALSE),"-")</f>
        <v>-</v>
      </c>
      <c r="AQ414" t="str">
        <f>_xlfn.IFNA(VLOOKUP(Sheet1!$C414,ConStruct!A:C,3,FALSE),"-")</f>
        <v>-</v>
      </c>
      <c r="AR414" t="str">
        <f>_xlfn.IFNA(VLOOKUP(Sheet1!$C414,GEA!A:C,3,FALSE),"-")</f>
        <v>-</v>
      </c>
      <c r="AS414" t="str">
        <f>_xlfn.IFNA(VLOOKUP(Sheet1!$C414,MAC_DSUITE!A:D,3,FALSE),"-")</f>
        <v>-</v>
      </c>
      <c r="AT414" t="str">
        <f>_xlfn.IFNA(VLOOKUP(Sheet1!$C414,MONG_DSUITE!A:E,2,FALSE),"-")</f>
        <v>xxx</v>
      </c>
      <c r="AU414" t="str">
        <f>_xlfn.IFNA(VLOOKUP(Sheet1!$C414,MAC_PAINT2!A:D,4,FALSE),"-")</f>
        <v>-</v>
      </c>
    </row>
    <row r="415" spans="1:47" customFormat="1" x14ac:dyDescent="0.4">
      <c r="A415">
        <v>3866</v>
      </c>
      <c r="B415" t="s">
        <v>1676</v>
      </c>
      <c r="C415" t="s">
        <v>1677</v>
      </c>
      <c r="D415" t="str">
        <f>_xlfn.CONCAT(C415,".bam")</f>
        <v>SYST-MOR-0007103.bam</v>
      </c>
      <c r="E415" t="s">
        <v>1678</v>
      </c>
      <c r="F415" t="s">
        <v>2448</v>
      </c>
      <c r="G415" t="s">
        <v>2449</v>
      </c>
      <c r="H415" t="s">
        <v>2537</v>
      </c>
      <c r="I415" t="s">
        <v>1656</v>
      </c>
      <c r="K415" t="s">
        <v>64</v>
      </c>
      <c r="L415" t="s">
        <v>64</v>
      </c>
      <c r="N415" t="s">
        <v>64</v>
      </c>
      <c r="P415" t="s">
        <v>31</v>
      </c>
      <c r="Q415" t="s">
        <v>65</v>
      </c>
      <c r="R415" t="s">
        <v>2599</v>
      </c>
      <c r="S415" s="1">
        <v>44792</v>
      </c>
      <c r="T415" t="s">
        <v>33</v>
      </c>
      <c r="U415" t="s">
        <v>34</v>
      </c>
      <c r="V415" s="1">
        <v>44796</v>
      </c>
      <c r="W415" t="s">
        <v>35</v>
      </c>
      <c r="X415" t="s">
        <v>1654</v>
      </c>
      <c r="Y415" t="s">
        <v>1655</v>
      </c>
      <c r="Z415" t="s">
        <v>38</v>
      </c>
      <c r="AA415" t="s">
        <v>1656</v>
      </c>
      <c r="AD415" t="s">
        <v>64</v>
      </c>
      <c r="AE415">
        <v>42.715933999999997</v>
      </c>
      <c r="AF415">
        <v>-73.853837999999996</v>
      </c>
      <c r="AG415" t="s">
        <v>40</v>
      </c>
      <c r="AH415" t="s">
        <v>41</v>
      </c>
      <c r="AI415">
        <v>42.715888219</v>
      </c>
      <c r="AJ415">
        <v>-73.853831961799997</v>
      </c>
      <c r="AK415">
        <v>-4.5780999997191429E-5</v>
      </c>
      <c r="AL415">
        <v>6.0381999986702795E-6</v>
      </c>
      <c r="AM415" t="str">
        <f>_xlfn.IFNA(VLOOKUP(Sheet1!$C415,ADMIX_ALL!A:B,2,FALSE),"none")</f>
        <v>K6-18</v>
      </c>
      <c r="AN415" t="str">
        <f>_xlfn.IFNA(VLOOKUP(Sheet1!C415,ADMIX_SS!A:B,2,FALSE),"none")</f>
        <v>SubSample</v>
      </c>
      <c r="AO415" t="str">
        <f>_xlfn.IFNA(VLOOKUP(Sheet1!$C415,MONG_PHYLO!A:C,3,FALSE),"-")</f>
        <v>-</v>
      </c>
      <c r="AP415" t="str">
        <f>_xlfn.IFNA(VLOOKUP(Sheet1!$C415,MAC_PHYLO!A:C,3,FALSE),"-")</f>
        <v>-</v>
      </c>
      <c r="AQ415" t="str">
        <f>_xlfn.IFNA(VLOOKUP(Sheet1!$C415,ConStruct!A:C,3,FALSE),"-")</f>
        <v>-</v>
      </c>
      <c r="AR415" t="str">
        <f>_xlfn.IFNA(VLOOKUP(Sheet1!$C415,GEA!A:C,3,FALSE),"-")</f>
        <v>-</v>
      </c>
      <c r="AS415" t="str">
        <f>_xlfn.IFNA(VLOOKUP(Sheet1!$C415,MAC_DSUITE!A:D,3,FALSE),"-")</f>
        <v>-</v>
      </c>
      <c r="AT415" t="str">
        <f>_xlfn.IFNA(VLOOKUP(Sheet1!$C415,MONG_DSUITE!A:E,2,FALSE),"-")</f>
        <v>xxx</v>
      </c>
      <c r="AU415" t="str">
        <f>_xlfn.IFNA(VLOOKUP(Sheet1!$C415,MAC_PAINT2!A:D,4,FALSE),"-")</f>
        <v>-</v>
      </c>
    </row>
    <row r="416" spans="1:47" customFormat="1" x14ac:dyDescent="0.4">
      <c r="A416">
        <v>3867</v>
      </c>
      <c r="B416" t="s">
        <v>1679</v>
      </c>
      <c r="C416" t="s">
        <v>1680</v>
      </c>
      <c r="D416" t="str">
        <f>_xlfn.CONCAT(C416,".bam")</f>
        <v>SYST-MOR-0007104.bam</v>
      </c>
      <c r="E416" t="s">
        <v>1681</v>
      </c>
      <c r="F416" t="s">
        <v>2448</v>
      </c>
      <c r="G416" t="s">
        <v>2449</v>
      </c>
      <c r="H416" t="s">
        <v>2537</v>
      </c>
      <c r="I416" t="s">
        <v>1656</v>
      </c>
      <c r="K416" t="s">
        <v>632</v>
      </c>
      <c r="L416" t="s">
        <v>632</v>
      </c>
      <c r="N416" t="s">
        <v>632</v>
      </c>
      <c r="P416" t="s">
        <v>31</v>
      </c>
      <c r="Q416" t="s">
        <v>633</v>
      </c>
      <c r="R416" t="s">
        <v>2603</v>
      </c>
      <c r="S416" s="1">
        <v>44792</v>
      </c>
      <c r="T416" t="s">
        <v>33</v>
      </c>
      <c r="U416" t="s">
        <v>34</v>
      </c>
      <c r="V416" s="1">
        <v>44796</v>
      </c>
      <c r="W416" t="s">
        <v>35</v>
      </c>
      <c r="X416" t="s">
        <v>1654</v>
      </c>
      <c r="Y416" t="s">
        <v>1660</v>
      </c>
      <c r="Z416" t="s">
        <v>38</v>
      </c>
      <c r="AA416" t="s">
        <v>1656</v>
      </c>
      <c r="AD416" t="s">
        <v>632</v>
      </c>
      <c r="AE416">
        <v>42.716000999999999</v>
      </c>
      <c r="AF416">
        <v>-73.853819000000001</v>
      </c>
      <c r="AG416" t="s">
        <v>40</v>
      </c>
      <c r="AH416" t="s">
        <v>41</v>
      </c>
      <c r="AI416">
        <v>42.715953765499997</v>
      </c>
      <c r="AJ416">
        <v>-73.853600369800006</v>
      </c>
      <c r="AK416">
        <v>-4.7234500001991364E-5</v>
      </c>
      <c r="AL416">
        <v>2.1863019999557309E-4</v>
      </c>
      <c r="AM416" t="str">
        <f>_xlfn.IFNA(VLOOKUP(Sheet1!$C416,ADMIX_ALL!A:B,2,FALSE),"none")</f>
        <v>K6-18</v>
      </c>
      <c r="AN416" t="str">
        <f>_xlfn.IFNA(VLOOKUP(Sheet1!C416,ADMIX_SS!A:B,2,FALSE),"none")</f>
        <v>SubSample</v>
      </c>
      <c r="AO416" t="str">
        <f>_xlfn.IFNA(VLOOKUP(Sheet1!$C416,MONG_PHYLO!A:C,3,FALSE),"-")</f>
        <v>pri</v>
      </c>
      <c r="AP416" t="str">
        <f>_xlfn.IFNA(VLOOKUP(Sheet1!$C416,MAC_PHYLO!A:C,3,FALSE),"-")</f>
        <v>-</v>
      </c>
      <c r="AQ416" t="str">
        <f>_xlfn.IFNA(VLOOKUP(Sheet1!$C416,ConStruct!A:C,3,FALSE),"-")</f>
        <v>-</v>
      </c>
      <c r="AR416" t="str">
        <f>_xlfn.IFNA(VLOOKUP(Sheet1!$C416,GEA!A:C,3,FALSE),"-")</f>
        <v>-</v>
      </c>
      <c r="AS416" t="str">
        <f>_xlfn.IFNA(VLOOKUP(Sheet1!$C416,MAC_DSUITE!A:D,3,FALSE),"-")</f>
        <v>-</v>
      </c>
      <c r="AT416" t="str">
        <f>_xlfn.IFNA(VLOOKUP(Sheet1!$C416,MONG_DSUITE!A:E,2,FALSE),"-")</f>
        <v>xxx</v>
      </c>
      <c r="AU416" t="str">
        <f>_xlfn.IFNA(VLOOKUP(Sheet1!$C416,MAC_PAINT2!A:D,4,FALSE),"-")</f>
        <v>-</v>
      </c>
    </row>
    <row r="417" spans="1:49" customFormat="1" x14ac:dyDescent="0.4">
      <c r="A417">
        <v>3868</v>
      </c>
      <c r="B417" t="s">
        <v>1749</v>
      </c>
      <c r="C417" t="s">
        <v>1750</v>
      </c>
      <c r="D417" t="str">
        <f>_xlfn.CONCAT(C417,".bam")</f>
        <v>SYST-MOR-0007105.bam</v>
      </c>
      <c r="E417" t="s">
        <v>1751</v>
      </c>
      <c r="F417" t="s">
        <v>2448</v>
      </c>
      <c r="G417" t="s">
        <v>2451</v>
      </c>
      <c r="H417" t="s">
        <v>2539</v>
      </c>
      <c r="I417" t="s">
        <v>1736</v>
      </c>
      <c r="K417" t="s">
        <v>64</v>
      </c>
      <c r="L417" t="s">
        <v>64</v>
      </c>
      <c r="N417" t="s">
        <v>64</v>
      </c>
      <c r="P417" t="s">
        <v>31</v>
      </c>
      <c r="Q417" t="s">
        <v>65</v>
      </c>
      <c r="R417" t="s">
        <v>2599</v>
      </c>
      <c r="S417" s="1">
        <v>44792</v>
      </c>
      <c r="T417" t="s">
        <v>33</v>
      </c>
      <c r="U417" t="s">
        <v>34</v>
      </c>
      <c r="V417" s="1">
        <v>44796</v>
      </c>
      <c r="W417" t="s">
        <v>35</v>
      </c>
      <c r="X417" t="s">
        <v>1654</v>
      </c>
      <c r="Y417" t="s">
        <v>1731</v>
      </c>
      <c r="Z417" t="s">
        <v>38</v>
      </c>
      <c r="AA417" t="s">
        <v>1736</v>
      </c>
      <c r="AD417" t="s">
        <v>64</v>
      </c>
      <c r="AE417">
        <v>43.075901999999999</v>
      </c>
      <c r="AF417">
        <v>-73.295101000000003</v>
      </c>
      <c r="AG417" t="s">
        <v>40</v>
      </c>
      <c r="AH417" t="s">
        <v>41</v>
      </c>
      <c r="AI417">
        <v>43.075871597999999</v>
      </c>
      <c r="AJ417">
        <v>-73.295088429100005</v>
      </c>
      <c r="AK417">
        <v>-3.0402000000151475E-5</v>
      </c>
      <c r="AL417">
        <v>1.2570899997399465E-5</v>
      </c>
      <c r="AM417" t="str">
        <f>_xlfn.IFNA(VLOOKUP(Sheet1!$C417,ADMIX_ALL!A:B,2,FALSE),"none")</f>
        <v>K6-18</v>
      </c>
      <c r="AN417" t="str">
        <f>_xlfn.IFNA(VLOOKUP(Sheet1!C417,ADMIX_SS!A:B,2,FALSE),"none")</f>
        <v>SubSample</v>
      </c>
      <c r="AO417" t="str">
        <f>_xlfn.IFNA(VLOOKUP(Sheet1!$C417,MONG_PHYLO!A:C,3,FALSE),"-")</f>
        <v>-</v>
      </c>
      <c r="AP417" t="str">
        <f>_xlfn.IFNA(VLOOKUP(Sheet1!$C417,MAC_PHYLO!A:C,3,FALSE),"-")</f>
        <v>-</v>
      </c>
      <c r="AQ417" t="str">
        <f>_xlfn.IFNA(VLOOKUP(Sheet1!$C417,ConStruct!A:C,3,FALSE),"-")</f>
        <v>-</v>
      </c>
      <c r="AR417" t="str">
        <f>_xlfn.IFNA(VLOOKUP(Sheet1!$C417,GEA!A:C,3,FALSE),"-")</f>
        <v>-</v>
      </c>
      <c r="AS417" t="str">
        <f>_xlfn.IFNA(VLOOKUP(Sheet1!$C417,MAC_DSUITE!A:D,3,FALSE),"-")</f>
        <v>-</v>
      </c>
      <c r="AT417" t="str">
        <f>_xlfn.IFNA(VLOOKUP(Sheet1!$C417,MONG_DSUITE!A:E,2,FALSE),"-")</f>
        <v>xxx</v>
      </c>
      <c r="AU417" t="str">
        <f>_xlfn.IFNA(VLOOKUP(Sheet1!$C417,MAC_PAINT2!A:D,4,FALSE),"-")</f>
        <v>-</v>
      </c>
    </row>
    <row r="418" spans="1:49" customFormat="1" x14ac:dyDescent="0.4">
      <c r="A418">
        <v>3869</v>
      </c>
      <c r="B418" t="s">
        <v>893</v>
      </c>
      <c r="C418" t="s">
        <v>894</v>
      </c>
      <c r="D418" t="str">
        <f>_xlfn.CONCAT(C418,".bam")</f>
        <v>SYST-MOR-0007106.bam</v>
      </c>
      <c r="E418" t="s">
        <v>895</v>
      </c>
      <c r="F418" t="s">
        <v>2431</v>
      </c>
      <c r="G418" t="s">
        <v>2432</v>
      </c>
      <c r="H418" t="s">
        <v>2515</v>
      </c>
      <c r="I418" t="s">
        <v>898</v>
      </c>
      <c r="K418" t="s">
        <v>84</v>
      </c>
      <c r="L418" t="s">
        <v>84</v>
      </c>
      <c r="N418" t="s">
        <v>84</v>
      </c>
      <c r="P418" t="s">
        <v>31</v>
      </c>
      <c r="Q418" t="s">
        <v>85</v>
      </c>
      <c r="R418" t="s">
        <v>2600</v>
      </c>
      <c r="S418" s="1">
        <v>44794</v>
      </c>
      <c r="T418" t="s">
        <v>33</v>
      </c>
      <c r="U418" t="s">
        <v>34</v>
      </c>
      <c r="V418" s="1">
        <v>44796</v>
      </c>
      <c r="W418" t="s">
        <v>35</v>
      </c>
      <c r="X418" t="s">
        <v>896</v>
      </c>
      <c r="Y418" t="s">
        <v>897</v>
      </c>
      <c r="Z418" t="s">
        <v>38</v>
      </c>
      <c r="AA418" t="s">
        <v>898</v>
      </c>
      <c r="AD418" t="s">
        <v>84</v>
      </c>
      <c r="AE418">
        <v>42.056111999999999</v>
      </c>
      <c r="AF418">
        <v>-73.350116</v>
      </c>
      <c r="AG418" t="s">
        <v>40</v>
      </c>
      <c r="AH418" t="s">
        <v>41</v>
      </c>
      <c r="AI418">
        <v>42.056327951199997</v>
      </c>
      <c r="AJ418">
        <v>-73.350247889800002</v>
      </c>
      <c r="AK418">
        <v>2.159511999977326E-4</v>
      </c>
      <c r="AL418">
        <v>-1.3188980000222728E-4</v>
      </c>
      <c r="AM418" t="str">
        <f>_xlfn.IFNA(VLOOKUP(Sheet1!$C418,ADMIX_ALL!A:B,2,FALSE),"none")</f>
        <v>K6-18</v>
      </c>
      <c r="AN418" t="str">
        <f>_xlfn.IFNA(VLOOKUP(Sheet1!C418,ADMIX_SS!A:B,2,FALSE),"none")</f>
        <v>SubSample</v>
      </c>
      <c r="AO418" t="str">
        <f>_xlfn.IFNA(VLOOKUP(Sheet1!$C418,MONG_PHYLO!A:C,3,FALSE),"-")</f>
        <v>-</v>
      </c>
      <c r="AP418" t="str">
        <f>_xlfn.IFNA(VLOOKUP(Sheet1!$C418,MAC_PHYLO!A:C,3,FALSE),"-")</f>
        <v>pri</v>
      </c>
      <c r="AQ418" t="str">
        <f>_xlfn.IFNA(VLOOKUP(Sheet1!$C418,ConStruct!A:C,3,FALSE),"-")</f>
        <v>-</v>
      </c>
      <c r="AR418" t="str">
        <f>_xlfn.IFNA(VLOOKUP(Sheet1!$C418,GEA!A:C,3,FALSE),"-")</f>
        <v>-</v>
      </c>
      <c r="AS418" t="str">
        <f>_xlfn.IFNA(VLOOKUP(Sheet1!$C418,MAC_DSUITE!A:D,3,FALSE),"-")</f>
        <v>xxx</v>
      </c>
      <c r="AT418" t="str">
        <f>_xlfn.IFNA(VLOOKUP(Sheet1!$C418,MONG_DSUITE!A:E,2,FALSE),"-")</f>
        <v>xxx</v>
      </c>
      <c r="AU418" t="str">
        <f>_xlfn.IFNA(VLOOKUP(Sheet1!$C418,MAC_PAINT2!A:D,4,FALSE),"-")</f>
        <v>-</v>
      </c>
    </row>
    <row r="419" spans="1:49" customFormat="1" x14ac:dyDescent="0.4">
      <c r="A419">
        <v>3870</v>
      </c>
      <c r="B419" t="s">
        <v>899</v>
      </c>
      <c r="C419" t="s">
        <v>900</v>
      </c>
      <c r="D419" t="str">
        <f>_xlfn.CONCAT(C419,".bam")</f>
        <v>SYST-MOR-0007107.bam</v>
      </c>
      <c r="E419" t="s">
        <v>901</v>
      </c>
      <c r="F419" t="s">
        <v>2431</v>
      </c>
      <c r="G419" t="s">
        <v>2432</v>
      </c>
      <c r="H419" t="s">
        <v>2515</v>
      </c>
      <c r="I419" t="s">
        <v>898</v>
      </c>
      <c r="K419" t="s">
        <v>84</v>
      </c>
      <c r="L419" t="s">
        <v>84</v>
      </c>
      <c r="N419" t="s">
        <v>84</v>
      </c>
      <c r="P419" t="s">
        <v>113</v>
      </c>
      <c r="Q419" t="s">
        <v>85</v>
      </c>
      <c r="R419" t="s">
        <v>2600</v>
      </c>
      <c r="S419" s="1">
        <v>44794</v>
      </c>
      <c r="T419" t="s">
        <v>33</v>
      </c>
      <c r="U419" t="s">
        <v>34</v>
      </c>
      <c r="V419" s="1">
        <v>44796</v>
      </c>
      <c r="W419" t="s">
        <v>35</v>
      </c>
      <c r="X419" t="s">
        <v>896</v>
      </c>
      <c r="Y419" t="s">
        <v>897</v>
      </c>
      <c r="Z419" t="s">
        <v>38</v>
      </c>
      <c r="AA419" t="s">
        <v>898</v>
      </c>
      <c r="AD419" t="s">
        <v>84</v>
      </c>
      <c r="AE419">
        <v>42.056035000000001</v>
      </c>
      <c r="AF419">
        <v>-73.350217000000001</v>
      </c>
      <c r="AG419" t="s">
        <v>40</v>
      </c>
      <c r="AH419" t="s">
        <v>41</v>
      </c>
      <c r="AI419">
        <v>42.056115763299999</v>
      </c>
      <c r="AJ419">
        <v>-73.350261887599999</v>
      </c>
      <c r="AK419">
        <v>8.0763299997954618E-5</v>
      </c>
      <c r="AL419">
        <v>-4.4887599997878169E-5</v>
      </c>
      <c r="AM419" t="str">
        <f>_xlfn.IFNA(VLOOKUP(Sheet1!$C419,ADMIX_ALL!A:B,2,FALSE),"none")</f>
        <v>K6-18</v>
      </c>
      <c r="AN419" t="str">
        <f>_xlfn.IFNA(VLOOKUP(Sheet1!C419,ADMIX_SS!A:B,2,FALSE),"none")</f>
        <v>SubSample</v>
      </c>
      <c r="AO419" t="str">
        <f>_xlfn.IFNA(VLOOKUP(Sheet1!$C419,MONG_PHYLO!A:C,3,FALSE),"-")</f>
        <v>-</v>
      </c>
      <c r="AP419" t="str">
        <f>_xlfn.IFNA(VLOOKUP(Sheet1!$C419,MAC_PHYLO!A:C,3,FALSE),"-")</f>
        <v>-</v>
      </c>
      <c r="AQ419" t="str">
        <f>_xlfn.IFNA(VLOOKUP(Sheet1!$C419,ConStruct!A:C,3,FALSE),"-")</f>
        <v>-</v>
      </c>
      <c r="AR419" t="str">
        <f>_xlfn.IFNA(VLOOKUP(Sheet1!$C419,GEA!A:C,3,FALSE),"-")</f>
        <v>-</v>
      </c>
      <c r="AS419" t="str">
        <f>_xlfn.IFNA(VLOOKUP(Sheet1!$C419,MAC_DSUITE!A:D,3,FALSE),"-")</f>
        <v>-</v>
      </c>
      <c r="AT419" t="str">
        <f>_xlfn.IFNA(VLOOKUP(Sheet1!$C419,MONG_DSUITE!A:E,2,FALSE),"-")</f>
        <v>xxx</v>
      </c>
      <c r="AU419" t="str">
        <f>_xlfn.IFNA(VLOOKUP(Sheet1!$C419,MAC_PAINT2!A:D,4,FALSE),"-")</f>
        <v>-</v>
      </c>
    </row>
    <row r="420" spans="1:49" customFormat="1" x14ac:dyDescent="0.4">
      <c r="A420">
        <v>3871</v>
      </c>
      <c r="B420" t="s">
        <v>902</v>
      </c>
      <c r="C420" t="s">
        <v>903</v>
      </c>
      <c r="D420" t="str">
        <f>_xlfn.CONCAT(C420,".bam")</f>
        <v>SYST-MOR-0007108.bam</v>
      </c>
      <c r="E420" t="s">
        <v>904</v>
      </c>
      <c r="F420" t="s">
        <v>2431</v>
      </c>
      <c r="G420" t="s">
        <v>2432</v>
      </c>
      <c r="H420" t="s">
        <v>2515</v>
      </c>
      <c r="I420" t="s">
        <v>898</v>
      </c>
      <c r="K420" t="s">
        <v>84</v>
      </c>
      <c r="L420" t="s">
        <v>84</v>
      </c>
      <c r="N420" t="s">
        <v>84</v>
      </c>
      <c r="P420" t="s">
        <v>31</v>
      </c>
      <c r="Q420" t="s">
        <v>85</v>
      </c>
      <c r="R420" t="s">
        <v>2600</v>
      </c>
      <c r="S420" s="1">
        <v>44794</v>
      </c>
      <c r="T420" t="s">
        <v>33</v>
      </c>
      <c r="U420" t="s">
        <v>34</v>
      </c>
      <c r="V420" s="1">
        <v>44796</v>
      </c>
      <c r="W420" t="s">
        <v>35</v>
      </c>
      <c r="X420" t="s">
        <v>896</v>
      </c>
      <c r="Y420" t="s">
        <v>897</v>
      </c>
      <c r="Z420" t="s">
        <v>38</v>
      </c>
      <c r="AA420" t="s">
        <v>898</v>
      </c>
      <c r="AD420" t="s">
        <v>84</v>
      </c>
      <c r="AE420">
        <v>42.055942999999999</v>
      </c>
      <c r="AF420">
        <v>-73.350234</v>
      </c>
      <c r="AG420" t="s">
        <v>40</v>
      </c>
      <c r="AH420" t="s">
        <v>41</v>
      </c>
      <c r="AI420">
        <v>42.056183195700001</v>
      </c>
      <c r="AJ420">
        <v>-73.350246381100007</v>
      </c>
      <c r="AK420">
        <v>2.4019570000177737E-4</v>
      </c>
      <c r="AL420">
        <v>-1.2381100006564338E-5</v>
      </c>
      <c r="AM420" t="str">
        <f>_xlfn.IFNA(VLOOKUP(Sheet1!$C420,ADMIX_ALL!A:B,2,FALSE),"none")</f>
        <v>K6-18</v>
      </c>
      <c r="AN420" t="str">
        <f>_xlfn.IFNA(VLOOKUP(Sheet1!C420,ADMIX_SS!A:B,2,FALSE),"none")</f>
        <v>SubSample</v>
      </c>
      <c r="AO420" t="str">
        <f>_xlfn.IFNA(VLOOKUP(Sheet1!$C420,MONG_PHYLO!A:C,3,FALSE),"-")</f>
        <v>-</v>
      </c>
      <c r="AP420" t="str">
        <f>_xlfn.IFNA(VLOOKUP(Sheet1!$C420,MAC_PHYLO!A:C,3,FALSE),"-")</f>
        <v>-</v>
      </c>
      <c r="AQ420" t="str">
        <f>_xlfn.IFNA(VLOOKUP(Sheet1!$C420,ConStruct!A:C,3,FALSE),"-")</f>
        <v>-</v>
      </c>
      <c r="AR420" t="str">
        <f>_xlfn.IFNA(VLOOKUP(Sheet1!$C420,GEA!A:C,3,FALSE),"-")</f>
        <v>-</v>
      </c>
      <c r="AS420" t="str">
        <f>_xlfn.IFNA(VLOOKUP(Sheet1!$C420,MAC_DSUITE!A:D,3,FALSE),"-")</f>
        <v>-</v>
      </c>
      <c r="AT420" t="str">
        <f>_xlfn.IFNA(VLOOKUP(Sheet1!$C420,MONG_DSUITE!A:E,2,FALSE),"-")</f>
        <v>xxx</v>
      </c>
      <c r="AU420" t="str">
        <f>_xlfn.IFNA(VLOOKUP(Sheet1!$C420,MAC_PAINT2!A:D,4,FALSE),"-")</f>
        <v>-</v>
      </c>
    </row>
    <row r="421" spans="1:49" customFormat="1" x14ac:dyDescent="0.4">
      <c r="A421">
        <v>3872</v>
      </c>
      <c r="B421" t="s">
        <v>905</v>
      </c>
      <c r="C421" t="s">
        <v>906</v>
      </c>
      <c r="D421" t="str">
        <f>_xlfn.CONCAT(C421,".bam")</f>
        <v>SYST-MOR-0007109.bam</v>
      </c>
      <c r="E421" t="s">
        <v>907</v>
      </c>
      <c r="F421" t="s">
        <v>2431</v>
      </c>
      <c r="G421" t="s">
        <v>2432</v>
      </c>
      <c r="H421" t="s">
        <v>2515</v>
      </c>
      <c r="I421" t="s">
        <v>898</v>
      </c>
      <c r="K421" t="s">
        <v>64</v>
      </c>
      <c r="L421" t="s">
        <v>64</v>
      </c>
      <c r="N421" t="s">
        <v>64</v>
      </c>
      <c r="P421" t="s">
        <v>113</v>
      </c>
      <c r="Q421" t="s">
        <v>65</v>
      </c>
      <c r="R421" t="s">
        <v>2599</v>
      </c>
      <c r="S421" s="1">
        <v>44794</v>
      </c>
      <c r="T421" t="s">
        <v>33</v>
      </c>
      <c r="U421" t="s">
        <v>34</v>
      </c>
      <c r="V421" s="1">
        <v>44796</v>
      </c>
      <c r="W421" t="s">
        <v>35</v>
      </c>
      <c r="X421" t="s">
        <v>896</v>
      </c>
      <c r="Y421" t="s">
        <v>897</v>
      </c>
      <c r="Z421" t="s">
        <v>38</v>
      </c>
      <c r="AA421" t="s">
        <v>898</v>
      </c>
      <c r="AD421" t="s">
        <v>64</v>
      </c>
      <c r="AE421">
        <v>42.055847</v>
      </c>
      <c r="AF421">
        <v>-73.350441000000004</v>
      </c>
      <c r="AG421" t="s">
        <v>40</v>
      </c>
      <c r="AH421" t="s">
        <v>41</v>
      </c>
      <c r="AI421">
        <v>42.0557648968</v>
      </c>
      <c r="AJ421">
        <v>-73.350368673099993</v>
      </c>
      <c r="AK421">
        <v>-8.2103200000460674E-5</v>
      </c>
      <c r="AL421">
        <v>7.2326900010466488E-5</v>
      </c>
      <c r="AM421" t="str">
        <f>_xlfn.IFNA(VLOOKUP(Sheet1!$C421,ADMIX_ALL!A:B,2,FALSE),"none")</f>
        <v>K6-18</v>
      </c>
      <c r="AN421" t="str">
        <f>_xlfn.IFNA(VLOOKUP(Sheet1!C421,ADMIX_SS!A:B,2,FALSE),"none")</f>
        <v>SubSample</v>
      </c>
      <c r="AO421" t="str">
        <f>_xlfn.IFNA(VLOOKUP(Sheet1!$C421,MONG_PHYLO!A:C,3,FALSE),"-")</f>
        <v>-</v>
      </c>
      <c r="AP421" t="str">
        <f>_xlfn.IFNA(VLOOKUP(Sheet1!$C421,MAC_PHYLO!A:C,3,FALSE),"-")</f>
        <v>alb</v>
      </c>
      <c r="AQ421" t="str">
        <f>_xlfn.IFNA(VLOOKUP(Sheet1!$C421,ConStruct!A:C,3,FALSE),"-")</f>
        <v>-</v>
      </c>
      <c r="AR421" t="str">
        <f>_xlfn.IFNA(VLOOKUP(Sheet1!$C421,GEA!A:C,3,FALSE),"-")</f>
        <v>-</v>
      </c>
      <c r="AS421" t="str">
        <f>_xlfn.IFNA(VLOOKUP(Sheet1!$C421,MAC_DSUITE!A:D,3,FALSE),"-")</f>
        <v>alb</v>
      </c>
      <c r="AT421" t="str">
        <f>_xlfn.IFNA(VLOOKUP(Sheet1!$C421,MONG_DSUITE!A:E,2,FALSE),"-")</f>
        <v>xxx</v>
      </c>
      <c r="AU421" t="str">
        <f>_xlfn.IFNA(VLOOKUP(Sheet1!$C421,MAC_PAINT2!A:D,4,FALSE),"-")</f>
        <v>alb-macpaint</v>
      </c>
    </row>
    <row r="422" spans="1:49" customFormat="1" x14ac:dyDescent="0.4">
      <c r="A422">
        <v>3873</v>
      </c>
      <c r="B422" t="s">
        <v>908</v>
      </c>
      <c r="C422" t="s">
        <v>909</v>
      </c>
      <c r="D422" t="str">
        <f>_xlfn.CONCAT(C422,".bam")</f>
        <v>SYST-MOR-0007110.bam</v>
      </c>
      <c r="E422" t="s">
        <v>910</v>
      </c>
      <c r="F422" t="s">
        <v>2431</v>
      </c>
      <c r="G422" t="s">
        <v>2432</v>
      </c>
      <c r="H422" t="s">
        <v>2515</v>
      </c>
      <c r="I422" t="s">
        <v>898</v>
      </c>
      <c r="K422" t="s">
        <v>84</v>
      </c>
      <c r="L422" t="s">
        <v>84</v>
      </c>
      <c r="N422" t="s">
        <v>84</v>
      </c>
      <c r="P422" t="s">
        <v>31</v>
      </c>
      <c r="Q422" t="s">
        <v>85</v>
      </c>
      <c r="R422" t="s">
        <v>2600</v>
      </c>
      <c r="S422" s="1">
        <v>44794</v>
      </c>
      <c r="T422" t="s">
        <v>33</v>
      </c>
      <c r="U422" t="s">
        <v>34</v>
      </c>
      <c r="V422" s="1">
        <v>44796</v>
      </c>
      <c r="W422" t="s">
        <v>35</v>
      </c>
      <c r="X422" t="s">
        <v>896</v>
      </c>
      <c r="Y422" t="s">
        <v>897</v>
      </c>
      <c r="Z422" t="s">
        <v>38</v>
      </c>
      <c r="AA422" t="s">
        <v>898</v>
      </c>
      <c r="AD422" t="s">
        <v>84</v>
      </c>
      <c r="AE422">
        <v>42.055816999999998</v>
      </c>
      <c r="AF422">
        <v>-73.350211000000002</v>
      </c>
      <c r="AG422" t="s">
        <v>40</v>
      </c>
      <c r="AH422" t="s">
        <v>41</v>
      </c>
      <c r="AI422">
        <v>42.055870760300003</v>
      </c>
      <c r="AJ422">
        <v>-73.350258618699996</v>
      </c>
      <c r="AK422">
        <v>5.3760300005478712E-5</v>
      </c>
      <c r="AL422">
        <v>-4.7618699994700364E-5</v>
      </c>
      <c r="AM422" t="str">
        <f>_xlfn.IFNA(VLOOKUP(Sheet1!$C422,ADMIX_ALL!A:B,2,FALSE),"none")</f>
        <v>K6-18</v>
      </c>
      <c r="AN422" t="str">
        <f>_xlfn.IFNA(VLOOKUP(Sheet1!C422,ADMIX_SS!A:B,2,FALSE),"none")</f>
        <v>SubSample</v>
      </c>
      <c r="AO422" t="str">
        <f>_xlfn.IFNA(VLOOKUP(Sheet1!$C422,MONG_PHYLO!A:C,3,FALSE),"-")</f>
        <v>-</v>
      </c>
      <c r="AP422" t="str">
        <f>_xlfn.IFNA(VLOOKUP(Sheet1!$C422,MAC_PHYLO!A:C,3,FALSE),"-")</f>
        <v>-</v>
      </c>
      <c r="AQ422" t="str">
        <f>_xlfn.IFNA(VLOOKUP(Sheet1!$C422,ConStruct!A:C,3,FALSE),"-")</f>
        <v>-</v>
      </c>
      <c r="AR422" t="str">
        <f>_xlfn.IFNA(VLOOKUP(Sheet1!$C422,GEA!A:C,3,FALSE),"-")</f>
        <v>-</v>
      </c>
      <c r="AS422" t="str">
        <f>_xlfn.IFNA(VLOOKUP(Sheet1!$C422,MAC_DSUITE!A:D,3,FALSE),"-")</f>
        <v>-</v>
      </c>
      <c r="AT422" t="str">
        <f>_xlfn.IFNA(VLOOKUP(Sheet1!$C422,MONG_DSUITE!A:E,2,FALSE),"-")</f>
        <v>xxx</v>
      </c>
      <c r="AU422" t="str">
        <f>_xlfn.IFNA(VLOOKUP(Sheet1!$C422,MAC_PAINT2!A:D,4,FALSE),"-")</f>
        <v>-</v>
      </c>
    </row>
    <row r="423" spans="1:49" customFormat="1" x14ac:dyDescent="0.4">
      <c r="A423">
        <v>3874</v>
      </c>
      <c r="B423" t="s">
        <v>911</v>
      </c>
      <c r="C423" t="s">
        <v>912</v>
      </c>
      <c r="D423" t="str">
        <f>_xlfn.CONCAT(C423,".bam")</f>
        <v>SYST-MOR-0007111.bam</v>
      </c>
      <c r="E423" t="s">
        <v>913</v>
      </c>
      <c r="F423" t="s">
        <v>2431</v>
      </c>
      <c r="G423" t="s">
        <v>2432</v>
      </c>
      <c r="H423" t="s">
        <v>2515</v>
      </c>
      <c r="I423" t="s">
        <v>898</v>
      </c>
      <c r="K423" t="s">
        <v>84</v>
      </c>
      <c r="L423" t="s">
        <v>84</v>
      </c>
      <c r="N423" t="s">
        <v>84</v>
      </c>
      <c r="P423" t="s">
        <v>113</v>
      </c>
      <c r="Q423" t="s">
        <v>85</v>
      </c>
      <c r="R423" t="s">
        <v>2600</v>
      </c>
      <c r="S423" s="1">
        <v>44794</v>
      </c>
      <c r="T423" t="s">
        <v>33</v>
      </c>
      <c r="U423" t="s">
        <v>34</v>
      </c>
      <c r="V423" s="1">
        <v>44796</v>
      </c>
      <c r="W423" t="s">
        <v>35</v>
      </c>
      <c r="X423" t="s">
        <v>896</v>
      </c>
      <c r="Y423" t="s">
        <v>897</v>
      </c>
      <c r="Z423" t="s">
        <v>38</v>
      </c>
      <c r="AA423" t="s">
        <v>898</v>
      </c>
      <c r="AD423" t="s">
        <v>84</v>
      </c>
      <c r="AE423">
        <v>42.056041999999998</v>
      </c>
      <c r="AF423">
        <v>-73.350956999999994</v>
      </c>
      <c r="AG423" t="s">
        <v>40</v>
      </c>
      <c r="AH423" t="s">
        <v>41</v>
      </c>
      <c r="AI423">
        <v>42.055996698400001</v>
      </c>
      <c r="AJ423">
        <v>-73.351078620199999</v>
      </c>
      <c r="AK423">
        <v>-4.5301599996605546E-5</v>
      </c>
      <c r="AL423">
        <v>-1.2162020000516804E-4</v>
      </c>
      <c r="AM423" t="str">
        <f>_xlfn.IFNA(VLOOKUP(Sheet1!$C423,ADMIX_ALL!A:B,2,FALSE),"none")</f>
        <v>K6-18</v>
      </c>
      <c r="AN423" t="str">
        <f>_xlfn.IFNA(VLOOKUP(Sheet1!C423,ADMIX_SS!A:B,2,FALSE),"none")</f>
        <v>SubSample</v>
      </c>
      <c r="AO423" t="str">
        <f>_xlfn.IFNA(VLOOKUP(Sheet1!$C423,MONG_PHYLO!A:C,3,FALSE),"-")</f>
        <v>-</v>
      </c>
      <c r="AP423" t="str">
        <f>_xlfn.IFNA(VLOOKUP(Sheet1!$C423,MAC_PHYLO!A:C,3,FALSE),"-")</f>
        <v>-</v>
      </c>
      <c r="AQ423" t="str">
        <f>_xlfn.IFNA(VLOOKUP(Sheet1!$C423,ConStruct!A:C,3,FALSE),"-")</f>
        <v>-</v>
      </c>
      <c r="AR423" t="str">
        <f>_xlfn.IFNA(VLOOKUP(Sheet1!$C423,GEA!A:C,3,FALSE),"-")</f>
        <v>-</v>
      </c>
      <c r="AS423" t="str">
        <f>_xlfn.IFNA(VLOOKUP(Sheet1!$C423,MAC_DSUITE!A:D,3,FALSE),"-")</f>
        <v>-</v>
      </c>
      <c r="AT423" t="str">
        <f>_xlfn.IFNA(VLOOKUP(Sheet1!$C423,MONG_DSUITE!A:E,2,FALSE),"-")</f>
        <v>xxx</v>
      </c>
      <c r="AU423" t="str">
        <f>_xlfn.IFNA(VLOOKUP(Sheet1!$C423,MAC_PAINT2!A:D,4,FALSE),"-")</f>
        <v>-</v>
      </c>
    </row>
    <row r="424" spans="1:49" customFormat="1" x14ac:dyDescent="0.4">
      <c r="A424">
        <v>3875</v>
      </c>
      <c r="B424" t="s">
        <v>914</v>
      </c>
      <c r="C424" t="s">
        <v>915</v>
      </c>
      <c r="D424" t="str">
        <f>_xlfn.CONCAT(C424,".bam")</f>
        <v>SYST-MOR-0007112.bam</v>
      </c>
      <c r="E424" t="s">
        <v>916</v>
      </c>
      <c r="F424" t="s">
        <v>2431</v>
      </c>
      <c r="G424" t="s">
        <v>2432</v>
      </c>
      <c r="H424" t="s">
        <v>2515</v>
      </c>
      <c r="I424" t="s">
        <v>898</v>
      </c>
      <c r="K424" t="s">
        <v>45</v>
      </c>
      <c r="L424" t="s">
        <v>45</v>
      </c>
      <c r="N424" t="s">
        <v>45</v>
      </c>
      <c r="P424" t="s">
        <v>31</v>
      </c>
      <c r="Q424" t="s">
        <v>46</v>
      </c>
      <c r="R424" t="s">
        <v>2597</v>
      </c>
      <c r="S424" s="1">
        <v>44794</v>
      </c>
      <c r="T424" t="s">
        <v>33</v>
      </c>
      <c r="U424" t="s">
        <v>34</v>
      </c>
      <c r="V424" s="1">
        <v>44796</v>
      </c>
      <c r="W424" t="s">
        <v>35</v>
      </c>
      <c r="X424" t="s">
        <v>896</v>
      </c>
      <c r="Y424" t="s">
        <v>897</v>
      </c>
      <c r="Z424" t="s">
        <v>38</v>
      </c>
      <c r="AA424" t="s">
        <v>898</v>
      </c>
      <c r="AD424" t="s">
        <v>45</v>
      </c>
      <c r="AE424">
        <v>42.057929999999999</v>
      </c>
      <c r="AF424">
        <v>-73.350320999999994</v>
      </c>
      <c r="AG424" t="s">
        <v>40</v>
      </c>
      <c r="AH424" t="s">
        <v>41</v>
      </c>
      <c r="AI424">
        <v>42.0562030874</v>
      </c>
      <c r="AJ424">
        <v>-73.351057584700001</v>
      </c>
      <c r="AK424">
        <v>-1.7269125999987978E-3</v>
      </c>
      <c r="AL424">
        <v>-7.3658470000736997E-4</v>
      </c>
      <c r="AM424" t="str">
        <f>_xlfn.IFNA(VLOOKUP(Sheet1!$C424,ADMIX_ALL!A:B,2,FALSE),"none")</f>
        <v>K6-18</v>
      </c>
      <c r="AN424" t="str">
        <f>_xlfn.IFNA(VLOOKUP(Sheet1!C424,ADMIX_SS!A:B,2,FALSE),"none")</f>
        <v>SubSample</v>
      </c>
      <c r="AO424" t="str">
        <f>_xlfn.IFNA(VLOOKUP(Sheet1!$C424,MONG_PHYLO!A:C,3,FALSE),"-")</f>
        <v>-</v>
      </c>
      <c r="AP424" t="str">
        <f>_xlfn.IFNA(VLOOKUP(Sheet1!$C424,MAC_PHYLO!A:C,3,FALSE),"-")</f>
        <v>-</v>
      </c>
      <c r="AQ424" t="str">
        <f>_xlfn.IFNA(VLOOKUP(Sheet1!$C424,ConStruct!A:C,3,FALSE),"-")</f>
        <v>ConStruct</v>
      </c>
      <c r="AR424" t="str">
        <f>_xlfn.IFNA(VLOOKUP(Sheet1!$C424,GEA!A:C,3,FALSE),"-")</f>
        <v>GEA</v>
      </c>
      <c r="AS424" t="str">
        <f>_xlfn.IFNA(VLOOKUP(Sheet1!$C424,MAC_DSUITE!A:D,3,FALSE),"-")</f>
        <v>xxx</v>
      </c>
      <c r="AT424" t="str">
        <f>_xlfn.IFNA(VLOOKUP(Sheet1!$C424,MONG_DSUITE!A:E,2,FALSE),"-")</f>
        <v>xxx</v>
      </c>
      <c r="AU424" t="str">
        <f>_xlfn.IFNA(VLOOKUP(Sheet1!$C424,MAC_PAINT2!A:D,4,FALSE),"-")</f>
        <v>-</v>
      </c>
    </row>
    <row r="425" spans="1:49" customFormat="1" x14ac:dyDescent="0.4">
      <c r="A425">
        <v>3876</v>
      </c>
      <c r="B425" t="s">
        <v>917</v>
      </c>
      <c r="C425" t="s">
        <v>918</v>
      </c>
      <c r="D425" t="str">
        <f>_xlfn.CONCAT(C425,".bam")</f>
        <v>SYST-MOR-0007113.bam</v>
      </c>
      <c r="E425" t="s">
        <v>919</v>
      </c>
      <c r="F425" t="s">
        <v>2431</v>
      </c>
      <c r="G425" t="s">
        <v>2432</v>
      </c>
      <c r="H425" t="s">
        <v>2515</v>
      </c>
      <c r="I425" t="s">
        <v>898</v>
      </c>
      <c r="K425" t="s">
        <v>64</v>
      </c>
      <c r="L425" t="s">
        <v>64</v>
      </c>
      <c r="N425" t="s">
        <v>64</v>
      </c>
      <c r="P425" t="s">
        <v>113</v>
      </c>
      <c r="Q425" t="s">
        <v>65</v>
      </c>
      <c r="R425" t="s">
        <v>2599</v>
      </c>
      <c r="S425" s="1">
        <v>44794</v>
      </c>
      <c r="T425" t="s">
        <v>33</v>
      </c>
      <c r="U425" t="s">
        <v>34</v>
      </c>
      <c r="V425" s="1">
        <v>44796</v>
      </c>
      <c r="W425" t="s">
        <v>35</v>
      </c>
      <c r="X425" t="s">
        <v>896</v>
      </c>
      <c r="Y425" t="s">
        <v>897</v>
      </c>
      <c r="Z425" t="s">
        <v>38</v>
      </c>
      <c r="AA425" t="s">
        <v>898</v>
      </c>
      <c r="AD425" t="s">
        <v>64</v>
      </c>
      <c r="AE425">
        <v>42.057557000000003</v>
      </c>
      <c r="AF425">
        <v>-73.350425999999999</v>
      </c>
      <c r="AG425" t="s">
        <v>40</v>
      </c>
      <c r="AH425" t="s">
        <v>41</v>
      </c>
      <c r="AI425">
        <v>42.057426399599997</v>
      </c>
      <c r="AJ425">
        <v>-73.350337492400001</v>
      </c>
      <c r="AK425">
        <v>-1.3060040000567597E-4</v>
      </c>
      <c r="AL425">
        <v>8.8507599997456055E-5</v>
      </c>
      <c r="AM425" t="str">
        <f>_xlfn.IFNA(VLOOKUP(Sheet1!$C425,ADMIX_ALL!A:B,2,FALSE),"none")</f>
        <v>K6-18</v>
      </c>
      <c r="AN425" t="str">
        <f>_xlfn.IFNA(VLOOKUP(Sheet1!C425,ADMIX_SS!A:B,2,FALSE),"none")</f>
        <v>none</v>
      </c>
      <c r="AO425" t="str">
        <f>_xlfn.IFNA(VLOOKUP(Sheet1!$C425,MONG_PHYLO!A:C,3,FALSE),"-")</f>
        <v>-</v>
      </c>
      <c r="AP425" t="str">
        <f>_xlfn.IFNA(VLOOKUP(Sheet1!$C425,MAC_PHYLO!A:C,3,FALSE),"-")</f>
        <v>-</v>
      </c>
      <c r="AQ425" t="str">
        <f>_xlfn.IFNA(VLOOKUP(Sheet1!$C425,ConStruct!A:C,3,FALSE),"-")</f>
        <v>-</v>
      </c>
      <c r="AR425" t="str">
        <f>_xlfn.IFNA(VLOOKUP(Sheet1!$C425,GEA!A:C,3,FALSE),"-")</f>
        <v>-</v>
      </c>
      <c r="AS425" t="str">
        <f>_xlfn.IFNA(VLOOKUP(Sheet1!$C425,MAC_DSUITE!A:D,3,FALSE),"-")</f>
        <v>-</v>
      </c>
      <c r="AT425" t="str">
        <f>_xlfn.IFNA(VLOOKUP(Sheet1!$C425,MONG_DSUITE!A:E,2,FALSE),"-")</f>
        <v>xxx</v>
      </c>
      <c r="AU425" t="str">
        <f>_xlfn.IFNA(VLOOKUP(Sheet1!$C425,MAC_PAINT2!A:D,4,FALSE),"-")</f>
        <v>-</v>
      </c>
    </row>
    <row r="426" spans="1:49" s="16" customFormat="1" x14ac:dyDescent="0.4">
      <c r="A426" s="16">
        <v>3877</v>
      </c>
      <c r="B426" s="16" t="s">
        <v>933</v>
      </c>
      <c r="C426" s="16" t="s">
        <v>934</v>
      </c>
      <c r="D426" s="16" t="str">
        <f>_xlfn.CONCAT(C426,".bam")</f>
        <v>SYST-MOR-0007114.bam</v>
      </c>
      <c r="E426" s="16" t="s">
        <v>935</v>
      </c>
      <c r="F426" s="16" t="s">
        <v>2431</v>
      </c>
      <c r="G426" s="16" t="s">
        <v>2434</v>
      </c>
      <c r="H426" s="16" t="s">
        <v>2517</v>
      </c>
      <c r="I426" s="16" t="s">
        <v>936</v>
      </c>
      <c r="K426" s="16" t="s">
        <v>45</v>
      </c>
      <c r="L426" s="16" t="s">
        <v>45</v>
      </c>
      <c r="N426" s="16" t="s">
        <v>45</v>
      </c>
      <c r="P426" s="16" t="s">
        <v>31</v>
      </c>
      <c r="Q426" s="16" t="s">
        <v>46</v>
      </c>
      <c r="R426" s="16" t="s">
        <v>2597</v>
      </c>
      <c r="S426" s="17">
        <v>44794</v>
      </c>
      <c r="T426" s="16" t="s">
        <v>33</v>
      </c>
      <c r="U426" s="16" t="s">
        <v>34</v>
      </c>
      <c r="V426" s="17">
        <v>44796</v>
      </c>
      <c r="W426" s="16" t="s">
        <v>35</v>
      </c>
      <c r="X426" s="16" t="s">
        <v>896</v>
      </c>
      <c r="Y426" s="16" t="s">
        <v>897</v>
      </c>
      <c r="Z426" s="16" t="s">
        <v>38</v>
      </c>
      <c r="AA426" s="16" t="s">
        <v>936</v>
      </c>
      <c r="AD426" s="16" t="s">
        <v>45</v>
      </c>
      <c r="AE426" s="16">
        <v>42.287503000000001</v>
      </c>
      <c r="AF426" s="16">
        <v>-73.315911999999997</v>
      </c>
      <c r="AG426" s="16" t="s">
        <v>40</v>
      </c>
      <c r="AH426" s="16" t="s">
        <v>41</v>
      </c>
      <c r="AI426" s="16">
        <v>42.287534284400003</v>
      </c>
      <c r="AJ426" s="16">
        <v>-73.315904466500001</v>
      </c>
      <c r="AK426" s="16">
        <v>3.1284400002107304E-5</v>
      </c>
      <c r="AL426" s="16">
        <v>7.5334999962706206E-6</v>
      </c>
      <c r="AM426" s="16" t="str">
        <f>_xlfn.IFNA(VLOOKUP(Sheet1!$C426,ADMIX_ALL!A:B,2,FALSE),"none")</f>
        <v>K6-18</v>
      </c>
      <c r="AN426" s="16" t="str">
        <f>_xlfn.IFNA(VLOOKUP(Sheet1!C426,ADMIX_SS!A:B,2,FALSE),"none")</f>
        <v>SubSample</v>
      </c>
      <c r="AO426" s="16" t="str">
        <f>_xlfn.IFNA(VLOOKUP(Sheet1!$C426,MONG_PHYLO!A:C,3,FALSE),"-")</f>
        <v>-</v>
      </c>
      <c r="AP426" s="16" t="str">
        <f>_xlfn.IFNA(VLOOKUP(Sheet1!$C426,MAC_PHYLO!A:C,3,FALSE),"-")</f>
        <v>-</v>
      </c>
      <c r="AQ426" s="16" t="str">
        <f>_xlfn.IFNA(VLOOKUP(Sheet1!$C426,ConStruct!A:C,3,FALSE),"-")</f>
        <v>ConStruct</v>
      </c>
      <c r="AR426" s="16" t="str">
        <f>_xlfn.IFNA(VLOOKUP(Sheet1!$C426,GEA!A:C,3,FALSE),"-")</f>
        <v>-</v>
      </c>
      <c r="AS426" s="16" t="str">
        <f>_xlfn.IFNA(VLOOKUP(Sheet1!$C426,MAC_DSUITE!A:D,3,FALSE),"-")</f>
        <v>-</v>
      </c>
      <c r="AT426" s="16" t="str">
        <f>_xlfn.IFNA(VLOOKUP(Sheet1!$C426,MONG_DSUITE!A:E,2,FALSE),"-")</f>
        <v>macrocarpa_NMK</v>
      </c>
      <c r="AU426" s="16" t="str">
        <f>_xlfn.IFNA(VLOOKUP(Sheet1!$C426,MAC_PAINT2!A:D,4,FALSE),"-")</f>
        <v>-</v>
      </c>
      <c r="AV426" s="16" t="s">
        <v>9195</v>
      </c>
      <c r="AW426" s="16" t="s">
        <v>9196</v>
      </c>
    </row>
    <row r="427" spans="1:49" customFormat="1" x14ac:dyDescent="0.4">
      <c r="A427">
        <v>3878</v>
      </c>
      <c r="B427" t="s">
        <v>937</v>
      </c>
      <c r="C427" t="s">
        <v>938</v>
      </c>
      <c r="D427" t="str">
        <f>_xlfn.CONCAT(C427,".bam")</f>
        <v>SYST-MOR-0007115.bam</v>
      </c>
      <c r="E427" t="s">
        <v>939</v>
      </c>
      <c r="F427" t="s">
        <v>2431</v>
      </c>
      <c r="G427" t="s">
        <v>2434</v>
      </c>
      <c r="H427" t="s">
        <v>2517</v>
      </c>
      <c r="I427" t="s">
        <v>936</v>
      </c>
      <c r="K427" t="s">
        <v>45</v>
      </c>
      <c r="L427" t="s">
        <v>45</v>
      </c>
      <c r="N427" t="s">
        <v>45</v>
      </c>
      <c r="P427" t="s">
        <v>113</v>
      </c>
      <c r="Q427" t="s">
        <v>46</v>
      </c>
      <c r="R427" t="s">
        <v>2597</v>
      </c>
      <c r="S427" s="1">
        <v>44794</v>
      </c>
      <c r="T427" t="s">
        <v>33</v>
      </c>
      <c r="U427" t="s">
        <v>34</v>
      </c>
      <c r="V427" s="1">
        <v>44796</v>
      </c>
      <c r="W427" t="s">
        <v>35</v>
      </c>
      <c r="X427" t="s">
        <v>896</v>
      </c>
      <c r="Y427" t="s">
        <v>897</v>
      </c>
      <c r="Z427" t="s">
        <v>38</v>
      </c>
      <c r="AA427" t="s">
        <v>936</v>
      </c>
      <c r="AD427" t="s">
        <v>45</v>
      </c>
      <c r="AE427">
        <v>42.286952999999997</v>
      </c>
      <c r="AF427">
        <v>-73.315492000000006</v>
      </c>
      <c r="AG427" t="s">
        <v>40</v>
      </c>
      <c r="AH427" t="s">
        <v>41</v>
      </c>
      <c r="AI427">
        <v>42.287037363300001</v>
      </c>
      <c r="AJ427">
        <v>-73.315456118499995</v>
      </c>
      <c r="AK427">
        <v>8.4363300004497432E-5</v>
      </c>
      <c r="AL427">
        <v>3.5881500011214484E-5</v>
      </c>
      <c r="AM427" t="str">
        <f>_xlfn.IFNA(VLOOKUP(Sheet1!$C427,ADMIX_ALL!A:B,2,FALSE),"none")</f>
        <v>K6-18</v>
      </c>
      <c r="AN427" t="str">
        <f>_xlfn.IFNA(VLOOKUP(Sheet1!C427,ADMIX_SS!A:B,2,FALSE),"none")</f>
        <v>SubSample</v>
      </c>
      <c r="AO427" t="str">
        <f>_xlfn.IFNA(VLOOKUP(Sheet1!$C427,MONG_PHYLO!A:C,3,FALSE),"-")</f>
        <v>-</v>
      </c>
      <c r="AP427" t="str">
        <f>_xlfn.IFNA(VLOOKUP(Sheet1!$C427,MAC_PHYLO!A:C,3,FALSE),"-")</f>
        <v>-</v>
      </c>
      <c r="AQ427" t="str">
        <f>_xlfn.IFNA(VLOOKUP(Sheet1!$C427,ConStruct!A:C,3,FALSE),"-")</f>
        <v>ConStruct</v>
      </c>
      <c r="AR427" t="str">
        <f>_xlfn.IFNA(VLOOKUP(Sheet1!$C427,GEA!A:C,3,FALSE),"-")</f>
        <v>GEA</v>
      </c>
      <c r="AS427" t="str">
        <f>_xlfn.IFNA(VLOOKUP(Sheet1!$C427,MAC_DSUITE!A:D,3,FALSE),"-")</f>
        <v>mac_MA_NMK</v>
      </c>
      <c r="AT427" t="str">
        <f>_xlfn.IFNA(VLOOKUP(Sheet1!$C427,MONG_DSUITE!A:E,2,FALSE),"-")</f>
        <v>macrocarpa_NMK</v>
      </c>
      <c r="AU427" t="str">
        <f>_xlfn.IFNA(VLOOKUP(Sheet1!$C427,MAC_PAINT2!A:D,4,FALSE),"-")</f>
        <v>-</v>
      </c>
      <c r="AV427" t="s">
        <v>9196</v>
      </c>
      <c r="AW427" t="s">
        <v>9193</v>
      </c>
    </row>
    <row r="428" spans="1:49" customFormat="1" x14ac:dyDescent="0.4">
      <c r="A428">
        <v>3879</v>
      </c>
      <c r="B428" t="s">
        <v>940</v>
      </c>
      <c r="C428" t="s">
        <v>941</v>
      </c>
      <c r="D428" t="str">
        <f>_xlfn.CONCAT(C428,".bam")</f>
        <v>SYST-MOR-0007116.bam</v>
      </c>
      <c r="E428" t="s">
        <v>942</v>
      </c>
      <c r="F428" t="s">
        <v>2431</v>
      </c>
      <c r="G428" t="s">
        <v>2434</v>
      </c>
      <c r="H428" t="s">
        <v>2517</v>
      </c>
      <c r="I428" t="s">
        <v>936</v>
      </c>
      <c r="K428" t="s">
        <v>45</v>
      </c>
      <c r="L428" t="s">
        <v>45</v>
      </c>
      <c r="N428" t="s">
        <v>45</v>
      </c>
      <c r="P428" t="s">
        <v>31</v>
      </c>
      <c r="Q428" t="s">
        <v>46</v>
      </c>
      <c r="R428" t="s">
        <v>2597</v>
      </c>
      <c r="S428" s="1">
        <v>44794</v>
      </c>
      <c r="T428" t="s">
        <v>33</v>
      </c>
      <c r="U428" t="s">
        <v>34</v>
      </c>
      <c r="V428" s="1">
        <v>44796</v>
      </c>
      <c r="W428" t="s">
        <v>35</v>
      </c>
      <c r="X428" t="s">
        <v>896</v>
      </c>
      <c r="Y428" t="s">
        <v>897</v>
      </c>
      <c r="Z428" t="s">
        <v>38</v>
      </c>
      <c r="AA428" t="s">
        <v>936</v>
      </c>
      <c r="AD428" t="s">
        <v>45</v>
      </c>
      <c r="AE428">
        <v>42.286675000000002</v>
      </c>
      <c r="AF428">
        <v>-73.317187000000004</v>
      </c>
      <c r="AG428" t="s">
        <v>40</v>
      </c>
      <c r="AH428" t="s">
        <v>41</v>
      </c>
      <c r="AI428">
        <v>42.286700955599997</v>
      </c>
      <c r="AJ428">
        <v>-73.316926974899999</v>
      </c>
      <c r="AK428">
        <v>2.5955599994631484E-5</v>
      </c>
      <c r="AL428">
        <v>2.6002510000466827E-4</v>
      </c>
      <c r="AM428" t="str">
        <f>_xlfn.IFNA(VLOOKUP(Sheet1!$C428,ADMIX_ALL!A:B,2,FALSE),"none")</f>
        <v>K6-18</v>
      </c>
      <c r="AN428" t="str">
        <f>_xlfn.IFNA(VLOOKUP(Sheet1!C428,ADMIX_SS!A:B,2,FALSE),"none")</f>
        <v>SubSample</v>
      </c>
      <c r="AO428" t="str">
        <f>_xlfn.IFNA(VLOOKUP(Sheet1!$C428,MONG_PHYLO!A:C,3,FALSE),"-")</f>
        <v>-</v>
      </c>
      <c r="AP428" t="str">
        <f>_xlfn.IFNA(VLOOKUP(Sheet1!$C428,MAC_PHYLO!A:C,3,FALSE),"-")</f>
        <v>-</v>
      </c>
      <c r="AQ428" t="str">
        <f>_xlfn.IFNA(VLOOKUP(Sheet1!$C428,ConStruct!A:C,3,FALSE),"-")</f>
        <v>ConStruct</v>
      </c>
      <c r="AR428" t="str">
        <f>_xlfn.IFNA(VLOOKUP(Sheet1!$C428,GEA!A:C,3,FALSE),"-")</f>
        <v>GEA</v>
      </c>
      <c r="AS428" t="str">
        <f>_xlfn.IFNA(VLOOKUP(Sheet1!$C428,MAC_DSUITE!A:D,3,FALSE),"-")</f>
        <v>mac_MA_NMK</v>
      </c>
      <c r="AT428" t="str">
        <f>_xlfn.IFNA(VLOOKUP(Sheet1!$C428,MONG_DSUITE!A:E,2,FALSE),"-")</f>
        <v>macrocarpa_NMK</v>
      </c>
      <c r="AU428" t="str">
        <f>_xlfn.IFNA(VLOOKUP(Sheet1!$C428,MAC_PAINT2!A:D,4,FALSE),"-")</f>
        <v>macpaint</v>
      </c>
      <c r="AV428" t="s">
        <v>9193</v>
      </c>
      <c r="AW428" t="s">
        <v>9193</v>
      </c>
    </row>
    <row r="429" spans="1:49" customFormat="1" x14ac:dyDescent="0.4">
      <c r="A429">
        <v>3880</v>
      </c>
      <c r="B429" t="s">
        <v>943</v>
      </c>
      <c r="C429" t="s">
        <v>944</v>
      </c>
      <c r="D429" t="str">
        <f>_xlfn.CONCAT(C429,".bam")</f>
        <v>SYST-MOR-0007117.bam</v>
      </c>
      <c r="E429" t="s">
        <v>945</v>
      </c>
      <c r="F429" t="s">
        <v>2431</v>
      </c>
      <c r="G429" t="s">
        <v>2434</v>
      </c>
      <c r="H429" t="s">
        <v>2517</v>
      </c>
      <c r="I429" t="s">
        <v>936</v>
      </c>
      <c r="K429" t="s">
        <v>45</v>
      </c>
      <c r="L429" t="s">
        <v>45</v>
      </c>
      <c r="N429" t="s">
        <v>45</v>
      </c>
      <c r="P429" t="s">
        <v>113</v>
      </c>
      <c r="Q429" t="s">
        <v>46</v>
      </c>
      <c r="R429" t="s">
        <v>2597</v>
      </c>
      <c r="S429" s="1">
        <v>44794</v>
      </c>
      <c r="T429" t="s">
        <v>33</v>
      </c>
      <c r="U429" t="s">
        <v>34</v>
      </c>
      <c r="V429" s="1">
        <v>44796</v>
      </c>
      <c r="W429" t="s">
        <v>35</v>
      </c>
      <c r="X429" t="s">
        <v>896</v>
      </c>
      <c r="Y429" t="s">
        <v>897</v>
      </c>
      <c r="Z429" t="s">
        <v>38</v>
      </c>
      <c r="AA429" t="s">
        <v>936</v>
      </c>
      <c r="AD429" t="s">
        <v>45</v>
      </c>
      <c r="AE429">
        <v>42.289945000000003</v>
      </c>
      <c r="AF429">
        <v>-73.317931000000002</v>
      </c>
      <c r="AG429" t="s">
        <v>40</v>
      </c>
      <c r="AH429" t="s">
        <v>41</v>
      </c>
      <c r="AI429">
        <v>42.290086070999998</v>
      </c>
      <c r="AJ429">
        <v>-73.317854767699998</v>
      </c>
      <c r="AK429">
        <v>1.4107099999449701E-4</v>
      </c>
      <c r="AL429">
        <v>7.6232300003198361E-5</v>
      </c>
      <c r="AM429" t="str">
        <f>_xlfn.IFNA(VLOOKUP(Sheet1!$C429,ADMIX_ALL!A:B,2,FALSE),"none")</f>
        <v>K6-18</v>
      </c>
      <c r="AN429" t="str">
        <f>_xlfn.IFNA(VLOOKUP(Sheet1!C429,ADMIX_SS!A:B,2,FALSE),"none")</f>
        <v>SubSample</v>
      </c>
      <c r="AO429" t="str">
        <f>_xlfn.IFNA(VLOOKUP(Sheet1!$C429,MONG_PHYLO!A:C,3,FALSE),"-")</f>
        <v>-</v>
      </c>
      <c r="AP429" t="str">
        <f>_xlfn.IFNA(VLOOKUP(Sheet1!$C429,MAC_PHYLO!A:C,3,FALSE),"-")</f>
        <v>-</v>
      </c>
      <c r="AQ429" t="str">
        <f>_xlfn.IFNA(VLOOKUP(Sheet1!$C429,ConStruct!A:C,3,FALSE),"-")</f>
        <v>ConStruct</v>
      </c>
      <c r="AR429" t="str">
        <f>_xlfn.IFNA(VLOOKUP(Sheet1!$C429,GEA!A:C,3,FALSE),"-")</f>
        <v>GEA</v>
      </c>
      <c r="AS429" t="str">
        <f>_xlfn.IFNA(VLOOKUP(Sheet1!$C429,MAC_DSUITE!A:D,3,FALSE),"-")</f>
        <v>mac_MA_NMK</v>
      </c>
      <c r="AT429" t="str">
        <f>_xlfn.IFNA(VLOOKUP(Sheet1!$C429,MONG_DSUITE!A:E,2,FALSE),"-")</f>
        <v>macrocarpa_NMK</v>
      </c>
      <c r="AU429" t="str">
        <f>_xlfn.IFNA(VLOOKUP(Sheet1!$C429,MAC_PAINT2!A:D,4,FALSE),"-")</f>
        <v>-</v>
      </c>
      <c r="AV429" t="s">
        <v>9196</v>
      </c>
      <c r="AW429" t="s">
        <v>9193</v>
      </c>
    </row>
    <row r="430" spans="1:49" customFormat="1" x14ac:dyDescent="0.4">
      <c r="A430">
        <v>3881</v>
      </c>
      <c r="B430" t="s">
        <v>946</v>
      </c>
      <c r="C430" t="s">
        <v>947</v>
      </c>
      <c r="D430" t="str">
        <f>_xlfn.CONCAT(C430,".bam")</f>
        <v>SYST-MOR-0007118.bam</v>
      </c>
      <c r="E430" t="s">
        <v>948</v>
      </c>
      <c r="F430" t="s">
        <v>2431</v>
      </c>
      <c r="G430" t="s">
        <v>2434</v>
      </c>
      <c r="H430" t="s">
        <v>2517</v>
      </c>
      <c r="I430" t="s">
        <v>936</v>
      </c>
      <c r="K430" t="s">
        <v>45</v>
      </c>
      <c r="L430" t="s">
        <v>45</v>
      </c>
      <c r="N430" t="s">
        <v>45</v>
      </c>
      <c r="P430" t="s">
        <v>31</v>
      </c>
      <c r="Q430" t="s">
        <v>46</v>
      </c>
      <c r="R430" t="s">
        <v>2597</v>
      </c>
      <c r="S430" s="1">
        <v>44794</v>
      </c>
      <c r="T430" t="s">
        <v>33</v>
      </c>
      <c r="U430" t="s">
        <v>34</v>
      </c>
      <c r="V430" s="1">
        <v>44796</v>
      </c>
      <c r="W430" t="s">
        <v>35</v>
      </c>
      <c r="X430" t="s">
        <v>896</v>
      </c>
      <c r="Y430" t="s">
        <v>897</v>
      </c>
      <c r="Z430" t="s">
        <v>38</v>
      </c>
      <c r="AA430" t="s">
        <v>936</v>
      </c>
      <c r="AD430" t="s">
        <v>45</v>
      </c>
      <c r="AE430">
        <v>42.290072000000002</v>
      </c>
      <c r="AF430">
        <v>-73.319390999999996</v>
      </c>
      <c r="AG430" t="s">
        <v>40</v>
      </c>
      <c r="AH430" t="s">
        <v>41</v>
      </c>
      <c r="AI430">
        <v>42.290115533399998</v>
      </c>
      <c r="AJ430">
        <v>-73.319378010999998</v>
      </c>
      <c r="AK430">
        <v>4.3533399995965283E-5</v>
      </c>
      <c r="AL430">
        <v>1.2988999998242434E-5</v>
      </c>
      <c r="AM430" t="str">
        <f>_xlfn.IFNA(VLOOKUP(Sheet1!$C430,ADMIX_ALL!A:B,2,FALSE),"none")</f>
        <v>K6-18</v>
      </c>
      <c r="AN430" t="str">
        <f>_xlfn.IFNA(VLOOKUP(Sheet1!C430,ADMIX_SS!A:B,2,FALSE),"none")</f>
        <v>SubSample</v>
      </c>
      <c r="AO430" t="str">
        <f>_xlfn.IFNA(VLOOKUP(Sheet1!$C430,MONG_PHYLO!A:C,3,FALSE),"-")</f>
        <v>-</v>
      </c>
      <c r="AP430" t="str">
        <f>_xlfn.IFNA(VLOOKUP(Sheet1!$C430,MAC_PHYLO!A:C,3,FALSE),"-")</f>
        <v>-</v>
      </c>
      <c r="AQ430" t="str">
        <f>_xlfn.IFNA(VLOOKUP(Sheet1!$C430,ConStruct!A:C,3,FALSE),"-")</f>
        <v>ConStruct</v>
      </c>
      <c r="AR430" t="str">
        <f>_xlfn.IFNA(VLOOKUP(Sheet1!$C430,GEA!A:C,3,FALSE),"-")</f>
        <v>GEA</v>
      </c>
      <c r="AS430" t="str">
        <f>_xlfn.IFNA(VLOOKUP(Sheet1!$C430,MAC_DSUITE!A:D,3,FALSE),"-")</f>
        <v>mac_MA_NMK</v>
      </c>
      <c r="AT430" t="str">
        <f>_xlfn.IFNA(VLOOKUP(Sheet1!$C430,MONG_DSUITE!A:E,2,FALSE),"-")</f>
        <v>macrocarpa_NMK</v>
      </c>
      <c r="AU430" t="str">
        <f>_xlfn.IFNA(VLOOKUP(Sheet1!$C430,MAC_PAINT2!A:D,4,FALSE),"-")</f>
        <v>-</v>
      </c>
      <c r="AV430" t="s">
        <v>9196</v>
      </c>
      <c r="AW430" t="s">
        <v>9193</v>
      </c>
    </row>
    <row r="431" spans="1:49" x14ac:dyDescent="0.4">
      <c r="A431" s="18">
        <v>3882</v>
      </c>
      <c r="B431" s="18" t="s">
        <v>920</v>
      </c>
      <c r="C431" s="18" t="s">
        <v>921</v>
      </c>
      <c r="D431" s="18" t="str">
        <f>_xlfn.CONCAT(C431,".bam")</f>
        <v>SYST-MOR-0007119.bam</v>
      </c>
      <c r="E431" s="18" t="s">
        <v>922</v>
      </c>
      <c r="F431" s="18" t="s">
        <v>2431</v>
      </c>
      <c r="G431" s="18" t="s">
        <v>2433</v>
      </c>
      <c r="H431" s="18" t="s">
        <v>2516</v>
      </c>
      <c r="I431" s="18" t="s">
        <v>923</v>
      </c>
      <c r="K431" s="18" t="s">
        <v>45</v>
      </c>
      <c r="L431" s="18" t="s">
        <v>45</v>
      </c>
      <c r="N431" s="18" t="s">
        <v>45</v>
      </c>
      <c r="P431" s="18" t="s">
        <v>113</v>
      </c>
      <c r="Q431" s="18" t="s">
        <v>46</v>
      </c>
      <c r="R431" s="18" t="s">
        <v>2597</v>
      </c>
      <c r="S431" s="19">
        <v>44794</v>
      </c>
      <c r="T431" s="18" t="s">
        <v>33</v>
      </c>
      <c r="U431" s="18" t="s">
        <v>34</v>
      </c>
      <c r="V431" s="19">
        <v>44796</v>
      </c>
      <c r="W431" s="18" t="s">
        <v>35</v>
      </c>
      <c r="X431" s="18" t="s">
        <v>896</v>
      </c>
      <c r="Y431" s="18" t="s">
        <v>897</v>
      </c>
      <c r="Z431" s="18" t="s">
        <v>38</v>
      </c>
      <c r="AA431" s="18" t="s">
        <v>923</v>
      </c>
      <c r="AD431" s="18" t="s">
        <v>45</v>
      </c>
      <c r="AE431" s="18">
        <v>42.084119999999999</v>
      </c>
      <c r="AF431" s="18">
        <v>-73.367427000000006</v>
      </c>
      <c r="AG431" s="18" t="s">
        <v>40</v>
      </c>
      <c r="AH431" s="18" t="s">
        <v>41</v>
      </c>
      <c r="AI431" s="18">
        <v>42.084577647099998</v>
      </c>
      <c r="AJ431" s="18">
        <v>-73.367314450500004</v>
      </c>
      <c r="AK431" s="18">
        <v>4.576470999992921E-4</v>
      </c>
      <c r="AL431" s="18">
        <v>1.1254950000250119E-4</v>
      </c>
      <c r="AM431" s="18" t="str">
        <f>_xlfn.IFNA(VLOOKUP(Sheet1!$C431,ADMIX_ALL!A:B,2,FALSE),"none")</f>
        <v>K6-18</v>
      </c>
      <c r="AN431" s="18" t="str">
        <f>_xlfn.IFNA(VLOOKUP(Sheet1!C431,ADMIX_SS!A:B,2,FALSE),"none")</f>
        <v>SubSample</v>
      </c>
      <c r="AO431" s="18" t="str">
        <f>_xlfn.IFNA(VLOOKUP(Sheet1!$C431,MONG_PHYLO!A:C,3,FALSE),"-")</f>
        <v>-</v>
      </c>
      <c r="AP431" s="18" t="str">
        <f>_xlfn.IFNA(VLOOKUP(Sheet1!$C431,MAC_PHYLO!A:C,3,FALSE),"-")</f>
        <v>-</v>
      </c>
      <c r="AQ431" s="18" t="str">
        <f>_xlfn.IFNA(VLOOKUP(Sheet1!$C431,ConStruct!A:C,3,FALSE),"-")</f>
        <v>ConStruct</v>
      </c>
      <c r="AR431" s="18" t="str">
        <f>_xlfn.IFNA(VLOOKUP(Sheet1!$C431,GEA!A:C,3,FALSE),"-")</f>
        <v>-</v>
      </c>
      <c r="AS431" s="18" t="str">
        <f>_xlfn.IFNA(VLOOKUP(Sheet1!$C431,MAC_DSUITE!A:D,3,FALSE),"-")</f>
        <v>-</v>
      </c>
      <c r="AT431" s="18" t="str">
        <f>_xlfn.IFNA(VLOOKUP(Sheet1!$C431,MONG_DSUITE!A:E,2,FALSE),"-")</f>
        <v>xxx</v>
      </c>
      <c r="AU431" s="18" t="str">
        <f>_xlfn.IFNA(VLOOKUP(Sheet1!$C431,MAC_PAINT2!A:D,4,FALSE),"-")</f>
        <v>-</v>
      </c>
    </row>
    <row r="432" spans="1:49" customFormat="1" x14ac:dyDescent="0.4">
      <c r="A432">
        <v>3883</v>
      </c>
      <c r="B432" t="s">
        <v>924</v>
      </c>
      <c r="C432" t="s">
        <v>925</v>
      </c>
      <c r="D432" t="str">
        <f>_xlfn.CONCAT(C432,".bam")</f>
        <v>SYST-MOR-0007120.bam</v>
      </c>
      <c r="E432" t="s">
        <v>926</v>
      </c>
      <c r="F432" t="s">
        <v>2431</v>
      </c>
      <c r="G432" t="s">
        <v>2433</v>
      </c>
      <c r="H432" t="s">
        <v>2516</v>
      </c>
      <c r="I432" t="s">
        <v>923</v>
      </c>
      <c r="K432" t="s">
        <v>64</v>
      </c>
      <c r="L432" t="s">
        <v>64</v>
      </c>
      <c r="N432" t="s">
        <v>64</v>
      </c>
      <c r="P432" t="s">
        <v>31</v>
      </c>
      <c r="Q432" t="s">
        <v>65</v>
      </c>
      <c r="R432" t="s">
        <v>2599</v>
      </c>
      <c r="S432" s="1">
        <v>44794</v>
      </c>
      <c r="T432" t="s">
        <v>33</v>
      </c>
      <c r="U432" t="s">
        <v>34</v>
      </c>
      <c r="V432" s="1">
        <v>44796</v>
      </c>
      <c r="W432" t="s">
        <v>35</v>
      </c>
      <c r="X432" t="s">
        <v>896</v>
      </c>
      <c r="Y432" t="s">
        <v>897</v>
      </c>
      <c r="Z432" t="s">
        <v>38</v>
      </c>
      <c r="AA432" t="s">
        <v>923</v>
      </c>
      <c r="AD432" t="s">
        <v>64</v>
      </c>
      <c r="AE432">
        <v>42.083770999999999</v>
      </c>
      <c r="AF432">
        <v>-73.368753999999996</v>
      </c>
      <c r="AG432" t="s">
        <v>40</v>
      </c>
      <c r="AH432" t="s">
        <v>41</v>
      </c>
      <c r="AI432">
        <v>42.083788951899997</v>
      </c>
      <c r="AJ432">
        <v>-73.368583973599996</v>
      </c>
      <c r="AK432">
        <v>1.7951899998536192E-5</v>
      </c>
      <c r="AL432">
        <v>1.7002639999930125E-4</v>
      </c>
      <c r="AM432" t="str">
        <f>_xlfn.IFNA(VLOOKUP(Sheet1!$C432,ADMIX_ALL!A:B,2,FALSE),"none")</f>
        <v>K6-18</v>
      </c>
      <c r="AN432" t="str">
        <f>_xlfn.IFNA(VLOOKUP(Sheet1!C432,ADMIX_SS!A:B,2,FALSE),"none")</f>
        <v>Constant</v>
      </c>
      <c r="AO432" t="str">
        <f>_xlfn.IFNA(VLOOKUP(Sheet1!$C432,MONG_PHYLO!A:C,3,FALSE),"-")</f>
        <v>alb</v>
      </c>
      <c r="AP432" t="str">
        <f>_xlfn.IFNA(VLOOKUP(Sheet1!$C432,MAC_PHYLO!A:C,3,FALSE),"-")</f>
        <v>-</v>
      </c>
      <c r="AQ432" t="str">
        <f>_xlfn.IFNA(VLOOKUP(Sheet1!$C432,ConStruct!A:C,3,FALSE),"-")</f>
        <v>-</v>
      </c>
      <c r="AR432" t="str">
        <f>_xlfn.IFNA(VLOOKUP(Sheet1!$C432,GEA!A:C,3,FALSE),"-")</f>
        <v>-</v>
      </c>
      <c r="AS432" t="str">
        <f>_xlfn.IFNA(VLOOKUP(Sheet1!$C432,MAC_DSUITE!A:D,3,FALSE),"-")</f>
        <v>-</v>
      </c>
      <c r="AT432" t="str">
        <f>_xlfn.IFNA(VLOOKUP(Sheet1!$C432,MONG_DSUITE!A:E,2,FALSE),"-")</f>
        <v>alba</v>
      </c>
      <c r="AU432" t="str">
        <f>_xlfn.IFNA(VLOOKUP(Sheet1!$C432,MAC_PAINT2!A:D,4,FALSE),"-")</f>
        <v>-</v>
      </c>
    </row>
    <row r="433" spans="1:49" customFormat="1" x14ac:dyDescent="0.4">
      <c r="A433">
        <v>3884</v>
      </c>
      <c r="B433" t="s">
        <v>927</v>
      </c>
      <c r="C433" t="s">
        <v>928</v>
      </c>
      <c r="D433" t="str">
        <f>_xlfn.CONCAT(C433,".bam")</f>
        <v>SYST-MOR-0007121.bam</v>
      </c>
      <c r="E433" t="s">
        <v>929</v>
      </c>
      <c r="F433" t="s">
        <v>2431</v>
      </c>
      <c r="G433" t="s">
        <v>2433</v>
      </c>
      <c r="H433" t="s">
        <v>2516</v>
      </c>
      <c r="I433" t="s">
        <v>923</v>
      </c>
      <c r="K433" t="s">
        <v>64</v>
      </c>
      <c r="L433" t="s">
        <v>64</v>
      </c>
      <c r="N433" t="s">
        <v>64</v>
      </c>
      <c r="P433" t="s">
        <v>31</v>
      </c>
      <c r="Q433" t="s">
        <v>65</v>
      </c>
      <c r="R433" t="s">
        <v>2599</v>
      </c>
      <c r="S433" s="1">
        <v>44794</v>
      </c>
      <c r="T433" t="s">
        <v>33</v>
      </c>
      <c r="U433" t="s">
        <v>34</v>
      </c>
      <c r="V433" s="1">
        <v>44796</v>
      </c>
      <c r="W433" t="s">
        <v>35</v>
      </c>
      <c r="X433" t="s">
        <v>896</v>
      </c>
      <c r="Y433" t="s">
        <v>897</v>
      </c>
      <c r="Z433" t="s">
        <v>38</v>
      </c>
      <c r="AA433" t="s">
        <v>923</v>
      </c>
      <c r="AD433" t="s">
        <v>64</v>
      </c>
      <c r="AE433">
        <v>42.080843999999999</v>
      </c>
      <c r="AF433">
        <v>-73.370311999999998</v>
      </c>
      <c r="AG433" t="s">
        <v>40</v>
      </c>
      <c r="AH433" t="s">
        <v>41</v>
      </c>
      <c r="AI433">
        <v>42.080637398199997</v>
      </c>
      <c r="AJ433">
        <v>-73.370172847099994</v>
      </c>
      <c r="AK433">
        <v>-2.0660180000220407E-4</v>
      </c>
      <c r="AL433">
        <v>1.3915290000454661E-4</v>
      </c>
      <c r="AM433" t="str">
        <f>_xlfn.IFNA(VLOOKUP(Sheet1!$C433,ADMIX_ALL!A:B,2,FALSE),"none")</f>
        <v>K6-18</v>
      </c>
      <c r="AN433" t="str">
        <f>_xlfn.IFNA(VLOOKUP(Sheet1!C433,ADMIX_SS!A:B,2,FALSE),"none")</f>
        <v>SubSample</v>
      </c>
      <c r="AO433" t="str">
        <f>_xlfn.IFNA(VLOOKUP(Sheet1!$C433,MONG_PHYLO!A:C,3,FALSE),"-")</f>
        <v>-</v>
      </c>
      <c r="AP433" t="str">
        <f>_xlfn.IFNA(VLOOKUP(Sheet1!$C433,MAC_PHYLO!A:C,3,FALSE),"-")</f>
        <v>-</v>
      </c>
      <c r="AQ433" t="str">
        <f>_xlfn.IFNA(VLOOKUP(Sheet1!$C433,ConStruct!A:C,3,FALSE),"-")</f>
        <v>-</v>
      </c>
      <c r="AR433" t="str">
        <f>_xlfn.IFNA(VLOOKUP(Sheet1!$C433,GEA!A:C,3,FALSE),"-")</f>
        <v>-</v>
      </c>
      <c r="AS433" t="str">
        <f>_xlfn.IFNA(VLOOKUP(Sheet1!$C433,MAC_DSUITE!A:D,3,FALSE),"-")</f>
        <v>-</v>
      </c>
      <c r="AT433" t="str">
        <f>_xlfn.IFNA(VLOOKUP(Sheet1!$C433,MONG_DSUITE!A:E,2,FALSE),"-")</f>
        <v>xxx</v>
      </c>
      <c r="AU433" t="str">
        <f>_xlfn.IFNA(VLOOKUP(Sheet1!$C433,MAC_PAINT2!A:D,4,FALSE),"-")</f>
        <v>-</v>
      </c>
    </row>
    <row r="434" spans="1:49" customFormat="1" x14ac:dyDescent="0.4">
      <c r="A434">
        <v>3885</v>
      </c>
      <c r="B434" t="s">
        <v>930</v>
      </c>
      <c r="C434" t="s">
        <v>931</v>
      </c>
      <c r="D434" t="str">
        <f>_xlfn.CONCAT(C434,".bam")</f>
        <v>SYST-MOR-0007122.bam</v>
      </c>
      <c r="E434" t="s">
        <v>932</v>
      </c>
      <c r="F434" t="s">
        <v>2431</v>
      </c>
      <c r="G434" t="s">
        <v>2433</v>
      </c>
      <c r="H434" t="s">
        <v>2516</v>
      </c>
      <c r="I434" t="s">
        <v>923</v>
      </c>
      <c r="K434" t="s">
        <v>64</v>
      </c>
      <c r="L434" t="s">
        <v>64</v>
      </c>
      <c r="N434" t="s">
        <v>64</v>
      </c>
      <c r="P434" t="s">
        <v>31</v>
      </c>
      <c r="Q434" t="s">
        <v>65</v>
      </c>
      <c r="R434" t="s">
        <v>2599</v>
      </c>
      <c r="S434" s="1">
        <v>44794</v>
      </c>
      <c r="T434" t="s">
        <v>33</v>
      </c>
      <c r="U434" t="s">
        <v>34</v>
      </c>
      <c r="V434" s="1">
        <v>44796</v>
      </c>
      <c r="W434" t="s">
        <v>35</v>
      </c>
      <c r="X434" t="s">
        <v>896</v>
      </c>
      <c r="Y434" t="s">
        <v>897</v>
      </c>
      <c r="Z434" t="s">
        <v>38</v>
      </c>
      <c r="AA434" t="s">
        <v>923</v>
      </c>
      <c r="AD434" t="s">
        <v>64</v>
      </c>
      <c r="AE434">
        <v>42.079132000000001</v>
      </c>
      <c r="AF434">
        <v>-73.371131000000005</v>
      </c>
      <c r="AG434" t="s">
        <v>40</v>
      </c>
      <c r="AH434" t="s">
        <v>41</v>
      </c>
      <c r="AI434">
        <v>42.0792753809</v>
      </c>
      <c r="AJ434">
        <v>-73.371214047099997</v>
      </c>
      <c r="AK434">
        <v>1.4338089999910153E-4</v>
      </c>
      <c r="AL434">
        <v>-8.3047099991517825E-5</v>
      </c>
      <c r="AM434" t="str">
        <f>_xlfn.IFNA(VLOOKUP(Sheet1!$C434,ADMIX_ALL!A:B,2,FALSE),"none")</f>
        <v>K6-18</v>
      </c>
      <c r="AN434" t="str">
        <f>_xlfn.IFNA(VLOOKUP(Sheet1!C434,ADMIX_SS!A:B,2,FALSE),"none")</f>
        <v>SubSample</v>
      </c>
      <c r="AO434" t="str">
        <f>_xlfn.IFNA(VLOOKUP(Sheet1!$C434,MONG_PHYLO!A:C,3,FALSE),"-")</f>
        <v>-</v>
      </c>
      <c r="AP434" t="str">
        <f>_xlfn.IFNA(VLOOKUP(Sheet1!$C434,MAC_PHYLO!A:C,3,FALSE),"-")</f>
        <v>-</v>
      </c>
      <c r="AQ434" t="str">
        <f>_xlfn.IFNA(VLOOKUP(Sheet1!$C434,ConStruct!A:C,3,FALSE),"-")</f>
        <v>-</v>
      </c>
      <c r="AR434" t="str">
        <f>_xlfn.IFNA(VLOOKUP(Sheet1!$C434,GEA!A:C,3,FALSE),"-")</f>
        <v>-</v>
      </c>
      <c r="AS434" t="str">
        <f>_xlfn.IFNA(VLOOKUP(Sheet1!$C434,MAC_DSUITE!A:D,3,FALSE),"-")</f>
        <v>-</v>
      </c>
      <c r="AT434" t="str">
        <f>_xlfn.IFNA(VLOOKUP(Sheet1!$C434,MONG_DSUITE!A:E,2,FALSE),"-")</f>
        <v>xxx</v>
      </c>
      <c r="AU434" t="str">
        <f>_xlfn.IFNA(VLOOKUP(Sheet1!$C434,MAC_PAINT2!A:D,4,FALSE),"-")</f>
        <v>-</v>
      </c>
    </row>
    <row r="435" spans="1:49" s="16" customFormat="1" x14ac:dyDescent="0.4">
      <c r="A435" s="16">
        <v>3886</v>
      </c>
      <c r="B435" s="16" t="s">
        <v>949</v>
      </c>
      <c r="C435" s="16" t="s">
        <v>950</v>
      </c>
      <c r="D435" s="16" t="str">
        <f>_xlfn.CONCAT(C435,".bam")</f>
        <v>SYST-MOR-0007123.bam</v>
      </c>
      <c r="E435" s="16" t="s">
        <v>951</v>
      </c>
      <c r="F435" s="16" t="s">
        <v>2431</v>
      </c>
      <c r="G435" s="16" t="s">
        <v>2435</v>
      </c>
      <c r="H435" s="16" t="s">
        <v>2518</v>
      </c>
      <c r="I435" s="16" t="s">
        <v>952</v>
      </c>
      <c r="K435" s="16" t="s">
        <v>45</v>
      </c>
      <c r="L435" s="16" t="s">
        <v>45</v>
      </c>
      <c r="N435" s="16" t="s">
        <v>45</v>
      </c>
      <c r="P435" s="16" t="s">
        <v>31</v>
      </c>
      <c r="Q435" s="16" t="s">
        <v>46</v>
      </c>
      <c r="R435" s="16" t="s">
        <v>2597</v>
      </c>
      <c r="S435" s="17">
        <v>44795</v>
      </c>
      <c r="T435" s="16" t="s">
        <v>33</v>
      </c>
      <c r="U435" s="16" t="s">
        <v>34</v>
      </c>
      <c r="V435" s="17">
        <v>44796</v>
      </c>
      <c r="W435" s="16" t="s">
        <v>35</v>
      </c>
      <c r="X435" s="16" t="s">
        <v>896</v>
      </c>
      <c r="Y435" s="16" t="s">
        <v>897</v>
      </c>
      <c r="Z435" s="16" t="s">
        <v>38</v>
      </c>
      <c r="AA435" s="16" t="s">
        <v>952</v>
      </c>
      <c r="AD435" s="16" t="s">
        <v>45</v>
      </c>
      <c r="AE435" s="16">
        <v>42.084547999999998</v>
      </c>
      <c r="AF435" s="16">
        <v>-73.385045000000005</v>
      </c>
      <c r="AG435" s="16" t="s">
        <v>40</v>
      </c>
      <c r="AH435" s="16" t="s">
        <v>41</v>
      </c>
      <c r="AI435" s="16">
        <v>42.084580874099998</v>
      </c>
      <c r="AJ435" s="16">
        <v>-73.385150637500004</v>
      </c>
      <c r="AK435" s="16">
        <v>3.2874100000412909E-5</v>
      </c>
      <c r="AL435" s="16">
        <v>-1.0563749999903393E-4</v>
      </c>
      <c r="AM435" s="16" t="str">
        <f>_xlfn.IFNA(VLOOKUP(Sheet1!$C435,ADMIX_ALL!A:B,2,FALSE),"none")</f>
        <v>K6-18</v>
      </c>
      <c r="AN435" s="16" t="str">
        <f>_xlfn.IFNA(VLOOKUP(Sheet1!C435,ADMIX_SS!A:B,2,FALSE),"none")</f>
        <v>SubSample</v>
      </c>
      <c r="AO435" s="16" t="str">
        <f>_xlfn.IFNA(VLOOKUP(Sheet1!$C435,MONG_PHYLO!A:C,3,FALSE),"-")</f>
        <v>-</v>
      </c>
      <c r="AP435" s="16" t="str">
        <f>_xlfn.IFNA(VLOOKUP(Sheet1!$C435,MAC_PHYLO!A:C,3,FALSE),"-")</f>
        <v>-</v>
      </c>
      <c r="AQ435" s="16" t="str">
        <f>_xlfn.IFNA(VLOOKUP(Sheet1!$C435,ConStruct!A:C,3,FALSE),"-")</f>
        <v>ConStruct</v>
      </c>
      <c r="AR435" s="16" t="str">
        <f>_xlfn.IFNA(VLOOKUP(Sheet1!$C435,GEA!A:C,3,FALSE),"-")</f>
        <v>GEA</v>
      </c>
      <c r="AS435" s="16" t="str">
        <f>_xlfn.IFNA(VLOOKUP(Sheet1!$C435,MAC_DSUITE!A:D,3,FALSE),"-")</f>
        <v>mac_MA_SBF</v>
      </c>
      <c r="AT435" s="16" t="str">
        <f>_xlfn.IFNA(VLOOKUP(Sheet1!$C435,MONG_DSUITE!A:E,2,FALSE),"-")</f>
        <v>macrocarpa_SBF</v>
      </c>
      <c r="AU435" s="16" t="str">
        <f>_xlfn.IFNA(VLOOKUP(Sheet1!$C435,MAC_PAINT2!A:D,4,FALSE),"-")</f>
        <v>-</v>
      </c>
      <c r="AV435" s="16" t="s">
        <v>9195</v>
      </c>
      <c r="AW435" s="16" t="s">
        <v>9193</v>
      </c>
    </row>
    <row r="436" spans="1:49" x14ac:dyDescent="0.4">
      <c r="A436" s="18">
        <v>3887</v>
      </c>
      <c r="B436" s="18" t="s">
        <v>953</v>
      </c>
      <c r="C436" s="18" t="s">
        <v>954</v>
      </c>
      <c r="D436" s="18" t="str">
        <f>_xlfn.CONCAT(C436,".bam")</f>
        <v>SYST-MOR-0007124.bam</v>
      </c>
      <c r="E436" s="18" t="s">
        <v>955</v>
      </c>
      <c r="F436" s="18" t="s">
        <v>2431</v>
      </c>
      <c r="G436" s="18" t="s">
        <v>2435</v>
      </c>
      <c r="H436" s="18" t="s">
        <v>2518</v>
      </c>
      <c r="I436" s="18" t="s">
        <v>952</v>
      </c>
      <c r="K436" s="18" t="s">
        <v>45</v>
      </c>
      <c r="L436" s="18" t="s">
        <v>45</v>
      </c>
      <c r="N436" s="18" t="s">
        <v>45</v>
      </c>
      <c r="P436" s="18" t="s">
        <v>113</v>
      </c>
      <c r="Q436" s="18" t="s">
        <v>46</v>
      </c>
      <c r="R436" s="18" t="s">
        <v>2597</v>
      </c>
      <c r="S436" s="19">
        <v>44795</v>
      </c>
      <c r="T436" s="18" t="s">
        <v>33</v>
      </c>
      <c r="U436" s="18" t="s">
        <v>34</v>
      </c>
      <c r="V436" s="19">
        <v>44796</v>
      </c>
      <c r="W436" s="18" t="s">
        <v>35</v>
      </c>
      <c r="X436" s="18" t="s">
        <v>896</v>
      </c>
      <c r="Y436" s="18" t="s">
        <v>897</v>
      </c>
      <c r="Z436" s="18" t="s">
        <v>38</v>
      </c>
      <c r="AA436" s="18" t="s">
        <v>952</v>
      </c>
      <c r="AD436" s="18" t="s">
        <v>45</v>
      </c>
      <c r="AE436" s="18">
        <v>42.084218</v>
      </c>
      <c r="AF436" s="18">
        <v>-73.385463999999999</v>
      </c>
      <c r="AG436" s="18" t="s">
        <v>40</v>
      </c>
      <c r="AH436" s="18" t="s">
        <v>41</v>
      </c>
      <c r="AI436" s="18">
        <v>42.084106793700002</v>
      </c>
      <c r="AJ436" s="18">
        <v>-73.385476944999994</v>
      </c>
      <c r="AK436" s="18">
        <v>-1.1120629999794573E-4</v>
      </c>
      <c r="AL436" s="18">
        <v>-1.2944999994601858E-5</v>
      </c>
      <c r="AM436" s="18" t="str">
        <f>_xlfn.IFNA(VLOOKUP(Sheet1!$C436,ADMIX_ALL!A:B,2,FALSE),"none")</f>
        <v>K6-18</v>
      </c>
      <c r="AN436" s="18" t="str">
        <f>_xlfn.IFNA(VLOOKUP(Sheet1!C436,ADMIX_SS!A:B,2,FALSE),"none")</f>
        <v>SubSample</v>
      </c>
      <c r="AO436" s="18" t="str">
        <f>_xlfn.IFNA(VLOOKUP(Sheet1!$C436,MONG_PHYLO!A:C,3,FALSE),"-")</f>
        <v>-</v>
      </c>
      <c r="AP436" s="18" t="str">
        <f>_xlfn.IFNA(VLOOKUP(Sheet1!$C436,MAC_PHYLO!A:C,3,FALSE),"-")</f>
        <v>-</v>
      </c>
      <c r="AQ436" s="18" t="str">
        <f>_xlfn.IFNA(VLOOKUP(Sheet1!$C436,ConStruct!A:C,3,FALSE),"-")</f>
        <v>ConStruct</v>
      </c>
      <c r="AR436" s="18" t="str">
        <f>_xlfn.IFNA(VLOOKUP(Sheet1!$C436,GEA!A:C,3,FALSE),"-")</f>
        <v>-</v>
      </c>
      <c r="AS436" s="18" t="str">
        <f>_xlfn.IFNA(VLOOKUP(Sheet1!$C436,MAC_DSUITE!A:D,3,FALSE),"-")</f>
        <v>-</v>
      </c>
      <c r="AT436" s="18" t="str">
        <f>_xlfn.IFNA(VLOOKUP(Sheet1!$C436,MONG_DSUITE!A:E,2,FALSE),"-")</f>
        <v>xxx</v>
      </c>
      <c r="AU436" s="18" t="str">
        <f>_xlfn.IFNA(VLOOKUP(Sheet1!$C436,MAC_PAINT2!A:D,4,FALSE),"-")</f>
        <v>-</v>
      </c>
    </row>
    <row r="437" spans="1:49" customFormat="1" x14ac:dyDescent="0.4">
      <c r="A437">
        <v>3888</v>
      </c>
      <c r="B437" t="s">
        <v>956</v>
      </c>
      <c r="C437" t="s">
        <v>957</v>
      </c>
      <c r="D437" t="str">
        <f>_xlfn.CONCAT(C437,".bam")</f>
        <v>SYST-MOR-0007125.bam</v>
      </c>
      <c r="E437" t="s">
        <v>958</v>
      </c>
      <c r="F437" t="s">
        <v>2431</v>
      </c>
      <c r="G437" t="s">
        <v>2435</v>
      </c>
      <c r="H437" t="s">
        <v>2518</v>
      </c>
      <c r="I437" t="s">
        <v>952</v>
      </c>
      <c r="K437" t="s">
        <v>64</v>
      </c>
      <c r="L437" t="s">
        <v>64</v>
      </c>
      <c r="M437" t="s">
        <v>64</v>
      </c>
      <c r="N437" t="s">
        <v>45</v>
      </c>
      <c r="P437" t="s">
        <v>31</v>
      </c>
      <c r="Q437" t="s">
        <v>46</v>
      </c>
      <c r="R437" t="s">
        <v>2597</v>
      </c>
      <c r="S437" s="1">
        <v>44795</v>
      </c>
      <c r="T437" t="s">
        <v>33</v>
      </c>
      <c r="U437" t="s">
        <v>34</v>
      </c>
      <c r="V437" s="1">
        <v>44796</v>
      </c>
      <c r="W437" t="s">
        <v>35</v>
      </c>
      <c r="X437" t="s">
        <v>896</v>
      </c>
      <c r="Y437" t="s">
        <v>897</v>
      </c>
      <c r="Z437" t="s">
        <v>38</v>
      </c>
      <c r="AA437" t="s">
        <v>952</v>
      </c>
      <c r="AD437" t="s">
        <v>45</v>
      </c>
      <c r="AE437">
        <v>42.084738000000002</v>
      </c>
      <c r="AF437">
        <v>-73.385193000000001</v>
      </c>
      <c r="AG437" t="s">
        <v>40</v>
      </c>
      <c r="AH437" t="s">
        <v>41</v>
      </c>
      <c r="AI437">
        <v>42.084757983700001</v>
      </c>
      <c r="AJ437">
        <v>-73.385237138799994</v>
      </c>
      <c r="AK437">
        <v>1.9983699999670534E-5</v>
      </c>
      <c r="AL437">
        <v>-4.4138799992765598E-5</v>
      </c>
      <c r="AM437" t="str">
        <f>_xlfn.IFNA(VLOOKUP(Sheet1!$C437,ADMIX_ALL!A:B,2,FALSE),"none")</f>
        <v>K6-18</v>
      </c>
      <c r="AN437" t="str">
        <f>_xlfn.IFNA(VLOOKUP(Sheet1!C437,ADMIX_SS!A:B,2,FALSE),"none")</f>
        <v>SubSample</v>
      </c>
      <c r="AO437" t="str">
        <f>_xlfn.IFNA(VLOOKUP(Sheet1!$C437,MONG_PHYLO!A:C,3,FALSE),"-")</f>
        <v>-</v>
      </c>
      <c r="AP437" t="str">
        <f>_xlfn.IFNA(VLOOKUP(Sheet1!$C437,MAC_PHYLO!A:C,3,FALSE),"-")</f>
        <v>-</v>
      </c>
      <c r="AQ437" t="str">
        <f>_xlfn.IFNA(VLOOKUP(Sheet1!$C437,ConStruct!A:C,3,FALSE),"-")</f>
        <v>-</v>
      </c>
      <c r="AR437" t="str">
        <f>_xlfn.IFNA(VLOOKUP(Sheet1!$C437,GEA!A:C,3,FALSE),"-")</f>
        <v>-</v>
      </c>
      <c r="AS437" t="str">
        <f>_xlfn.IFNA(VLOOKUP(Sheet1!$C437,MAC_DSUITE!A:D,3,FALSE),"-")</f>
        <v>-</v>
      </c>
      <c r="AT437" t="str">
        <f>_xlfn.IFNA(VLOOKUP(Sheet1!$C437,MONG_DSUITE!A:E,2,FALSE),"-")</f>
        <v>xxx</v>
      </c>
      <c r="AU437" t="str">
        <f>_xlfn.IFNA(VLOOKUP(Sheet1!$C437,MAC_PAINT2!A:D,4,FALSE),"-")</f>
        <v>-</v>
      </c>
    </row>
    <row r="438" spans="1:49" s="16" customFormat="1" x14ac:dyDescent="0.4">
      <c r="A438" s="16">
        <v>3889</v>
      </c>
      <c r="B438" s="16" t="s">
        <v>959</v>
      </c>
      <c r="C438" s="16" t="s">
        <v>960</v>
      </c>
      <c r="D438" s="16" t="str">
        <f>_xlfn.CONCAT(C438,".bam")</f>
        <v>SYST-MOR-0007126.bam</v>
      </c>
      <c r="E438" s="16" t="s">
        <v>961</v>
      </c>
      <c r="F438" s="16" t="s">
        <v>2431</v>
      </c>
      <c r="G438" s="16" t="s">
        <v>2435</v>
      </c>
      <c r="H438" s="16" t="s">
        <v>2518</v>
      </c>
      <c r="I438" s="16" t="s">
        <v>952</v>
      </c>
      <c r="K438" s="16" t="s">
        <v>45</v>
      </c>
      <c r="L438" s="16" t="s">
        <v>45</v>
      </c>
      <c r="N438" s="16" t="s">
        <v>45</v>
      </c>
      <c r="P438" s="16" t="s">
        <v>113</v>
      </c>
      <c r="Q438" s="16" t="s">
        <v>46</v>
      </c>
      <c r="R438" s="16" t="s">
        <v>2597</v>
      </c>
      <c r="S438" s="17">
        <v>44795</v>
      </c>
      <c r="T438" s="16" t="s">
        <v>33</v>
      </c>
      <c r="U438" s="16" t="s">
        <v>34</v>
      </c>
      <c r="V438" s="17">
        <v>44796</v>
      </c>
      <c r="W438" s="16" t="s">
        <v>35</v>
      </c>
      <c r="X438" s="16" t="s">
        <v>896</v>
      </c>
      <c r="Y438" s="16" t="s">
        <v>897</v>
      </c>
      <c r="Z438" s="16" t="s">
        <v>38</v>
      </c>
      <c r="AA438" s="16" t="s">
        <v>952</v>
      </c>
      <c r="AD438" s="16" t="s">
        <v>45</v>
      </c>
      <c r="AE438" s="16">
        <v>42.084744999999998</v>
      </c>
      <c r="AF438" s="16">
        <v>-73.385532999999995</v>
      </c>
      <c r="AG438" s="16" t="s">
        <v>40</v>
      </c>
      <c r="AH438" s="16" t="s">
        <v>41</v>
      </c>
      <c r="AI438" s="16">
        <v>42.084762048899997</v>
      </c>
      <c r="AJ438" s="16">
        <v>-73.385214340000005</v>
      </c>
      <c r="AK438" s="16">
        <v>1.7048899998428624E-5</v>
      </c>
      <c r="AL438" s="16">
        <v>3.1865999999070027E-4</v>
      </c>
      <c r="AM438" s="16" t="str">
        <f>_xlfn.IFNA(VLOOKUP(Sheet1!$C438,ADMIX_ALL!A:B,2,FALSE),"none")</f>
        <v>K6-18</v>
      </c>
      <c r="AN438" s="16" t="str">
        <f>_xlfn.IFNA(VLOOKUP(Sheet1!C438,ADMIX_SS!A:B,2,FALSE),"none")</f>
        <v>SubSample</v>
      </c>
      <c r="AO438" s="16" t="str">
        <f>_xlfn.IFNA(VLOOKUP(Sheet1!$C438,MONG_PHYLO!A:C,3,FALSE),"-")</f>
        <v>-</v>
      </c>
      <c r="AP438" s="16" t="str">
        <f>_xlfn.IFNA(VLOOKUP(Sheet1!$C438,MAC_PHYLO!A:C,3,FALSE),"-")</f>
        <v>-</v>
      </c>
      <c r="AQ438" s="16" t="str">
        <f>_xlfn.IFNA(VLOOKUP(Sheet1!$C438,ConStruct!A:C,3,FALSE),"-")</f>
        <v>ConStruct</v>
      </c>
      <c r="AR438" s="16" t="str">
        <f>_xlfn.IFNA(VLOOKUP(Sheet1!$C438,GEA!A:C,3,FALSE),"-")</f>
        <v>GEA</v>
      </c>
      <c r="AS438" s="16" t="str">
        <f>_xlfn.IFNA(VLOOKUP(Sheet1!$C438,MAC_DSUITE!A:D,3,FALSE),"-")</f>
        <v>mac_MA_SBF</v>
      </c>
      <c r="AT438" s="16" t="str">
        <f>_xlfn.IFNA(VLOOKUP(Sheet1!$C438,MONG_DSUITE!A:E,2,FALSE),"-")</f>
        <v>macrocarpa_SBF</v>
      </c>
      <c r="AU438" s="16" t="str">
        <f>_xlfn.IFNA(VLOOKUP(Sheet1!$C438,MAC_PAINT2!A:D,4,FALSE),"-")</f>
        <v>-</v>
      </c>
      <c r="AV438" s="16" t="s">
        <v>9195</v>
      </c>
      <c r="AW438" s="16" t="s">
        <v>9193</v>
      </c>
    </row>
    <row r="439" spans="1:49" x14ac:dyDescent="0.4">
      <c r="A439" s="18">
        <v>3890</v>
      </c>
      <c r="B439" s="18" t="s">
        <v>962</v>
      </c>
      <c r="C439" s="18" t="s">
        <v>963</v>
      </c>
      <c r="D439" s="18" t="str">
        <f>_xlfn.CONCAT(C439,".bam")</f>
        <v>SYST-MOR-0007127.bam</v>
      </c>
      <c r="E439" s="18" t="s">
        <v>964</v>
      </c>
      <c r="F439" s="18" t="s">
        <v>2431</v>
      </c>
      <c r="G439" s="18" t="s">
        <v>2435</v>
      </c>
      <c r="H439" s="18" t="s">
        <v>2518</v>
      </c>
      <c r="I439" s="18" t="s">
        <v>952</v>
      </c>
      <c r="K439" s="18" t="s">
        <v>45</v>
      </c>
      <c r="L439" s="18" t="s">
        <v>45</v>
      </c>
      <c r="N439" s="18" t="s">
        <v>45</v>
      </c>
      <c r="P439" s="18" t="s">
        <v>31</v>
      </c>
      <c r="Q439" s="18" t="s">
        <v>46</v>
      </c>
      <c r="R439" s="18" t="s">
        <v>2597</v>
      </c>
      <c r="S439" s="19">
        <v>44795</v>
      </c>
      <c r="T439" s="18" t="s">
        <v>33</v>
      </c>
      <c r="U439" s="18" t="s">
        <v>34</v>
      </c>
      <c r="V439" s="19">
        <v>44796</v>
      </c>
      <c r="W439" s="18" t="s">
        <v>35</v>
      </c>
      <c r="X439" s="18" t="s">
        <v>896</v>
      </c>
      <c r="Y439" s="18" t="s">
        <v>897</v>
      </c>
      <c r="Z439" s="18" t="s">
        <v>38</v>
      </c>
      <c r="AA439" s="18" t="s">
        <v>952</v>
      </c>
      <c r="AD439" s="18" t="s">
        <v>45</v>
      </c>
      <c r="AE439" s="18">
        <v>42.084995999999997</v>
      </c>
      <c r="AF439" s="18">
        <v>-73.385541000000003</v>
      </c>
      <c r="AG439" s="18" t="s">
        <v>40</v>
      </c>
      <c r="AH439" s="18" t="s">
        <v>41</v>
      </c>
      <c r="AI439" s="18">
        <v>42.084773993200002</v>
      </c>
      <c r="AJ439" s="18">
        <v>-73.385483063799995</v>
      </c>
      <c r="AK439" s="18">
        <v>-2.2200679999428985E-4</v>
      </c>
      <c r="AL439" s="18">
        <v>5.7936200008157357E-5</v>
      </c>
      <c r="AM439" s="18" t="str">
        <f>_xlfn.IFNA(VLOOKUP(Sheet1!$C439,ADMIX_ALL!A:B,2,FALSE),"none")</f>
        <v>K6-18</v>
      </c>
      <c r="AN439" s="18" t="str">
        <f>_xlfn.IFNA(VLOOKUP(Sheet1!C439,ADMIX_SS!A:B,2,FALSE),"none")</f>
        <v>SubSample</v>
      </c>
      <c r="AO439" s="18" t="str">
        <f>_xlfn.IFNA(VLOOKUP(Sheet1!$C439,MONG_PHYLO!A:C,3,FALSE),"-")</f>
        <v>-</v>
      </c>
      <c r="AP439" s="18" t="str">
        <f>_xlfn.IFNA(VLOOKUP(Sheet1!$C439,MAC_PHYLO!A:C,3,FALSE),"-")</f>
        <v>-</v>
      </c>
      <c r="AQ439" s="18" t="str">
        <f>_xlfn.IFNA(VLOOKUP(Sheet1!$C439,ConStruct!A:C,3,FALSE),"-")</f>
        <v>ConStruct</v>
      </c>
      <c r="AR439" s="18" t="str">
        <f>_xlfn.IFNA(VLOOKUP(Sheet1!$C439,GEA!A:C,3,FALSE),"-")</f>
        <v>-</v>
      </c>
      <c r="AS439" s="18" t="str">
        <f>_xlfn.IFNA(VLOOKUP(Sheet1!$C439,MAC_DSUITE!A:D,3,FALSE),"-")</f>
        <v>-</v>
      </c>
      <c r="AT439" s="18" t="str">
        <f>_xlfn.IFNA(VLOOKUP(Sheet1!$C439,MONG_DSUITE!A:E,2,FALSE),"-")</f>
        <v>xxx</v>
      </c>
      <c r="AU439" s="18" t="str">
        <f>_xlfn.IFNA(VLOOKUP(Sheet1!$C439,MAC_PAINT2!A:D,4,FALSE),"-")</f>
        <v>-</v>
      </c>
    </row>
    <row r="440" spans="1:49" customFormat="1" x14ac:dyDescent="0.4">
      <c r="A440">
        <v>3891</v>
      </c>
      <c r="B440" t="s">
        <v>965</v>
      </c>
      <c r="C440" t="s">
        <v>966</v>
      </c>
      <c r="D440" t="str">
        <f>_xlfn.CONCAT(C440,".bam")</f>
        <v>SYST-MOR-0007128.bam</v>
      </c>
      <c r="E440" t="s">
        <v>967</v>
      </c>
      <c r="F440" t="s">
        <v>2431</v>
      </c>
      <c r="G440" t="s">
        <v>2435</v>
      </c>
      <c r="H440" t="s">
        <v>2518</v>
      </c>
      <c r="I440" t="s">
        <v>952</v>
      </c>
      <c r="K440" t="s">
        <v>64</v>
      </c>
      <c r="L440" t="s">
        <v>64</v>
      </c>
      <c r="N440" t="s">
        <v>64</v>
      </c>
      <c r="P440" t="s">
        <v>113</v>
      </c>
      <c r="Q440" t="s">
        <v>65</v>
      </c>
      <c r="R440" t="s">
        <v>2599</v>
      </c>
      <c r="S440" s="1">
        <v>44795</v>
      </c>
      <c r="T440" t="s">
        <v>33</v>
      </c>
      <c r="U440" t="s">
        <v>34</v>
      </c>
      <c r="V440" s="1">
        <v>44796</v>
      </c>
      <c r="W440" t="s">
        <v>35</v>
      </c>
      <c r="X440" t="s">
        <v>896</v>
      </c>
      <c r="Y440" t="s">
        <v>897</v>
      </c>
      <c r="Z440" t="s">
        <v>38</v>
      </c>
      <c r="AA440" t="s">
        <v>952</v>
      </c>
      <c r="AD440" t="s">
        <v>64</v>
      </c>
      <c r="AE440">
        <v>42.082520000000002</v>
      </c>
      <c r="AF440">
        <v>-73.384530999999996</v>
      </c>
      <c r="AG440" t="s">
        <v>40</v>
      </c>
      <c r="AH440" t="s">
        <v>41</v>
      </c>
      <c r="AI440">
        <v>42.082271073100003</v>
      </c>
      <c r="AJ440">
        <v>-73.384617967599993</v>
      </c>
      <c r="AK440">
        <v>-2.489268999994465E-4</v>
      </c>
      <c r="AL440">
        <v>-8.6967599997933576E-5</v>
      </c>
      <c r="AM440" t="str">
        <f>_xlfn.IFNA(VLOOKUP(Sheet1!$C440,ADMIX_ALL!A:B,2,FALSE),"none")</f>
        <v>K6-18</v>
      </c>
      <c r="AN440" t="str">
        <f>_xlfn.IFNA(VLOOKUP(Sheet1!C440,ADMIX_SS!A:B,2,FALSE),"none")</f>
        <v>SubSample</v>
      </c>
      <c r="AO440" t="str">
        <f>_xlfn.IFNA(VLOOKUP(Sheet1!$C440,MONG_PHYLO!A:C,3,FALSE),"-")</f>
        <v>-</v>
      </c>
      <c r="AP440" t="str">
        <f>_xlfn.IFNA(VLOOKUP(Sheet1!$C440,MAC_PHYLO!A:C,3,FALSE),"-")</f>
        <v>-</v>
      </c>
      <c r="AQ440" t="str">
        <f>_xlfn.IFNA(VLOOKUP(Sheet1!$C440,ConStruct!A:C,3,FALSE),"-")</f>
        <v>-</v>
      </c>
      <c r="AR440" t="str">
        <f>_xlfn.IFNA(VLOOKUP(Sheet1!$C440,GEA!A:C,3,FALSE),"-")</f>
        <v>-</v>
      </c>
      <c r="AS440" t="str">
        <f>_xlfn.IFNA(VLOOKUP(Sheet1!$C440,MAC_DSUITE!A:D,3,FALSE),"-")</f>
        <v>-</v>
      </c>
      <c r="AT440" t="str">
        <f>_xlfn.IFNA(VLOOKUP(Sheet1!$C440,MONG_DSUITE!A:E,2,FALSE),"-")</f>
        <v>xxx</v>
      </c>
      <c r="AU440" t="str">
        <f>_xlfn.IFNA(VLOOKUP(Sheet1!$C440,MAC_PAINT2!A:D,4,FALSE),"-")</f>
        <v>-</v>
      </c>
    </row>
    <row r="441" spans="1:49" customFormat="1" x14ac:dyDescent="0.4">
      <c r="A441">
        <v>3892</v>
      </c>
      <c r="B441" t="s">
        <v>27</v>
      </c>
      <c r="C441" t="s">
        <v>28</v>
      </c>
      <c r="D441" t="str">
        <f>_xlfn.CONCAT(C441,".bam")</f>
        <v>SYST-MOR-0007129.bam</v>
      </c>
      <c r="E441" t="s">
        <v>29</v>
      </c>
      <c r="F441" t="s">
        <v>2405</v>
      </c>
      <c r="G441" t="s">
        <v>2401</v>
      </c>
      <c r="H441" t="s">
        <v>2488</v>
      </c>
      <c r="I441" t="s">
        <v>39</v>
      </c>
      <c r="K441" t="s">
        <v>30</v>
      </c>
      <c r="L441" t="s">
        <v>30</v>
      </c>
      <c r="N441" t="s">
        <v>30</v>
      </c>
      <c r="P441" t="s">
        <v>31</v>
      </c>
      <c r="Q441" t="s">
        <v>32</v>
      </c>
      <c r="R441" t="s">
        <v>2596</v>
      </c>
      <c r="S441" s="1">
        <v>44803</v>
      </c>
      <c r="T441" t="s">
        <v>33</v>
      </c>
      <c r="U441" t="s">
        <v>34</v>
      </c>
      <c r="V441" s="1">
        <v>44810</v>
      </c>
      <c r="W441" t="s">
        <v>35</v>
      </c>
      <c r="X441" t="s">
        <v>36</v>
      </c>
      <c r="Y441" t="s">
        <v>37</v>
      </c>
      <c r="Z441" t="s">
        <v>38</v>
      </c>
      <c r="AA441" t="s">
        <v>39</v>
      </c>
      <c r="AD441" t="s">
        <v>30</v>
      </c>
      <c r="AE441">
        <v>34.804527999999998</v>
      </c>
      <c r="AF441">
        <v>-92.326498000000001</v>
      </c>
      <c r="AG441" t="s">
        <v>40</v>
      </c>
      <c r="AH441" t="s">
        <v>41</v>
      </c>
      <c r="AI441">
        <v>34.8044033535</v>
      </c>
      <c r="AJ441">
        <v>-92.326360009699997</v>
      </c>
      <c r="AK441">
        <v>-1.2464649999799349E-4</v>
      </c>
      <c r="AL441">
        <v>1.3799030000427592E-4</v>
      </c>
      <c r="AM441" t="str">
        <f>_xlfn.IFNA(VLOOKUP(Sheet1!$C441,ADMIX_ALL!A:B,2,FALSE),"none")</f>
        <v>K6-18</v>
      </c>
      <c r="AN441" t="str">
        <f>_xlfn.IFNA(VLOOKUP(Sheet1!C441,ADMIX_SS!A:B,2,FALSE),"none")</f>
        <v>SubSample</v>
      </c>
      <c r="AO441" t="str">
        <f>_xlfn.IFNA(VLOOKUP(Sheet1!$C441,MONG_PHYLO!A:C,3,FALSE),"-")</f>
        <v>-</v>
      </c>
      <c r="AP441" t="str">
        <f>_xlfn.IFNA(VLOOKUP(Sheet1!$C441,MAC_PHYLO!A:C,3,FALSE),"-")</f>
        <v>-</v>
      </c>
      <c r="AQ441" t="str">
        <f>_xlfn.IFNA(VLOOKUP(Sheet1!$C441,ConStruct!A:C,3,FALSE),"-")</f>
        <v>-</v>
      </c>
      <c r="AR441" t="str">
        <f>_xlfn.IFNA(VLOOKUP(Sheet1!$C441,GEA!A:C,3,FALSE),"-")</f>
        <v>-</v>
      </c>
      <c r="AS441" t="str">
        <f>_xlfn.IFNA(VLOOKUP(Sheet1!$C441,MAC_DSUITE!A:D,3,FALSE),"-")</f>
        <v>-</v>
      </c>
      <c r="AT441" t="str">
        <f>_xlfn.IFNA(VLOOKUP(Sheet1!$C441,MONG_DSUITE!A:E,2,FALSE),"-")</f>
        <v>xxx</v>
      </c>
      <c r="AU441" t="str">
        <f>_xlfn.IFNA(VLOOKUP(Sheet1!$C441,MAC_PAINT2!A:D,4,FALSE),"-")</f>
        <v>-</v>
      </c>
    </row>
    <row r="442" spans="1:49" customFormat="1" x14ac:dyDescent="0.4">
      <c r="A442">
        <v>3893</v>
      </c>
      <c r="B442" t="s">
        <v>42</v>
      </c>
      <c r="C442" t="s">
        <v>43</v>
      </c>
      <c r="D442" t="str">
        <f>_xlfn.CONCAT(C442,".bam")</f>
        <v>SYST-MOR-0007130.bam</v>
      </c>
      <c r="E442" t="s">
        <v>44</v>
      </c>
      <c r="F442" t="s">
        <v>2405</v>
      </c>
      <c r="G442" t="s">
        <v>2401</v>
      </c>
      <c r="H442" t="s">
        <v>2488</v>
      </c>
      <c r="I442" t="s">
        <v>39</v>
      </c>
      <c r="K442" t="s">
        <v>45</v>
      </c>
      <c r="L442" t="s">
        <v>45</v>
      </c>
      <c r="N442" t="s">
        <v>45</v>
      </c>
      <c r="P442" t="s">
        <v>31</v>
      </c>
      <c r="Q442" t="s">
        <v>46</v>
      </c>
      <c r="R442" t="s">
        <v>2597</v>
      </c>
      <c r="S442" s="1">
        <v>44803</v>
      </c>
      <c r="T442" t="s">
        <v>33</v>
      </c>
      <c r="U442" t="s">
        <v>34</v>
      </c>
      <c r="V442" s="1">
        <v>44810</v>
      </c>
      <c r="W442" t="s">
        <v>35</v>
      </c>
      <c r="X442" t="s">
        <v>36</v>
      </c>
      <c r="Y442" t="s">
        <v>37</v>
      </c>
      <c r="Z442" t="s">
        <v>38</v>
      </c>
      <c r="AA442" t="s">
        <v>39</v>
      </c>
      <c r="AD442" t="s">
        <v>45</v>
      </c>
      <c r="AE442">
        <v>34.804341999999998</v>
      </c>
      <c r="AF442">
        <v>-92.326644999999999</v>
      </c>
      <c r="AG442" t="s">
        <v>40</v>
      </c>
      <c r="AH442" t="s">
        <v>41</v>
      </c>
      <c r="AI442">
        <v>34.804446604100001</v>
      </c>
      <c r="AJ442">
        <v>-92.326559582800002</v>
      </c>
      <c r="AK442">
        <v>1.0460410000234788E-4</v>
      </c>
      <c r="AL442">
        <v>8.5417199997550597E-5</v>
      </c>
      <c r="AM442" t="str">
        <f>_xlfn.IFNA(VLOOKUP(Sheet1!$C442,ADMIX_ALL!A:B,2,FALSE),"none")</f>
        <v>K6-18</v>
      </c>
      <c r="AN442" t="str">
        <f>_xlfn.IFNA(VLOOKUP(Sheet1!C442,ADMIX_SS!A:B,2,FALSE),"none")</f>
        <v>SubSample</v>
      </c>
      <c r="AO442" t="str">
        <f>_xlfn.IFNA(VLOOKUP(Sheet1!$C442,MONG_PHYLO!A:C,3,FALSE),"-")</f>
        <v>-</v>
      </c>
      <c r="AP442" t="str">
        <f>_xlfn.IFNA(VLOOKUP(Sheet1!$C442,MAC_PHYLO!A:C,3,FALSE),"-")</f>
        <v>-</v>
      </c>
      <c r="AQ442" t="str">
        <f>_xlfn.IFNA(VLOOKUP(Sheet1!$C442,ConStruct!A:C,3,FALSE),"-")</f>
        <v>ConStruct</v>
      </c>
      <c r="AR442" t="str">
        <f>_xlfn.IFNA(VLOOKUP(Sheet1!$C442,GEA!A:C,3,FALSE),"-")</f>
        <v>GEA</v>
      </c>
      <c r="AS442" t="str">
        <f>_xlfn.IFNA(VLOOKUP(Sheet1!$C442,MAC_DSUITE!A:D,3,FALSE),"-")</f>
        <v>mac_AR_BRP</v>
      </c>
      <c r="AT442" t="str">
        <f>_xlfn.IFNA(VLOOKUP(Sheet1!$C442,MONG_DSUITE!A:E,2,FALSE),"-")</f>
        <v>macrocarpa_BRP</v>
      </c>
      <c r="AU442" t="str">
        <f>_xlfn.IFNA(VLOOKUP(Sheet1!$C442,MAC_PAINT2!A:D,4,FALSE),"-")</f>
        <v>macpaint</v>
      </c>
      <c r="AV442" t="s">
        <v>9193</v>
      </c>
      <c r="AW442" t="s">
        <v>9193</v>
      </c>
    </row>
    <row r="443" spans="1:49" customFormat="1" x14ac:dyDescent="0.4">
      <c r="A443">
        <v>3894</v>
      </c>
      <c r="B443" t="s">
        <v>47</v>
      </c>
      <c r="C443" t="s">
        <v>48</v>
      </c>
      <c r="D443" t="str">
        <f>_xlfn.CONCAT(C443,".bam")</f>
        <v>SYST-MOR-0007131.bam</v>
      </c>
      <c r="E443" t="s">
        <v>49</v>
      </c>
      <c r="F443" t="s">
        <v>2405</v>
      </c>
      <c r="G443" t="s">
        <v>2401</v>
      </c>
      <c r="H443" t="s">
        <v>2488</v>
      </c>
      <c r="I443" t="s">
        <v>39</v>
      </c>
      <c r="K443" t="s">
        <v>50</v>
      </c>
      <c r="L443" t="s">
        <v>50</v>
      </c>
      <c r="N443" t="s">
        <v>50</v>
      </c>
      <c r="P443" t="s">
        <v>31</v>
      </c>
      <c r="Q443" t="s">
        <v>51</v>
      </c>
      <c r="R443" t="s">
        <v>2598</v>
      </c>
      <c r="S443" s="1">
        <v>44803</v>
      </c>
      <c r="T443" t="s">
        <v>33</v>
      </c>
      <c r="U443" t="s">
        <v>34</v>
      </c>
      <c r="V443" s="1">
        <v>44810</v>
      </c>
      <c r="W443" t="s">
        <v>35</v>
      </c>
      <c r="X443" t="s">
        <v>36</v>
      </c>
      <c r="Y443" t="s">
        <v>37</v>
      </c>
      <c r="Z443" t="s">
        <v>38</v>
      </c>
      <c r="AA443" t="s">
        <v>39</v>
      </c>
      <c r="AD443" t="s">
        <v>50</v>
      </c>
      <c r="AE443">
        <v>34.804412999999997</v>
      </c>
      <c r="AF443">
        <v>-92.326312000000001</v>
      </c>
      <c r="AG443" t="s">
        <v>40</v>
      </c>
      <c r="AH443" t="s">
        <v>41</v>
      </c>
      <c r="AI443">
        <v>34.8043520007</v>
      </c>
      <c r="AJ443">
        <v>-92.326575055000006</v>
      </c>
      <c r="AK443">
        <v>-6.0999299996922218E-5</v>
      </c>
      <c r="AL443">
        <v>-2.6305500000489701E-4</v>
      </c>
      <c r="AM443" t="str">
        <f>_xlfn.IFNA(VLOOKUP(Sheet1!$C443,ADMIX_ALL!A:B,2,FALSE),"none")</f>
        <v>K6-18</v>
      </c>
      <c r="AN443" t="str">
        <f>_xlfn.IFNA(VLOOKUP(Sheet1!C443,ADMIX_SS!A:B,2,FALSE),"none")</f>
        <v>SubSample</v>
      </c>
      <c r="AO443" t="str">
        <f>_xlfn.IFNA(VLOOKUP(Sheet1!$C443,MONG_PHYLO!A:C,3,FALSE),"-")</f>
        <v>-</v>
      </c>
      <c r="AP443" t="str">
        <f>_xlfn.IFNA(VLOOKUP(Sheet1!$C443,MAC_PHYLO!A:C,3,FALSE),"-")</f>
        <v>-</v>
      </c>
      <c r="AQ443" t="str">
        <f>_xlfn.IFNA(VLOOKUP(Sheet1!$C443,ConStruct!A:C,3,FALSE),"-")</f>
        <v>-</v>
      </c>
      <c r="AR443" t="str">
        <f>_xlfn.IFNA(VLOOKUP(Sheet1!$C443,GEA!A:C,3,FALSE),"-")</f>
        <v>-</v>
      </c>
      <c r="AS443" t="str">
        <f>_xlfn.IFNA(VLOOKUP(Sheet1!$C443,MAC_DSUITE!A:D,3,FALSE),"-")</f>
        <v>-</v>
      </c>
      <c r="AT443" t="str">
        <f>_xlfn.IFNA(VLOOKUP(Sheet1!$C443,MONG_DSUITE!A:E,2,FALSE),"-")</f>
        <v>xxx</v>
      </c>
      <c r="AU443" t="str">
        <f>_xlfn.IFNA(VLOOKUP(Sheet1!$C443,MAC_PAINT2!A:D,4,FALSE),"-")</f>
        <v>-</v>
      </c>
    </row>
    <row r="444" spans="1:49" customFormat="1" x14ac:dyDescent="0.4">
      <c r="A444">
        <v>3895</v>
      </c>
      <c r="B444" t="s">
        <v>52</v>
      </c>
      <c r="C444" t="s">
        <v>53</v>
      </c>
      <c r="D444" t="str">
        <f>_xlfn.CONCAT(C444,".bam")</f>
        <v>SYST-MOR-0007132.bam</v>
      </c>
      <c r="E444" t="s">
        <v>54</v>
      </c>
      <c r="F444" t="s">
        <v>2405</v>
      </c>
      <c r="G444" t="s">
        <v>2401</v>
      </c>
      <c r="H444" t="s">
        <v>2488</v>
      </c>
      <c r="I444" t="s">
        <v>39</v>
      </c>
      <c r="K444" t="s">
        <v>45</v>
      </c>
      <c r="L444" t="s">
        <v>45</v>
      </c>
      <c r="N444" t="s">
        <v>45</v>
      </c>
      <c r="P444" t="s">
        <v>31</v>
      </c>
      <c r="Q444" t="s">
        <v>46</v>
      </c>
      <c r="R444" t="s">
        <v>2597</v>
      </c>
      <c r="S444" s="1">
        <v>44803</v>
      </c>
      <c r="T444" t="s">
        <v>33</v>
      </c>
      <c r="U444" t="s">
        <v>34</v>
      </c>
      <c r="V444" s="1">
        <v>44810</v>
      </c>
      <c r="W444" t="s">
        <v>35</v>
      </c>
      <c r="X444" t="s">
        <v>36</v>
      </c>
      <c r="Y444" t="s">
        <v>37</v>
      </c>
      <c r="Z444" t="s">
        <v>38</v>
      </c>
      <c r="AA444" t="s">
        <v>39</v>
      </c>
      <c r="AD444" t="s">
        <v>45</v>
      </c>
      <c r="AE444">
        <v>34.805005999999999</v>
      </c>
      <c r="AF444">
        <v>-92.327102999999994</v>
      </c>
      <c r="AG444" t="s">
        <v>40</v>
      </c>
      <c r="AH444" t="s">
        <v>41</v>
      </c>
      <c r="AI444">
        <v>34.805065372500003</v>
      </c>
      <c r="AJ444">
        <v>-92.327079512200001</v>
      </c>
      <c r="AK444">
        <v>5.937250000442873E-5</v>
      </c>
      <c r="AL444">
        <v>2.3487799992949476E-5</v>
      </c>
      <c r="AM444" t="str">
        <f>_xlfn.IFNA(VLOOKUP(Sheet1!$C444,ADMIX_ALL!A:B,2,FALSE),"none")</f>
        <v>K6-18</v>
      </c>
      <c r="AN444" t="str">
        <f>_xlfn.IFNA(VLOOKUP(Sheet1!C444,ADMIX_SS!A:B,2,FALSE),"none")</f>
        <v>SubSample</v>
      </c>
      <c r="AO444" t="str">
        <f>_xlfn.IFNA(VLOOKUP(Sheet1!$C444,MONG_PHYLO!A:C,3,FALSE),"-")</f>
        <v>-</v>
      </c>
      <c r="AP444" t="str">
        <f>_xlfn.IFNA(VLOOKUP(Sheet1!$C444,MAC_PHYLO!A:C,3,FALSE),"-")</f>
        <v>-</v>
      </c>
      <c r="AQ444" t="str">
        <f>_xlfn.IFNA(VLOOKUP(Sheet1!$C444,ConStruct!A:C,3,FALSE),"-")</f>
        <v>ConStruct</v>
      </c>
      <c r="AR444" t="str">
        <f>_xlfn.IFNA(VLOOKUP(Sheet1!$C444,GEA!A:C,3,FALSE),"-")</f>
        <v>GEA</v>
      </c>
      <c r="AS444" t="str">
        <f>_xlfn.IFNA(VLOOKUP(Sheet1!$C444,MAC_DSUITE!A:D,3,FALSE),"-")</f>
        <v>mac_AR_BRP</v>
      </c>
      <c r="AT444" t="str">
        <f>_xlfn.IFNA(VLOOKUP(Sheet1!$C444,MONG_DSUITE!A:E,2,FALSE),"-")</f>
        <v>macrocarpa_BRP</v>
      </c>
      <c r="AU444" t="str">
        <f>_xlfn.IFNA(VLOOKUP(Sheet1!$C444,MAC_PAINT2!A:D,4,FALSE),"-")</f>
        <v>macpaint</v>
      </c>
      <c r="AV444" t="s">
        <v>9193</v>
      </c>
      <c r="AW444" t="s">
        <v>9193</v>
      </c>
    </row>
    <row r="445" spans="1:49" customFormat="1" x14ac:dyDescent="0.4">
      <c r="A445">
        <v>3896</v>
      </c>
      <c r="B445" t="s">
        <v>55</v>
      </c>
      <c r="C445" t="s">
        <v>56</v>
      </c>
      <c r="D445" t="str">
        <f>_xlfn.CONCAT(C445,".bam")</f>
        <v>SYST-MOR-0007133.bam</v>
      </c>
      <c r="E445" t="s">
        <v>57</v>
      </c>
      <c r="F445" t="s">
        <v>2405</v>
      </c>
      <c r="G445" t="s">
        <v>2401</v>
      </c>
      <c r="H445" t="s">
        <v>2488</v>
      </c>
      <c r="I445" t="s">
        <v>39</v>
      </c>
      <c r="K445" t="s">
        <v>50</v>
      </c>
      <c r="L445" t="s">
        <v>50</v>
      </c>
      <c r="N445" t="s">
        <v>50</v>
      </c>
      <c r="P445" t="s">
        <v>31</v>
      </c>
      <c r="Q445" t="s">
        <v>51</v>
      </c>
      <c r="R445" t="s">
        <v>2598</v>
      </c>
      <c r="S445" s="1">
        <v>44803</v>
      </c>
      <c r="T445" t="s">
        <v>33</v>
      </c>
      <c r="U445" t="s">
        <v>34</v>
      </c>
      <c r="V445" s="1">
        <v>44810</v>
      </c>
      <c r="W445" t="s">
        <v>35</v>
      </c>
      <c r="X445" t="s">
        <v>36</v>
      </c>
      <c r="Y445" t="s">
        <v>37</v>
      </c>
      <c r="Z445" t="s">
        <v>38</v>
      </c>
      <c r="AA445" t="s">
        <v>39</v>
      </c>
      <c r="AD445" t="s">
        <v>50</v>
      </c>
      <c r="AE445">
        <v>34.805382000000002</v>
      </c>
      <c r="AF445">
        <v>-92.327056999999996</v>
      </c>
      <c r="AG445" t="s">
        <v>40</v>
      </c>
      <c r="AH445" t="s">
        <v>41</v>
      </c>
      <c r="AI445">
        <v>34.805368746900001</v>
      </c>
      <c r="AJ445">
        <v>-92.326989322900005</v>
      </c>
      <c r="AK445">
        <v>-1.3253100000554241E-5</v>
      </c>
      <c r="AL445">
        <v>6.767709999166982E-5</v>
      </c>
      <c r="AM445" t="str">
        <f>_xlfn.IFNA(VLOOKUP(Sheet1!$C445,ADMIX_ALL!A:B,2,FALSE),"none")</f>
        <v>K6-18</v>
      </c>
      <c r="AN445" t="str">
        <f>_xlfn.IFNA(VLOOKUP(Sheet1!C445,ADMIX_SS!A:B,2,FALSE),"none")</f>
        <v>SubSample</v>
      </c>
      <c r="AO445" t="str">
        <f>_xlfn.IFNA(VLOOKUP(Sheet1!$C445,MONG_PHYLO!A:C,3,FALSE),"-")</f>
        <v>-</v>
      </c>
      <c r="AP445" t="str">
        <f>_xlfn.IFNA(VLOOKUP(Sheet1!$C445,MAC_PHYLO!A:C,3,FALSE),"-")</f>
        <v>-</v>
      </c>
      <c r="AQ445" t="str">
        <f>_xlfn.IFNA(VLOOKUP(Sheet1!$C445,ConStruct!A:C,3,FALSE),"-")</f>
        <v>-</v>
      </c>
      <c r="AR445" t="str">
        <f>_xlfn.IFNA(VLOOKUP(Sheet1!$C445,GEA!A:C,3,FALSE),"-")</f>
        <v>-</v>
      </c>
      <c r="AS445" t="str">
        <f>_xlfn.IFNA(VLOOKUP(Sheet1!$C445,MAC_DSUITE!A:D,3,FALSE),"-")</f>
        <v>-</v>
      </c>
      <c r="AT445" t="str">
        <f>_xlfn.IFNA(VLOOKUP(Sheet1!$C445,MONG_DSUITE!A:E,2,FALSE),"-")</f>
        <v>xxx</v>
      </c>
      <c r="AU445" t="str">
        <f>_xlfn.IFNA(VLOOKUP(Sheet1!$C445,MAC_PAINT2!A:D,4,FALSE),"-")</f>
        <v>-</v>
      </c>
    </row>
    <row r="446" spans="1:49" customFormat="1" x14ac:dyDescent="0.4">
      <c r="A446">
        <v>3897</v>
      </c>
      <c r="B446" t="s">
        <v>58</v>
      </c>
      <c r="C446" t="s">
        <v>59</v>
      </c>
      <c r="D446" t="str">
        <f>_xlfn.CONCAT(C446,".bam")</f>
        <v>SYST-MOR-0007134.bam</v>
      </c>
      <c r="E446" t="s">
        <v>60</v>
      </c>
      <c r="F446" t="s">
        <v>2405</v>
      </c>
      <c r="G446" t="s">
        <v>2401</v>
      </c>
      <c r="H446" t="s">
        <v>2488</v>
      </c>
      <c r="I446" t="s">
        <v>39</v>
      </c>
      <c r="K446" t="s">
        <v>30</v>
      </c>
      <c r="L446" t="s">
        <v>30</v>
      </c>
      <c r="N446" t="s">
        <v>30</v>
      </c>
      <c r="P446" t="s">
        <v>31</v>
      </c>
      <c r="Q446" t="s">
        <v>32</v>
      </c>
      <c r="R446" t="s">
        <v>2596</v>
      </c>
      <c r="S446" s="1">
        <v>44803</v>
      </c>
      <c r="T446" t="s">
        <v>33</v>
      </c>
      <c r="U446" t="s">
        <v>34</v>
      </c>
      <c r="V446" s="1">
        <v>44810</v>
      </c>
      <c r="W446" t="s">
        <v>35</v>
      </c>
      <c r="X446" t="s">
        <v>36</v>
      </c>
      <c r="Y446" t="s">
        <v>37</v>
      </c>
      <c r="Z446" t="s">
        <v>38</v>
      </c>
      <c r="AA446" t="s">
        <v>39</v>
      </c>
      <c r="AD446" t="s">
        <v>30</v>
      </c>
      <c r="AE446">
        <v>34.805731000000002</v>
      </c>
      <c r="AF446">
        <v>-92.327413000000007</v>
      </c>
      <c r="AG446" t="s">
        <v>40</v>
      </c>
      <c r="AH446" t="s">
        <v>41</v>
      </c>
      <c r="AI446">
        <v>34.805745072599997</v>
      </c>
      <c r="AJ446">
        <v>-92.327317893499995</v>
      </c>
      <c r="AK446">
        <v>1.4072599995529345E-5</v>
      </c>
      <c r="AL446">
        <v>9.5106500012320794E-5</v>
      </c>
      <c r="AM446" t="str">
        <f>_xlfn.IFNA(VLOOKUP(Sheet1!$C446,ADMIX_ALL!A:B,2,FALSE),"none")</f>
        <v>K6-18</v>
      </c>
      <c r="AN446" t="str">
        <f>_xlfn.IFNA(VLOOKUP(Sheet1!C446,ADMIX_SS!A:B,2,FALSE),"none")</f>
        <v>Constant</v>
      </c>
      <c r="AO446" t="str">
        <f>_xlfn.IFNA(VLOOKUP(Sheet1!$C446,MONG_PHYLO!A:C,3,FALSE),"-")</f>
        <v>lyr</v>
      </c>
      <c r="AP446" t="str">
        <f>_xlfn.IFNA(VLOOKUP(Sheet1!$C446,MAC_PHYLO!A:C,3,FALSE),"-")</f>
        <v>-</v>
      </c>
      <c r="AQ446" t="str">
        <f>_xlfn.IFNA(VLOOKUP(Sheet1!$C446,ConStruct!A:C,3,FALSE),"-")</f>
        <v>-</v>
      </c>
      <c r="AR446" t="str">
        <f>_xlfn.IFNA(VLOOKUP(Sheet1!$C446,GEA!A:C,3,FALSE),"-")</f>
        <v>-</v>
      </c>
      <c r="AS446" t="str">
        <f>_xlfn.IFNA(VLOOKUP(Sheet1!$C446,MAC_DSUITE!A:D,3,FALSE),"-")</f>
        <v>-</v>
      </c>
      <c r="AT446" t="str">
        <f>_xlfn.IFNA(VLOOKUP(Sheet1!$C446,MONG_DSUITE!A:E,2,FALSE),"-")</f>
        <v>lyrata</v>
      </c>
      <c r="AU446" t="str">
        <f>_xlfn.IFNA(VLOOKUP(Sheet1!$C446,MAC_PAINT2!A:D,4,FALSE),"-")</f>
        <v>-</v>
      </c>
    </row>
    <row r="447" spans="1:49" customFormat="1" x14ac:dyDescent="0.4">
      <c r="A447">
        <v>3898</v>
      </c>
      <c r="B447" t="s">
        <v>61</v>
      </c>
      <c r="C447" t="s">
        <v>62</v>
      </c>
      <c r="D447" t="str">
        <f>_xlfn.CONCAT(C447,".bam")</f>
        <v>SYST-MOR-0007135.bam</v>
      </c>
      <c r="E447" t="s">
        <v>63</v>
      </c>
      <c r="F447" t="s">
        <v>2405</v>
      </c>
      <c r="G447" t="s">
        <v>2401</v>
      </c>
      <c r="H447" t="s">
        <v>2488</v>
      </c>
      <c r="I447" t="s">
        <v>39</v>
      </c>
      <c r="K447" t="s">
        <v>64</v>
      </c>
      <c r="L447" t="s">
        <v>64</v>
      </c>
      <c r="N447" t="s">
        <v>64</v>
      </c>
      <c r="P447" t="s">
        <v>31</v>
      </c>
      <c r="Q447" t="s">
        <v>65</v>
      </c>
      <c r="R447" t="s">
        <v>2599</v>
      </c>
      <c r="S447" s="1">
        <v>44803</v>
      </c>
      <c r="T447" t="s">
        <v>33</v>
      </c>
      <c r="U447" t="s">
        <v>34</v>
      </c>
      <c r="V447" s="1">
        <v>44810</v>
      </c>
      <c r="W447" t="s">
        <v>35</v>
      </c>
      <c r="X447" t="s">
        <v>36</v>
      </c>
      <c r="Y447" t="s">
        <v>37</v>
      </c>
      <c r="Z447" t="s">
        <v>38</v>
      </c>
      <c r="AA447" t="s">
        <v>39</v>
      </c>
      <c r="AD447" t="s">
        <v>64</v>
      </c>
      <c r="AE447">
        <v>34.805909999999997</v>
      </c>
      <c r="AF447">
        <v>-92.327567999999999</v>
      </c>
      <c r="AG447" t="s">
        <v>40</v>
      </c>
      <c r="AH447" t="s">
        <v>41</v>
      </c>
      <c r="AI447">
        <v>34.806174323900002</v>
      </c>
      <c r="AJ447">
        <v>-92.327670604100007</v>
      </c>
      <c r="AK447">
        <v>2.6432390000508121E-4</v>
      </c>
      <c r="AL447">
        <v>-1.0260410000739739E-4</v>
      </c>
      <c r="AM447" t="str">
        <f>_xlfn.IFNA(VLOOKUP(Sheet1!$C447,ADMIX_ALL!A:B,2,FALSE),"none")</f>
        <v>K6-18</v>
      </c>
      <c r="AN447" t="str">
        <f>_xlfn.IFNA(VLOOKUP(Sheet1!C447,ADMIX_SS!A:B,2,FALSE),"none")</f>
        <v>SubSample</v>
      </c>
      <c r="AO447" t="str">
        <f>_xlfn.IFNA(VLOOKUP(Sheet1!$C447,MONG_PHYLO!A:C,3,FALSE),"-")</f>
        <v>-</v>
      </c>
      <c r="AP447" t="str">
        <f>_xlfn.IFNA(VLOOKUP(Sheet1!$C447,MAC_PHYLO!A:C,3,FALSE),"-")</f>
        <v>-</v>
      </c>
      <c r="AQ447" t="str">
        <f>_xlfn.IFNA(VLOOKUP(Sheet1!$C447,ConStruct!A:C,3,FALSE),"-")</f>
        <v>-</v>
      </c>
      <c r="AR447" t="str">
        <f>_xlfn.IFNA(VLOOKUP(Sheet1!$C447,GEA!A:C,3,FALSE),"-")</f>
        <v>-</v>
      </c>
      <c r="AS447" t="str">
        <f>_xlfn.IFNA(VLOOKUP(Sheet1!$C447,MAC_DSUITE!A:D,3,FALSE),"-")</f>
        <v>-</v>
      </c>
      <c r="AT447" t="str">
        <f>_xlfn.IFNA(VLOOKUP(Sheet1!$C447,MONG_DSUITE!A:E,2,FALSE),"-")</f>
        <v>xxx</v>
      </c>
      <c r="AU447" t="str">
        <f>_xlfn.IFNA(VLOOKUP(Sheet1!$C447,MAC_PAINT2!A:D,4,FALSE),"-")</f>
        <v>-</v>
      </c>
    </row>
    <row r="448" spans="1:49" customFormat="1" x14ac:dyDescent="0.4">
      <c r="A448">
        <v>3899</v>
      </c>
      <c r="B448" t="s">
        <v>66</v>
      </c>
      <c r="C448" t="s">
        <v>67</v>
      </c>
      <c r="D448" t="str">
        <f>_xlfn.CONCAT(C448,".bam")</f>
        <v>SYST-MOR-0007136.bam</v>
      </c>
      <c r="E448" t="s">
        <v>68</v>
      </c>
      <c r="F448" t="s">
        <v>2405</v>
      </c>
      <c r="G448" t="s">
        <v>2401</v>
      </c>
      <c r="H448" t="s">
        <v>2488</v>
      </c>
      <c r="I448" t="s">
        <v>39</v>
      </c>
      <c r="K448" t="s">
        <v>50</v>
      </c>
      <c r="L448" t="s">
        <v>50</v>
      </c>
      <c r="N448" t="s">
        <v>50</v>
      </c>
      <c r="P448" t="s">
        <v>31</v>
      </c>
      <c r="Q448" t="s">
        <v>51</v>
      </c>
      <c r="R448" t="s">
        <v>2598</v>
      </c>
      <c r="S448" s="1">
        <v>44803</v>
      </c>
      <c r="T448" t="s">
        <v>33</v>
      </c>
      <c r="U448" t="s">
        <v>34</v>
      </c>
      <c r="V448" s="1">
        <v>44810</v>
      </c>
      <c r="W448" t="s">
        <v>35</v>
      </c>
      <c r="X448" t="s">
        <v>36</v>
      </c>
      <c r="Y448" t="s">
        <v>37</v>
      </c>
      <c r="Z448" t="s">
        <v>38</v>
      </c>
      <c r="AA448" t="s">
        <v>39</v>
      </c>
      <c r="AD448" t="s">
        <v>50</v>
      </c>
      <c r="AE448">
        <v>34.806736999999998</v>
      </c>
      <c r="AF448">
        <v>-92.328942999999995</v>
      </c>
      <c r="AG448" t="s">
        <v>40</v>
      </c>
      <c r="AH448" t="s">
        <v>41</v>
      </c>
      <c r="AI448">
        <v>34.806970395199997</v>
      </c>
      <c r="AJ448">
        <v>-92.328983545400007</v>
      </c>
      <c r="AK448">
        <v>2.3339519999865388E-4</v>
      </c>
      <c r="AL448">
        <v>-4.0545400011637867E-5</v>
      </c>
      <c r="AM448" t="str">
        <f>_xlfn.IFNA(VLOOKUP(Sheet1!$C448,ADMIX_ALL!A:B,2,FALSE),"none")</f>
        <v>K6-18</v>
      </c>
      <c r="AN448" t="str">
        <f>_xlfn.IFNA(VLOOKUP(Sheet1!C448,ADMIX_SS!A:B,2,FALSE),"none")</f>
        <v>SubSample</v>
      </c>
      <c r="AO448" t="str">
        <f>_xlfn.IFNA(VLOOKUP(Sheet1!$C448,MONG_PHYLO!A:C,3,FALSE),"-")</f>
        <v>-</v>
      </c>
      <c r="AP448" t="str">
        <f>_xlfn.IFNA(VLOOKUP(Sheet1!$C448,MAC_PHYLO!A:C,3,FALSE),"-")</f>
        <v>-</v>
      </c>
      <c r="AQ448" t="str">
        <f>_xlfn.IFNA(VLOOKUP(Sheet1!$C448,ConStruct!A:C,3,FALSE),"-")</f>
        <v>-</v>
      </c>
      <c r="AR448" t="str">
        <f>_xlfn.IFNA(VLOOKUP(Sheet1!$C448,GEA!A:C,3,FALSE),"-")</f>
        <v>-</v>
      </c>
      <c r="AS448" t="str">
        <f>_xlfn.IFNA(VLOOKUP(Sheet1!$C448,MAC_DSUITE!A:D,3,FALSE),"-")</f>
        <v>-</v>
      </c>
      <c r="AT448" t="str">
        <f>_xlfn.IFNA(VLOOKUP(Sheet1!$C448,MONG_DSUITE!A:E,2,FALSE),"-")</f>
        <v>xxx</v>
      </c>
      <c r="AU448" t="str">
        <f>_xlfn.IFNA(VLOOKUP(Sheet1!$C448,MAC_PAINT2!A:D,4,FALSE),"-")</f>
        <v>-</v>
      </c>
    </row>
    <row r="449" spans="1:49" s="16" customFormat="1" x14ac:dyDescent="0.4">
      <c r="A449" s="16">
        <v>3900</v>
      </c>
      <c r="B449" s="16" t="s">
        <v>69</v>
      </c>
      <c r="C449" s="16" t="s">
        <v>70</v>
      </c>
      <c r="D449" s="16" t="str">
        <f>_xlfn.CONCAT(C449,".bam")</f>
        <v>SYST-MOR-0007137.bam</v>
      </c>
      <c r="E449" s="16" t="s">
        <v>71</v>
      </c>
      <c r="F449" s="16" t="s">
        <v>2405</v>
      </c>
      <c r="G449" s="16" t="s">
        <v>2401</v>
      </c>
      <c r="H449" s="16" t="s">
        <v>2488</v>
      </c>
      <c r="I449" s="16" t="s">
        <v>39</v>
      </c>
      <c r="K449" s="16" t="s">
        <v>45</v>
      </c>
      <c r="L449" s="16" t="s">
        <v>45</v>
      </c>
      <c r="N449" s="16" t="s">
        <v>45</v>
      </c>
      <c r="P449" s="16" t="s">
        <v>31</v>
      </c>
      <c r="Q449" s="16" t="s">
        <v>46</v>
      </c>
      <c r="R449" s="16" t="s">
        <v>2597</v>
      </c>
      <c r="S449" s="17">
        <v>44803</v>
      </c>
      <c r="T449" s="16" t="s">
        <v>33</v>
      </c>
      <c r="U449" s="16" t="s">
        <v>34</v>
      </c>
      <c r="V449" s="17">
        <v>44810</v>
      </c>
      <c r="W449" s="16" t="s">
        <v>35</v>
      </c>
      <c r="X449" s="16" t="s">
        <v>36</v>
      </c>
      <c r="Y449" s="16" t="s">
        <v>37</v>
      </c>
      <c r="Z449" s="16" t="s">
        <v>38</v>
      </c>
      <c r="AA449" s="16" t="s">
        <v>39</v>
      </c>
      <c r="AD449" s="16" t="s">
        <v>45</v>
      </c>
      <c r="AE449" s="16">
        <v>34.806243000000002</v>
      </c>
      <c r="AF449" s="16">
        <v>-92.330089999999998</v>
      </c>
      <c r="AG449" s="16" t="s">
        <v>40</v>
      </c>
      <c r="AH449" s="16" t="s">
        <v>41</v>
      </c>
      <c r="AI449" s="16">
        <v>34.806734821799999</v>
      </c>
      <c r="AJ449" s="16">
        <v>-92.330207470900007</v>
      </c>
      <c r="AK449" s="16">
        <v>4.9182179999718301E-4</v>
      </c>
      <c r="AL449" s="16">
        <v>-1.1747090000824301E-4</v>
      </c>
      <c r="AM449" s="16" t="str">
        <f>_xlfn.IFNA(VLOOKUP(Sheet1!$C449,ADMIX_ALL!A:B,2,FALSE),"none")</f>
        <v>K6-18</v>
      </c>
      <c r="AN449" s="16" t="str">
        <f>_xlfn.IFNA(VLOOKUP(Sheet1!C449,ADMIX_SS!A:B,2,FALSE),"none")</f>
        <v>SubSample</v>
      </c>
      <c r="AO449" s="16" t="str">
        <f>_xlfn.IFNA(VLOOKUP(Sheet1!$C449,MONG_PHYLO!A:C,3,FALSE),"-")</f>
        <v>-</v>
      </c>
      <c r="AP449" s="16" t="str">
        <f>_xlfn.IFNA(VLOOKUP(Sheet1!$C449,MAC_PHYLO!A:C,3,FALSE),"-")</f>
        <v>-</v>
      </c>
      <c r="AQ449" s="16" t="str">
        <f>_xlfn.IFNA(VLOOKUP(Sheet1!$C449,ConStruct!A:C,3,FALSE),"-")</f>
        <v>ConStruct</v>
      </c>
      <c r="AR449" s="16" t="str">
        <f>_xlfn.IFNA(VLOOKUP(Sheet1!$C449,GEA!A:C,3,FALSE),"-")</f>
        <v>GEA</v>
      </c>
      <c r="AS449" s="16" t="str">
        <f>_xlfn.IFNA(VLOOKUP(Sheet1!$C449,MAC_DSUITE!A:D,3,FALSE),"-")</f>
        <v>mac_AR_BRP</v>
      </c>
      <c r="AT449" s="16" t="str">
        <f>_xlfn.IFNA(VLOOKUP(Sheet1!$C449,MONG_DSUITE!A:E,2,FALSE),"-")</f>
        <v>macrocarpa_BRP</v>
      </c>
      <c r="AU449" s="16" t="str">
        <f>_xlfn.IFNA(VLOOKUP(Sheet1!$C449,MAC_PAINT2!A:D,4,FALSE),"-")</f>
        <v>-</v>
      </c>
      <c r="AV449" s="16" t="s">
        <v>9195</v>
      </c>
      <c r="AW449" s="16" t="s">
        <v>9193</v>
      </c>
    </row>
    <row r="450" spans="1:49" customFormat="1" x14ac:dyDescent="0.4">
      <c r="A450">
        <v>3901</v>
      </c>
      <c r="B450" t="s">
        <v>72</v>
      </c>
      <c r="C450" t="s">
        <v>73</v>
      </c>
      <c r="D450" t="str">
        <f>_xlfn.CONCAT(C450,".bam")</f>
        <v>SYST-MOR-0007138.bam</v>
      </c>
      <c r="E450" t="s">
        <v>74</v>
      </c>
      <c r="F450" t="s">
        <v>2405</v>
      </c>
      <c r="G450" t="s">
        <v>2401</v>
      </c>
      <c r="H450" t="s">
        <v>2488</v>
      </c>
      <c r="I450" t="s">
        <v>39</v>
      </c>
      <c r="K450" t="s">
        <v>30</v>
      </c>
      <c r="L450" t="s">
        <v>30</v>
      </c>
      <c r="N450" t="s">
        <v>30</v>
      </c>
      <c r="P450" t="s">
        <v>31</v>
      </c>
      <c r="Q450" t="s">
        <v>32</v>
      </c>
      <c r="R450" t="s">
        <v>2596</v>
      </c>
      <c r="S450" s="1">
        <v>44803</v>
      </c>
      <c r="T450" t="s">
        <v>33</v>
      </c>
      <c r="U450" t="s">
        <v>34</v>
      </c>
      <c r="V450" s="1">
        <v>44810</v>
      </c>
      <c r="W450" t="s">
        <v>35</v>
      </c>
      <c r="X450" t="s">
        <v>36</v>
      </c>
      <c r="Y450" t="s">
        <v>37</v>
      </c>
      <c r="Z450" t="s">
        <v>38</v>
      </c>
      <c r="AA450" t="s">
        <v>39</v>
      </c>
      <c r="AD450" t="s">
        <v>30</v>
      </c>
      <c r="AE450">
        <v>34.806528</v>
      </c>
      <c r="AF450">
        <v>-92.330323000000007</v>
      </c>
      <c r="AG450" t="s">
        <v>40</v>
      </c>
      <c r="AH450" t="s">
        <v>41</v>
      </c>
      <c r="AI450">
        <v>34.806249761099998</v>
      </c>
      <c r="AJ450">
        <v>-92.3301055469</v>
      </c>
      <c r="AK450">
        <v>-2.7823890000178153E-4</v>
      </c>
      <c r="AL450">
        <v>2.1745310000653717E-4</v>
      </c>
      <c r="AM450" t="str">
        <f>_xlfn.IFNA(VLOOKUP(Sheet1!$C450,ADMIX_ALL!A:B,2,FALSE),"none")</f>
        <v>K6-18</v>
      </c>
      <c r="AN450" t="str">
        <f>_xlfn.IFNA(VLOOKUP(Sheet1!C450,ADMIX_SS!A:B,2,FALSE),"none")</f>
        <v>SubSample</v>
      </c>
      <c r="AO450" t="str">
        <f>_xlfn.IFNA(VLOOKUP(Sheet1!$C450,MONG_PHYLO!A:C,3,FALSE),"-")</f>
        <v>-</v>
      </c>
      <c r="AP450" t="str">
        <f>_xlfn.IFNA(VLOOKUP(Sheet1!$C450,MAC_PHYLO!A:C,3,FALSE),"-")</f>
        <v>-</v>
      </c>
      <c r="AQ450" t="str">
        <f>_xlfn.IFNA(VLOOKUP(Sheet1!$C450,ConStruct!A:C,3,FALSE),"-")</f>
        <v>-</v>
      </c>
      <c r="AR450" t="str">
        <f>_xlfn.IFNA(VLOOKUP(Sheet1!$C450,GEA!A:C,3,FALSE),"-")</f>
        <v>-</v>
      </c>
      <c r="AS450" t="str">
        <f>_xlfn.IFNA(VLOOKUP(Sheet1!$C450,MAC_DSUITE!A:D,3,FALSE),"-")</f>
        <v>-</v>
      </c>
      <c r="AT450" t="str">
        <f>_xlfn.IFNA(VLOOKUP(Sheet1!$C450,MONG_DSUITE!A:E,2,FALSE),"-")</f>
        <v>xxx</v>
      </c>
      <c r="AU450" t="str">
        <f>_xlfn.IFNA(VLOOKUP(Sheet1!$C450,MAC_PAINT2!A:D,4,FALSE),"-")</f>
        <v>-</v>
      </c>
    </row>
    <row r="451" spans="1:49" customFormat="1" x14ac:dyDescent="0.4">
      <c r="A451">
        <v>3902</v>
      </c>
      <c r="B451" t="s">
        <v>75</v>
      </c>
      <c r="C451" t="s">
        <v>76</v>
      </c>
      <c r="D451" t="str">
        <f>_xlfn.CONCAT(C451,".bam")</f>
        <v>SYST-MOR-0007139.bam</v>
      </c>
      <c r="E451" t="s">
        <v>77</v>
      </c>
      <c r="F451" t="s">
        <v>2405</v>
      </c>
      <c r="G451" t="s">
        <v>2401</v>
      </c>
      <c r="H451" t="s">
        <v>2488</v>
      </c>
      <c r="I451" t="s">
        <v>39</v>
      </c>
      <c r="K451" t="s">
        <v>50</v>
      </c>
      <c r="L451" t="s">
        <v>50</v>
      </c>
      <c r="N451" t="s">
        <v>50</v>
      </c>
      <c r="P451" t="s">
        <v>31</v>
      </c>
      <c r="Q451" t="s">
        <v>51</v>
      </c>
      <c r="R451" t="s">
        <v>2598</v>
      </c>
      <c r="S451" s="1">
        <v>44803</v>
      </c>
      <c r="T451" t="s">
        <v>33</v>
      </c>
      <c r="U451" t="s">
        <v>34</v>
      </c>
      <c r="V451" s="1">
        <v>44810</v>
      </c>
      <c r="W451" t="s">
        <v>35</v>
      </c>
      <c r="X451" t="s">
        <v>36</v>
      </c>
      <c r="Y451" t="s">
        <v>37</v>
      </c>
      <c r="Z451" t="s">
        <v>38</v>
      </c>
      <c r="AA451" t="s">
        <v>39</v>
      </c>
      <c r="AD451" t="s">
        <v>50</v>
      </c>
      <c r="AE451">
        <v>34.806536000000001</v>
      </c>
      <c r="AF451">
        <v>-92.330337999999998</v>
      </c>
      <c r="AG451" t="s">
        <v>40</v>
      </c>
      <c r="AH451" t="s">
        <v>41</v>
      </c>
      <c r="AI451">
        <v>34.806600082700001</v>
      </c>
      <c r="AJ451">
        <v>-92.330444511099998</v>
      </c>
      <c r="AK451">
        <v>6.4082699999801207E-5</v>
      </c>
      <c r="AL451">
        <v>-1.0651110000026165E-4</v>
      </c>
      <c r="AM451" t="str">
        <f>_xlfn.IFNA(VLOOKUP(Sheet1!$C451,ADMIX_ALL!A:B,2,FALSE),"none")</f>
        <v>K6-18</v>
      </c>
      <c r="AN451" t="str">
        <f>_xlfn.IFNA(VLOOKUP(Sheet1!C451,ADMIX_SS!A:B,2,FALSE),"none")</f>
        <v>SubSample</v>
      </c>
      <c r="AO451" t="str">
        <f>_xlfn.IFNA(VLOOKUP(Sheet1!$C451,MONG_PHYLO!A:C,3,FALSE),"-")</f>
        <v>-</v>
      </c>
      <c r="AP451" t="str">
        <f>_xlfn.IFNA(VLOOKUP(Sheet1!$C451,MAC_PHYLO!A:C,3,FALSE),"-")</f>
        <v>-</v>
      </c>
      <c r="AQ451" t="str">
        <f>_xlfn.IFNA(VLOOKUP(Sheet1!$C451,ConStruct!A:C,3,FALSE),"-")</f>
        <v>-</v>
      </c>
      <c r="AR451" t="str">
        <f>_xlfn.IFNA(VLOOKUP(Sheet1!$C451,GEA!A:C,3,FALSE),"-")</f>
        <v>-</v>
      </c>
      <c r="AS451" t="str">
        <f>_xlfn.IFNA(VLOOKUP(Sheet1!$C451,MAC_DSUITE!A:D,3,FALSE),"-")</f>
        <v>-</v>
      </c>
      <c r="AT451" t="str">
        <f>_xlfn.IFNA(VLOOKUP(Sheet1!$C451,MONG_DSUITE!A:E,2,FALSE),"-")</f>
        <v>xxx</v>
      </c>
      <c r="AU451" t="str">
        <f>_xlfn.IFNA(VLOOKUP(Sheet1!$C451,MAC_PAINT2!A:D,4,FALSE),"-")</f>
        <v>-</v>
      </c>
    </row>
    <row r="452" spans="1:49" customFormat="1" x14ac:dyDescent="0.4">
      <c r="A452">
        <v>3903</v>
      </c>
      <c r="B452" t="s">
        <v>78</v>
      </c>
      <c r="C452" t="s">
        <v>79</v>
      </c>
      <c r="D452" t="str">
        <f>_xlfn.CONCAT(C452,".bam")</f>
        <v>SYST-MOR-0007140.bam</v>
      </c>
      <c r="E452" t="s">
        <v>80</v>
      </c>
      <c r="F452" t="s">
        <v>2405</v>
      </c>
      <c r="G452" t="s">
        <v>2401</v>
      </c>
      <c r="H452" t="s">
        <v>2488</v>
      </c>
      <c r="I452" t="s">
        <v>39</v>
      </c>
      <c r="K452" t="s">
        <v>64</v>
      </c>
      <c r="L452" t="s">
        <v>64</v>
      </c>
      <c r="N452" t="s">
        <v>64</v>
      </c>
      <c r="P452" t="s">
        <v>31</v>
      </c>
      <c r="Q452" t="s">
        <v>65</v>
      </c>
      <c r="R452" t="s">
        <v>2599</v>
      </c>
      <c r="S452" s="1">
        <v>44803</v>
      </c>
      <c r="T452" t="s">
        <v>33</v>
      </c>
      <c r="U452" t="s">
        <v>34</v>
      </c>
      <c r="V452" s="1">
        <v>44810</v>
      </c>
      <c r="W452" t="s">
        <v>35</v>
      </c>
      <c r="X452" t="s">
        <v>36</v>
      </c>
      <c r="Y452" t="s">
        <v>37</v>
      </c>
      <c r="Z452" t="s">
        <v>38</v>
      </c>
      <c r="AA452" t="s">
        <v>39</v>
      </c>
      <c r="AD452" t="s">
        <v>64</v>
      </c>
      <c r="AE452">
        <v>34.803472999999997</v>
      </c>
      <c r="AF452">
        <v>-92.329470999999998</v>
      </c>
      <c r="AG452" t="s">
        <v>40</v>
      </c>
      <c r="AH452" t="s">
        <v>41</v>
      </c>
      <c r="AI452">
        <v>34.803410726599999</v>
      </c>
      <c r="AJ452">
        <v>-92.329332735500003</v>
      </c>
      <c r="AK452">
        <v>-6.2273399997536671E-5</v>
      </c>
      <c r="AL452">
        <v>1.3826449999498891E-4</v>
      </c>
      <c r="AM452" t="str">
        <f>_xlfn.IFNA(VLOOKUP(Sheet1!$C452,ADMIX_ALL!A:B,2,FALSE),"none")</f>
        <v>K6-18</v>
      </c>
      <c r="AN452" t="str">
        <f>_xlfn.IFNA(VLOOKUP(Sheet1!C452,ADMIX_SS!A:B,2,FALSE),"none")</f>
        <v>SubSample</v>
      </c>
      <c r="AO452" t="str">
        <f>_xlfn.IFNA(VLOOKUP(Sheet1!$C452,MONG_PHYLO!A:C,3,FALSE),"-")</f>
        <v>-</v>
      </c>
      <c r="AP452" t="str">
        <f>_xlfn.IFNA(VLOOKUP(Sheet1!$C452,MAC_PHYLO!A:C,3,FALSE),"-")</f>
        <v>-</v>
      </c>
      <c r="AQ452" t="str">
        <f>_xlfn.IFNA(VLOOKUP(Sheet1!$C452,ConStruct!A:C,3,FALSE),"-")</f>
        <v>-</v>
      </c>
      <c r="AR452" t="str">
        <f>_xlfn.IFNA(VLOOKUP(Sheet1!$C452,GEA!A:C,3,FALSE),"-")</f>
        <v>-</v>
      </c>
      <c r="AS452" t="str">
        <f>_xlfn.IFNA(VLOOKUP(Sheet1!$C452,MAC_DSUITE!A:D,3,FALSE),"-")</f>
        <v>-</v>
      </c>
      <c r="AT452" t="str">
        <f>_xlfn.IFNA(VLOOKUP(Sheet1!$C452,MONG_DSUITE!A:E,2,FALSE),"-")</f>
        <v>xxx</v>
      </c>
      <c r="AU452" t="str">
        <f>_xlfn.IFNA(VLOOKUP(Sheet1!$C452,MAC_PAINT2!A:D,4,FALSE),"-")</f>
        <v>-</v>
      </c>
    </row>
    <row r="453" spans="1:49" customFormat="1" x14ac:dyDescent="0.4">
      <c r="A453">
        <v>3904</v>
      </c>
      <c r="B453" t="s">
        <v>81</v>
      </c>
      <c r="C453" t="s">
        <v>82</v>
      </c>
      <c r="D453" t="str">
        <f>_xlfn.CONCAT(C453,".bam")</f>
        <v>SYST-MOR-0007141.bam</v>
      </c>
      <c r="E453" t="s">
        <v>83</v>
      </c>
      <c r="F453" t="s">
        <v>2405</v>
      </c>
      <c r="G453" t="s">
        <v>2401</v>
      </c>
      <c r="H453" t="s">
        <v>2488</v>
      </c>
      <c r="I453" t="s">
        <v>39</v>
      </c>
      <c r="K453" t="s">
        <v>84</v>
      </c>
      <c r="L453" t="s">
        <v>84</v>
      </c>
      <c r="N453" t="s">
        <v>84</v>
      </c>
      <c r="P453" t="s">
        <v>31</v>
      </c>
      <c r="Q453" t="s">
        <v>85</v>
      </c>
      <c r="R453" t="s">
        <v>2600</v>
      </c>
      <c r="S453" s="1">
        <v>44803</v>
      </c>
      <c r="T453" t="s">
        <v>33</v>
      </c>
      <c r="U453" t="s">
        <v>34</v>
      </c>
      <c r="V453" s="1">
        <v>44810</v>
      </c>
      <c r="W453" t="s">
        <v>35</v>
      </c>
      <c r="X453" t="s">
        <v>36</v>
      </c>
      <c r="Y453" t="s">
        <v>37</v>
      </c>
      <c r="Z453" t="s">
        <v>38</v>
      </c>
      <c r="AA453" t="s">
        <v>39</v>
      </c>
      <c r="AD453" t="s">
        <v>84</v>
      </c>
      <c r="AE453">
        <v>34.801994999999998</v>
      </c>
      <c r="AF453">
        <v>-92.328254999999999</v>
      </c>
      <c r="AG453" t="s">
        <v>40</v>
      </c>
      <c r="AH453" t="s">
        <v>41</v>
      </c>
      <c r="AI453">
        <v>34.801959274399998</v>
      </c>
      <c r="AJ453">
        <v>-92.328046867699996</v>
      </c>
      <c r="AK453">
        <v>-3.5725600000091617E-5</v>
      </c>
      <c r="AL453">
        <v>2.0813230000271687E-4</v>
      </c>
      <c r="AM453" t="str">
        <f>_xlfn.IFNA(VLOOKUP(Sheet1!$C453,ADMIX_ALL!A:B,2,FALSE),"none")</f>
        <v>K6-18</v>
      </c>
      <c r="AN453" t="str">
        <f>_xlfn.IFNA(VLOOKUP(Sheet1!C453,ADMIX_SS!A:B,2,FALSE),"none")</f>
        <v>SubSample</v>
      </c>
      <c r="AO453" t="str">
        <f>_xlfn.IFNA(VLOOKUP(Sheet1!$C453,MONG_PHYLO!A:C,3,FALSE),"-")</f>
        <v>-</v>
      </c>
      <c r="AP453" t="str">
        <f>_xlfn.IFNA(VLOOKUP(Sheet1!$C453,MAC_PHYLO!A:C,3,FALSE),"-")</f>
        <v>-</v>
      </c>
      <c r="AQ453" t="str">
        <f>_xlfn.IFNA(VLOOKUP(Sheet1!$C453,ConStruct!A:C,3,FALSE),"-")</f>
        <v>-</v>
      </c>
      <c r="AR453" t="str">
        <f>_xlfn.IFNA(VLOOKUP(Sheet1!$C453,GEA!A:C,3,FALSE),"-")</f>
        <v>-</v>
      </c>
      <c r="AS453" t="str">
        <f>_xlfn.IFNA(VLOOKUP(Sheet1!$C453,MAC_DSUITE!A:D,3,FALSE),"-")</f>
        <v>-</v>
      </c>
      <c r="AT453" t="str">
        <f>_xlfn.IFNA(VLOOKUP(Sheet1!$C453,MONG_DSUITE!A:E,2,FALSE),"-")</f>
        <v>xxx</v>
      </c>
      <c r="AU453" t="str">
        <f>_xlfn.IFNA(VLOOKUP(Sheet1!$C453,MAC_PAINT2!A:D,4,FALSE),"-")</f>
        <v>-</v>
      </c>
    </row>
    <row r="454" spans="1:49" customFormat="1" x14ac:dyDescent="0.4">
      <c r="A454">
        <v>3905</v>
      </c>
      <c r="B454" t="s">
        <v>86</v>
      </c>
      <c r="C454" t="s">
        <v>87</v>
      </c>
      <c r="D454" t="str">
        <f>_xlfn.CONCAT(C454,".bam")</f>
        <v>SYST-MOR-0007142.bam</v>
      </c>
      <c r="E454" t="s">
        <v>88</v>
      </c>
      <c r="F454" t="s">
        <v>2405</v>
      </c>
      <c r="G454" t="s">
        <v>2401</v>
      </c>
      <c r="H454" t="s">
        <v>2488</v>
      </c>
      <c r="I454" t="s">
        <v>39</v>
      </c>
      <c r="K454" t="s">
        <v>84</v>
      </c>
      <c r="L454" t="s">
        <v>84</v>
      </c>
      <c r="N454" t="s">
        <v>84</v>
      </c>
      <c r="P454" t="s">
        <v>31</v>
      </c>
      <c r="Q454" t="s">
        <v>85</v>
      </c>
      <c r="R454" t="s">
        <v>2600</v>
      </c>
      <c r="S454" s="1">
        <v>44803</v>
      </c>
      <c r="T454" t="s">
        <v>33</v>
      </c>
      <c r="U454" t="s">
        <v>34</v>
      </c>
      <c r="V454" s="1">
        <v>44810</v>
      </c>
      <c r="W454" t="s">
        <v>35</v>
      </c>
      <c r="X454" t="s">
        <v>36</v>
      </c>
      <c r="Y454" t="s">
        <v>37</v>
      </c>
      <c r="Z454" t="s">
        <v>38</v>
      </c>
      <c r="AA454" t="s">
        <v>39</v>
      </c>
      <c r="AD454" t="s">
        <v>84</v>
      </c>
      <c r="AE454">
        <v>34.801788999999999</v>
      </c>
      <c r="AF454">
        <v>-92.328063</v>
      </c>
      <c r="AG454" t="s">
        <v>40</v>
      </c>
      <c r="AH454" t="s">
        <v>41</v>
      </c>
      <c r="AI454">
        <v>34.801642731800001</v>
      </c>
      <c r="AJ454">
        <v>-92.328373510500001</v>
      </c>
      <c r="AK454">
        <v>-1.4626819999818963E-4</v>
      </c>
      <c r="AL454">
        <v>-3.10510500000305E-4</v>
      </c>
      <c r="AM454" t="str">
        <f>_xlfn.IFNA(VLOOKUP(Sheet1!$C454,ADMIX_ALL!A:B,2,FALSE),"none")</f>
        <v>K6-18</v>
      </c>
      <c r="AN454" t="str">
        <f>_xlfn.IFNA(VLOOKUP(Sheet1!C454,ADMIX_SS!A:B,2,FALSE),"none")</f>
        <v>SubSample</v>
      </c>
      <c r="AO454" t="str">
        <f>_xlfn.IFNA(VLOOKUP(Sheet1!$C454,MONG_PHYLO!A:C,3,FALSE),"-")</f>
        <v>-</v>
      </c>
      <c r="AP454" t="str">
        <f>_xlfn.IFNA(VLOOKUP(Sheet1!$C454,MAC_PHYLO!A:C,3,FALSE),"-")</f>
        <v>-</v>
      </c>
      <c r="AQ454" t="str">
        <f>_xlfn.IFNA(VLOOKUP(Sheet1!$C454,ConStruct!A:C,3,FALSE),"-")</f>
        <v>-</v>
      </c>
      <c r="AR454" t="str">
        <f>_xlfn.IFNA(VLOOKUP(Sheet1!$C454,GEA!A:C,3,FALSE),"-")</f>
        <v>-</v>
      </c>
      <c r="AS454" t="str">
        <f>_xlfn.IFNA(VLOOKUP(Sheet1!$C454,MAC_DSUITE!A:D,3,FALSE),"-")</f>
        <v>-</v>
      </c>
      <c r="AT454" t="str">
        <f>_xlfn.IFNA(VLOOKUP(Sheet1!$C454,MONG_DSUITE!A:E,2,FALSE),"-")</f>
        <v>xxx</v>
      </c>
      <c r="AU454" t="str">
        <f>_xlfn.IFNA(VLOOKUP(Sheet1!$C454,MAC_PAINT2!A:D,4,FALSE),"-")</f>
        <v>-</v>
      </c>
    </row>
    <row r="455" spans="1:49" customFormat="1" x14ac:dyDescent="0.4">
      <c r="A455">
        <v>3906</v>
      </c>
      <c r="B455" t="s">
        <v>89</v>
      </c>
      <c r="C455" t="s">
        <v>90</v>
      </c>
      <c r="D455" t="str">
        <f>_xlfn.CONCAT(C455,".bam")</f>
        <v>SYST-MOR-0007143.bam</v>
      </c>
      <c r="E455" t="s">
        <v>91</v>
      </c>
      <c r="F455" t="s">
        <v>2405</v>
      </c>
      <c r="G455" t="s">
        <v>2401</v>
      </c>
      <c r="H455" t="s">
        <v>2488</v>
      </c>
      <c r="I455" t="s">
        <v>39</v>
      </c>
      <c r="K455" t="s">
        <v>45</v>
      </c>
      <c r="L455" t="s">
        <v>45</v>
      </c>
      <c r="N455" t="s">
        <v>45</v>
      </c>
      <c r="P455" t="s">
        <v>31</v>
      </c>
      <c r="Q455" t="s">
        <v>46</v>
      </c>
      <c r="R455" t="s">
        <v>2597</v>
      </c>
      <c r="S455" s="1">
        <v>44803</v>
      </c>
      <c r="T455" t="s">
        <v>33</v>
      </c>
      <c r="U455" t="s">
        <v>34</v>
      </c>
      <c r="V455" s="1">
        <v>44810</v>
      </c>
      <c r="W455" t="s">
        <v>35</v>
      </c>
      <c r="X455" t="s">
        <v>36</v>
      </c>
      <c r="Y455" t="s">
        <v>37</v>
      </c>
      <c r="Z455" t="s">
        <v>38</v>
      </c>
      <c r="AA455" t="s">
        <v>39</v>
      </c>
      <c r="AD455" t="s">
        <v>45</v>
      </c>
      <c r="AE455">
        <v>34.802582000000001</v>
      </c>
      <c r="AF455">
        <v>-92.327239000000006</v>
      </c>
      <c r="AG455" t="s">
        <v>40</v>
      </c>
      <c r="AH455" t="s">
        <v>41</v>
      </c>
      <c r="AI455">
        <v>34.802384697900003</v>
      </c>
      <c r="AJ455">
        <v>-92.327424846699998</v>
      </c>
      <c r="AK455">
        <v>-1.9730209999835324E-4</v>
      </c>
      <c r="AL455">
        <v>-1.8584669999199832E-4</v>
      </c>
      <c r="AM455" t="str">
        <f>_xlfn.IFNA(VLOOKUP(Sheet1!$C455,ADMIX_ALL!A:B,2,FALSE),"none")</f>
        <v>K6-18</v>
      </c>
      <c r="AN455" t="str">
        <f>_xlfn.IFNA(VLOOKUP(Sheet1!C455,ADMIX_SS!A:B,2,FALSE),"none")</f>
        <v>SubSample</v>
      </c>
      <c r="AO455" t="str">
        <f>_xlfn.IFNA(VLOOKUP(Sheet1!$C455,MONG_PHYLO!A:C,3,FALSE),"-")</f>
        <v>-</v>
      </c>
      <c r="AP455" t="str">
        <f>_xlfn.IFNA(VLOOKUP(Sheet1!$C455,MAC_PHYLO!A:C,3,FALSE),"-")</f>
        <v>-</v>
      </c>
      <c r="AQ455" t="str">
        <f>_xlfn.IFNA(VLOOKUP(Sheet1!$C455,ConStruct!A:C,3,FALSE),"-")</f>
        <v>ConStruct</v>
      </c>
      <c r="AR455" t="str">
        <f>_xlfn.IFNA(VLOOKUP(Sheet1!$C455,GEA!A:C,3,FALSE),"-")</f>
        <v>GEA</v>
      </c>
      <c r="AS455" t="str">
        <f>_xlfn.IFNA(VLOOKUP(Sheet1!$C455,MAC_DSUITE!A:D,3,FALSE),"-")</f>
        <v>mac_AR_BRP</v>
      </c>
      <c r="AT455" t="str">
        <f>_xlfn.IFNA(VLOOKUP(Sheet1!$C455,MONG_DSUITE!A:E,2,FALSE),"-")</f>
        <v>macrocarpa_BRP</v>
      </c>
      <c r="AU455" t="str">
        <f>_xlfn.IFNA(VLOOKUP(Sheet1!$C455,MAC_PAINT2!A:D,4,FALSE),"-")</f>
        <v>macpaint</v>
      </c>
      <c r="AV455" t="s">
        <v>9193</v>
      </c>
      <c r="AW455" t="s">
        <v>9193</v>
      </c>
    </row>
    <row r="456" spans="1:49" customFormat="1" x14ac:dyDescent="0.4">
      <c r="A456">
        <v>3907</v>
      </c>
      <c r="B456" t="s">
        <v>92</v>
      </c>
      <c r="C456" t="s">
        <v>93</v>
      </c>
      <c r="D456" t="str">
        <f>_xlfn.CONCAT(C456,".bam")</f>
        <v>SYST-MOR-0007144.bam</v>
      </c>
      <c r="E456" t="s">
        <v>94</v>
      </c>
      <c r="F456" t="s">
        <v>2405</v>
      </c>
      <c r="G456" t="s">
        <v>2401</v>
      </c>
      <c r="H456" t="s">
        <v>2488</v>
      </c>
      <c r="I456" t="s">
        <v>39</v>
      </c>
      <c r="K456" t="s">
        <v>64</v>
      </c>
      <c r="L456" t="s">
        <v>64</v>
      </c>
      <c r="N456" t="s">
        <v>64</v>
      </c>
      <c r="P456" t="s">
        <v>31</v>
      </c>
      <c r="Q456" t="s">
        <v>65</v>
      </c>
      <c r="R456" t="s">
        <v>2599</v>
      </c>
      <c r="S456" s="1">
        <v>44803</v>
      </c>
      <c r="T456" t="s">
        <v>33</v>
      </c>
      <c r="U456" t="s">
        <v>34</v>
      </c>
      <c r="V456" s="1">
        <v>44810</v>
      </c>
      <c r="W456" t="s">
        <v>35</v>
      </c>
      <c r="X456" t="s">
        <v>36</v>
      </c>
      <c r="Y456" t="s">
        <v>37</v>
      </c>
      <c r="Z456" t="s">
        <v>38</v>
      </c>
      <c r="AA456" t="s">
        <v>39</v>
      </c>
      <c r="AD456" t="s">
        <v>64</v>
      </c>
      <c r="AE456">
        <v>34.803696000000002</v>
      </c>
      <c r="AF456">
        <v>-92.327312000000006</v>
      </c>
      <c r="AG456" t="s">
        <v>40</v>
      </c>
      <c r="AH456" t="s">
        <v>41</v>
      </c>
      <c r="AI456">
        <v>34.803642737700002</v>
      </c>
      <c r="AJ456">
        <v>-92.327434905000004</v>
      </c>
      <c r="AK456">
        <v>-5.3262299999801144E-5</v>
      </c>
      <c r="AL456">
        <v>-1.2290499999778604E-4</v>
      </c>
      <c r="AM456" t="str">
        <f>_xlfn.IFNA(VLOOKUP(Sheet1!$C456,ADMIX_ALL!A:B,2,FALSE),"none")</f>
        <v>K6-18</v>
      </c>
      <c r="AN456" t="str">
        <f>_xlfn.IFNA(VLOOKUP(Sheet1!C456,ADMIX_SS!A:B,2,FALSE),"none")</f>
        <v>SubSample</v>
      </c>
      <c r="AO456" t="str">
        <f>_xlfn.IFNA(VLOOKUP(Sheet1!$C456,MONG_PHYLO!A:C,3,FALSE),"-")</f>
        <v>-</v>
      </c>
      <c r="AP456" t="str">
        <f>_xlfn.IFNA(VLOOKUP(Sheet1!$C456,MAC_PHYLO!A:C,3,FALSE),"-")</f>
        <v>-</v>
      </c>
      <c r="AQ456" t="str">
        <f>_xlfn.IFNA(VLOOKUP(Sheet1!$C456,ConStruct!A:C,3,FALSE),"-")</f>
        <v>-</v>
      </c>
      <c r="AR456" t="str">
        <f>_xlfn.IFNA(VLOOKUP(Sheet1!$C456,GEA!A:C,3,FALSE),"-")</f>
        <v>-</v>
      </c>
      <c r="AS456" t="str">
        <f>_xlfn.IFNA(VLOOKUP(Sheet1!$C456,MAC_DSUITE!A:D,3,FALSE),"-")</f>
        <v>-</v>
      </c>
      <c r="AT456" t="str">
        <f>_xlfn.IFNA(VLOOKUP(Sheet1!$C456,MONG_DSUITE!A:E,2,FALSE),"-")</f>
        <v>xxx</v>
      </c>
      <c r="AU456" t="str">
        <f>_xlfn.IFNA(VLOOKUP(Sheet1!$C456,MAC_PAINT2!A:D,4,FALSE),"-")</f>
        <v>-</v>
      </c>
    </row>
    <row r="457" spans="1:49" customFormat="1" x14ac:dyDescent="0.4">
      <c r="A457">
        <v>3908</v>
      </c>
      <c r="B457" t="s">
        <v>95</v>
      </c>
      <c r="C457" t="s">
        <v>96</v>
      </c>
      <c r="D457" t="str">
        <f>_xlfn.CONCAT(C457,".bam")</f>
        <v>SYST-MOR-0007145.bam</v>
      </c>
      <c r="E457" t="s">
        <v>97</v>
      </c>
      <c r="F457" t="s">
        <v>2405</v>
      </c>
      <c r="G457" t="s">
        <v>2401</v>
      </c>
      <c r="H457" t="s">
        <v>2488</v>
      </c>
      <c r="I457" t="s">
        <v>39</v>
      </c>
      <c r="K457" t="s">
        <v>50</v>
      </c>
      <c r="L457" t="s">
        <v>50</v>
      </c>
      <c r="N457" t="s">
        <v>50</v>
      </c>
      <c r="P457" t="s">
        <v>31</v>
      </c>
      <c r="Q457" t="s">
        <v>51</v>
      </c>
      <c r="R457" t="s">
        <v>2598</v>
      </c>
      <c r="S457" s="1">
        <v>44803</v>
      </c>
      <c r="T457" t="s">
        <v>33</v>
      </c>
      <c r="U457" t="s">
        <v>34</v>
      </c>
      <c r="V457" s="1">
        <v>44810</v>
      </c>
      <c r="W457" t="s">
        <v>35</v>
      </c>
      <c r="X457" t="s">
        <v>36</v>
      </c>
      <c r="Y457" t="s">
        <v>37</v>
      </c>
      <c r="Z457" t="s">
        <v>38</v>
      </c>
      <c r="AA457" t="s">
        <v>39</v>
      </c>
      <c r="AD457" t="s">
        <v>50</v>
      </c>
      <c r="AE457">
        <v>34.805413999999999</v>
      </c>
      <c r="AF457">
        <v>-92.324095999999997</v>
      </c>
      <c r="AG457" t="s">
        <v>40</v>
      </c>
      <c r="AH457" t="s">
        <v>41</v>
      </c>
      <c r="AI457">
        <v>34.805386592700003</v>
      </c>
      <c r="AJ457">
        <v>-92.324116006599994</v>
      </c>
      <c r="AK457">
        <v>-2.7407299995729772E-5</v>
      </c>
      <c r="AL457">
        <v>-2.0006599996236218E-5</v>
      </c>
      <c r="AM457" t="str">
        <f>_xlfn.IFNA(VLOOKUP(Sheet1!$C457,ADMIX_ALL!A:B,2,FALSE),"none")</f>
        <v>K6-18</v>
      </c>
      <c r="AN457" t="str">
        <f>_xlfn.IFNA(VLOOKUP(Sheet1!C457,ADMIX_SS!A:B,2,FALSE),"none")</f>
        <v>SubSample</v>
      </c>
      <c r="AO457" t="str">
        <f>_xlfn.IFNA(VLOOKUP(Sheet1!$C457,MONG_PHYLO!A:C,3,FALSE),"-")</f>
        <v>-</v>
      </c>
      <c r="AP457" t="str">
        <f>_xlfn.IFNA(VLOOKUP(Sheet1!$C457,MAC_PHYLO!A:C,3,FALSE),"-")</f>
        <v>-</v>
      </c>
      <c r="AQ457" t="str">
        <f>_xlfn.IFNA(VLOOKUP(Sheet1!$C457,ConStruct!A:C,3,FALSE),"-")</f>
        <v>-</v>
      </c>
      <c r="AR457" t="str">
        <f>_xlfn.IFNA(VLOOKUP(Sheet1!$C457,GEA!A:C,3,FALSE),"-")</f>
        <v>-</v>
      </c>
      <c r="AS457" t="str">
        <f>_xlfn.IFNA(VLOOKUP(Sheet1!$C457,MAC_DSUITE!A:D,3,FALSE),"-")</f>
        <v>-</v>
      </c>
      <c r="AT457" t="str">
        <f>_xlfn.IFNA(VLOOKUP(Sheet1!$C457,MONG_DSUITE!A:E,2,FALSE),"-")</f>
        <v>xxx</v>
      </c>
      <c r="AU457" t="str">
        <f>_xlfn.IFNA(VLOOKUP(Sheet1!$C457,MAC_PAINT2!A:D,4,FALSE),"-")</f>
        <v>-</v>
      </c>
    </row>
    <row r="458" spans="1:49" s="16" customFormat="1" x14ac:dyDescent="0.4">
      <c r="A458" s="16">
        <v>3909</v>
      </c>
      <c r="B458" s="16" t="s">
        <v>98</v>
      </c>
      <c r="C458" s="16" t="s">
        <v>99</v>
      </c>
      <c r="D458" s="16" t="str">
        <f>_xlfn.CONCAT(C458,".bam")</f>
        <v>SYST-MOR-0007146.bam</v>
      </c>
      <c r="E458" s="16" t="s">
        <v>100</v>
      </c>
      <c r="F458" s="16" t="s">
        <v>2405</v>
      </c>
      <c r="G458" s="16" t="s">
        <v>2401</v>
      </c>
      <c r="H458" s="16" t="s">
        <v>2488</v>
      </c>
      <c r="I458" s="16" t="s">
        <v>39</v>
      </c>
      <c r="K458" s="16" t="s">
        <v>45</v>
      </c>
      <c r="L458" s="16" t="s">
        <v>45</v>
      </c>
      <c r="N458" s="16" t="s">
        <v>45</v>
      </c>
      <c r="P458" s="16" t="s">
        <v>31</v>
      </c>
      <c r="Q458" s="16" t="s">
        <v>46</v>
      </c>
      <c r="R458" s="16" t="s">
        <v>2597</v>
      </c>
      <c r="S458" s="17">
        <v>44803</v>
      </c>
      <c r="T458" s="16" t="s">
        <v>33</v>
      </c>
      <c r="U458" s="16" t="s">
        <v>34</v>
      </c>
      <c r="V458" s="17">
        <v>44810</v>
      </c>
      <c r="W458" s="16" t="s">
        <v>35</v>
      </c>
      <c r="X458" s="16" t="s">
        <v>36</v>
      </c>
      <c r="Y458" s="16" t="s">
        <v>37</v>
      </c>
      <c r="Z458" s="16" t="s">
        <v>38</v>
      </c>
      <c r="AA458" s="16" t="s">
        <v>39</v>
      </c>
      <c r="AD458" s="16" t="s">
        <v>45</v>
      </c>
      <c r="AE458" s="16">
        <v>34.806089999999998</v>
      </c>
      <c r="AF458" s="16">
        <v>-92.323036000000002</v>
      </c>
      <c r="AG458" s="16" t="s">
        <v>40</v>
      </c>
      <c r="AH458" s="16" t="s">
        <v>41</v>
      </c>
      <c r="AI458" s="16">
        <v>34.806193057500003</v>
      </c>
      <c r="AJ458" s="16">
        <v>-92.323084194299994</v>
      </c>
      <c r="AK458" s="16">
        <v>1.0305750000583203E-4</v>
      </c>
      <c r="AL458" s="16">
        <v>-4.819429999258773E-5</v>
      </c>
      <c r="AM458" s="16" t="str">
        <f>_xlfn.IFNA(VLOOKUP(Sheet1!$C458,ADMIX_ALL!A:B,2,FALSE),"none")</f>
        <v>K6-18</v>
      </c>
      <c r="AN458" s="16" t="str">
        <f>_xlfn.IFNA(VLOOKUP(Sheet1!C458,ADMIX_SS!A:B,2,FALSE),"none")</f>
        <v>SubSample</v>
      </c>
      <c r="AO458" s="16" t="str">
        <f>_xlfn.IFNA(VLOOKUP(Sheet1!$C458,MONG_PHYLO!A:C,3,FALSE),"-")</f>
        <v>-</v>
      </c>
      <c r="AP458" s="16" t="str">
        <f>_xlfn.IFNA(VLOOKUP(Sheet1!$C458,MAC_PHYLO!A:C,3,FALSE),"-")</f>
        <v>-</v>
      </c>
      <c r="AQ458" s="16" t="str">
        <f>_xlfn.IFNA(VLOOKUP(Sheet1!$C458,ConStruct!A:C,3,FALSE),"-")</f>
        <v>ConStruct</v>
      </c>
      <c r="AR458" s="16" t="str">
        <f>_xlfn.IFNA(VLOOKUP(Sheet1!$C458,GEA!A:C,3,FALSE),"-")</f>
        <v>GEA</v>
      </c>
      <c r="AS458" s="16" t="str">
        <f>_xlfn.IFNA(VLOOKUP(Sheet1!$C458,MAC_DSUITE!A:D,3,FALSE),"-")</f>
        <v>mac_AR_BRP</v>
      </c>
      <c r="AT458" s="16" t="str">
        <f>_xlfn.IFNA(VLOOKUP(Sheet1!$C458,MONG_DSUITE!A:E,2,FALSE),"-")</f>
        <v>macrocarpa_BRP</v>
      </c>
      <c r="AU458" s="16" t="str">
        <f>_xlfn.IFNA(VLOOKUP(Sheet1!$C458,MAC_PAINT2!A:D,4,FALSE),"-")</f>
        <v>-</v>
      </c>
      <c r="AV458" s="16" t="s">
        <v>9195</v>
      </c>
      <c r="AW458" s="16" t="s">
        <v>9193</v>
      </c>
    </row>
    <row r="459" spans="1:49" customFormat="1" x14ac:dyDescent="0.4">
      <c r="A459">
        <v>3910</v>
      </c>
      <c r="B459" t="s">
        <v>101</v>
      </c>
      <c r="C459" t="s">
        <v>102</v>
      </c>
      <c r="D459" t="str">
        <f>_xlfn.CONCAT(C459,".bam")</f>
        <v>SYST-MOR-0007147.bam</v>
      </c>
      <c r="E459" t="s">
        <v>103</v>
      </c>
      <c r="F459" t="s">
        <v>2405</v>
      </c>
      <c r="G459" t="s">
        <v>2401</v>
      </c>
      <c r="H459" t="s">
        <v>2488</v>
      </c>
      <c r="I459" t="s">
        <v>39</v>
      </c>
      <c r="K459" t="s">
        <v>30</v>
      </c>
      <c r="L459" t="s">
        <v>30</v>
      </c>
      <c r="N459" t="s">
        <v>30</v>
      </c>
      <c r="P459" t="s">
        <v>31</v>
      </c>
      <c r="Q459" t="s">
        <v>32</v>
      </c>
      <c r="R459" t="s">
        <v>2596</v>
      </c>
      <c r="S459" s="1">
        <v>44803</v>
      </c>
      <c r="T459" t="s">
        <v>33</v>
      </c>
      <c r="U459" t="s">
        <v>34</v>
      </c>
      <c r="V459" s="1">
        <v>44810</v>
      </c>
      <c r="W459" t="s">
        <v>35</v>
      </c>
      <c r="X459" t="s">
        <v>36</v>
      </c>
      <c r="Y459" t="s">
        <v>37</v>
      </c>
      <c r="Z459" t="s">
        <v>38</v>
      </c>
      <c r="AA459" t="s">
        <v>39</v>
      </c>
      <c r="AD459" t="s">
        <v>30</v>
      </c>
      <c r="AE459">
        <v>34.806755000000003</v>
      </c>
      <c r="AF459">
        <v>-92.322327999999999</v>
      </c>
      <c r="AG459" t="s">
        <v>40</v>
      </c>
      <c r="AH459" t="s">
        <v>41</v>
      </c>
      <c r="AI459">
        <v>34.806822370799999</v>
      </c>
      <c r="AJ459">
        <v>-92.322251368400003</v>
      </c>
      <c r="AK459">
        <v>6.7370799996524511E-5</v>
      </c>
      <c r="AL459">
        <v>7.6631599995380384E-5</v>
      </c>
      <c r="AM459" t="str">
        <f>_xlfn.IFNA(VLOOKUP(Sheet1!$C459,ADMIX_ALL!A:B,2,FALSE),"none")</f>
        <v>K6-18</v>
      </c>
      <c r="AN459" t="str">
        <f>_xlfn.IFNA(VLOOKUP(Sheet1!C459,ADMIX_SS!A:B,2,FALSE),"none")</f>
        <v>SubSample</v>
      </c>
      <c r="AO459" t="str">
        <f>_xlfn.IFNA(VLOOKUP(Sheet1!$C459,MONG_PHYLO!A:C,3,FALSE),"-")</f>
        <v>-</v>
      </c>
      <c r="AP459" t="str">
        <f>_xlfn.IFNA(VLOOKUP(Sheet1!$C459,MAC_PHYLO!A:C,3,FALSE),"-")</f>
        <v>lyr</v>
      </c>
      <c r="AQ459" t="str">
        <f>_xlfn.IFNA(VLOOKUP(Sheet1!$C459,ConStruct!A:C,3,FALSE),"-")</f>
        <v>-</v>
      </c>
      <c r="AR459" t="str">
        <f>_xlfn.IFNA(VLOOKUP(Sheet1!$C459,GEA!A:C,3,FALSE),"-")</f>
        <v>-</v>
      </c>
      <c r="AS459" t="str">
        <f>_xlfn.IFNA(VLOOKUP(Sheet1!$C459,MAC_DSUITE!A:D,3,FALSE),"-")</f>
        <v>lyr</v>
      </c>
      <c r="AT459" t="str">
        <f>_xlfn.IFNA(VLOOKUP(Sheet1!$C459,MONG_DSUITE!A:E,2,FALSE),"-")</f>
        <v>xxx</v>
      </c>
      <c r="AU459" t="str">
        <f>_xlfn.IFNA(VLOOKUP(Sheet1!$C459,MAC_PAINT2!A:D,4,FALSE),"-")</f>
        <v>lyr-macpaint</v>
      </c>
    </row>
    <row r="460" spans="1:49" customFormat="1" x14ac:dyDescent="0.4">
      <c r="A460">
        <v>3911</v>
      </c>
      <c r="B460" t="s">
        <v>104</v>
      </c>
      <c r="C460" t="s">
        <v>105</v>
      </c>
      <c r="D460" t="str">
        <f>_xlfn.CONCAT(C460,".bam")</f>
        <v>SYST-MOR-0007148.bam</v>
      </c>
      <c r="E460" t="s">
        <v>106</v>
      </c>
      <c r="F460" t="s">
        <v>2405</v>
      </c>
      <c r="G460" t="s">
        <v>2401</v>
      </c>
      <c r="H460" t="s">
        <v>2488</v>
      </c>
      <c r="I460" t="s">
        <v>39</v>
      </c>
      <c r="K460" t="s">
        <v>64</v>
      </c>
      <c r="L460" t="s">
        <v>64</v>
      </c>
      <c r="N460" t="s">
        <v>64</v>
      </c>
      <c r="P460" t="s">
        <v>31</v>
      </c>
      <c r="Q460" t="s">
        <v>65</v>
      </c>
      <c r="R460" t="s">
        <v>2599</v>
      </c>
      <c r="S460" s="1">
        <v>44803</v>
      </c>
      <c r="T460" t="s">
        <v>33</v>
      </c>
      <c r="U460" t="s">
        <v>34</v>
      </c>
      <c r="V460" s="1">
        <v>44810</v>
      </c>
      <c r="W460" t="s">
        <v>35</v>
      </c>
      <c r="X460" t="s">
        <v>36</v>
      </c>
      <c r="Y460" t="s">
        <v>37</v>
      </c>
      <c r="Z460" t="s">
        <v>38</v>
      </c>
      <c r="AA460" t="s">
        <v>39</v>
      </c>
      <c r="AD460" t="s">
        <v>64</v>
      </c>
      <c r="AE460">
        <v>34.808943999999997</v>
      </c>
      <c r="AF460">
        <v>-92.326110999999997</v>
      </c>
      <c r="AG460" t="s">
        <v>40</v>
      </c>
      <c r="AH460" t="s">
        <v>41</v>
      </c>
      <c r="AI460">
        <v>34.809351610100002</v>
      </c>
      <c r="AJ460">
        <v>-92.326314747400005</v>
      </c>
      <c r="AK460">
        <v>4.0761010000522901E-4</v>
      </c>
      <c r="AL460">
        <v>-2.0374740000761449E-4</v>
      </c>
      <c r="AM460" t="str">
        <f>_xlfn.IFNA(VLOOKUP(Sheet1!$C460,ADMIX_ALL!A:B,2,FALSE),"none")</f>
        <v>K6-18</v>
      </c>
      <c r="AN460" t="str">
        <f>_xlfn.IFNA(VLOOKUP(Sheet1!C460,ADMIX_SS!A:B,2,FALSE),"none")</f>
        <v>SubSample</v>
      </c>
      <c r="AO460" t="str">
        <f>_xlfn.IFNA(VLOOKUP(Sheet1!$C460,MONG_PHYLO!A:C,3,FALSE),"-")</f>
        <v>-</v>
      </c>
      <c r="AP460" t="str">
        <f>_xlfn.IFNA(VLOOKUP(Sheet1!$C460,MAC_PHYLO!A:C,3,FALSE),"-")</f>
        <v>-</v>
      </c>
      <c r="AQ460" t="str">
        <f>_xlfn.IFNA(VLOOKUP(Sheet1!$C460,ConStruct!A:C,3,FALSE),"-")</f>
        <v>-</v>
      </c>
      <c r="AR460" t="str">
        <f>_xlfn.IFNA(VLOOKUP(Sheet1!$C460,GEA!A:C,3,FALSE),"-")</f>
        <v>-</v>
      </c>
      <c r="AS460" t="str">
        <f>_xlfn.IFNA(VLOOKUP(Sheet1!$C460,MAC_DSUITE!A:D,3,FALSE),"-")</f>
        <v>-</v>
      </c>
      <c r="AT460" t="str">
        <f>_xlfn.IFNA(VLOOKUP(Sheet1!$C460,MONG_DSUITE!A:E,2,FALSE),"-")</f>
        <v>xxx</v>
      </c>
      <c r="AU460" t="str">
        <f>_xlfn.IFNA(VLOOKUP(Sheet1!$C460,MAC_PAINT2!A:D,4,FALSE),"-")</f>
        <v>-</v>
      </c>
    </row>
    <row r="461" spans="1:49" customFormat="1" x14ac:dyDescent="0.4">
      <c r="A461">
        <v>3912</v>
      </c>
      <c r="B461" t="s">
        <v>107</v>
      </c>
      <c r="C461" t="s">
        <v>108</v>
      </c>
      <c r="D461" t="str">
        <f>_xlfn.CONCAT(C461,".bam")</f>
        <v>SYST-MOR-0007149.bam</v>
      </c>
      <c r="E461" t="s">
        <v>109</v>
      </c>
      <c r="F461" t="s">
        <v>2405</v>
      </c>
      <c r="G461" t="s">
        <v>2401</v>
      </c>
      <c r="H461" t="s">
        <v>2488</v>
      </c>
      <c r="I461" t="s">
        <v>39</v>
      </c>
      <c r="K461" t="s">
        <v>64</v>
      </c>
      <c r="L461" t="s">
        <v>64</v>
      </c>
      <c r="N461" t="s">
        <v>64</v>
      </c>
      <c r="P461" t="s">
        <v>31</v>
      </c>
      <c r="Q461" t="s">
        <v>65</v>
      </c>
      <c r="R461" t="s">
        <v>2599</v>
      </c>
      <c r="S461" s="1">
        <v>44803</v>
      </c>
      <c r="T461" t="s">
        <v>33</v>
      </c>
      <c r="U461" t="s">
        <v>34</v>
      </c>
      <c r="V461" s="1">
        <v>44810</v>
      </c>
      <c r="W461" t="s">
        <v>35</v>
      </c>
      <c r="X461" t="s">
        <v>36</v>
      </c>
      <c r="Y461" t="s">
        <v>37</v>
      </c>
      <c r="Z461" t="s">
        <v>38</v>
      </c>
      <c r="AA461" t="s">
        <v>39</v>
      </c>
      <c r="AD461" t="s">
        <v>64</v>
      </c>
      <c r="AE461">
        <v>34.809268000000003</v>
      </c>
      <c r="AF461">
        <v>-92.327698999999996</v>
      </c>
      <c r="AG461" t="s">
        <v>40</v>
      </c>
      <c r="AH461" t="s">
        <v>41</v>
      </c>
      <c r="AI461">
        <v>34.809128623699998</v>
      </c>
      <c r="AJ461">
        <v>-92.327702455199997</v>
      </c>
      <c r="AK461">
        <v>-1.3937630000526724E-4</v>
      </c>
      <c r="AL461">
        <v>-3.4552000016674356E-6</v>
      </c>
      <c r="AM461" t="str">
        <f>_xlfn.IFNA(VLOOKUP(Sheet1!$C461,ADMIX_ALL!A:B,2,FALSE),"none")</f>
        <v>K6-18</v>
      </c>
      <c r="AN461" t="str">
        <f>_xlfn.IFNA(VLOOKUP(Sheet1!C461,ADMIX_SS!A:B,2,FALSE),"none")</f>
        <v>SubSample</v>
      </c>
      <c r="AO461" t="str">
        <f>_xlfn.IFNA(VLOOKUP(Sheet1!$C461,MONG_PHYLO!A:C,3,FALSE),"-")</f>
        <v>-</v>
      </c>
      <c r="AP461" t="str">
        <f>_xlfn.IFNA(VLOOKUP(Sheet1!$C461,MAC_PHYLO!A:C,3,FALSE),"-")</f>
        <v>-</v>
      </c>
      <c r="AQ461" t="str">
        <f>_xlfn.IFNA(VLOOKUP(Sheet1!$C461,ConStruct!A:C,3,FALSE),"-")</f>
        <v>-</v>
      </c>
      <c r="AR461" t="str">
        <f>_xlfn.IFNA(VLOOKUP(Sheet1!$C461,GEA!A:C,3,FALSE),"-")</f>
        <v>-</v>
      </c>
      <c r="AS461" t="str">
        <f>_xlfn.IFNA(VLOOKUP(Sheet1!$C461,MAC_DSUITE!A:D,3,FALSE),"-")</f>
        <v>-</v>
      </c>
      <c r="AT461" t="str">
        <f>_xlfn.IFNA(VLOOKUP(Sheet1!$C461,MONG_DSUITE!A:E,2,FALSE),"-")</f>
        <v>xxx</v>
      </c>
      <c r="AU461" t="str">
        <f>_xlfn.IFNA(VLOOKUP(Sheet1!$C461,MAC_PAINT2!A:D,4,FALSE),"-")</f>
        <v>-</v>
      </c>
    </row>
    <row r="462" spans="1:49" s="16" customFormat="1" x14ac:dyDescent="0.4">
      <c r="A462" s="16">
        <v>3913</v>
      </c>
      <c r="B462" s="16" t="s">
        <v>2166</v>
      </c>
      <c r="C462" s="16" t="s">
        <v>2167</v>
      </c>
      <c r="D462" s="16" t="str">
        <f>_xlfn.CONCAT(C462,".bam")</f>
        <v>SYST-MOR-0007150.bam</v>
      </c>
      <c r="E462" s="16" t="s">
        <v>2168</v>
      </c>
      <c r="F462" s="16" t="s">
        <v>2463</v>
      </c>
      <c r="G462" s="16" t="s">
        <v>2464</v>
      </c>
      <c r="H462" s="16" t="s">
        <v>2551</v>
      </c>
      <c r="I462" s="16" t="s">
        <v>2171</v>
      </c>
      <c r="K462" s="16" t="s">
        <v>45</v>
      </c>
      <c r="L462" s="16" t="s">
        <v>45</v>
      </c>
      <c r="N462" s="16" t="s">
        <v>45</v>
      </c>
      <c r="P462" s="16" t="s">
        <v>31</v>
      </c>
      <c r="Q462" s="16" t="s">
        <v>46</v>
      </c>
      <c r="R462" s="16" t="s">
        <v>2597</v>
      </c>
      <c r="S462" s="17">
        <v>44805</v>
      </c>
      <c r="T462" s="16" t="s">
        <v>33</v>
      </c>
      <c r="U462" s="16" t="s">
        <v>34</v>
      </c>
      <c r="V462" s="17">
        <v>44810</v>
      </c>
      <c r="W462" s="16" t="s">
        <v>35</v>
      </c>
      <c r="X462" s="16" t="s">
        <v>2169</v>
      </c>
      <c r="Y462" s="16" t="s">
        <v>2170</v>
      </c>
      <c r="Z462" s="16" t="s">
        <v>38</v>
      </c>
      <c r="AA462" s="16" t="s">
        <v>2171</v>
      </c>
      <c r="AD462" s="16" t="s">
        <v>45</v>
      </c>
      <c r="AE462" s="16">
        <v>29.37387</v>
      </c>
      <c r="AF462" s="16">
        <v>-95.580348999999998</v>
      </c>
      <c r="AG462" s="16" t="s">
        <v>40</v>
      </c>
      <c r="AH462" s="16" t="s">
        <v>41</v>
      </c>
      <c r="AI462" s="16">
        <v>29.3738397863</v>
      </c>
      <c r="AJ462" s="16">
        <v>-95.580479186100007</v>
      </c>
      <c r="AK462" s="16">
        <v>-3.0213700000558674E-5</v>
      </c>
      <c r="AL462" s="16">
        <v>-1.3018610000870012E-4</v>
      </c>
      <c r="AM462" s="16" t="str">
        <f>_xlfn.IFNA(VLOOKUP(Sheet1!$C462,ADMIX_ALL!A:B,2,FALSE),"none")</f>
        <v>K6-18</v>
      </c>
      <c r="AN462" s="16" t="str">
        <f>_xlfn.IFNA(VLOOKUP(Sheet1!C462,ADMIX_SS!A:B,2,FALSE),"none")</f>
        <v>SubSample</v>
      </c>
      <c r="AO462" s="16" t="str">
        <f>_xlfn.IFNA(VLOOKUP(Sheet1!$C462,MONG_PHYLO!A:C,3,FALSE),"-")</f>
        <v>-</v>
      </c>
      <c r="AP462" s="16" t="str">
        <f>_xlfn.IFNA(VLOOKUP(Sheet1!$C462,MAC_PHYLO!A:C,3,FALSE),"-")</f>
        <v>-</v>
      </c>
      <c r="AQ462" s="16" t="str">
        <f>_xlfn.IFNA(VLOOKUP(Sheet1!$C462,ConStruct!A:C,3,FALSE),"-")</f>
        <v>ConStruct</v>
      </c>
      <c r="AR462" s="16" t="str">
        <f>_xlfn.IFNA(VLOOKUP(Sheet1!$C462,GEA!A:C,3,FALSE),"-")</f>
        <v>GEA</v>
      </c>
      <c r="AS462" s="16" t="str">
        <f>_xlfn.IFNA(VLOOKUP(Sheet1!$C462,MAC_DSUITE!A:D,3,FALSE),"-")</f>
        <v>mac_TX_BRZ</v>
      </c>
      <c r="AT462" s="16" t="str">
        <f>_xlfn.IFNA(VLOOKUP(Sheet1!$C462,MONG_DSUITE!A:E,2,FALSE),"-")</f>
        <v>macrocarpa_BRZ</v>
      </c>
      <c r="AU462" s="16" t="str">
        <f>_xlfn.IFNA(VLOOKUP(Sheet1!$C462,MAC_PAINT2!A:D,4,FALSE),"-")</f>
        <v>-</v>
      </c>
      <c r="AV462" s="16" t="s">
        <v>9195</v>
      </c>
      <c r="AW462" s="16" t="s">
        <v>9193</v>
      </c>
    </row>
    <row r="463" spans="1:49" s="16" customFormat="1" x14ac:dyDescent="0.4">
      <c r="A463" s="16">
        <v>3914</v>
      </c>
      <c r="B463" s="16" t="s">
        <v>2172</v>
      </c>
      <c r="C463" s="16" t="s">
        <v>2173</v>
      </c>
      <c r="D463" s="16" t="str">
        <f>_xlfn.CONCAT(C463,".bam")</f>
        <v>SYST-MOR-0007151.bam</v>
      </c>
      <c r="E463" s="16" t="s">
        <v>2174</v>
      </c>
      <c r="F463" s="16" t="s">
        <v>2463</v>
      </c>
      <c r="G463" s="16" t="s">
        <v>2464</v>
      </c>
      <c r="H463" s="16" t="s">
        <v>2551</v>
      </c>
      <c r="I463" s="16" t="s">
        <v>2171</v>
      </c>
      <c r="K463" s="16" t="s">
        <v>45</v>
      </c>
      <c r="L463" s="16" t="s">
        <v>45</v>
      </c>
      <c r="N463" s="16" t="s">
        <v>45</v>
      </c>
      <c r="P463" s="16" t="s">
        <v>113</v>
      </c>
      <c r="Q463" s="16" t="s">
        <v>46</v>
      </c>
      <c r="R463" s="16" t="s">
        <v>2597</v>
      </c>
      <c r="S463" s="17">
        <v>44805</v>
      </c>
      <c r="T463" s="16" t="s">
        <v>33</v>
      </c>
      <c r="U463" s="16" t="s">
        <v>34</v>
      </c>
      <c r="V463" s="17">
        <v>44810</v>
      </c>
      <c r="W463" s="16" t="s">
        <v>35</v>
      </c>
      <c r="X463" s="16" t="s">
        <v>2169</v>
      </c>
      <c r="Y463" s="16" t="s">
        <v>2170</v>
      </c>
      <c r="Z463" s="16" t="s">
        <v>38</v>
      </c>
      <c r="AA463" s="16" t="s">
        <v>2171</v>
      </c>
      <c r="AD463" s="16" t="s">
        <v>45</v>
      </c>
      <c r="AE463" s="16">
        <v>29.373913999999999</v>
      </c>
      <c r="AF463" s="16">
        <v>-95.579059999999998</v>
      </c>
      <c r="AG463" s="16" t="s">
        <v>40</v>
      </c>
      <c r="AH463" s="16" t="s">
        <v>41</v>
      </c>
      <c r="AI463" s="16">
        <v>29.374004658299999</v>
      </c>
      <c r="AJ463" s="16">
        <v>-95.579004893199993</v>
      </c>
      <c r="AK463" s="16">
        <v>9.0658299999546443E-5</v>
      </c>
      <c r="AL463" s="16">
        <v>5.510680000497814E-5</v>
      </c>
      <c r="AM463" s="16" t="str">
        <f>_xlfn.IFNA(VLOOKUP(Sheet1!$C463,ADMIX_ALL!A:B,2,FALSE),"none")</f>
        <v>K6-18</v>
      </c>
      <c r="AN463" s="16" t="str">
        <f>_xlfn.IFNA(VLOOKUP(Sheet1!C463,ADMIX_SS!A:B,2,FALSE),"none")</f>
        <v>SubSample</v>
      </c>
      <c r="AO463" s="16" t="str">
        <f>_xlfn.IFNA(VLOOKUP(Sheet1!$C463,MONG_PHYLO!A:C,3,FALSE),"-")</f>
        <v>-</v>
      </c>
      <c r="AP463" s="16" t="str">
        <f>_xlfn.IFNA(VLOOKUP(Sheet1!$C463,MAC_PHYLO!A:C,3,FALSE),"-")</f>
        <v>macS</v>
      </c>
      <c r="AQ463" s="16" t="str">
        <f>_xlfn.IFNA(VLOOKUP(Sheet1!$C463,ConStruct!A:C,3,FALSE),"-")</f>
        <v>ConStruct</v>
      </c>
      <c r="AR463" s="16" t="str">
        <f>_xlfn.IFNA(VLOOKUP(Sheet1!$C463,GEA!A:C,3,FALSE),"-")</f>
        <v>GEA</v>
      </c>
      <c r="AS463" s="16" t="str">
        <f>_xlfn.IFNA(VLOOKUP(Sheet1!$C463,MAC_DSUITE!A:D,3,FALSE),"-")</f>
        <v>mac_TX_BRZ</v>
      </c>
      <c r="AT463" s="16" t="str">
        <f>_xlfn.IFNA(VLOOKUP(Sheet1!$C463,MONG_DSUITE!A:E,2,FALSE),"-")</f>
        <v>macrocarpa_BRZ</v>
      </c>
      <c r="AU463" s="16" t="str">
        <f>_xlfn.IFNA(VLOOKUP(Sheet1!$C463,MAC_PAINT2!A:D,4,FALSE),"-")</f>
        <v>-</v>
      </c>
      <c r="AV463" s="16" t="s">
        <v>9195</v>
      </c>
      <c r="AW463" s="16" t="s">
        <v>9193</v>
      </c>
    </row>
    <row r="464" spans="1:49" customFormat="1" x14ac:dyDescent="0.4">
      <c r="A464">
        <v>3915</v>
      </c>
      <c r="B464" t="s">
        <v>2175</v>
      </c>
      <c r="C464" t="s">
        <v>2176</v>
      </c>
      <c r="D464" t="str">
        <f>_xlfn.CONCAT(C464,".bam")</f>
        <v>SYST-MOR-0007152.bam</v>
      </c>
      <c r="E464" t="s">
        <v>2177</v>
      </c>
      <c r="F464" t="s">
        <v>2463</v>
      </c>
      <c r="G464" t="s">
        <v>2464</v>
      </c>
      <c r="H464" t="s">
        <v>2551</v>
      </c>
      <c r="I464" t="s">
        <v>2171</v>
      </c>
      <c r="K464" t="s">
        <v>45</v>
      </c>
      <c r="L464" t="s">
        <v>45</v>
      </c>
      <c r="N464" t="s">
        <v>45</v>
      </c>
      <c r="P464" t="s">
        <v>31</v>
      </c>
      <c r="Q464" t="s">
        <v>46</v>
      </c>
      <c r="R464" t="s">
        <v>2597</v>
      </c>
      <c r="S464" s="1">
        <v>44805</v>
      </c>
      <c r="T464" t="s">
        <v>33</v>
      </c>
      <c r="U464" t="s">
        <v>34</v>
      </c>
      <c r="V464" s="1">
        <v>44810</v>
      </c>
      <c r="W464" t="s">
        <v>35</v>
      </c>
      <c r="X464" t="s">
        <v>2169</v>
      </c>
      <c r="Y464" t="s">
        <v>2170</v>
      </c>
      <c r="Z464" t="s">
        <v>38</v>
      </c>
      <c r="AA464" t="s">
        <v>2171</v>
      </c>
      <c r="AD464" t="s">
        <v>45</v>
      </c>
      <c r="AE464">
        <v>29.374410999999998</v>
      </c>
      <c r="AF464">
        <v>-95.576746999999997</v>
      </c>
      <c r="AG464" t="s">
        <v>40</v>
      </c>
      <c r="AH464" t="s">
        <v>41</v>
      </c>
      <c r="AI464">
        <v>29.374166303300001</v>
      </c>
      <c r="AJ464">
        <v>-95.576657122100002</v>
      </c>
      <c r="AK464">
        <v>-2.4469669999760413E-4</v>
      </c>
      <c r="AL464">
        <v>8.987789999537199E-5</v>
      </c>
      <c r="AM464" t="str">
        <f>_xlfn.IFNA(VLOOKUP(Sheet1!$C464,ADMIX_ALL!A:B,2,FALSE),"none")</f>
        <v>K6-18</v>
      </c>
      <c r="AN464" t="str">
        <f>_xlfn.IFNA(VLOOKUP(Sheet1!C464,ADMIX_SS!A:B,2,FALSE),"none")</f>
        <v>Constant</v>
      </c>
      <c r="AO464" t="str">
        <f>_xlfn.IFNA(VLOOKUP(Sheet1!$C464,MONG_PHYLO!A:C,3,FALSE),"-")</f>
        <v>macS</v>
      </c>
      <c r="AP464" t="str">
        <f>_xlfn.IFNA(VLOOKUP(Sheet1!$C464,MAC_PHYLO!A:C,3,FALSE),"-")</f>
        <v>-</v>
      </c>
      <c r="AQ464" t="str">
        <f>_xlfn.IFNA(VLOOKUP(Sheet1!$C464,ConStruct!A:C,3,FALSE),"-")</f>
        <v>ConStruct</v>
      </c>
      <c r="AR464" t="str">
        <f>_xlfn.IFNA(VLOOKUP(Sheet1!$C464,GEA!A:C,3,FALSE),"-")</f>
        <v>GEA</v>
      </c>
      <c r="AS464" t="str">
        <f>_xlfn.IFNA(VLOOKUP(Sheet1!$C464,MAC_DSUITE!A:D,3,FALSE),"-")</f>
        <v>mac_TX_BRZ</v>
      </c>
      <c r="AT464" t="str">
        <f>_xlfn.IFNA(VLOOKUP(Sheet1!$C464,MONG_DSUITE!A:E,2,FALSE),"-")</f>
        <v>macrocarpa_BRZ</v>
      </c>
      <c r="AU464" t="str">
        <f>_xlfn.IFNA(VLOOKUP(Sheet1!$C464,MAC_PAINT2!A:D,4,FALSE),"-")</f>
        <v>macpaint</v>
      </c>
      <c r="AV464" t="s">
        <v>9193</v>
      </c>
      <c r="AW464" t="s">
        <v>9193</v>
      </c>
    </row>
    <row r="465" spans="1:49" customFormat="1" x14ac:dyDescent="0.4">
      <c r="A465">
        <v>3916</v>
      </c>
      <c r="B465" t="s">
        <v>2178</v>
      </c>
      <c r="C465" t="s">
        <v>2179</v>
      </c>
      <c r="D465" t="str">
        <f>_xlfn.CONCAT(C465,".bam")</f>
        <v>SYST-MOR-0007153.bam</v>
      </c>
      <c r="E465" t="s">
        <v>2180</v>
      </c>
      <c r="F465" t="s">
        <v>2463</v>
      </c>
      <c r="G465" t="s">
        <v>2464</v>
      </c>
      <c r="H465" t="s">
        <v>2551</v>
      </c>
      <c r="I465" t="s">
        <v>2171</v>
      </c>
      <c r="K465" t="s">
        <v>45</v>
      </c>
      <c r="L465" t="s">
        <v>45</v>
      </c>
      <c r="N465" t="s">
        <v>45</v>
      </c>
      <c r="P465" t="s">
        <v>113</v>
      </c>
      <c r="Q465" t="s">
        <v>46</v>
      </c>
      <c r="R465" t="s">
        <v>2597</v>
      </c>
      <c r="S465" s="1">
        <v>44805</v>
      </c>
      <c r="T465" t="s">
        <v>33</v>
      </c>
      <c r="U465" t="s">
        <v>34</v>
      </c>
      <c r="V465" s="1">
        <v>44810</v>
      </c>
      <c r="W465" t="s">
        <v>35</v>
      </c>
      <c r="X465" t="s">
        <v>2169</v>
      </c>
      <c r="Y465" t="s">
        <v>2170</v>
      </c>
      <c r="Z465" t="s">
        <v>38</v>
      </c>
      <c r="AA465" t="s">
        <v>2171</v>
      </c>
      <c r="AD465" t="s">
        <v>45</v>
      </c>
      <c r="AE465">
        <v>29.375257999999999</v>
      </c>
      <c r="AF465">
        <v>-95.576690999999997</v>
      </c>
      <c r="AG465" t="s">
        <v>40</v>
      </c>
      <c r="AH465" t="s">
        <v>41</v>
      </c>
      <c r="AI465">
        <v>29.375462606599999</v>
      </c>
      <c r="AJ465">
        <v>-95.576959541199997</v>
      </c>
      <c r="AK465">
        <v>2.0460660000054531E-4</v>
      </c>
      <c r="AL465">
        <v>-2.6854120000052717E-4</v>
      </c>
      <c r="AM465" t="str">
        <f>_xlfn.IFNA(VLOOKUP(Sheet1!$C465,ADMIX_ALL!A:B,2,FALSE),"none")</f>
        <v>K6-18</v>
      </c>
      <c r="AN465" t="str">
        <f>_xlfn.IFNA(VLOOKUP(Sheet1!C465,ADMIX_SS!A:B,2,FALSE),"none")</f>
        <v>Constant</v>
      </c>
      <c r="AO465" t="str">
        <f>_xlfn.IFNA(VLOOKUP(Sheet1!$C465,MONG_PHYLO!A:C,3,FALSE),"-")</f>
        <v>macS</v>
      </c>
      <c r="AP465" t="str">
        <f>_xlfn.IFNA(VLOOKUP(Sheet1!$C465,MAC_PHYLO!A:C,3,FALSE),"-")</f>
        <v>macS</v>
      </c>
      <c r="AQ465" t="str">
        <f>_xlfn.IFNA(VLOOKUP(Sheet1!$C465,ConStruct!A:C,3,FALSE),"-")</f>
        <v>ConStruct</v>
      </c>
      <c r="AR465" t="str">
        <f>_xlfn.IFNA(VLOOKUP(Sheet1!$C465,GEA!A:C,3,FALSE),"-")</f>
        <v>GEA</v>
      </c>
      <c r="AS465" t="str">
        <f>_xlfn.IFNA(VLOOKUP(Sheet1!$C465,MAC_DSUITE!A:D,3,FALSE),"-")</f>
        <v>mac_TX_BRZ</v>
      </c>
      <c r="AT465" t="str">
        <f>_xlfn.IFNA(VLOOKUP(Sheet1!$C465,MONG_DSUITE!A:E,2,FALSE),"-")</f>
        <v>macrocarpa_BRZ</v>
      </c>
      <c r="AU465" t="str">
        <f>_xlfn.IFNA(VLOOKUP(Sheet1!$C465,MAC_PAINT2!A:D,4,FALSE),"-")</f>
        <v>macpaint</v>
      </c>
      <c r="AV465" t="s">
        <v>9193</v>
      </c>
      <c r="AW465" t="s">
        <v>9193</v>
      </c>
    </row>
    <row r="466" spans="1:49" customFormat="1" x14ac:dyDescent="0.4">
      <c r="A466">
        <v>3917</v>
      </c>
      <c r="B466" t="s">
        <v>2181</v>
      </c>
      <c r="C466" t="s">
        <v>2182</v>
      </c>
      <c r="D466" t="str">
        <f>_xlfn.CONCAT(C466,".bam")</f>
        <v>SYST-MOR-0007154.bam</v>
      </c>
      <c r="E466" t="s">
        <v>2183</v>
      </c>
      <c r="F466" t="s">
        <v>2463</v>
      </c>
      <c r="G466" t="s">
        <v>2464</v>
      </c>
      <c r="H466" t="s">
        <v>2551</v>
      </c>
      <c r="I466" t="s">
        <v>2171</v>
      </c>
      <c r="K466" t="s">
        <v>239</v>
      </c>
      <c r="L466" t="s">
        <v>239</v>
      </c>
      <c r="N466" t="s">
        <v>239</v>
      </c>
      <c r="P466" t="s">
        <v>31</v>
      </c>
      <c r="Q466" t="s">
        <v>240</v>
      </c>
      <c r="R466" t="s">
        <v>2602</v>
      </c>
      <c r="S466" s="1">
        <v>44805</v>
      </c>
      <c r="T466" t="s">
        <v>33</v>
      </c>
      <c r="U466" t="s">
        <v>34</v>
      </c>
      <c r="V466" s="1">
        <v>44810</v>
      </c>
      <c r="W466" t="s">
        <v>35</v>
      </c>
      <c r="X466" t="s">
        <v>2169</v>
      </c>
      <c r="Y466" t="s">
        <v>2170</v>
      </c>
      <c r="Z466" t="s">
        <v>38</v>
      </c>
      <c r="AA466" t="s">
        <v>2171</v>
      </c>
      <c r="AD466" t="s">
        <v>239</v>
      </c>
      <c r="AE466">
        <v>29.375263</v>
      </c>
      <c r="AF466">
        <v>-95.585273000000001</v>
      </c>
      <c r="AG466" t="s">
        <v>40</v>
      </c>
      <c r="AH466" t="s">
        <v>41</v>
      </c>
      <c r="AI466">
        <v>29.3755426118</v>
      </c>
      <c r="AJ466">
        <v>-95.585442697700003</v>
      </c>
      <c r="AK466">
        <v>2.7961179999991259E-4</v>
      </c>
      <c r="AL466">
        <v>-1.6969770000230255E-4</v>
      </c>
      <c r="AM466" t="str">
        <f>_xlfn.IFNA(VLOOKUP(Sheet1!$C466,ADMIX_ALL!A:B,2,FALSE),"none")</f>
        <v>K6-18</v>
      </c>
      <c r="AN466" t="str">
        <f>_xlfn.IFNA(VLOOKUP(Sheet1!C466,ADMIX_SS!A:B,2,FALSE),"none")</f>
        <v>Constant</v>
      </c>
      <c r="AO466" t="str">
        <f>_xlfn.IFNA(VLOOKUP(Sheet1!$C466,MONG_PHYLO!A:C,3,FALSE),"-")</f>
        <v>mic</v>
      </c>
      <c r="AP466" t="str">
        <f>_xlfn.IFNA(VLOOKUP(Sheet1!$C466,MAC_PHYLO!A:C,3,FALSE),"-")</f>
        <v>mic</v>
      </c>
      <c r="AQ466" t="str">
        <f>_xlfn.IFNA(VLOOKUP(Sheet1!$C466,ConStruct!A:C,3,FALSE),"-")</f>
        <v>-</v>
      </c>
      <c r="AR466" t="str">
        <f>_xlfn.IFNA(VLOOKUP(Sheet1!$C466,GEA!A:C,3,FALSE),"-")</f>
        <v>-</v>
      </c>
      <c r="AS466" t="str">
        <f>_xlfn.IFNA(VLOOKUP(Sheet1!$C466,MAC_DSUITE!A:D,3,FALSE),"-")</f>
        <v>xxx</v>
      </c>
      <c r="AT466" t="str">
        <f>_xlfn.IFNA(VLOOKUP(Sheet1!$C466,MONG_DSUITE!A:E,2,FALSE),"-")</f>
        <v>michauxii</v>
      </c>
      <c r="AU466" t="str">
        <f>_xlfn.IFNA(VLOOKUP(Sheet1!$C466,MAC_PAINT2!A:D,4,FALSE),"-")</f>
        <v>-</v>
      </c>
    </row>
    <row r="467" spans="1:49" customFormat="1" x14ac:dyDescent="0.4">
      <c r="A467">
        <v>3918</v>
      </c>
      <c r="B467" t="s">
        <v>2184</v>
      </c>
      <c r="C467" t="s">
        <v>2185</v>
      </c>
      <c r="D467" t="str">
        <f>_xlfn.CONCAT(C467,".bam")</f>
        <v>SYST-MOR-0007155.bam</v>
      </c>
      <c r="E467" t="s">
        <v>2186</v>
      </c>
      <c r="F467" t="s">
        <v>2463</v>
      </c>
      <c r="G467" t="s">
        <v>2464</v>
      </c>
      <c r="H467" t="s">
        <v>2551</v>
      </c>
      <c r="I467" t="s">
        <v>2171</v>
      </c>
      <c r="K467" t="s">
        <v>239</v>
      </c>
      <c r="L467" t="s">
        <v>239</v>
      </c>
      <c r="N467" t="s">
        <v>239</v>
      </c>
      <c r="P467" t="s">
        <v>113</v>
      </c>
      <c r="Q467" t="s">
        <v>240</v>
      </c>
      <c r="R467" t="s">
        <v>2602</v>
      </c>
      <c r="S467" s="1">
        <v>44805</v>
      </c>
      <c r="T467" t="s">
        <v>33</v>
      </c>
      <c r="U467" t="s">
        <v>34</v>
      </c>
      <c r="V467" s="1">
        <v>44810</v>
      </c>
      <c r="W467" t="s">
        <v>35</v>
      </c>
      <c r="X467" t="s">
        <v>2169</v>
      </c>
      <c r="Y467" t="s">
        <v>2170</v>
      </c>
      <c r="Z467" t="s">
        <v>38</v>
      </c>
      <c r="AA467" t="s">
        <v>2171</v>
      </c>
      <c r="AD467" t="s">
        <v>239</v>
      </c>
      <c r="AE467">
        <v>29.374983</v>
      </c>
      <c r="AF467">
        <v>-95.586538000000004</v>
      </c>
      <c r="AG467" t="s">
        <v>40</v>
      </c>
      <c r="AH467" t="s">
        <v>41</v>
      </c>
      <c r="AI467">
        <v>29.374884171400002</v>
      </c>
      <c r="AJ467">
        <v>-95.586718842500005</v>
      </c>
      <c r="AK467">
        <v>-9.8828599998768141E-5</v>
      </c>
      <c r="AL467">
        <v>-1.8084250000072188E-4</v>
      </c>
      <c r="AM467" t="str">
        <f>_xlfn.IFNA(VLOOKUP(Sheet1!$C467,ADMIX_ALL!A:B,2,FALSE),"none")</f>
        <v>K6-18</v>
      </c>
      <c r="AN467" t="str">
        <f>_xlfn.IFNA(VLOOKUP(Sheet1!C467,ADMIX_SS!A:B,2,FALSE),"none")</f>
        <v>SubSample</v>
      </c>
      <c r="AO467" t="str">
        <f>_xlfn.IFNA(VLOOKUP(Sheet1!$C467,MONG_PHYLO!A:C,3,FALSE),"-")</f>
        <v>-</v>
      </c>
      <c r="AP467" t="str">
        <f>_xlfn.IFNA(VLOOKUP(Sheet1!$C467,MAC_PHYLO!A:C,3,FALSE),"-")</f>
        <v>-</v>
      </c>
      <c r="AQ467" t="str">
        <f>_xlfn.IFNA(VLOOKUP(Sheet1!$C467,ConStruct!A:C,3,FALSE),"-")</f>
        <v>-</v>
      </c>
      <c r="AR467" t="str">
        <f>_xlfn.IFNA(VLOOKUP(Sheet1!$C467,GEA!A:C,3,FALSE),"-")</f>
        <v>-</v>
      </c>
      <c r="AS467" t="str">
        <f>_xlfn.IFNA(VLOOKUP(Sheet1!$C467,MAC_DSUITE!A:D,3,FALSE),"-")</f>
        <v>-</v>
      </c>
      <c r="AT467" t="str">
        <f>_xlfn.IFNA(VLOOKUP(Sheet1!$C467,MONG_DSUITE!A:E,2,FALSE),"-")</f>
        <v>xxx</v>
      </c>
      <c r="AU467" t="str">
        <f>_xlfn.IFNA(VLOOKUP(Sheet1!$C467,MAC_PAINT2!A:D,4,FALSE),"-")</f>
        <v>-</v>
      </c>
    </row>
    <row r="468" spans="1:49" customFormat="1" x14ac:dyDescent="0.4">
      <c r="A468">
        <v>3919</v>
      </c>
      <c r="B468" t="s">
        <v>2187</v>
      </c>
      <c r="C468" t="s">
        <v>2188</v>
      </c>
      <c r="D468" t="str">
        <f>_xlfn.CONCAT(C468,".bam")</f>
        <v>SYST-MOR-0007156.bam</v>
      </c>
      <c r="E468" t="s">
        <v>2189</v>
      </c>
      <c r="F468" t="s">
        <v>2463</v>
      </c>
      <c r="G468" t="s">
        <v>2464</v>
      </c>
      <c r="H468" t="s">
        <v>2551</v>
      </c>
      <c r="I468" t="s">
        <v>2171</v>
      </c>
      <c r="K468" t="s">
        <v>45</v>
      </c>
      <c r="L468" t="s">
        <v>45</v>
      </c>
      <c r="N468" t="s">
        <v>45</v>
      </c>
      <c r="P468" t="s">
        <v>31</v>
      </c>
      <c r="Q468" t="s">
        <v>46</v>
      </c>
      <c r="R468" t="s">
        <v>2597</v>
      </c>
      <c r="S468" s="1">
        <v>44805</v>
      </c>
      <c r="T468" t="s">
        <v>33</v>
      </c>
      <c r="U468" t="s">
        <v>34</v>
      </c>
      <c r="V468" s="1">
        <v>44810</v>
      </c>
      <c r="W468" t="s">
        <v>35</v>
      </c>
      <c r="X468" t="s">
        <v>2169</v>
      </c>
      <c r="Y468" t="s">
        <v>2170</v>
      </c>
      <c r="Z468" t="s">
        <v>38</v>
      </c>
      <c r="AA468" t="s">
        <v>2171</v>
      </c>
      <c r="AD468" t="s">
        <v>45</v>
      </c>
      <c r="AE468">
        <v>29.378315000000001</v>
      </c>
      <c r="AF468">
        <v>-95.586521000000005</v>
      </c>
      <c r="AG468" t="s">
        <v>40</v>
      </c>
      <c r="AH468" t="s">
        <v>41</v>
      </c>
      <c r="AI468">
        <v>29.3762226789</v>
      </c>
      <c r="AJ468">
        <v>-95.588326757499999</v>
      </c>
      <c r="AK468">
        <v>-2.0923211000010156E-3</v>
      </c>
      <c r="AL468">
        <v>-1.8057574999943427E-3</v>
      </c>
      <c r="AM468" t="str">
        <f>_xlfn.IFNA(VLOOKUP(Sheet1!$C468,ADMIX_ALL!A:B,2,FALSE),"none")</f>
        <v>K6-18</v>
      </c>
      <c r="AN468" t="str">
        <f>_xlfn.IFNA(VLOOKUP(Sheet1!C468,ADMIX_SS!A:B,2,FALSE),"none")</f>
        <v>SubSample</v>
      </c>
      <c r="AO468" t="str">
        <f>_xlfn.IFNA(VLOOKUP(Sheet1!$C468,MONG_PHYLO!A:C,3,FALSE),"-")</f>
        <v>-</v>
      </c>
      <c r="AP468" t="str">
        <f>_xlfn.IFNA(VLOOKUP(Sheet1!$C468,MAC_PHYLO!A:C,3,FALSE),"-")</f>
        <v>macS</v>
      </c>
      <c r="AQ468" t="str">
        <f>_xlfn.IFNA(VLOOKUP(Sheet1!$C468,ConStruct!A:C,3,FALSE),"-")</f>
        <v>ConStruct</v>
      </c>
      <c r="AR468" t="str">
        <f>_xlfn.IFNA(VLOOKUP(Sheet1!$C468,GEA!A:C,3,FALSE),"-")</f>
        <v>GEA</v>
      </c>
      <c r="AS468" t="str">
        <f>_xlfn.IFNA(VLOOKUP(Sheet1!$C468,MAC_DSUITE!A:D,3,FALSE),"-")</f>
        <v>mac_TX_BRZ</v>
      </c>
      <c r="AT468" t="str">
        <f>_xlfn.IFNA(VLOOKUP(Sheet1!$C468,MONG_DSUITE!A:E,2,FALSE),"-")</f>
        <v>macrocarpa_BRZ</v>
      </c>
      <c r="AU468" t="str">
        <f>_xlfn.IFNA(VLOOKUP(Sheet1!$C468,MAC_PAINT2!A:D,4,FALSE),"-")</f>
        <v>macpaint</v>
      </c>
      <c r="AV468" t="s">
        <v>9193</v>
      </c>
      <c r="AW468" t="s">
        <v>9193</v>
      </c>
    </row>
    <row r="469" spans="1:49" customFormat="1" x14ac:dyDescent="0.4">
      <c r="A469">
        <v>3920</v>
      </c>
      <c r="B469" t="s">
        <v>2190</v>
      </c>
      <c r="C469" t="s">
        <v>2191</v>
      </c>
      <c r="D469" t="str">
        <f>_xlfn.CONCAT(C469,".bam")</f>
        <v>SYST-MOR-0007157.bam</v>
      </c>
      <c r="E469" t="s">
        <v>2192</v>
      </c>
      <c r="F469" t="s">
        <v>2463</v>
      </c>
      <c r="G469" t="s">
        <v>2464</v>
      </c>
      <c r="H469" t="s">
        <v>2551</v>
      </c>
      <c r="I469" t="s">
        <v>2171</v>
      </c>
      <c r="K469" t="s">
        <v>30</v>
      </c>
      <c r="L469" t="s">
        <v>30</v>
      </c>
      <c r="N469" t="s">
        <v>30</v>
      </c>
      <c r="P469" t="s">
        <v>113</v>
      </c>
      <c r="Q469" t="s">
        <v>32</v>
      </c>
      <c r="R469" t="s">
        <v>2596</v>
      </c>
      <c r="S469" s="1">
        <v>44805</v>
      </c>
      <c r="T469" t="s">
        <v>33</v>
      </c>
      <c r="U469" t="s">
        <v>34</v>
      </c>
      <c r="V469" s="1">
        <v>44810</v>
      </c>
      <c r="W469" t="s">
        <v>35</v>
      </c>
      <c r="X469" t="s">
        <v>2169</v>
      </c>
      <c r="Y469" t="s">
        <v>2170</v>
      </c>
      <c r="Z469" t="s">
        <v>38</v>
      </c>
      <c r="AA469" t="s">
        <v>2171</v>
      </c>
      <c r="AD469" t="s">
        <v>30</v>
      </c>
      <c r="AE469">
        <v>29.373101999999999</v>
      </c>
      <c r="AF469">
        <v>-95.608037999999993</v>
      </c>
      <c r="AG469" t="s">
        <v>40</v>
      </c>
      <c r="AH469" t="s">
        <v>41</v>
      </c>
      <c r="AI469">
        <v>29.3730837805</v>
      </c>
      <c r="AJ469">
        <v>-95.608054306400007</v>
      </c>
      <c r="AK469">
        <v>-1.8219499999361233E-5</v>
      </c>
      <c r="AL469">
        <v>-1.6306400013377242E-5</v>
      </c>
      <c r="AM469" t="str">
        <f>_xlfn.IFNA(VLOOKUP(Sheet1!$C469,ADMIX_ALL!A:B,2,FALSE),"none")</f>
        <v>K6-18</v>
      </c>
      <c r="AN469" t="str">
        <f>_xlfn.IFNA(VLOOKUP(Sheet1!C469,ADMIX_SS!A:B,2,FALSE),"none")</f>
        <v>SubSample</v>
      </c>
      <c r="AO469" t="str">
        <f>_xlfn.IFNA(VLOOKUP(Sheet1!$C469,MONG_PHYLO!A:C,3,FALSE),"-")</f>
        <v>-</v>
      </c>
      <c r="AP469" t="str">
        <f>_xlfn.IFNA(VLOOKUP(Sheet1!$C469,MAC_PHYLO!A:C,3,FALSE),"-")</f>
        <v>-</v>
      </c>
      <c r="AQ469" t="str">
        <f>_xlfn.IFNA(VLOOKUP(Sheet1!$C469,ConStruct!A:C,3,FALSE),"-")</f>
        <v>-</v>
      </c>
      <c r="AR469" t="str">
        <f>_xlfn.IFNA(VLOOKUP(Sheet1!$C469,GEA!A:C,3,FALSE),"-")</f>
        <v>-</v>
      </c>
      <c r="AS469" t="str">
        <f>_xlfn.IFNA(VLOOKUP(Sheet1!$C469,MAC_DSUITE!A:D,3,FALSE),"-")</f>
        <v>-</v>
      </c>
      <c r="AT469" t="str">
        <f>_xlfn.IFNA(VLOOKUP(Sheet1!$C469,MONG_DSUITE!A:E,2,FALSE),"-")</f>
        <v>xxx</v>
      </c>
      <c r="AU469" t="str">
        <f>_xlfn.IFNA(VLOOKUP(Sheet1!$C469,MAC_PAINT2!A:D,4,FALSE),"-")</f>
        <v>-</v>
      </c>
    </row>
    <row r="470" spans="1:49" customFormat="1" x14ac:dyDescent="0.4">
      <c r="A470">
        <v>3921</v>
      </c>
      <c r="B470" t="s">
        <v>2231</v>
      </c>
      <c r="C470" t="s">
        <v>2232</v>
      </c>
      <c r="D470" t="str">
        <f>_xlfn.CONCAT(C470,".bam")</f>
        <v>SYST-MOR-0007158.bam</v>
      </c>
      <c r="E470" t="s">
        <v>2233</v>
      </c>
      <c r="F470" t="s">
        <v>2463</v>
      </c>
      <c r="G470" t="s">
        <v>2465</v>
      </c>
      <c r="H470" t="s">
        <v>2553</v>
      </c>
      <c r="I470" t="s">
        <v>2234</v>
      </c>
      <c r="K470" t="s">
        <v>1079</v>
      </c>
      <c r="L470" t="s">
        <v>1079</v>
      </c>
      <c r="M470" t="s">
        <v>1079</v>
      </c>
      <c r="N470" t="s">
        <v>50</v>
      </c>
      <c r="P470" t="s">
        <v>31</v>
      </c>
      <c r="Q470" t="s">
        <v>51</v>
      </c>
      <c r="R470" t="s">
        <v>2598</v>
      </c>
      <c r="S470" s="1">
        <v>44806</v>
      </c>
      <c r="T470" t="s">
        <v>33</v>
      </c>
      <c r="U470" t="s">
        <v>34</v>
      </c>
      <c r="V470" s="1">
        <v>44810</v>
      </c>
      <c r="W470" t="s">
        <v>35</v>
      </c>
      <c r="X470" t="s">
        <v>2169</v>
      </c>
      <c r="Y470" t="s">
        <v>2197</v>
      </c>
      <c r="Z470" t="s">
        <v>38</v>
      </c>
      <c r="AA470" t="s">
        <v>2234</v>
      </c>
      <c r="AD470" t="s">
        <v>50</v>
      </c>
      <c r="AE470">
        <v>29.597151</v>
      </c>
      <c r="AF470">
        <v>-97.584878000000003</v>
      </c>
      <c r="AG470" t="s">
        <v>40</v>
      </c>
      <c r="AH470" t="s">
        <v>41</v>
      </c>
      <c r="AI470">
        <v>29.597234898300002</v>
      </c>
      <c r="AJ470">
        <v>-97.584885600999996</v>
      </c>
      <c r="AK470">
        <v>8.3898300001550297E-5</v>
      </c>
      <c r="AL470">
        <v>-7.6009999929738115E-6</v>
      </c>
      <c r="AM470" t="str">
        <f>_xlfn.IFNA(VLOOKUP(Sheet1!$C470,ADMIX_ALL!A:B,2,FALSE),"none")</f>
        <v>K6-18</v>
      </c>
      <c r="AN470" t="str">
        <f>_xlfn.IFNA(VLOOKUP(Sheet1!C470,ADMIX_SS!A:B,2,FALSE),"none")</f>
        <v>SubSample</v>
      </c>
      <c r="AO470" t="str">
        <f>_xlfn.IFNA(VLOOKUP(Sheet1!$C470,MONG_PHYLO!A:C,3,FALSE),"-")</f>
        <v>-</v>
      </c>
      <c r="AP470" t="str">
        <f>_xlfn.IFNA(VLOOKUP(Sheet1!$C470,MAC_PHYLO!A:C,3,FALSE),"-")</f>
        <v>-</v>
      </c>
      <c r="AQ470" t="str">
        <f>_xlfn.IFNA(VLOOKUP(Sheet1!$C470,ConStruct!A:C,3,FALSE),"-")</f>
        <v>-</v>
      </c>
      <c r="AR470" t="str">
        <f>_xlfn.IFNA(VLOOKUP(Sheet1!$C470,GEA!A:C,3,FALSE),"-")</f>
        <v>-</v>
      </c>
      <c r="AS470" t="str">
        <f>_xlfn.IFNA(VLOOKUP(Sheet1!$C470,MAC_DSUITE!A:D,3,FALSE),"-")</f>
        <v>-</v>
      </c>
      <c r="AT470" t="str">
        <f>_xlfn.IFNA(VLOOKUP(Sheet1!$C470,MONG_DSUITE!A:E,2,FALSE),"-")</f>
        <v>xxx</v>
      </c>
      <c r="AU470" t="str">
        <f>_xlfn.IFNA(VLOOKUP(Sheet1!$C470,MAC_PAINT2!A:D,4,FALSE),"-")</f>
        <v>-</v>
      </c>
    </row>
    <row r="471" spans="1:49" customFormat="1" x14ac:dyDescent="0.4">
      <c r="A471">
        <v>3922</v>
      </c>
      <c r="B471" t="s">
        <v>2235</v>
      </c>
      <c r="C471" t="s">
        <v>2236</v>
      </c>
      <c r="D471" t="str">
        <f>_xlfn.CONCAT(C471,".bam")</f>
        <v>SYST-MOR-0007159.bam</v>
      </c>
      <c r="E471" t="s">
        <v>2237</v>
      </c>
      <c r="F471" t="s">
        <v>2463</v>
      </c>
      <c r="G471" t="s">
        <v>2465</v>
      </c>
      <c r="H471" t="s">
        <v>2553</v>
      </c>
      <c r="I471" t="s">
        <v>2234</v>
      </c>
      <c r="K471" t="s">
        <v>45</v>
      </c>
      <c r="L471" t="s">
        <v>45</v>
      </c>
      <c r="N471" t="s">
        <v>45</v>
      </c>
      <c r="P471" t="s">
        <v>31</v>
      </c>
      <c r="Q471" t="s">
        <v>46</v>
      </c>
      <c r="R471" t="s">
        <v>2597</v>
      </c>
      <c r="S471" s="1">
        <v>44806</v>
      </c>
      <c r="T471" t="s">
        <v>33</v>
      </c>
      <c r="U471" t="s">
        <v>34</v>
      </c>
      <c r="V471" s="1">
        <v>44810</v>
      </c>
      <c r="W471" t="s">
        <v>35</v>
      </c>
      <c r="X471" t="s">
        <v>2169</v>
      </c>
      <c r="Y471" t="s">
        <v>2197</v>
      </c>
      <c r="Z471" t="s">
        <v>38</v>
      </c>
      <c r="AA471" t="s">
        <v>2234</v>
      </c>
      <c r="AD471" t="s">
        <v>45</v>
      </c>
      <c r="AE471">
        <v>29.588172</v>
      </c>
      <c r="AF471">
        <v>-97.583331999999999</v>
      </c>
      <c r="AG471" t="s">
        <v>40</v>
      </c>
      <c r="AH471" t="s">
        <v>41</v>
      </c>
      <c r="AI471">
        <v>29.588060109000001</v>
      </c>
      <c r="AJ471">
        <v>-97.583260098599993</v>
      </c>
      <c r="AK471">
        <v>-1.11890999999531E-4</v>
      </c>
      <c r="AL471">
        <v>7.1901400005458527E-5</v>
      </c>
      <c r="AM471" t="str">
        <f>_xlfn.IFNA(VLOOKUP(Sheet1!$C471,ADMIX_ALL!A:B,2,FALSE),"none")</f>
        <v>K6-18</v>
      </c>
      <c r="AN471" t="str">
        <f>_xlfn.IFNA(VLOOKUP(Sheet1!C471,ADMIX_SS!A:B,2,FALSE),"none")</f>
        <v>SubSample</v>
      </c>
      <c r="AO471" t="str">
        <f>_xlfn.IFNA(VLOOKUP(Sheet1!$C471,MONG_PHYLO!A:C,3,FALSE),"-")</f>
        <v>-</v>
      </c>
      <c r="AP471" t="str">
        <f>_xlfn.IFNA(VLOOKUP(Sheet1!$C471,MAC_PHYLO!A:C,3,FALSE),"-")</f>
        <v>-</v>
      </c>
      <c r="AQ471" t="str">
        <f>_xlfn.IFNA(VLOOKUP(Sheet1!$C471,ConStruct!A:C,3,FALSE),"-")</f>
        <v>ConStruct</v>
      </c>
      <c r="AR471" t="str">
        <f>_xlfn.IFNA(VLOOKUP(Sheet1!$C471,GEA!A:C,3,FALSE),"-")</f>
        <v>GEA</v>
      </c>
      <c r="AS471" t="str">
        <f>_xlfn.IFNA(VLOOKUP(Sheet1!$C471,MAC_DSUITE!A:D,3,FALSE),"-")</f>
        <v>mac_TX_PLM</v>
      </c>
      <c r="AT471" t="str">
        <f>_xlfn.IFNA(VLOOKUP(Sheet1!$C471,MONG_DSUITE!A:E,2,FALSE),"-")</f>
        <v>macrocarpa_PLM</v>
      </c>
      <c r="AU471" t="str">
        <f>_xlfn.IFNA(VLOOKUP(Sheet1!$C471,MAC_PAINT2!A:D,4,FALSE),"-")</f>
        <v>macpaint</v>
      </c>
      <c r="AV471" t="s">
        <v>9193</v>
      </c>
      <c r="AW471" t="s">
        <v>9193</v>
      </c>
    </row>
    <row r="472" spans="1:49" customFormat="1" x14ac:dyDescent="0.4">
      <c r="A472">
        <v>3923</v>
      </c>
      <c r="B472" t="s">
        <v>2238</v>
      </c>
      <c r="C472" t="s">
        <v>2239</v>
      </c>
      <c r="D472" t="str">
        <f>_xlfn.CONCAT(C472,".bam")</f>
        <v>SYST-MOR-0007160.bam</v>
      </c>
      <c r="E472" t="s">
        <v>2240</v>
      </c>
      <c r="F472" t="s">
        <v>2463</v>
      </c>
      <c r="G472" t="s">
        <v>2465</v>
      </c>
      <c r="H472" t="s">
        <v>2553</v>
      </c>
      <c r="I472" t="s">
        <v>2234</v>
      </c>
      <c r="K472" t="s">
        <v>2226</v>
      </c>
      <c r="L472" t="s">
        <v>2226</v>
      </c>
      <c r="N472" t="s">
        <v>2226</v>
      </c>
      <c r="P472" t="s">
        <v>31</v>
      </c>
      <c r="Q472" t="s">
        <v>2227</v>
      </c>
      <c r="R472" t="s">
        <v>2605</v>
      </c>
      <c r="S472" s="1">
        <v>44806</v>
      </c>
      <c r="T472" t="s">
        <v>33</v>
      </c>
      <c r="U472" t="s">
        <v>34</v>
      </c>
      <c r="V472" s="1">
        <v>44810</v>
      </c>
      <c r="W472" t="s">
        <v>35</v>
      </c>
      <c r="X472" t="s">
        <v>2169</v>
      </c>
      <c r="Y472" t="s">
        <v>2197</v>
      </c>
      <c r="Z472" t="s">
        <v>38</v>
      </c>
      <c r="AA472" t="s">
        <v>2234</v>
      </c>
      <c r="AD472" t="s">
        <v>2226</v>
      </c>
      <c r="AE472">
        <v>29.588159000000001</v>
      </c>
      <c r="AF472">
        <v>-97.583341000000004</v>
      </c>
      <c r="AG472" t="s">
        <v>40</v>
      </c>
      <c r="AH472" t="s">
        <v>41</v>
      </c>
      <c r="AI472">
        <v>29.588007889699998</v>
      </c>
      <c r="AJ472">
        <v>-97.583203101600006</v>
      </c>
      <c r="AK472">
        <v>-1.511103000026992E-4</v>
      </c>
      <c r="AL472">
        <v>1.3789839999844844E-4</v>
      </c>
      <c r="AM472" t="str">
        <f>_xlfn.IFNA(VLOOKUP(Sheet1!$C472,ADMIX_ALL!A:B,2,FALSE),"none")</f>
        <v>K6-18</v>
      </c>
      <c r="AN472" t="str">
        <f>_xlfn.IFNA(VLOOKUP(Sheet1!C472,ADMIX_SS!A:B,2,FALSE),"none")</f>
        <v>Constant</v>
      </c>
      <c r="AO472" t="str">
        <f>_xlfn.IFNA(VLOOKUP(Sheet1!$C472,MONG_PHYLO!A:C,3,FALSE),"-")</f>
        <v>sin</v>
      </c>
      <c r="AP472" t="str">
        <f>_xlfn.IFNA(VLOOKUP(Sheet1!$C472,MAC_PHYLO!A:C,3,FALSE),"-")</f>
        <v>sin</v>
      </c>
      <c r="AQ472" t="str">
        <f>_xlfn.IFNA(VLOOKUP(Sheet1!$C472,ConStruct!A:C,3,FALSE),"-")</f>
        <v>-</v>
      </c>
      <c r="AR472" t="str">
        <f>_xlfn.IFNA(VLOOKUP(Sheet1!$C472,GEA!A:C,3,FALSE),"-")</f>
        <v>-</v>
      </c>
      <c r="AS472" t="str">
        <f>_xlfn.IFNA(VLOOKUP(Sheet1!$C472,MAC_DSUITE!A:D,3,FALSE),"-")</f>
        <v>xxx</v>
      </c>
      <c r="AT472" t="str">
        <f>_xlfn.IFNA(VLOOKUP(Sheet1!$C472,MONG_DSUITE!A:E,2,FALSE),"-")</f>
        <v>sinuata</v>
      </c>
      <c r="AU472" t="str">
        <f>_xlfn.IFNA(VLOOKUP(Sheet1!$C472,MAC_PAINT2!A:D,4,FALSE),"-")</f>
        <v>-</v>
      </c>
    </row>
    <row r="473" spans="1:49" customFormat="1" x14ac:dyDescent="0.4">
      <c r="A473">
        <v>3924</v>
      </c>
      <c r="B473" t="s">
        <v>2241</v>
      </c>
      <c r="C473" t="s">
        <v>2242</v>
      </c>
      <c r="D473" t="str">
        <f>_xlfn.CONCAT(C473,".bam")</f>
        <v>SYST-MOR-0007161.bam</v>
      </c>
      <c r="E473" t="s">
        <v>2243</v>
      </c>
      <c r="F473" t="s">
        <v>2463</v>
      </c>
      <c r="G473" t="s">
        <v>2465</v>
      </c>
      <c r="H473" t="s">
        <v>2553</v>
      </c>
      <c r="I473" t="s">
        <v>2234</v>
      </c>
      <c r="K473" t="s">
        <v>45</v>
      </c>
      <c r="L473" t="s">
        <v>45</v>
      </c>
      <c r="N473" t="s">
        <v>45</v>
      </c>
      <c r="P473" t="s">
        <v>31</v>
      </c>
      <c r="Q473" t="s">
        <v>46</v>
      </c>
      <c r="R473" t="s">
        <v>2597</v>
      </c>
      <c r="S473" s="1">
        <v>44806</v>
      </c>
      <c r="T473" t="s">
        <v>33</v>
      </c>
      <c r="U473" t="s">
        <v>34</v>
      </c>
      <c r="V473" s="1">
        <v>44810</v>
      </c>
      <c r="W473" t="s">
        <v>35</v>
      </c>
      <c r="X473" t="s">
        <v>2169</v>
      </c>
      <c r="Y473" t="s">
        <v>2197</v>
      </c>
      <c r="Z473" t="s">
        <v>38</v>
      </c>
      <c r="AA473" t="s">
        <v>2234</v>
      </c>
      <c r="AD473" t="s">
        <v>45</v>
      </c>
      <c r="AE473">
        <v>29.587410999999999</v>
      </c>
      <c r="AF473">
        <v>-97.582911999999993</v>
      </c>
      <c r="AG473" t="s">
        <v>40</v>
      </c>
      <c r="AH473" t="s">
        <v>41</v>
      </c>
      <c r="AI473">
        <v>29.587284238100001</v>
      </c>
      <c r="AJ473">
        <v>-97.582226945200006</v>
      </c>
      <c r="AK473">
        <v>-1.267618999989395E-4</v>
      </c>
      <c r="AL473">
        <v>6.8505479998748342E-4</v>
      </c>
      <c r="AM473" t="str">
        <f>_xlfn.IFNA(VLOOKUP(Sheet1!$C473,ADMIX_ALL!A:B,2,FALSE),"none")</f>
        <v>K6-18</v>
      </c>
      <c r="AN473" t="str">
        <f>_xlfn.IFNA(VLOOKUP(Sheet1!C473,ADMIX_SS!A:B,2,FALSE),"none")</f>
        <v>SubSample</v>
      </c>
      <c r="AO473" t="str">
        <f>_xlfn.IFNA(VLOOKUP(Sheet1!$C473,MONG_PHYLO!A:C,3,FALSE),"-")</f>
        <v>-</v>
      </c>
      <c r="AP473" t="str">
        <f>_xlfn.IFNA(VLOOKUP(Sheet1!$C473,MAC_PHYLO!A:C,3,FALSE),"-")</f>
        <v>-</v>
      </c>
      <c r="AQ473" t="str">
        <f>_xlfn.IFNA(VLOOKUP(Sheet1!$C473,ConStruct!A:C,3,FALSE),"-")</f>
        <v>ConStruct</v>
      </c>
      <c r="AR473" t="str">
        <f>_xlfn.IFNA(VLOOKUP(Sheet1!$C473,GEA!A:C,3,FALSE),"-")</f>
        <v>GEA</v>
      </c>
      <c r="AS473" t="str">
        <f>_xlfn.IFNA(VLOOKUP(Sheet1!$C473,MAC_DSUITE!A:D,3,FALSE),"-")</f>
        <v>mac_TX_PLM</v>
      </c>
      <c r="AT473" t="str">
        <f>_xlfn.IFNA(VLOOKUP(Sheet1!$C473,MONG_DSUITE!A:E,2,FALSE),"-")</f>
        <v>macrocarpa_PLM</v>
      </c>
      <c r="AU473" t="str">
        <f>_xlfn.IFNA(VLOOKUP(Sheet1!$C473,MAC_PAINT2!A:D,4,FALSE),"-")</f>
        <v>macpaint</v>
      </c>
      <c r="AV473" t="s">
        <v>9193</v>
      </c>
      <c r="AW473" t="s">
        <v>9193</v>
      </c>
    </row>
    <row r="474" spans="1:49" customFormat="1" x14ac:dyDescent="0.4">
      <c r="A474">
        <v>3925</v>
      </c>
      <c r="B474" t="s">
        <v>2244</v>
      </c>
      <c r="C474" t="s">
        <v>2245</v>
      </c>
      <c r="D474" t="str">
        <f>_xlfn.CONCAT(C474,".bam")</f>
        <v>SYST-MOR-0007162.bam</v>
      </c>
      <c r="E474" t="s">
        <v>2246</v>
      </c>
      <c r="F474" t="s">
        <v>2463</v>
      </c>
      <c r="G474" t="s">
        <v>2465</v>
      </c>
      <c r="H474" t="s">
        <v>2553</v>
      </c>
      <c r="I474" t="s">
        <v>2234</v>
      </c>
      <c r="K474" t="s">
        <v>2226</v>
      </c>
      <c r="L474" t="s">
        <v>2226</v>
      </c>
      <c r="N474" t="s">
        <v>2226</v>
      </c>
      <c r="P474" t="s">
        <v>31</v>
      </c>
      <c r="Q474" t="s">
        <v>2227</v>
      </c>
      <c r="R474" t="s">
        <v>2605</v>
      </c>
      <c r="S474" s="1">
        <v>44806</v>
      </c>
      <c r="T474" t="s">
        <v>33</v>
      </c>
      <c r="U474" t="s">
        <v>34</v>
      </c>
      <c r="V474" s="1">
        <v>44810</v>
      </c>
      <c r="W474" t="s">
        <v>35</v>
      </c>
      <c r="X474" t="s">
        <v>2169</v>
      </c>
      <c r="Y474" t="s">
        <v>2197</v>
      </c>
      <c r="Z474" t="s">
        <v>38</v>
      </c>
      <c r="AA474" t="s">
        <v>2234</v>
      </c>
      <c r="AD474" t="s">
        <v>2226</v>
      </c>
      <c r="AE474">
        <v>29.587609</v>
      </c>
      <c r="AF474">
        <v>-97.583072000000001</v>
      </c>
      <c r="AG474" t="s">
        <v>40</v>
      </c>
      <c r="AH474" t="s">
        <v>41</v>
      </c>
      <c r="AI474">
        <v>29.587706225000002</v>
      </c>
      <c r="AJ474">
        <v>-97.5829695818</v>
      </c>
      <c r="AK474">
        <v>9.7225000001088802E-5</v>
      </c>
      <c r="AL474">
        <v>1.0241820000089774E-4</v>
      </c>
      <c r="AM474" t="str">
        <f>_xlfn.IFNA(VLOOKUP(Sheet1!$C474,ADMIX_ALL!A:B,2,FALSE),"none")</f>
        <v>K6-18</v>
      </c>
      <c r="AN474" t="str">
        <f>_xlfn.IFNA(VLOOKUP(Sheet1!C474,ADMIX_SS!A:B,2,FALSE),"none")</f>
        <v>Constant</v>
      </c>
      <c r="AO474" t="str">
        <f>_xlfn.IFNA(VLOOKUP(Sheet1!$C474,MONG_PHYLO!A:C,3,FALSE),"-")</f>
        <v>sin</v>
      </c>
      <c r="AP474" t="str">
        <f>_xlfn.IFNA(VLOOKUP(Sheet1!$C474,MAC_PHYLO!A:C,3,FALSE),"-")</f>
        <v>sin</v>
      </c>
      <c r="AQ474" t="str">
        <f>_xlfn.IFNA(VLOOKUP(Sheet1!$C474,ConStruct!A:C,3,FALSE),"-")</f>
        <v>-</v>
      </c>
      <c r="AR474" t="str">
        <f>_xlfn.IFNA(VLOOKUP(Sheet1!$C474,GEA!A:C,3,FALSE),"-")</f>
        <v>-</v>
      </c>
      <c r="AS474" t="str">
        <f>_xlfn.IFNA(VLOOKUP(Sheet1!$C474,MAC_DSUITE!A:D,3,FALSE),"-")</f>
        <v>xxx</v>
      </c>
      <c r="AT474" t="str">
        <f>_xlfn.IFNA(VLOOKUP(Sheet1!$C474,MONG_DSUITE!A:E,2,FALSE),"-")</f>
        <v>sinuata</v>
      </c>
      <c r="AU474" t="str">
        <f>_xlfn.IFNA(VLOOKUP(Sheet1!$C474,MAC_PAINT2!A:D,4,FALSE),"-")</f>
        <v>-</v>
      </c>
    </row>
    <row r="475" spans="1:49" customFormat="1" x14ac:dyDescent="0.4">
      <c r="A475">
        <v>3926</v>
      </c>
      <c r="B475" t="s">
        <v>2247</v>
      </c>
      <c r="C475" t="s">
        <v>2248</v>
      </c>
      <c r="D475" t="str">
        <f>_xlfn.CONCAT(C475,".bam")</f>
        <v>SYST-MOR-0007163.bam</v>
      </c>
      <c r="E475" t="s">
        <v>2249</v>
      </c>
      <c r="F475" t="s">
        <v>2463</v>
      </c>
      <c r="G475" t="s">
        <v>2465</v>
      </c>
      <c r="H475" t="s">
        <v>2553</v>
      </c>
      <c r="I475" t="s">
        <v>2234</v>
      </c>
      <c r="K475" t="s">
        <v>45</v>
      </c>
      <c r="L475" t="s">
        <v>45</v>
      </c>
      <c r="N475" t="s">
        <v>45</v>
      </c>
      <c r="P475" t="s">
        <v>31</v>
      </c>
      <c r="Q475" t="s">
        <v>46</v>
      </c>
      <c r="R475" t="s">
        <v>2597</v>
      </c>
      <c r="S475" s="1">
        <v>44806</v>
      </c>
      <c r="T475" t="s">
        <v>33</v>
      </c>
      <c r="U475" t="s">
        <v>34</v>
      </c>
      <c r="V475" s="1">
        <v>44810</v>
      </c>
      <c r="W475" t="s">
        <v>35</v>
      </c>
      <c r="X475" t="s">
        <v>2169</v>
      </c>
      <c r="Y475" t="s">
        <v>2197</v>
      </c>
      <c r="Z475" t="s">
        <v>38</v>
      </c>
      <c r="AA475" t="s">
        <v>2234</v>
      </c>
      <c r="AD475" t="s">
        <v>45</v>
      </c>
      <c r="AE475">
        <v>29.586587999999999</v>
      </c>
      <c r="AF475">
        <v>-97.584186000000003</v>
      </c>
      <c r="AG475" t="s">
        <v>40</v>
      </c>
      <c r="AH475" t="s">
        <v>41</v>
      </c>
      <c r="AI475">
        <v>29.586589001099998</v>
      </c>
      <c r="AJ475">
        <v>-97.584073059399998</v>
      </c>
      <c r="AK475">
        <v>1.001099999342614E-6</v>
      </c>
      <c r="AL475">
        <v>1.1294060000466288E-4</v>
      </c>
      <c r="AM475" t="str">
        <f>_xlfn.IFNA(VLOOKUP(Sheet1!$C475,ADMIX_ALL!A:B,2,FALSE),"none")</f>
        <v>K6-18</v>
      </c>
      <c r="AN475" t="str">
        <f>_xlfn.IFNA(VLOOKUP(Sheet1!C475,ADMIX_SS!A:B,2,FALSE),"none")</f>
        <v>SubSample</v>
      </c>
      <c r="AO475" t="str">
        <f>_xlfn.IFNA(VLOOKUP(Sheet1!$C475,MONG_PHYLO!A:C,3,FALSE),"-")</f>
        <v>-</v>
      </c>
      <c r="AP475" t="str">
        <f>_xlfn.IFNA(VLOOKUP(Sheet1!$C475,MAC_PHYLO!A:C,3,FALSE),"-")</f>
        <v>macS</v>
      </c>
      <c r="AQ475" t="str">
        <f>_xlfn.IFNA(VLOOKUP(Sheet1!$C475,ConStruct!A:C,3,FALSE),"-")</f>
        <v>ConStruct</v>
      </c>
      <c r="AR475" t="str">
        <f>_xlfn.IFNA(VLOOKUP(Sheet1!$C475,GEA!A:C,3,FALSE),"-")</f>
        <v>GEA</v>
      </c>
      <c r="AS475" t="str">
        <f>_xlfn.IFNA(VLOOKUP(Sheet1!$C475,MAC_DSUITE!A:D,3,FALSE),"-")</f>
        <v>mac_TX_PLM</v>
      </c>
      <c r="AT475" t="str">
        <f>_xlfn.IFNA(VLOOKUP(Sheet1!$C475,MONG_DSUITE!A:E,2,FALSE),"-")</f>
        <v>macrocarpa_PLM</v>
      </c>
      <c r="AU475" t="str">
        <f>_xlfn.IFNA(VLOOKUP(Sheet1!$C475,MAC_PAINT2!A:D,4,FALSE),"-")</f>
        <v>macpaint</v>
      </c>
      <c r="AV475" t="s">
        <v>9193</v>
      </c>
      <c r="AW475" t="s">
        <v>9193</v>
      </c>
    </row>
    <row r="476" spans="1:49" customFormat="1" x14ac:dyDescent="0.4">
      <c r="A476">
        <v>3927</v>
      </c>
      <c r="B476" t="s">
        <v>2250</v>
      </c>
      <c r="C476" t="s">
        <v>2251</v>
      </c>
      <c r="D476" t="str">
        <f>_xlfn.CONCAT(C476,".bam")</f>
        <v>SYST-MOR-0007164.bam</v>
      </c>
      <c r="E476" t="s">
        <v>2252</v>
      </c>
      <c r="F476" t="s">
        <v>2463</v>
      </c>
      <c r="G476" t="s">
        <v>2465</v>
      </c>
      <c r="H476" t="s">
        <v>2553</v>
      </c>
      <c r="I476" t="s">
        <v>2234</v>
      </c>
      <c r="K476" t="s">
        <v>45</v>
      </c>
      <c r="L476" t="s">
        <v>45</v>
      </c>
      <c r="N476" t="s">
        <v>45</v>
      </c>
      <c r="P476" t="s">
        <v>31</v>
      </c>
      <c r="Q476" t="s">
        <v>46</v>
      </c>
      <c r="R476" t="s">
        <v>2597</v>
      </c>
      <c r="S476" s="1">
        <v>44806</v>
      </c>
      <c r="T476" t="s">
        <v>33</v>
      </c>
      <c r="U476" t="s">
        <v>34</v>
      </c>
      <c r="V476" s="1">
        <v>44810</v>
      </c>
      <c r="W476" t="s">
        <v>35</v>
      </c>
      <c r="X476" t="s">
        <v>2169</v>
      </c>
      <c r="Y476" t="s">
        <v>2197</v>
      </c>
      <c r="Z476" t="s">
        <v>38</v>
      </c>
      <c r="AA476" t="s">
        <v>2234</v>
      </c>
      <c r="AD476" t="s">
        <v>45</v>
      </c>
      <c r="AE476">
        <v>29.587539</v>
      </c>
      <c r="AF476">
        <v>-97.584160999999995</v>
      </c>
      <c r="AG476" t="s">
        <v>40</v>
      </c>
      <c r="AH476" t="s">
        <v>41</v>
      </c>
      <c r="AI476">
        <v>29.587386706899999</v>
      </c>
      <c r="AJ476">
        <v>-97.584236757900001</v>
      </c>
      <c r="AK476">
        <v>-1.5229310000108853E-4</v>
      </c>
      <c r="AL476">
        <v>-7.5757900006578893E-5</v>
      </c>
      <c r="AM476" t="str">
        <f>_xlfn.IFNA(VLOOKUP(Sheet1!$C476,ADMIX_ALL!A:B,2,FALSE),"none")</f>
        <v>K6-18</v>
      </c>
      <c r="AN476" t="str">
        <f>_xlfn.IFNA(VLOOKUP(Sheet1!C476,ADMIX_SS!A:B,2,FALSE),"none")</f>
        <v>SubSample</v>
      </c>
      <c r="AO476" t="str">
        <f>_xlfn.IFNA(VLOOKUP(Sheet1!$C476,MONG_PHYLO!A:C,3,FALSE),"-")</f>
        <v>-</v>
      </c>
      <c r="AP476" t="str">
        <f>_xlfn.IFNA(VLOOKUP(Sheet1!$C476,MAC_PHYLO!A:C,3,FALSE),"-")</f>
        <v>-</v>
      </c>
      <c r="AQ476" t="str">
        <f>_xlfn.IFNA(VLOOKUP(Sheet1!$C476,ConStruct!A:C,3,FALSE),"-")</f>
        <v>ConStruct</v>
      </c>
      <c r="AR476" t="str">
        <f>_xlfn.IFNA(VLOOKUP(Sheet1!$C476,GEA!A:C,3,FALSE),"-")</f>
        <v>GEA</v>
      </c>
      <c r="AS476" t="str">
        <f>_xlfn.IFNA(VLOOKUP(Sheet1!$C476,MAC_DSUITE!A:D,3,FALSE),"-")</f>
        <v>mac_TX_PLM</v>
      </c>
      <c r="AT476" t="str">
        <f>_xlfn.IFNA(VLOOKUP(Sheet1!$C476,MONG_DSUITE!A:E,2,FALSE),"-")</f>
        <v>macrocarpa_PLM</v>
      </c>
      <c r="AU476" t="str">
        <f>_xlfn.IFNA(VLOOKUP(Sheet1!$C476,MAC_PAINT2!A:D,4,FALSE),"-")</f>
        <v>macpaint</v>
      </c>
      <c r="AV476" t="s">
        <v>9193</v>
      </c>
      <c r="AW476" t="s">
        <v>9193</v>
      </c>
    </row>
    <row r="477" spans="1:49" customFormat="1" x14ac:dyDescent="0.4">
      <c r="A477">
        <v>3928</v>
      </c>
      <c r="B477" t="s">
        <v>2253</v>
      </c>
      <c r="C477" t="s">
        <v>2254</v>
      </c>
      <c r="D477" t="str">
        <f>_xlfn.CONCAT(C477,".bam")</f>
        <v>SYST-MOR-0007165.bam</v>
      </c>
      <c r="E477" t="s">
        <v>2255</v>
      </c>
      <c r="F477" t="s">
        <v>2463</v>
      </c>
      <c r="G477" t="s">
        <v>2465</v>
      </c>
      <c r="H477" t="s">
        <v>2553</v>
      </c>
      <c r="I477" t="s">
        <v>2234</v>
      </c>
      <c r="K477" t="s">
        <v>2226</v>
      </c>
      <c r="L477" t="s">
        <v>2226</v>
      </c>
      <c r="N477" t="s">
        <v>2226</v>
      </c>
      <c r="P477" t="s">
        <v>31</v>
      </c>
      <c r="Q477" t="s">
        <v>2227</v>
      </c>
      <c r="R477" t="s">
        <v>2605</v>
      </c>
      <c r="S477" s="1">
        <v>44806</v>
      </c>
      <c r="T477" t="s">
        <v>33</v>
      </c>
      <c r="U477" t="s">
        <v>34</v>
      </c>
      <c r="V477" s="1">
        <v>44810</v>
      </c>
      <c r="W477" t="s">
        <v>35</v>
      </c>
      <c r="X477" t="s">
        <v>2169</v>
      </c>
      <c r="Y477" t="s">
        <v>2197</v>
      </c>
      <c r="Z477" t="s">
        <v>38</v>
      </c>
      <c r="AA477" t="s">
        <v>2234</v>
      </c>
      <c r="AD477" t="s">
        <v>2226</v>
      </c>
      <c r="AE477">
        <v>29.587637000000001</v>
      </c>
      <c r="AF477">
        <v>-97.583995999999999</v>
      </c>
      <c r="AG477" t="s">
        <v>40</v>
      </c>
      <c r="AH477" t="s">
        <v>41</v>
      </c>
      <c r="AI477">
        <v>29.587322501500001</v>
      </c>
      <c r="AJ477">
        <v>-97.583984546500005</v>
      </c>
      <c r="AK477">
        <v>-3.1449849999987123E-4</v>
      </c>
      <c r="AL477">
        <v>1.1453499993763216E-5</v>
      </c>
      <c r="AM477" t="str">
        <f>_xlfn.IFNA(VLOOKUP(Sheet1!$C477,ADMIX_ALL!A:B,2,FALSE),"none")</f>
        <v>K6-18</v>
      </c>
      <c r="AN477" t="str">
        <f>_xlfn.IFNA(VLOOKUP(Sheet1!C477,ADMIX_SS!A:B,2,FALSE),"none")</f>
        <v>SubSample</v>
      </c>
      <c r="AO477" t="str">
        <f>_xlfn.IFNA(VLOOKUP(Sheet1!$C477,MONG_PHYLO!A:C,3,FALSE),"-")</f>
        <v>-</v>
      </c>
      <c r="AP477" t="str">
        <f>_xlfn.IFNA(VLOOKUP(Sheet1!$C477,MAC_PHYLO!A:C,3,FALSE),"-")</f>
        <v>sin</v>
      </c>
      <c r="AQ477" t="str">
        <f>_xlfn.IFNA(VLOOKUP(Sheet1!$C477,ConStruct!A:C,3,FALSE),"-")</f>
        <v>-</v>
      </c>
      <c r="AR477" t="str">
        <f>_xlfn.IFNA(VLOOKUP(Sheet1!$C477,GEA!A:C,3,FALSE),"-")</f>
        <v>-</v>
      </c>
      <c r="AS477" t="str">
        <f>_xlfn.IFNA(VLOOKUP(Sheet1!$C477,MAC_DSUITE!A:D,3,FALSE),"-")</f>
        <v>xxx</v>
      </c>
      <c r="AT477" t="str">
        <f>_xlfn.IFNA(VLOOKUP(Sheet1!$C477,MONG_DSUITE!A:E,2,FALSE),"-")</f>
        <v>xxx</v>
      </c>
      <c r="AU477" t="str">
        <f>_xlfn.IFNA(VLOOKUP(Sheet1!$C477,MAC_PAINT2!A:D,4,FALSE),"-")</f>
        <v>-</v>
      </c>
    </row>
    <row r="478" spans="1:49" customFormat="1" x14ac:dyDescent="0.4">
      <c r="A478">
        <v>3929</v>
      </c>
      <c r="B478" t="s">
        <v>2256</v>
      </c>
      <c r="C478" t="s">
        <v>2257</v>
      </c>
      <c r="D478" t="str">
        <f>_xlfn.CONCAT(C478,".bam")</f>
        <v>SYST-MOR-0007166.bam</v>
      </c>
      <c r="E478" t="s">
        <v>2258</v>
      </c>
      <c r="F478" t="s">
        <v>2463</v>
      </c>
      <c r="G478" t="s">
        <v>2465</v>
      </c>
      <c r="H478" t="s">
        <v>2553</v>
      </c>
      <c r="I478" t="s">
        <v>2234</v>
      </c>
      <c r="K478" t="s">
        <v>2226</v>
      </c>
      <c r="L478" t="s">
        <v>2226</v>
      </c>
      <c r="N478" t="s">
        <v>2226</v>
      </c>
      <c r="P478" t="s">
        <v>31</v>
      </c>
      <c r="Q478" t="s">
        <v>2227</v>
      </c>
      <c r="R478" t="s">
        <v>2605</v>
      </c>
      <c r="S478" s="1">
        <v>44806</v>
      </c>
      <c r="T478" t="s">
        <v>33</v>
      </c>
      <c r="U478" t="s">
        <v>34</v>
      </c>
      <c r="V478" s="1">
        <v>44810</v>
      </c>
      <c r="W478" t="s">
        <v>35</v>
      </c>
      <c r="X478" t="s">
        <v>2169</v>
      </c>
      <c r="Y478" t="s">
        <v>2197</v>
      </c>
      <c r="Z478" t="s">
        <v>38</v>
      </c>
      <c r="AA478" t="s">
        <v>2234</v>
      </c>
      <c r="AD478" t="s">
        <v>2226</v>
      </c>
      <c r="AE478">
        <v>29.588522999999999</v>
      </c>
      <c r="AF478">
        <v>-97.583477000000002</v>
      </c>
      <c r="AG478" t="s">
        <v>40</v>
      </c>
      <c r="AH478" t="s">
        <v>41</v>
      </c>
      <c r="AI478">
        <v>29.5886833454</v>
      </c>
      <c r="AJ478">
        <v>-97.5834875834</v>
      </c>
      <c r="AK478">
        <v>1.6034540000120501E-4</v>
      </c>
      <c r="AL478">
        <v>-1.0583399998154164E-5</v>
      </c>
      <c r="AM478" t="str">
        <f>_xlfn.IFNA(VLOOKUP(Sheet1!$C478,ADMIX_ALL!A:B,2,FALSE),"none")</f>
        <v>K6-18</v>
      </c>
      <c r="AN478" t="str">
        <f>_xlfn.IFNA(VLOOKUP(Sheet1!C478,ADMIX_SS!A:B,2,FALSE),"none")</f>
        <v>Constant</v>
      </c>
      <c r="AO478" t="str">
        <f>_xlfn.IFNA(VLOOKUP(Sheet1!$C478,MONG_PHYLO!A:C,3,FALSE),"-")</f>
        <v>sin</v>
      </c>
      <c r="AP478" t="str">
        <f>_xlfn.IFNA(VLOOKUP(Sheet1!$C478,MAC_PHYLO!A:C,3,FALSE),"-")</f>
        <v>sin</v>
      </c>
      <c r="AQ478" t="str">
        <f>_xlfn.IFNA(VLOOKUP(Sheet1!$C478,ConStruct!A:C,3,FALSE),"-")</f>
        <v>-</v>
      </c>
      <c r="AR478" t="str">
        <f>_xlfn.IFNA(VLOOKUP(Sheet1!$C478,GEA!A:C,3,FALSE),"-")</f>
        <v>-</v>
      </c>
      <c r="AS478" t="str">
        <f>_xlfn.IFNA(VLOOKUP(Sheet1!$C478,MAC_DSUITE!A:D,3,FALSE),"-")</f>
        <v>xxx</v>
      </c>
      <c r="AT478" t="str">
        <f>_xlfn.IFNA(VLOOKUP(Sheet1!$C478,MONG_DSUITE!A:E,2,FALSE),"-")</f>
        <v>sinuata</v>
      </c>
      <c r="AU478" t="str">
        <f>_xlfn.IFNA(VLOOKUP(Sheet1!$C478,MAC_PAINT2!A:D,4,FALSE),"-")</f>
        <v>-</v>
      </c>
    </row>
    <row r="479" spans="1:49" customFormat="1" x14ac:dyDescent="0.4">
      <c r="A479">
        <v>3930</v>
      </c>
      <c r="B479" t="s">
        <v>2259</v>
      </c>
      <c r="C479" t="s">
        <v>2260</v>
      </c>
      <c r="D479" t="str">
        <f>_xlfn.CONCAT(C479,".bam")</f>
        <v>SYST-MOR-0007167.bam</v>
      </c>
      <c r="E479" t="s">
        <v>2261</v>
      </c>
      <c r="F479" t="s">
        <v>2463</v>
      </c>
      <c r="G479" t="s">
        <v>2465</v>
      </c>
      <c r="H479" t="s">
        <v>2553</v>
      </c>
      <c r="I479" t="s">
        <v>2234</v>
      </c>
      <c r="K479" t="s">
        <v>2226</v>
      </c>
      <c r="L479" t="s">
        <v>2226</v>
      </c>
      <c r="N479" t="s">
        <v>2226</v>
      </c>
      <c r="P479" t="s">
        <v>31</v>
      </c>
      <c r="Q479" t="s">
        <v>2227</v>
      </c>
      <c r="R479" t="s">
        <v>2605</v>
      </c>
      <c r="S479" s="1">
        <v>44806</v>
      </c>
      <c r="T479" t="s">
        <v>33</v>
      </c>
      <c r="U479" t="s">
        <v>34</v>
      </c>
      <c r="V479" s="1">
        <v>44810</v>
      </c>
      <c r="W479" t="s">
        <v>35</v>
      </c>
      <c r="X479" t="s">
        <v>2169</v>
      </c>
      <c r="Y479" t="s">
        <v>2197</v>
      </c>
      <c r="Z479" t="s">
        <v>38</v>
      </c>
      <c r="AA479" t="s">
        <v>2234</v>
      </c>
      <c r="AD479" t="s">
        <v>2226</v>
      </c>
      <c r="AE479">
        <v>29.589383999999999</v>
      </c>
      <c r="AF479">
        <v>-97.582702999999995</v>
      </c>
      <c r="AG479" t="s">
        <v>40</v>
      </c>
      <c r="AH479" t="s">
        <v>41</v>
      </c>
      <c r="AI479">
        <v>29.5895885909</v>
      </c>
      <c r="AJ479">
        <v>-97.582771433600001</v>
      </c>
      <c r="AK479">
        <v>2.0459090000102265E-4</v>
      </c>
      <c r="AL479">
        <v>-6.8433600006301276E-5</v>
      </c>
      <c r="AM479" t="str">
        <f>_xlfn.IFNA(VLOOKUP(Sheet1!$C479,ADMIX_ALL!A:B,2,FALSE),"none")</f>
        <v>K6-18</v>
      </c>
      <c r="AN479" t="str">
        <f>_xlfn.IFNA(VLOOKUP(Sheet1!C479,ADMIX_SS!A:B,2,FALSE),"none")</f>
        <v>Constant</v>
      </c>
      <c r="AO479" t="str">
        <f>_xlfn.IFNA(VLOOKUP(Sheet1!$C479,MONG_PHYLO!A:C,3,FALSE),"-")</f>
        <v>sin</v>
      </c>
      <c r="AP479" t="str">
        <f>_xlfn.IFNA(VLOOKUP(Sheet1!$C479,MAC_PHYLO!A:C,3,FALSE),"-")</f>
        <v>-</v>
      </c>
      <c r="AQ479" t="str">
        <f>_xlfn.IFNA(VLOOKUP(Sheet1!$C479,ConStruct!A:C,3,FALSE),"-")</f>
        <v>-</v>
      </c>
      <c r="AR479" t="str">
        <f>_xlfn.IFNA(VLOOKUP(Sheet1!$C479,GEA!A:C,3,FALSE),"-")</f>
        <v>-</v>
      </c>
      <c r="AS479" t="str">
        <f>_xlfn.IFNA(VLOOKUP(Sheet1!$C479,MAC_DSUITE!A:D,3,FALSE),"-")</f>
        <v>-</v>
      </c>
      <c r="AT479" t="str">
        <f>_xlfn.IFNA(VLOOKUP(Sheet1!$C479,MONG_DSUITE!A:E,2,FALSE),"-")</f>
        <v>sinuata</v>
      </c>
      <c r="AU479" t="str">
        <f>_xlfn.IFNA(VLOOKUP(Sheet1!$C479,MAC_PAINT2!A:D,4,FALSE),"-")</f>
        <v>-</v>
      </c>
    </row>
    <row r="480" spans="1:49" customFormat="1" x14ac:dyDescent="0.4">
      <c r="A480">
        <v>3931</v>
      </c>
      <c r="B480" t="s">
        <v>2262</v>
      </c>
      <c r="C480" t="s">
        <v>2263</v>
      </c>
      <c r="D480" t="str">
        <f>_xlfn.CONCAT(C480,".bam")</f>
        <v>SYST-MOR-0007168.bam</v>
      </c>
      <c r="E480" t="s">
        <v>2264</v>
      </c>
      <c r="F480" t="s">
        <v>2463</v>
      </c>
      <c r="G480" t="s">
        <v>2465</v>
      </c>
      <c r="H480" t="s">
        <v>2553</v>
      </c>
      <c r="I480" t="s">
        <v>2234</v>
      </c>
      <c r="K480" t="s">
        <v>45</v>
      </c>
      <c r="L480" t="s">
        <v>45</v>
      </c>
      <c r="N480" t="s">
        <v>45</v>
      </c>
      <c r="P480" t="s">
        <v>31</v>
      </c>
      <c r="Q480" t="s">
        <v>46</v>
      </c>
      <c r="R480" t="s">
        <v>2597</v>
      </c>
      <c r="S480" s="1">
        <v>44806</v>
      </c>
      <c r="T480" t="s">
        <v>33</v>
      </c>
      <c r="U480" t="s">
        <v>34</v>
      </c>
      <c r="V480" s="1">
        <v>44810</v>
      </c>
      <c r="W480" t="s">
        <v>35</v>
      </c>
      <c r="X480" t="s">
        <v>2169</v>
      </c>
      <c r="Y480" t="s">
        <v>2197</v>
      </c>
      <c r="Z480" t="s">
        <v>38</v>
      </c>
      <c r="AA480" t="s">
        <v>2234</v>
      </c>
      <c r="AD480" t="s">
        <v>45</v>
      </c>
      <c r="AE480">
        <v>29.588875999999999</v>
      </c>
      <c r="AF480">
        <v>-97.583517000000001</v>
      </c>
      <c r="AG480" t="s">
        <v>40</v>
      </c>
      <c r="AH480" t="s">
        <v>41</v>
      </c>
      <c r="AI480">
        <v>29.5891234791</v>
      </c>
      <c r="AJ480">
        <v>-97.583497390199994</v>
      </c>
      <c r="AK480">
        <v>2.4747910000044726E-4</v>
      </c>
      <c r="AL480">
        <v>1.9609800006037403E-5</v>
      </c>
      <c r="AM480" t="str">
        <f>_xlfn.IFNA(VLOOKUP(Sheet1!$C480,ADMIX_ALL!A:B,2,FALSE),"none")</f>
        <v>K6-18</v>
      </c>
      <c r="AN480" t="str">
        <f>_xlfn.IFNA(VLOOKUP(Sheet1!C480,ADMIX_SS!A:B,2,FALSE),"none")</f>
        <v>SubSample</v>
      </c>
      <c r="AO480" t="str">
        <f>_xlfn.IFNA(VLOOKUP(Sheet1!$C480,MONG_PHYLO!A:C,3,FALSE),"-")</f>
        <v>-</v>
      </c>
      <c r="AP480" t="str">
        <f>_xlfn.IFNA(VLOOKUP(Sheet1!$C480,MAC_PHYLO!A:C,3,FALSE),"-")</f>
        <v>-</v>
      </c>
      <c r="AQ480" t="str">
        <f>_xlfn.IFNA(VLOOKUP(Sheet1!$C480,ConStruct!A:C,3,FALSE),"-")</f>
        <v>ConStruct</v>
      </c>
      <c r="AR480" t="str">
        <f>_xlfn.IFNA(VLOOKUP(Sheet1!$C480,GEA!A:C,3,FALSE),"-")</f>
        <v>GEA</v>
      </c>
      <c r="AS480" t="str">
        <f>_xlfn.IFNA(VLOOKUP(Sheet1!$C480,MAC_DSUITE!A:D,3,FALSE),"-")</f>
        <v>mac_TX_PLM</v>
      </c>
      <c r="AT480" t="str">
        <f>_xlfn.IFNA(VLOOKUP(Sheet1!$C480,MONG_DSUITE!A:E,2,FALSE),"-")</f>
        <v>macrocarpa_PLM</v>
      </c>
      <c r="AU480" t="str">
        <f>_xlfn.IFNA(VLOOKUP(Sheet1!$C480,MAC_PAINT2!A:D,4,FALSE),"-")</f>
        <v>macpaint</v>
      </c>
      <c r="AV480" t="s">
        <v>9193</v>
      </c>
      <c r="AW480" t="s">
        <v>9193</v>
      </c>
    </row>
    <row r="481" spans="1:49" customFormat="1" x14ac:dyDescent="0.4">
      <c r="A481">
        <v>3932</v>
      </c>
      <c r="B481" t="s">
        <v>2193</v>
      </c>
      <c r="C481" t="s">
        <v>2194</v>
      </c>
      <c r="D481" t="str">
        <f>_xlfn.CONCAT(C481,".bam")</f>
        <v>SYST-MOR-0007169.bam</v>
      </c>
      <c r="E481" t="s">
        <v>2195</v>
      </c>
      <c r="F481" t="s">
        <v>2463</v>
      </c>
      <c r="G481" t="s">
        <v>2403</v>
      </c>
      <c r="H481" t="s">
        <v>2552</v>
      </c>
      <c r="I481" t="s">
        <v>2198</v>
      </c>
      <c r="K481" s="11" t="s">
        <v>1079</v>
      </c>
      <c r="L481" t="s">
        <v>50</v>
      </c>
      <c r="N481" t="s">
        <v>50</v>
      </c>
      <c r="P481" t="s">
        <v>31</v>
      </c>
      <c r="Q481" t="s">
        <v>51</v>
      </c>
      <c r="R481" t="s">
        <v>2598</v>
      </c>
      <c r="S481" s="1">
        <v>44808</v>
      </c>
      <c r="T481" t="s">
        <v>2196</v>
      </c>
      <c r="U481" t="s">
        <v>34</v>
      </c>
      <c r="V481" s="1">
        <v>44810</v>
      </c>
      <c r="W481" t="s">
        <v>35</v>
      </c>
      <c r="X481" t="s">
        <v>2169</v>
      </c>
      <c r="Y481" t="s">
        <v>2197</v>
      </c>
      <c r="Z481" t="s">
        <v>38</v>
      </c>
      <c r="AA481" t="s">
        <v>2198</v>
      </c>
      <c r="AD481" t="s">
        <v>50</v>
      </c>
      <c r="AE481">
        <v>32.637725000000003</v>
      </c>
      <c r="AF481">
        <v>-96.977413999999996</v>
      </c>
      <c r="AG481" t="s">
        <v>40</v>
      </c>
      <c r="AH481" t="s">
        <v>41</v>
      </c>
      <c r="AI481">
        <v>32.637773710300003</v>
      </c>
      <c r="AJ481">
        <v>-96.977354362699998</v>
      </c>
      <c r="AK481">
        <v>4.8710299999754625E-5</v>
      </c>
      <c r="AL481">
        <v>5.9637299997916671E-5</v>
      </c>
      <c r="AM481" t="str">
        <f>_xlfn.IFNA(VLOOKUP(Sheet1!$C481,ADMIX_ALL!A:B,2,FALSE),"none")</f>
        <v>K6-18</v>
      </c>
      <c r="AN481" t="str">
        <f>_xlfn.IFNA(VLOOKUP(Sheet1!C481,ADMIX_SS!A:B,2,FALSE),"none")</f>
        <v>SubSample</v>
      </c>
      <c r="AO481" t="str">
        <f>_xlfn.IFNA(VLOOKUP(Sheet1!$C481,MONG_PHYLO!A:C,3,FALSE),"-")</f>
        <v>-</v>
      </c>
      <c r="AP481" t="str">
        <f>_xlfn.IFNA(VLOOKUP(Sheet1!$C481,MAC_PHYLO!A:C,3,FALSE),"-")</f>
        <v>-</v>
      </c>
      <c r="AQ481" t="str">
        <f>_xlfn.IFNA(VLOOKUP(Sheet1!$C481,ConStruct!A:C,3,FALSE),"-")</f>
        <v>-</v>
      </c>
      <c r="AR481" t="str">
        <f>_xlfn.IFNA(VLOOKUP(Sheet1!$C481,GEA!A:C,3,FALSE),"-")</f>
        <v>-</v>
      </c>
      <c r="AS481" t="str">
        <f>_xlfn.IFNA(VLOOKUP(Sheet1!$C481,MAC_DSUITE!A:D,3,FALSE),"-")</f>
        <v>-</v>
      </c>
      <c r="AT481" t="str">
        <f>_xlfn.IFNA(VLOOKUP(Sheet1!$C481,MONG_DSUITE!A:E,2,FALSE),"-")</f>
        <v>xxx</v>
      </c>
      <c r="AU481" t="str">
        <f>_xlfn.IFNA(VLOOKUP(Sheet1!$C481,MAC_PAINT2!A:D,4,FALSE),"-")</f>
        <v>-</v>
      </c>
    </row>
    <row r="482" spans="1:49" customFormat="1" x14ac:dyDescent="0.4">
      <c r="A482">
        <v>3933</v>
      </c>
      <c r="B482" t="s">
        <v>2199</v>
      </c>
      <c r="C482" t="s">
        <v>2200</v>
      </c>
      <c r="D482" t="str">
        <f>_xlfn.CONCAT(C482,".bam")</f>
        <v>SYST-MOR-0007170.bam</v>
      </c>
      <c r="E482" t="s">
        <v>2201</v>
      </c>
      <c r="F482" t="s">
        <v>2463</v>
      </c>
      <c r="G482" t="s">
        <v>2403</v>
      </c>
      <c r="H482" t="s">
        <v>2552</v>
      </c>
      <c r="I482" t="s">
        <v>2198</v>
      </c>
      <c r="K482" s="11" t="s">
        <v>50</v>
      </c>
      <c r="L482" t="s">
        <v>50</v>
      </c>
      <c r="N482" t="s">
        <v>50</v>
      </c>
      <c r="P482" t="s">
        <v>113</v>
      </c>
      <c r="Q482" t="s">
        <v>51</v>
      </c>
      <c r="R482" t="s">
        <v>2598</v>
      </c>
      <c r="S482" s="1">
        <v>44808</v>
      </c>
      <c r="T482" t="s">
        <v>2196</v>
      </c>
      <c r="U482" t="s">
        <v>34</v>
      </c>
      <c r="V482" s="1">
        <v>44810</v>
      </c>
      <c r="W482" t="s">
        <v>35</v>
      </c>
      <c r="X482" t="s">
        <v>2169</v>
      </c>
      <c r="Y482" t="s">
        <v>2197</v>
      </c>
      <c r="Z482" t="s">
        <v>38</v>
      </c>
      <c r="AA482" t="s">
        <v>2198</v>
      </c>
      <c r="AD482" t="s">
        <v>50</v>
      </c>
      <c r="AE482">
        <v>32.638171</v>
      </c>
      <c r="AF482">
        <v>-96.977670000000003</v>
      </c>
      <c r="AG482" t="s">
        <v>40</v>
      </c>
      <c r="AH482" t="s">
        <v>41</v>
      </c>
      <c r="AI482">
        <v>32.638212083900001</v>
      </c>
      <c r="AJ482">
        <v>-96.977670276599994</v>
      </c>
      <c r="AK482">
        <v>4.1083900001126494E-5</v>
      </c>
      <c r="AL482">
        <v>-2.7659999091156351E-7</v>
      </c>
      <c r="AM482" t="str">
        <f>_xlfn.IFNA(VLOOKUP(Sheet1!$C482,ADMIX_ALL!A:B,2,FALSE),"none")</f>
        <v>K6-18</v>
      </c>
      <c r="AN482" t="str">
        <f>_xlfn.IFNA(VLOOKUP(Sheet1!C482,ADMIX_SS!A:B,2,FALSE),"none")</f>
        <v>SubSample</v>
      </c>
      <c r="AO482" t="str">
        <f>_xlfn.IFNA(VLOOKUP(Sheet1!$C482,MONG_PHYLO!A:C,3,FALSE),"-")</f>
        <v>-</v>
      </c>
      <c r="AP482" t="str">
        <f>_xlfn.IFNA(VLOOKUP(Sheet1!$C482,MAC_PHYLO!A:C,3,FALSE),"-")</f>
        <v>-</v>
      </c>
      <c r="AQ482" t="str">
        <f>_xlfn.IFNA(VLOOKUP(Sheet1!$C482,ConStruct!A:C,3,FALSE),"-")</f>
        <v>-</v>
      </c>
      <c r="AR482" t="str">
        <f>_xlfn.IFNA(VLOOKUP(Sheet1!$C482,GEA!A:C,3,FALSE),"-")</f>
        <v>-</v>
      </c>
      <c r="AS482" t="str">
        <f>_xlfn.IFNA(VLOOKUP(Sheet1!$C482,MAC_DSUITE!A:D,3,FALSE),"-")</f>
        <v>-</v>
      </c>
      <c r="AT482" t="str">
        <f>_xlfn.IFNA(VLOOKUP(Sheet1!$C482,MONG_DSUITE!A:E,2,FALSE),"-")</f>
        <v>xxx</v>
      </c>
      <c r="AU482" t="str">
        <f>_xlfn.IFNA(VLOOKUP(Sheet1!$C482,MAC_PAINT2!A:D,4,FALSE),"-")</f>
        <v>-</v>
      </c>
    </row>
    <row r="483" spans="1:49" customFormat="1" x14ac:dyDescent="0.4">
      <c r="A483">
        <v>3934</v>
      </c>
      <c r="B483" t="s">
        <v>2202</v>
      </c>
      <c r="C483" t="s">
        <v>2203</v>
      </c>
      <c r="D483" t="str">
        <f>_xlfn.CONCAT(C483,".bam")</f>
        <v>SYST-MOR-0007171.bam</v>
      </c>
      <c r="E483" t="s">
        <v>2204</v>
      </c>
      <c r="F483" t="s">
        <v>2463</v>
      </c>
      <c r="G483" t="s">
        <v>2403</v>
      </c>
      <c r="H483" t="s">
        <v>2552</v>
      </c>
      <c r="I483" t="s">
        <v>2198</v>
      </c>
      <c r="K483" s="11" t="s">
        <v>45</v>
      </c>
      <c r="L483" t="s">
        <v>45</v>
      </c>
      <c r="N483" t="s">
        <v>45</v>
      </c>
      <c r="P483" t="s">
        <v>31</v>
      </c>
      <c r="Q483" t="s">
        <v>46</v>
      </c>
      <c r="R483" t="s">
        <v>2597</v>
      </c>
      <c r="S483" s="1">
        <v>44808</v>
      </c>
      <c r="T483" t="s">
        <v>2196</v>
      </c>
      <c r="U483" t="s">
        <v>34</v>
      </c>
      <c r="V483" s="1">
        <v>44810</v>
      </c>
      <c r="W483" t="s">
        <v>35</v>
      </c>
      <c r="X483" t="s">
        <v>2169</v>
      </c>
      <c r="Y483" t="s">
        <v>2197</v>
      </c>
      <c r="Z483" t="s">
        <v>38</v>
      </c>
      <c r="AA483" t="s">
        <v>2198</v>
      </c>
      <c r="AD483" t="s">
        <v>45</v>
      </c>
      <c r="AE483">
        <v>32.638187000000002</v>
      </c>
      <c r="AF483">
        <v>-96.975785999999999</v>
      </c>
      <c r="AG483" t="s">
        <v>40</v>
      </c>
      <c r="AH483" t="s">
        <v>41</v>
      </c>
      <c r="AI483">
        <v>32.638365514599997</v>
      </c>
      <c r="AJ483">
        <v>-96.976029267599998</v>
      </c>
      <c r="AK483">
        <v>1.7851459999462804E-4</v>
      </c>
      <c r="AL483">
        <v>-2.4326759999837577E-4</v>
      </c>
      <c r="AM483" t="str">
        <f>_xlfn.IFNA(VLOOKUP(Sheet1!$C483,ADMIX_ALL!A:B,2,FALSE),"none")</f>
        <v>K6-18</v>
      </c>
      <c r="AN483" t="str">
        <f>_xlfn.IFNA(VLOOKUP(Sheet1!C483,ADMIX_SS!A:B,2,FALSE),"none")</f>
        <v>SubSample</v>
      </c>
      <c r="AO483" t="str">
        <f>_xlfn.IFNA(VLOOKUP(Sheet1!$C483,MONG_PHYLO!A:C,3,FALSE),"-")</f>
        <v>-</v>
      </c>
      <c r="AP483" t="str">
        <f>_xlfn.IFNA(VLOOKUP(Sheet1!$C483,MAC_PHYLO!A:C,3,FALSE),"-")</f>
        <v>-</v>
      </c>
      <c r="AQ483" t="str">
        <f>_xlfn.IFNA(VLOOKUP(Sheet1!$C483,ConStruct!A:C,3,FALSE),"-")</f>
        <v>ConStruct</v>
      </c>
      <c r="AR483" t="str">
        <f>_xlfn.IFNA(VLOOKUP(Sheet1!$C483,GEA!A:C,3,FALSE),"-")</f>
        <v>GEA</v>
      </c>
      <c r="AS483" t="str">
        <f>_xlfn.IFNA(VLOOKUP(Sheet1!$C483,MAC_DSUITE!A:D,3,FALSE),"-")</f>
        <v>mac_TX_CHP</v>
      </c>
      <c r="AT483" t="str">
        <f>_xlfn.IFNA(VLOOKUP(Sheet1!$C483,MONG_DSUITE!A:E,2,FALSE),"-")</f>
        <v>macrocarpa_CHS</v>
      </c>
      <c r="AU483" t="str">
        <f>_xlfn.IFNA(VLOOKUP(Sheet1!$C483,MAC_PAINT2!A:D,4,FALSE),"-")</f>
        <v>macpaint</v>
      </c>
      <c r="AV483" t="s">
        <v>9193</v>
      </c>
      <c r="AW483" t="s">
        <v>9193</v>
      </c>
    </row>
    <row r="484" spans="1:49" customFormat="1" x14ac:dyDescent="0.4">
      <c r="A484">
        <v>3935</v>
      </c>
      <c r="B484" t="s">
        <v>2205</v>
      </c>
      <c r="C484" t="s">
        <v>2206</v>
      </c>
      <c r="D484" t="str">
        <f>_xlfn.CONCAT(C484,".bam")</f>
        <v>SYST-MOR-0007172.bam</v>
      </c>
      <c r="E484" t="s">
        <v>2207</v>
      </c>
      <c r="F484" t="s">
        <v>2463</v>
      </c>
      <c r="G484" t="s">
        <v>2403</v>
      </c>
      <c r="H484" t="s">
        <v>2552</v>
      </c>
      <c r="I484" t="s">
        <v>2198</v>
      </c>
      <c r="K484" s="11" t="s">
        <v>1079</v>
      </c>
      <c r="L484" t="s">
        <v>50</v>
      </c>
      <c r="N484" t="s">
        <v>50</v>
      </c>
      <c r="P484" t="s">
        <v>113</v>
      </c>
      <c r="Q484" t="s">
        <v>51</v>
      </c>
      <c r="R484" t="s">
        <v>2598</v>
      </c>
      <c r="S484" s="1">
        <v>44808</v>
      </c>
      <c r="T484" t="s">
        <v>2196</v>
      </c>
      <c r="U484" t="s">
        <v>34</v>
      </c>
      <c r="V484" s="1">
        <v>44810</v>
      </c>
      <c r="W484" t="s">
        <v>35</v>
      </c>
      <c r="X484" t="s">
        <v>2169</v>
      </c>
      <c r="Y484" t="s">
        <v>2197</v>
      </c>
      <c r="Z484" t="s">
        <v>38</v>
      </c>
      <c r="AA484" t="s">
        <v>2198</v>
      </c>
      <c r="AD484" t="s">
        <v>50</v>
      </c>
      <c r="AE484">
        <v>32.637915</v>
      </c>
      <c r="AF484">
        <v>-96.978442999999999</v>
      </c>
      <c r="AG484" t="s">
        <v>40</v>
      </c>
      <c r="AH484" t="s">
        <v>41</v>
      </c>
      <c r="AI484">
        <v>32.638009032299998</v>
      </c>
      <c r="AJ484">
        <v>-96.978491200199997</v>
      </c>
      <c r="AK484">
        <v>9.4032299998048074E-5</v>
      </c>
      <c r="AL484">
        <v>-4.8200199998404969E-5</v>
      </c>
      <c r="AM484" t="str">
        <f>_xlfn.IFNA(VLOOKUP(Sheet1!$C484,ADMIX_ALL!A:B,2,FALSE),"none")</f>
        <v>K6-18</v>
      </c>
      <c r="AN484" t="str">
        <f>_xlfn.IFNA(VLOOKUP(Sheet1!C484,ADMIX_SS!A:B,2,FALSE),"none")</f>
        <v>SubSample</v>
      </c>
      <c r="AO484" t="str">
        <f>_xlfn.IFNA(VLOOKUP(Sheet1!$C484,MONG_PHYLO!A:C,3,FALSE),"-")</f>
        <v>-</v>
      </c>
      <c r="AP484" t="str">
        <f>_xlfn.IFNA(VLOOKUP(Sheet1!$C484,MAC_PHYLO!A:C,3,FALSE),"-")</f>
        <v>-</v>
      </c>
      <c r="AQ484" t="str">
        <f>_xlfn.IFNA(VLOOKUP(Sheet1!$C484,ConStruct!A:C,3,FALSE),"-")</f>
        <v>-</v>
      </c>
      <c r="AR484" t="str">
        <f>_xlfn.IFNA(VLOOKUP(Sheet1!$C484,GEA!A:C,3,FALSE),"-")</f>
        <v>-</v>
      </c>
      <c r="AS484" t="str">
        <f>_xlfn.IFNA(VLOOKUP(Sheet1!$C484,MAC_DSUITE!A:D,3,FALSE),"-")</f>
        <v>-</v>
      </c>
      <c r="AT484" t="str">
        <f>_xlfn.IFNA(VLOOKUP(Sheet1!$C484,MONG_DSUITE!A:E,2,FALSE),"-")</f>
        <v>xxx</v>
      </c>
      <c r="AU484" t="str">
        <f>_xlfn.IFNA(VLOOKUP(Sheet1!$C484,MAC_PAINT2!A:D,4,FALSE),"-")</f>
        <v>-</v>
      </c>
    </row>
    <row r="485" spans="1:49" customFormat="1" x14ac:dyDescent="0.4">
      <c r="A485">
        <v>3936</v>
      </c>
      <c r="B485" t="s">
        <v>2208</v>
      </c>
      <c r="C485" t="s">
        <v>2209</v>
      </c>
      <c r="D485" t="str">
        <f>_xlfn.CONCAT(C485,".bam")</f>
        <v>SYST-MOR-0007173.bam</v>
      </c>
      <c r="E485" t="s">
        <v>2210</v>
      </c>
      <c r="F485" t="s">
        <v>2463</v>
      </c>
      <c r="G485" t="s">
        <v>2403</v>
      </c>
      <c r="H485" t="s">
        <v>2552</v>
      </c>
      <c r="I485" t="s">
        <v>2198</v>
      </c>
      <c r="K485" s="11" t="s">
        <v>50</v>
      </c>
      <c r="L485" t="s">
        <v>50</v>
      </c>
      <c r="N485" t="s">
        <v>50</v>
      </c>
      <c r="P485" t="s">
        <v>31</v>
      </c>
      <c r="Q485" t="s">
        <v>51</v>
      </c>
      <c r="R485" t="s">
        <v>2598</v>
      </c>
      <c r="S485" s="1">
        <v>44808</v>
      </c>
      <c r="T485" t="s">
        <v>2196</v>
      </c>
      <c r="U485" t="s">
        <v>34</v>
      </c>
      <c r="V485" s="1">
        <v>44810</v>
      </c>
      <c r="W485" t="s">
        <v>35</v>
      </c>
      <c r="X485" t="s">
        <v>2169</v>
      </c>
      <c r="Y485" t="s">
        <v>2197</v>
      </c>
      <c r="Z485" t="s">
        <v>38</v>
      </c>
      <c r="AA485" t="s">
        <v>2198</v>
      </c>
      <c r="AD485" t="s">
        <v>50</v>
      </c>
      <c r="AE485">
        <v>32.638393999999998</v>
      </c>
      <c r="AF485">
        <v>-96.979085999999995</v>
      </c>
      <c r="AG485" t="s">
        <v>40</v>
      </c>
      <c r="AH485" t="s">
        <v>41</v>
      </c>
      <c r="AI485">
        <v>32.638398413600001</v>
      </c>
      <c r="AJ485">
        <v>-96.979216151000003</v>
      </c>
      <c r="AK485">
        <v>4.4136000028061062E-6</v>
      </c>
      <c r="AL485">
        <v>-1.3015100000757229E-4</v>
      </c>
      <c r="AM485" t="str">
        <f>_xlfn.IFNA(VLOOKUP(Sheet1!$C485,ADMIX_ALL!A:B,2,FALSE),"none")</f>
        <v>K6-18</v>
      </c>
      <c r="AN485" t="str">
        <f>_xlfn.IFNA(VLOOKUP(Sheet1!C485,ADMIX_SS!A:B,2,FALSE),"none")</f>
        <v>Constant</v>
      </c>
      <c r="AO485" t="str">
        <f>_xlfn.IFNA(VLOOKUP(Sheet1!$C485,MONG_PHYLO!A:C,3,FALSE),"-")</f>
        <v>ste</v>
      </c>
      <c r="AP485" t="str">
        <f>_xlfn.IFNA(VLOOKUP(Sheet1!$C485,MAC_PHYLO!A:C,3,FALSE),"-")</f>
        <v>-</v>
      </c>
      <c r="AQ485" t="str">
        <f>_xlfn.IFNA(VLOOKUP(Sheet1!$C485,ConStruct!A:C,3,FALSE),"-")</f>
        <v>-</v>
      </c>
      <c r="AR485" t="str">
        <f>_xlfn.IFNA(VLOOKUP(Sheet1!$C485,GEA!A:C,3,FALSE),"-")</f>
        <v>-</v>
      </c>
      <c r="AS485" t="str">
        <f>_xlfn.IFNA(VLOOKUP(Sheet1!$C485,MAC_DSUITE!A:D,3,FALSE),"-")</f>
        <v>-</v>
      </c>
      <c r="AT485" t="str">
        <f>_xlfn.IFNA(VLOOKUP(Sheet1!$C485,MONG_DSUITE!A:E,2,FALSE),"-")</f>
        <v>stellata</v>
      </c>
      <c r="AU485" t="str">
        <f>_xlfn.IFNA(VLOOKUP(Sheet1!$C485,MAC_PAINT2!A:D,4,FALSE),"-")</f>
        <v>-</v>
      </c>
    </row>
    <row r="486" spans="1:49" customFormat="1" x14ac:dyDescent="0.4">
      <c r="A486">
        <v>3937</v>
      </c>
      <c r="B486" t="s">
        <v>2211</v>
      </c>
      <c r="C486" t="s">
        <v>2212</v>
      </c>
      <c r="D486" t="str">
        <f>_xlfn.CONCAT(C486,".bam")</f>
        <v>SYST-MOR-0007174.bam</v>
      </c>
      <c r="E486" t="s">
        <v>2213</v>
      </c>
      <c r="F486" t="s">
        <v>2463</v>
      </c>
      <c r="G486" t="s">
        <v>2403</v>
      </c>
      <c r="H486" t="s">
        <v>2552</v>
      </c>
      <c r="I486" t="s">
        <v>2198</v>
      </c>
      <c r="K486" s="11" t="s">
        <v>45</v>
      </c>
      <c r="L486" t="s">
        <v>45</v>
      </c>
      <c r="N486" t="s">
        <v>45</v>
      </c>
      <c r="P486" t="s">
        <v>113</v>
      </c>
      <c r="Q486" t="s">
        <v>46</v>
      </c>
      <c r="R486" t="s">
        <v>2597</v>
      </c>
      <c r="S486" s="1">
        <v>44808</v>
      </c>
      <c r="T486" t="s">
        <v>2196</v>
      </c>
      <c r="U486" t="s">
        <v>34</v>
      </c>
      <c r="V486" s="1">
        <v>44810</v>
      </c>
      <c r="W486" t="s">
        <v>35</v>
      </c>
      <c r="X486" t="s">
        <v>2169</v>
      </c>
      <c r="Y486" t="s">
        <v>2197</v>
      </c>
      <c r="Z486" t="s">
        <v>38</v>
      </c>
      <c r="AA486" t="s">
        <v>2198</v>
      </c>
      <c r="AD486" t="s">
        <v>45</v>
      </c>
      <c r="AE486">
        <v>32.635409000000003</v>
      </c>
      <c r="AF486">
        <v>-96.974027000000007</v>
      </c>
      <c r="AG486" t="s">
        <v>40</v>
      </c>
      <c r="AH486" t="s">
        <v>41</v>
      </c>
      <c r="AI486">
        <v>32.635237178799997</v>
      </c>
      <c r="AJ486">
        <v>-96.973622404099999</v>
      </c>
      <c r="AK486">
        <v>-1.7182120000569512E-4</v>
      </c>
      <c r="AL486">
        <v>4.0459590000807566E-4</v>
      </c>
      <c r="AM486" t="str">
        <f>_xlfn.IFNA(VLOOKUP(Sheet1!$C486,ADMIX_ALL!A:B,2,FALSE),"none")</f>
        <v>K6-18</v>
      </c>
      <c r="AN486" t="str">
        <f>_xlfn.IFNA(VLOOKUP(Sheet1!C486,ADMIX_SS!A:B,2,FALSE),"none")</f>
        <v>SubSample</v>
      </c>
      <c r="AO486" t="str">
        <f>_xlfn.IFNA(VLOOKUP(Sheet1!$C486,MONG_PHYLO!A:C,3,FALSE),"-")</f>
        <v>-</v>
      </c>
      <c r="AP486" t="str">
        <f>_xlfn.IFNA(VLOOKUP(Sheet1!$C486,MAC_PHYLO!A:C,3,FALSE),"-")</f>
        <v>-</v>
      </c>
      <c r="AQ486" t="str">
        <f>_xlfn.IFNA(VLOOKUP(Sheet1!$C486,ConStruct!A:C,3,FALSE),"-")</f>
        <v>ConStruct</v>
      </c>
      <c r="AR486" t="str">
        <f>_xlfn.IFNA(VLOOKUP(Sheet1!$C486,GEA!A:C,3,FALSE),"-")</f>
        <v>GEA</v>
      </c>
      <c r="AS486" t="str">
        <f>_xlfn.IFNA(VLOOKUP(Sheet1!$C486,MAC_DSUITE!A:D,3,FALSE),"-")</f>
        <v>mac_TX_CHP</v>
      </c>
      <c r="AT486" t="str">
        <f>_xlfn.IFNA(VLOOKUP(Sheet1!$C486,MONG_DSUITE!A:E,2,FALSE),"-")</f>
        <v>macrocarpa_CHS</v>
      </c>
      <c r="AU486" t="str">
        <f>_xlfn.IFNA(VLOOKUP(Sheet1!$C486,MAC_PAINT2!A:D,4,FALSE),"-")</f>
        <v>macpaint</v>
      </c>
      <c r="AV486" t="s">
        <v>9193</v>
      </c>
      <c r="AW486" t="s">
        <v>9193</v>
      </c>
    </row>
    <row r="487" spans="1:49" customFormat="1" x14ac:dyDescent="0.4">
      <c r="A487">
        <v>3938</v>
      </c>
      <c r="B487" t="s">
        <v>2214</v>
      </c>
      <c r="C487" t="s">
        <v>2215</v>
      </c>
      <c r="D487" t="str">
        <f>_xlfn.CONCAT(C487,".bam")</f>
        <v>SYST-MOR-0007175.bam</v>
      </c>
      <c r="E487" t="s">
        <v>2216</v>
      </c>
      <c r="F487" t="s">
        <v>2463</v>
      </c>
      <c r="G487" t="s">
        <v>2403</v>
      </c>
      <c r="H487" t="s">
        <v>2552</v>
      </c>
      <c r="I487" t="s">
        <v>2198</v>
      </c>
      <c r="K487" s="11" t="s">
        <v>1079</v>
      </c>
      <c r="L487" t="s">
        <v>50</v>
      </c>
      <c r="N487" t="s">
        <v>50</v>
      </c>
      <c r="P487" t="s">
        <v>31</v>
      </c>
      <c r="Q487" t="s">
        <v>51</v>
      </c>
      <c r="R487" t="s">
        <v>2598</v>
      </c>
      <c r="S487" s="1">
        <v>44808</v>
      </c>
      <c r="T487" t="s">
        <v>2196</v>
      </c>
      <c r="U487" t="s">
        <v>34</v>
      </c>
      <c r="V487" s="1">
        <v>44810</v>
      </c>
      <c r="W487" t="s">
        <v>35</v>
      </c>
      <c r="X487" t="s">
        <v>2169</v>
      </c>
      <c r="Y487" t="s">
        <v>2197</v>
      </c>
      <c r="Z487" t="s">
        <v>38</v>
      </c>
      <c r="AA487" t="s">
        <v>2198</v>
      </c>
      <c r="AD487" t="s">
        <v>50</v>
      </c>
      <c r="AE487">
        <v>32.634977999999997</v>
      </c>
      <c r="AF487">
        <v>-96.979732999999996</v>
      </c>
      <c r="AG487" t="s">
        <v>40</v>
      </c>
      <c r="AH487" t="s">
        <v>41</v>
      </c>
      <c r="AI487">
        <v>32.634967322199998</v>
      </c>
      <c r="AJ487">
        <v>-96.979818323900005</v>
      </c>
      <c r="AK487">
        <v>-1.0677799998859427E-5</v>
      </c>
      <c r="AL487">
        <v>-8.5323900009370846E-5</v>
      </c>
      <c r="AM487" t="str">
        <f>_xlfn.IFNA(VLOOKUP(Sheet1!$C487,ADMIX_ALL!A:B,2,FALSE),"none")</f>
        <v>K6-18</v>
      </c>
      <c r="AN487" t="str">
        <f>_xlfn.IFNA(VLOOKUP(Sheet1!C487,ADMIX_SS!A:B,2,FALSE),"none")</f>
        <v>SubSample</v>
      </c>
      <c r="AO487" t="str">
        <f>_xlfn.IFNA(VLOOKUP(Sheet1!$C487,MONG_PHYLO!A:C,3,FALSE),"-")</f>
        <v>-</v>
      </c>
      <c r="AP487" t="str">
        <f>_xlfn.IFNA(VLOOKUP(Sheet1!$C487,MAC_PHYLO!A:C,3,FALSE),"-")</f>
        <v>-</v>
      </c>
      <c r="AQ487" t="str">
        <f>_xlfn.IFNA(VLOOKUP(Sheet1!$C487,ConStruct!A:C,3,FALSE),"-")</f>
        <v>-</v>
      </c>
      <c r="AR487" t="str">
        <f>_xlfn.IFNA(VLOOKUP(Sheet1!$C487,GEA!A:C,3,FALSE),"-")</f>
        <v>-</v>
      </c>
      <c r="AS487" t="str">
        <f>_xlfn.IFNA(VLOOKUP(Sheet1!$C487,MAC_DSUITE!A:D,3,FALSE),"-")</f>
        <v>-</v>
      </c>
      <c r="AT487" t="str">
        <f>_xlfn.IFNA(VLOOKUP(Sheet1!$C487,MONG_DSUITE!A:E,2,FALSE),"-")</f>
        <v>xxx</v>
      </c>
      <c r="AU487" t="str">
        <f>_xlfn.IFNA(VLOOKUP(Sheet1!$C487,MAC_PAINT2!A:D,4,FALSE),"-")</f>
        <v>-</v>
      </c>
    </row>
    <row r="488" spans="1:49" customFormat="1" x14ac:dyDescent="0.4">
      <c r="A488">
        <v>3939</v>
      </c>
      <c r="B488" t="s">
        <v>2217</v>
      </c>
      <c r="C488" t="s">
        <v>2218</v>
      </c>
      <c r="D488" t="str">
        <f>_xlfn.CONCAT(C488,".bam")</f>
        <v>SYST-MOR-0007176.bam</v>
      </c>
      <c r="E488" t="s">
        <v>2219</v>
      </c>
      <c r="F488" t="s">
        <v>2463</v>
      </c>
      <c r="G488" t="s">
        <v>2403</v>
      </c>
      <c r="H488" t="s">
        <v>2552</v>
      </c>
      <c r="I488" t="s">
        <v>2198</v>
      </c>
      <c r="K488" s="11" t="s">
        <v>45</v>
      </c>
      <c r="L488" t="s">
        <v>45</v>
      </c>
      <c r="N488" t="s">
        <v>45</v>
      </c>
      <c r="P488" t="s">
        <v>113</v>
      </c>
      <c r="Q488" t="s">
        <v>46</v>
      </c>
      <c r="R488" t="s">
        <v>2597</v>
      </c>
      <c r="S488" s="1">
        <v>44808</v>
      </c>
      <c r="T488" t="s">
        <v>2196</v>
      </c>
      <c r="U488" t="s">
        <v>34</v>
      </c>
      <c r="V488" s="1">
        <v>44810</v>
      </c>
      <c r="W488" t="s">
        <v>35</v>
      </c>
      <c r="X488" t="s">
        <v>2169</v>
      </c>
      <c r="Y488" t="s">
        <v>2197</v>
      </c>
      <c r="Z488" t="s">
        <v>38</v>
      </c>
      <c r="AA488" t="s">
        <v>2198</v>
      </c>
      <c r="AD488" t="s">
        <v>45</v>
      </c>
      <c r="AE488">
        <v>32.632035000000002</v>
      </c>
      <c r="AF488">
        <v>-96.975904</v>
      </c>
      <c r="AG488" t="s">
        <v>40</v>
      </c>
      <c r="AH488" t="s">
        <v>41</v>
      </c>
      <c r="AI488">
        <v>32.6319701225</v>
      </c>
      <c r="AJ488">
        <v>-96.975921979299997</v>
      </c>
      <c r="AK488">
        <v>-6.4877500001614408E-5</v>
      </c>
      <c r="AL488">
        <v>-1.7979299997250564E-5</v>
      </c>
      <c r="AM488" t="str">
        <f>_xlfn.IFNA(VLOOKUP(Sheet1!$C488,ADMIX_ALL!A:B,2,FALSE),"none")</f>
        <v>K6-18</v>
      </c>
      <c r="AN488" t="str">
        <f>_xlfn.IFNA(VLOOKUP(Sheet1!C488,ADMIX_SS!A:B,2,FALSE),"none")</f>
        <v>SubSample</v>
      </c>
      <c r="AO488" t="str">
        <f>_xlfn.IFNA(VLOOKUP(Sheet1!$C488,MONG_PHYLO!A:C,3,FALSE),"-")</f>
        <v>-</v>
      </c>
      <c r="AP488" t="str">
        <f>_xlfn.IFNA(VLOOKUP(Sheet1!$C488,MAC_PHYLO!A:C,3,FALSE),"-")</f>
        <v>-</v>
      </c>
      <c r="AQ488" t="str">
        <f>_xlfn.IFNA(VLOOKUP(Sheet1!$C488,ConStruct!A:C,3,FALSE),"-")</f>
        <v>ConStruct</v>
      </c>
      <c r="AR488" t="str">
        <f>_xlfn.IFNA(VLOOKUP(Sheet1!$C488,GEA!A:C,3,FALSE),"-")</f>
        <v>GEA</v>
      </c>
      <c r="AS488" t="str">
        <f>_xlfn.IFNA(VLOOKUP(Sheet1!$C488,MAC_DSUITE!A:D,3,FALSE),"-")</f>
        <v>mac_TX_CHP</v>
      </c>
      <c r="AT488" t="str">
        <f>_xlfn.IFNA(VLOOKUP(Sheet1!$C488,MONG_DSUITE!A:E,2,FALSE),"-")</f>
        <v>macrocarpa_CHS</v>
      </c>
      <c r="AU488" t="str">
        <f>_xlfn.IFNA(VLOOKUP(Sheet1!$C488,MAC_PAINT2!A:D,4,FALSE),"-")</f>
        <v>macpaint</v>
      </c>
      <c r="AV488" t="s">
        <v>9193</v>
      </c>
      <c r="AW488" t="s">
        <v>9193</v>
      </c>
    </row>
    <row r="489" spans="1:49" s="16" customFormat="1" x14ac:dyDescent="0.4">
      <c r="A489" s="16">
        <v>3940</v>
      </c>
      <c r="B489" s="16" t="s">
        <v>2220</v>
      </c>
      <c r="C489" s="16" t="s">
        <v>2221</v>
      </c>
      <c r="D489" s="16" t="str">
        <f>_xlfn.CONCAT(C489,".bam")</f>
        <v>SYST-MOR-0007177.bam</v>
      </c>
      <c r="E489" s="16" t="s">
        <v>2222</v>
      </c>
      <c r="F489" s="16" t="s">
        <v>2463</v>
      </c>
      <c r="G489" s="16" t="s">
        <v>2403</v>
      </c>
      <c r="H489" s="16" t="s">
        <v>2552</v>
      </c>
      <c r="I489" s="16" t="s">
        <v>2198</v>
      </c>
      <c r="K489" s="16" t="s">
        <v>45</v>
      </c>
      <c r="L489" s="16" t="s">
        <v>45</v>
      </c>
      <c r="N489" s="16" t="s">
        <v>45</v>
      </c>
      <c r="P489" s="16" t="s">
        <v>31</v>
      </c>
      <c r="Q489" s="16" t="s">
        <v>46</v>
      </c>
      <c r="R489" s="16" t="s">
        <v>2597</v>
      </c>
      <c r="S489" s="17">
        <v>44808</v>
      </c>
      <c r="T489" s="16" t="s">
        <v>2196</v>
      </c>
      <c r="U489" s="16" t="s">
        <v>34</v>
      </c>
      <c r="V489" s="17">
        <v>44810</v>
      </c>
      <c r="W489" s="16" t="s">
        <v>35</v>
      </c>
      <c r="X489" s="16" t="s">
        <v>2169</v>
      </c>
      <c r="Y489" s="16" t="s">
        <v>2197</v>
      </c>
      <c r="Z489" s="16" t="s">
        <v>38</v>
      </c>
      <c r="AA489" s="16" t="s">
        <v>2198</v>
      </c>
      <c r="AD489" s="16" t="s">
        <v>45</v>
      </c>
      <c r="AE489" s="16">
        <v>32.622964000000003</v>
      </c>
      <c r="AF489" s="16">
        <v>-96.979468999999995</v>
      </c>
      <c r="AG489" s="16" t="s">
        <v>40</v>
      </c>
      <c r="AH489" s="16" t="s">
        <v>41</v>
      </c>
      <c r="AI489" s="16">
        <v>32.622822877399997</v>
      </c>
      <c r="AJ489" s="16">
        <v>-96.979742869700004</v>
      </c>
      <c r="AK489" s="16">
        <v>-1.4112260000587185E-4</v>
      </c>
      <c r="AL489" s="16">
        <v>-2.7386970000975452E-4</v>
      </c>
      <c r="AM489" s="16" t="str">
        <f>_xlfn.IFNA(VLOOKUP(Sheet1!$C489,ADMIX_ALL!A:B,2,FALSE),"none")</f>
        <v>K6-18</v>
      </c>
      <c r="AN489" s="16" t="str">
        <f>_xlfn.IFNA(VLOOKUP(Sheet1!C489,ADMIX_SS!A:B,2,FALSE),"none")</f>
        <v>SubSample</v>
      </c>
      <c r="AO489" s="16" t="str">
        <f>_xlfn.IFNA(VLOOKUP(Sheet1!$C489,MONG_PHYLO!A:C,3,FALSE),"-")</f>
        <v>-</v>
      </c>
      <c r="AP489" s="16" t="str">
        <f>_xlfn.IFNA(VLOOKUP(Sheet1!$C489,MAC_PHYLO!A:C,3,FALSE),"-")</f>
        <v>-</v>
      </c>
      <c r="AQ489" s="16" t="str">
        <f>_xlfn.IFNA(VLOOKUP(Sheet1!$C489,ConStruct!A:C,3,FALSE),"-")</f>
        <v>ConStruct</v>
      </c>
      <c r="AR489" s="16" t="str">
        <f>_xlfn.IFNA(VLOOKUP(Sheet1!$C489,GEA!A:C,3,FALSE),"-")</f>
        <v>GEA</v>
      </c>
      <c r="AS489" s="16" t="str">
        <f>_xlfn.IFNA(VLOOKUP(Sheet1!$C489,MAC_DSUITE!A:D,3,FALSE),"-")</f>
        <v>mac_TX_CHP</v>
      </c>
      <c r="AT489" s="16" t="str">
        <f>_xlfn.IFNA(VLOOKUP(Sheet1!$C489,MONG_DSUITE!A:E,2,FALSE),"-")</f>
        <v>macrocarpa_CHS</v>
      </c>
      <c r="AU489" s="16" t="str">
        <f>_xlfn.IFNA(VLOOKUP(Sheet1!$C489,MAC_PAINT2!A:D,4,FALSE),"-")</f>
        <v>-</v>
      </c>
      <c r="AV489" s="16" t="s">
        <v>9195</v>
      </c>
      <c r="AW489" s="16" t="s">
        <v>9193</v>
      </c>
    </row>
    <row r="490" spans="1:49" customFormat="1" x14ac:dyDescent="0.4">
      <c r="A490">
        <v>3941</v>
      </c>
      <c r="B490" t="s">
        <v>2223</v>
      </c>
      <c r="C490" t="s">
        <v>2224</v>
      </c>
      <c r="D490" t="str">
        <f>_xlfn.CONCAT(C490,".bam")</f>
        <v>SYST-MOR-0007178.bam</v>
      </c>
      <c r="E490" t="s">
        <v>2225</v>
      </c>
      <c r="F490" t="s">
        <v>2463</v>
      </c>
      <c r="G490" t="s">
        <v>2403</v>
      </c>
      <c r="H490" t="s">
        <v>2552</v>
      </c>
      <c r="I490" t="s">
        <v>2198</v>
      </c>
      <c r="K490" t="s">
        <v>2226</v>
      </c>
      <c r="L490" t="s">
        <v>2226</v>
      </c>
      <c r="N490" t="s">
        <v>2226</v>
      </c>
      <c r="P490" t="s">
        <v>113</v>
      </c>
      <c r="Q490" t="s">
        <v>2227</v>
      </c>
      <c r="R490" t="s">
        <v>2605</v>
      </c>
      <c r="S490" s="1">
        <v>44808</v>
      </c>
      <c r="T490" t="s">
        <v>2196</v>
      </c>
      <c r="U490" t="s">
        <v>34</v>
      </c>
      <c r="V490" s="1">
        <v>44810</v>
      </c>
      <c r="W490" t="s">
        <v>35</v>
      </c>
      <c r="X490" t="s">
        <v>2169</v>
      </c>
      <c r="Y490" t="s">
        <v>2197</v>
      </c>
      <c r="Z490" t="s">
        <v>38</v>
      </c>
      <c r="AA490" t="s">
        <v>2198</v>
      </c>
      <c r="AD490" t="s">
        <v>2226</v>
      </c>
      <c r="AE490">
        <v>32.614038999999998</v>
      </c>
      <c r="AF490">
        <v>-96.996683000000004</v>
      </c>
      <c r="AG490" t="s">
        <v>40</v>
      </c>
      <c r="AH490" t="s">
        <v>41</v>
      </c>
      <c r="AI490">
        <v>32.614047015099999</v>
      </c>
      <c r="AJ490">
        <v>-96.996636008899998</v>
      </c>
      <c r="AK490">
        <v>8.0151000005912465E-6</v>
      </c>
      <c r="AL490">
        <v>4.6991100006721354E-5</v>
      </c>
      <c r="AM490" t="str">
        <f>_xlfn.IFNA(VLOOKUP(Sheet1!$C490,ADMIX_ALL!A:B,2,FALSE),"none")</f>
        <v>K6-18</v>
      </c>
      <c r="AN490" t="str">
        <f>_xlfn.IFNA(VLOOKUP(Sheet1!C490,ADMIX_SS!A:B,2,FALSE),"none")</f>
        <v>Constant</v>
      </c>
      <c r="AO490" t="str">
        <f>_xlfn.IFNA(VLOOKUP(Sheet1!$C490,MONG_PHYLO!A:C,3,FALSE),"-")</f>
        <v>sin</v>
      </c>
      <c r="AP490" t="str">
        <f>_xlfn.IFNA(VLOOKUP(Sheet1!$C490,MAC_PHYLO!A:C,3,FALSE),"-")</f>
        <v>sin</v>
      </c>
      <c r="AQ490" t="str">
        <f>_xlfn.IFNA(VLOOKUP(Sheet1!$C490,ConStruct!A:C,3,FALSE),"-")</f>
        <v>-</v>
      </c>
      <c r="AR490" t="str">
        <f>_xlfn.IFNA(VLOOKUP(Sheet1!$C490,GEA!A:C,3,FALSE),"-")</f>
        <v>-</v>
      </c>
      <c r="AS490" t="str">
        <f>_xlfn.IFNA(VLOOKUP(Sheet1!$C490,MAC_DSUITE!A:D,3,FALSE),"-")</f>
        <v>xxx</v>
      </c>
      <c r="AT490" t="str">
        <f>_xlfn.IFNA(VLOOKUP(Sheet1!$C490,MONG_DSUITE!A:E,2,FALSE),"-")</f>
        <v>sinuata</v>
      </c>
      <c r="AU490" t="str">
        <f>_xlfn.IFNA(VLOOKUP(Sheet1!$C490,MAC_PAINT2!A:D,4,FALSE),"-")</f>
        <v>-</v>
      </c>
    </row>
    <row r="491" spans="1:49" customFormat="1" x14ac:dyDescent="0.4">
      <c r="A491">
        <v>3942</v>
      </c>
      <c r="B491" t="s">
        <v>2228</v>
      </c>
      <c r="C491" t="s">
        <v>2229</v>
      </c>
      <c r="D491" t="str">
        <f>_xlfn.CONCAT(C491,".bam")</f>
        <v>SYST-MOR-0007179.bam</v>
      </c>
      <c r="E491" t="s">
        <v>2230</v>
      </c>
      <c r="F491" t="s">
        <v>2463</v>
      </c>
      <c r="G491" t="s">
        <v>2403</v>
      </c>
      <c r="H491" t="s">
        <v>2552</v>
      </c>
      <c r="I491" t="s">
        <v>2198</v>
      </c>
      <c r="K491" t="s">
        <v>45</v>
      </c>
      <c r="L491" t="s">
        <v>45</v>
      </c>
      <c r="N491" t="s">
        <v>45</v>
      </c>
      <c r="P491" t="s">
        <v>31</v>
      </c>
      <c r="Q491" t="s">
        <v>46</v>
      </c>
      <c r="R491" t="s">
        <v>2597</v>
      </c>
      <c r="S491" s="1">
        <v>44808</v>
      </c>
      <c r="T491" t="s">
        <v>2196</v>
      </c>
      <c r="U491" t="s">
        <v>34</v>
      </c>
      <c r="V491" s="1">
        <v>44810</v>
      </c>
      <c r="W491" t="s">
        <v>35</v>
      </c>
      <c r="X491" t="s">
        <v>2169</v>
      </c>
      <c r="Y491" t="s">
        <v>2197</v>
      </c>
      <c r="Z491" t="s">
        <v>38</v>
      </c>
      <c r="AA491" t="s">
        <v>2198</v>
      </c>
      <c r="AD491" t="s">
        <v>45</v>
      </c>
      <c r="AE491">
        <v>32.610726999999997</v>
      </c>
      <c r="AF491">
        <v>-96.991123000000002</v>
      </c>
      <c r="AG491" t="s">
        <v>40</v>
      </c>
      <c r="AH491" t="s">
        <v>41</v>
      </c>
      <c r="AI491">
        <v>32.610577074799998</v>
      </c>
      <c r="AJ491">
        <v>-96.991302939199997</v>
      </c>
      <c r="AK491">
        <v>-1.499251999987905E-4</v>
      </c>
      <c r="AL491">
        <v>-1.7993919999526042E-4</v>
      </c>
      <c r="AM491" t="str">
        <f>_xlfn.IFNA(VLOOKUP(Sheet1!$C491,ADMIX_ALL!A:B,2,FALSE),"none")</f>
        <v>K6-18</v>
      </c>
      <c r="AN491" t="str">
        <f>_xlfn.IFNA(VLOOKUP(Sheet1!C491,ADMIX_SS!A:B,2,FALSE),"none")</f>
        <v>SubSample</v>
      </c>
      <c r="AO491" t="str">
        <f>_xlfn.IFNA(VLOOKUP(Sheet1!$C491,MONG_PHYLO!A:C,3,FALSE),"-")</f>
        <v>-</v>
      </c>
      <c r="AP491" t="str">
        <f>_xlfn.IFNA(VLOOKUP(Sheet1!$C491,MAC_PHYLO!A:C,3,FALSE),"-")</f>
        <v>-</v>
      </c>
      <c r="AQ491" t="str">
        <f>_xlfn.IFNA(VLOOKUP(Sheet1!$C491,ConStruct!A:C,3,FALSE),"-")</f>
        <v>ConStruct</v>
      </c>
      <c r="AR491" t="str">
        <f>_xlfn.IFNA(VLOOKUP(Sheet1!$C491,GEA!A:C,3,FALSE),"-")</f>
        <v>GEA</v>
      </c>
      <c r="AS491" t="str">
        <f>_xlfn.IFNA(VLOOKUP(Sheet1!$C491,MAC_DSUITE!A:D,3,FALSE),"-")</f>
        <v>mac_TX_CHP</v>
      </c>
      <c r="AT491" t="str">
        <f>_xlfn.IFNA(VLOOKUP(Sheet1!$C491,MONG_DSUITE!A:E,2,FALSE),"-")</f>
        <v>macrocarpa_CHS</v>
      </c>
      <c r="AU491" t="str">
        <f>_xlfn.IFNA(VLOOKUP(Sheet1!$C491,MAC_PAINT2!A:D,4,FALSE),"-")</f>
        <v>macpaint</v>
      </c>
      <c r="AV491" t="s">
        <v>9193</v>
      </c>
      <c r="AW491" t="s">
        <v>9193</v>
      </c>
    </row>
    <row r="492" spans="1:49" customFormat="1" x14ac:dyDescent="0.4">
      <c r="A492">
        <v>3943</v>
      </c>
      <c r="B492" t="s">
        <v>347</v>
      </c>
      <c r="C492" t="s">
        <v>348</v>
      </c>
      <c r="D492" t="str">
        <f>_xlfn.CONCAT(C492,".bam")</f>
        <v>SYST-MOR-0007180.bam</v>
      </c>
      <c r="E492" t="s">
        <v>349</v>
      </c>
      <c r="F492" t="s">
        <v>2407</v>
      </c>
      <c r="G492" t="s">
        <v>2412</v>
      </c>
      <c r="H492" t="s">
        <v>2496</v>
      </c>
      <c r="I492" t="s">
        <v>351</v>
      </c>
      <c r="K492" t="s">
        <v>64</v>
      </c>
      <c r="L492" t="s">
        <v>64</v>
      </c>
      <c r="N492" t="s">
        <v>64</v>
      </c>
      <c r="P492" t="s">
        <v>31</v>
      </c>
      <c r="Q492" t="s">
        <v>65</v>
      </c>
      <c r="R492" t="s">
        <v>2599</v>
      </c>
      <c r="S492" s="1">
        <v>44812</v>
      </c>
      <c r="T492" t="s">
        <v>33</v>
      </c>
      <c r="U492" t="s">
        <v>34</v>
      </c>
      <c r="V492" s="1">
        <v>44812</v>
      </c>
      <c r="W492" t="s">
        <v>35</v>
      </c>
      <c r="X492" t="s">
        <v>204</v>
      </c>
      <c r="Y492" t="s">
        <v>350</v>
      </c>
      <c r="Z492" t="s">
        <v>206</v>
      </c>
      <c r="AA492" t="s">
        <v>351</v>
      </c>
      <c r="AD492" t="s">
        <v>64</v>
      </c>
      <c r="AE492">
        <v>42.182388000000003</v>
      </c>
      <c r="AF492">
        <v>-87.911775000000006</v>
      </c>
      <c r="AG492" t="s">
        <v>40</v>
      </c>
      <c r="AH492" t="s">
        <v>41</v>
      </c>
      <c r="AI492">
        <v>42.182447514499998</v>
      </c>
      <c r="AJ492">
        <v>-87.911874549499998</v>
      </c>
      <c r="AK492">
        <v>5.951449999486158E-5</v>
      </c>
      <c r="AL492">
        <v>-9.9549499992690471E-5</v>
      </c>
      <c r="AM492" t="str">
        <f>_xlfn.IFNA(VLOOKUP(Sheet1!$C492,ADMIX_ALL!A:B,2,FALSE),"none")</f>
        <v>K6-18</v>
      </c>
      <c r="AN492" t="str">
        <f>_xlfn.IFNA(VLOOKUP(Sheet1!C492,ADMIX_SS!A:B,2,FALSE),"none")</f>
        <v>SubSample</v>
      </c>
      <c r="AO492" t="str">
        <f>_xlfn.IFNA(VLOOKUP(Sheet1!$C492,MONG_PHYLO!A:C,3,FALSE),"-")</f>
        <v>-</v>
      </c>
      <c r="AP492" t="str">
        <f>_xlfn.IFNA(VLOOKUP(Sheet1!$C492,MAC_PHYLO!A:C,3,FALSE),"-")</f>
        <v>-</v>
      </c>
      <c r="AQ492" t="str">
        <f>_xlfn.IFNA(VLOOKUP(Sheet1!$C492,ConStruct!A:C,3,FALSE),"-")</f>
        <v>-</v>
      </c>
      <c r="AR492" t="str">
        <f>_xlfn.IFNA(VLOOKUP(Sheet1!$C492,GEA!A:C,3,FALSE),"-")</f>
        <v>-</v>
      </c>
      <c r="AS492" t="str">
        <f>_xlfn.IFNA(VLOOKUP(Sheet1!$C492,MAC_DSUITE!A:D,3,FALSE),"-")</f>
        <v>-</v>
      </c>
      <c r="AT492" t="str">
        <f>_xlfn.IFNA(VLOOKUP(Sheet1!$C492,MONG_DSUITE!A:E,2,FALSE),"-")</f>
        <v>xxx</v>
      </c>
      <c r="AU492" t="str">
        <f>_xlfn.IFNA(VLOOKUP(Sheet1!$C492,MAC_PAINT2!A:D,4,FALSE),"-")</f>
        <v>-</v>
      </c>
    </row>
    <row r="493" spans="1:49" customFormat="1" x14ac:dyDescent="0.4">
      <c r="A493">
        <v>3944</v>
      </c>
      <c r="B493" t="s">
        <v>352</v>
      </c>
      <c r="C493" t="s">
        <v>353</v>
      </c>
      <c r="D493" t="str">
        <f>_xlfn.CONCAT(C493,".bam")</f>
        <v>SYST-MOR-0007181.bam</v>
      </c>
      <c r="E493" t="s">
        <v>354</v>
      </c>
      <c r="F493" t="s">
        <v>2407</v>
      </c>
      <c r="G493" t="s">
        <v>2412</v>
      </c>
      <c r="H493" t="s">
        <v>2496</v>
      </c>
      <c r="I493" t="s">
        <v>351</v>
      </c>
      <c r="K493" t="s">
        <v>45</v>
      </c>
      <c r="L493" t="s">
        <v>45</v>
      </c>
      <c r="N493" t="s">
        <v>45</v>
      </c>
      <c r="P493" t="s">
        <v>31</v>
      </c>
      <c r="Q493" t="s">
        <v>46</v>
      </c>
      <c r="R493" t="s">
        <v>2597</v>
      </c>
      <c r="S493" s="1">
        <v>44812</v>
      </c>
      <c r="T493" t="s">
        <v>33</v>
      </c>
      <c r="U493" t="s">
        <v>34</v>
      </c>
      <c r="V493" s="1">
        <v>44812</v>
      </c>
      <c r="W493" t="s">
        <v>35</v>
      </c>
      <c r="X493" t="s">
        <v>204</v>
      </c>
      <c r="Y493" t="s">
        <v>355</v>
      </c>
      <c r="Z493" t="s">
        <v>38</v>
      </c>
      <c r="AA493" t="s">
        <v>351</v>
      </c>
      <c r="AD493" t="s">
        <v>45</v>
      </c>
      <c r="AE493">
        <v>42.182006999999999</v>
      </c>
      <c r="AF493">
        <v>-87.911913999999996</v>
      </c>
      <c r="AG493" t="s">
        <v>40</v>
      </c>
      <c r="AH493" t="s">
        <v>41</v>
      </c>
      <c r="AI493">
        <v>42.182159177099997</v>
      </c>
      <c r="AJ493">
        <v>-87.911855355</v>
      </c>
      <c r="AK493">
        <v>1.5217709999859608E-4</v>
      </c>
      <c r="AL493">
        <v>5.8644999995749458E-5</v>
      </c>
      <c r="AM493" t="str">
        <f>_xlfn.IFNA(VLOOKUP(Sheet1!$C493,ADMIX_ALL!A:B,2,FALSE),"none")</f>
        <v>K6-18</v>
      </c>
      <c r="AN493" t="str">
        <f>_xlfn.IFNA(VLOOKUP(Sheet1!C493,ADMIX_SS!A:B,2,FALSE),"none")</f>
        <v>SubSample</v>
      </c>
      <c r="AO493" t="str">
        <f>_xlfn.IFNA(VLOOKUP(Sheet1!$C493,MONG_PHYLO!A:C,3,FALSE),"-")</f>
        <v>-</v>
      </c>
      <c r="AP493" t="str">
        <f>_xlfn.IFNA(VLOOKUP(Sheet1!$C493,MAC_PHYLO!A:C,3,FALSE),"-")</f>
        <v>-</v>
      </c>
      <c r="AQ493" t="str">
        <f>_xlfn.IFNA(VLOOKUP(Sheet1!$C493,ConStruct!A:C,3,FALSE),"-")</f>
        <v>ConStruct</v>
      </c>
      <c r="AR493" t="str">
        <f>_xlfn.IFNA(VLOOKUP(Sheet1!$C493,GEA!A:C,3,FALSE),"-")</f>
        <v>GEA</v>
      </c>
      <c r="AS493" t="str">
        <f>_xlfn.IFNA(VLOOKUP(Sheet1!$C493,MAC_DSUITE!A:D,3,FALSE),"-")</f>
        <v>mac_IL_RCA</v>
      </c>
      <c r="AT493" t="str">
        <f>_xlfn.IFNA(VLOOKUP(Sheet1!$C493,MONG_DSUITE!A:E,2,FALSE),"-")</f>
        <v>macrocarpa_RCA</v>
      </c>
      <c r="AU493" t="str">
        <f>_xlfn.IFNA(VLOOKUP(Sheet1!$C493,MAC_PAINT2!A:D,4,FALSE),"-")</f>
        <v>macpaint</v>
      </c>
      <c r="AV493" t="s">
        <v>9193</v>
      </c>
      <c r="AW493" t="s">
        <v>9193</v>
      </c>
    </row>
    <row r="494" spans="1:49" customFormat="1" x14ac:dyDescent="0.4">
      <c r="A494">
        <v>3945</v>
      </c>
      <c r="B494" t="s">
        <v>356</v>
      </c>
      <c r="C494" t="s">
        <v>357</v>
      </c>
      <c r="D494" t="str">
        <f>_xlfn.CONCAT(C494,".bam")</f>
        <v>SYST-MOR-0007182.bam</v>
      </c>
      <c r="E494" t="s">
        <v>358</v>
      </c>
      <c r="F494" t="s">
        <v>2407</v>
      </c>
      <c r="G494" t="s">
        <v>2412</v>
      </c>
      <c r="H494" t="s">
        <v>2496</v>
      </c>
      <c r="I494" t="s">
        <v>351</v>
      </c>
      <c r="K494" t="s">
        <v>143</v>
      </c>
      <c r="L494" t="s">
        <v>143</v>
      </c>
      <c r="N494" t="s">
        <v>143</v>
      </c>
      <c r="P494" t="s">
        <v>31</v>
      </c>
      <c r="Q494" t="s">
        <v>144</v>
      </c>
      <c r="R494" t="s">
        <v>2601</v>
      </c>
      <c r="S494" s="1">
        <v>44812</v>
      </c>
      <c r="T494" t="s">
        <v>33</v>
      </c>
      <c r="U494" t="s">
        <v>34</v>
      </c>
      <c r="V494" s="1">
        <v>44812</v>
      </c>
      <c r="W494" t="s">
        <v>35</v>
      </c>
      <c r="X494" t="s">
        <v>204</v>
      </c>
      <c r="Y494" t="s">
        <v>350</v>
      </c>
      <c r="Z494" t="s">
        <v>206</v>
      </c>
      <c r="AA494" t="s">
        <v>351</v>
      </c>
      <c r="AD494" t="s">
        <v>143</v>
      </c>
      <c r="AE494">
        <v>42.182293000000001</v>
      </c>
      <c r="AF494">
        <v>-87.911027000000004</v>
      </c>
      <c r="AG494" t="s">
        <v>40</v>
      </c>
      <c r="AH494" t="s">
        <v>41</v>
      </c>
      <c r="AI494">
        <v>42.182289012699997</v>
      </c>
      <c r="AJ494">
        <v>-87.910695131899999</v>
      </c>
      <c r="AK494">
        <v>-3.9873000048373797E-6</v>
      </c>
      <c r="AL494">
        <v>3.3186810000529476E-4</v>
      </c>
      <c r="AM494" t="str">
        <f>_xlfn.IFNA(VLOOKUP(Sheet1!$C494,ADMIX_ALL!A:B,2,FALSE),"none")</f>
        <v>K6-18</v>
      </c>
      <c r="AN494" t="str">
        <f>_xlfn.IFNA(VLOOKUP(Sheet1!C494,ADMIX_SS!A:B,2,FALSE),"none")</f>
        <v>SubSample</v>
      </c>
      <c r="AO494" t="str">
        <f>_xlfn.IFNA(VLOOKUP(Sheet1!$C494,MONG_PHYLO!A:C,3,FALSE),"-")</f>
        <v>-</v>
      </c>
      <c r="AP494" t="str">
        <f>_xlfn.IFNA(VLOOKUP(Sheet1!$C494,MAC_PHYLO!A:C,3,FALSE),"-")</f>
        <v>-</v>
      </c>
      <c r="AQ494" t="str">
        <f>_xlfn.IFNA(VLOOKUP(Sheet1!$C494,ConStruct!A:C,3,FALSE),"-")</f>
        <v>-</v>
      </c>
      <c r="AR494" t="str">
        <f>_xlfn.IFNA(VLOOKUP(Sheet1!$C494,GEA!A:C,3,FALSE),"-")</f>
        <v>-</v>
      </c>
      <c r="AS494" t="str">
        <f>_xlfn.IFNA(VLOOKUP(Sheet1!$C494,MAC_DSUITE!A:D,3,FALSE),"-")</f>
        <v>-</v>
      </c>
      <c r="AT494" t="str">
        <f>_xlfn.IFNA(VLOOKUP(Sheet1!$C494,MONG_DSUITE!A:E,2,FALSE),"-")</f>
        <v>xxx</v>
      </c>
      <c r="AU494" t="str">
        <f>_xlfn.IFNA(VLOOKUP(Sheet1!$C494,MAC_PAINT2!A:D,4,FALSE),"-")</f>
        <v>-</v>
      </c>
    </row>
    <row r="495" spans="1:49" customFormat="1" x14ac:dyDescent="0.4">
      <c r="A495">
        <v>3946</v>
      </c>
      <c r="B495" t="s">
        <v>359</v>
      </c>
      <c r="C495" t="s">
        <v>360</v>
      </c>
      <c r="D495" t="str">
        <f>_xlfn.CONCAT(C495,".bam")</f>
        <v>SYST-MOR-0007183.bam</v>
      </c>
      <c r="E495" t="s">
        <v>361</v>
      </c>
      <c r="F495" t="s">
        <v>2407</v>
      </c>
      <c r="G495" t="s">
        <v>2412</v>
      </c>
      <c r="H495" t="s">
        <v>2496</v>
      </c>
      <c r="I495" t="s">
        <v>351</v>
      </c>
      <c r="K495" t="s">
        <v>45</v>
      </c>
      <c r="L495" t="s">
        <v>45</v>
      </c>
      <c r="N495" t="s">
        <v>45</v>
      </c>
      <c r="P495" t="s">
        <v>31</v>
      </c>
      <c r="Q495" t="s">
        <v>46</v>
      </c>
      <c r="R495" t="s">
        <v>2597</v>
      </c>
      <c r="S495" s="1">
        <v>44812</v>
      </c>
      <c r="T495" t="s">
        <v>33</v>
      </c>
      <c r="U495" t="s">
        <v>34</v>
      </c>
      <c r="V495" s="1">
        <v>44812</v>
      </c>
      <c r="W495" t="s">
        <v>35</v>
      </c>
      <c r="X495" t="s">
        <v>204</v>
      </c>
      <c r="Y495" t="s">
        <v>355</v>
      </c>
      <c r="Z495" t="s">
        <v>38</v>
      </c>
      <c r="AA495" t="s">
        <v>351</v>
      </c>
      <c r="AD495" t="s">
        <v>45</v>
      </c>
      <c r="AE495">
        <v>42.181899999999999</v>
      </c>
      <c r="AF495">
        <v>-87.910275999999996</v>
      </c>
      <c r="AG495" t="s">
        <v>40</v>
      </c>
      <c r="AH495" t="s">
        <v>41</v>
      </c>
      <c r="AI495">
        <v>42.181784799399999</v>
      </c>
      <c r="AJ495">
        <v>-87.910498324900004</v>
      </c>
      <c r="AK495">
        <v>-1.1520059999980958E-4</v>
      </c>
      <c r="AL495">
        <v>-2.2232490000817506E-4</v>
      </c>
      <c r="AM495" t="str">
        <f>_xlfn.IFNA(VLOOKUP(Sheet1!$C495,ADMIX_ALL!A:B,2,FALSE),"none")</f>
        <v>K6-18</v>
      </c>
      <c r="AN495" t="str">
        <f>_xlfn.IFNA(VLOOKUP(Sheet1!C495,ADMIX_SS!A:B,2,FALSE),"none")</f>
        <v>SubSample</v>
      </c>
      <c r="AO495" t="str">
        <f>_xlfn.IFNA(VLOOKUP(Sheet1!$C495,MONG_PHYLO!A:C,3,FALSE),"-")</f>
        <v>-</v>
      </c>
      <c r="AP495" t="str">
        <f>_xlfn.IFNA(VLOOKUP(Sheet1!$C495,MAC_PHYLO!A:C,3,FALSE),"-")</f>
        <v>-</v>
      </c>
      <c r="AQ495" t="str">
        <f>_xlfn.IFNA(VLOOKUP(Sheet1!$C495,ConStruct!A:C,3,FALSE),"-")</f>
        <v>ConStruct</v>
      </c>
      <c r="AR495" t="str">
        <f>_xlfn.IFNA(VLOOKUP(Sheet1!$C495,GEA!A:C,3,FALSE),"-")</f>
        <v>GEA</v>
      </c>
      <c r="AS495" t="str">
        <f>_xlfn.IFNA(VLOOKUP(Sheet1!$C495,MAC_DSUITE!A:D,3,FALSE),"-")</f>
        <v>mac_IL_RCA</v>
      </c>
      <c r="AT495" t="str">
        <f>_xlfn.IFNA(VLOOKUP(Sheet1!$C495,MONG_DSUITE!A:E,2,FALSE),"-")</f>
        <v>macrocarpa_RCA</v>
      </c>
      <c r="AU495" t="str">
        <f>_xlfn.IFNA(VLOOKUP(Sheet1!$C495,MAC_PAINT2!A:D,4,FALSE),"-")</f>
        <v>macpaint</v>
      </c>
      <c r="AV495" t="s">
        <v>9193</v>
      </c>
      <c r="AW495" t="s">
        <v>9193</v>
      </c>
    </row>
    <row r="496" spans="1:49" customFormat="1" x14ac:dyDescent="0.4">
      <c r="A496">
        <v>3947</v>
      </c>
      <c r="B496" t="s">
        <v>362</v>
      </c>
      <c r="C496" t="s">
        <v>363</v>
      </c>
      <c r="D496" t="str">
        <f>_xlfn.CONCAT(C496,".bam")</f>
        <v>SYST-MOR-0007184.bam</v>
      </c>
      <c r="E496" t="s">
        <v>364</v>
      </c>
      <c r="F496" t="s">
        <v>2407</v>
      </c>
      <c r="G496" t="s">
        <v>2412</v>
      </c>
      <c r="H496" t="s">
        <v>2496</v>
      </c>
      <c r="I496" t="s">
        <v>351</v>
      </c>
      <c r="K496" t="s">
        <v>64</v>
      </c>
      <c r="L496" t="s">
        <v>64</v>
      </c>
      <c r="N496" t="s">
        <v>64</v>
      </c>
      <c r="P496" t="s">
        <v>31</v>
      </c>
      <c r="Q496" t="s">
        <v>65</v>
      </c>
      <c r="R496" t="s">
        <v>2599</v>
      </c>
      <c r="S496" s="1">
        <v>44812</v>
      </c>
      <c r="T496" t="s">
        <v>33</v>
      </c>
      <c r="U496" t="s">
        <v>34</v>
      </c>
      <c r="V496" s="1">
        <v>44812</v>
      </c>
      <c r="W496" t="s">
        <v>35</v>
      </c>
      <c r="X496" t="s">
        <v>204</v>
      </c>
      <c r="Y496" t="s">
        <v>350</v>
      </c>
      <c r="Z496" t="s">
        <v>206</v>
      </c>
      <c r="AA496" t="s">
        <v>351</v>
      </c>
      <c r="AD496" t="s">
        <v>64</v>
      </c>
      <c r="AE496">
        <v>42.181997000000003</v>
      </c>
      <c r="AF496">
        <v>-87.909654000000003</v>
      </c>
      <c r="AG496" t="s">
        <v>40</v>
      </c>
      <c r="AH496" t="s">
        <v>41</v>
      </c>
      <c r="AI496">
        <v>42.181896488200003</v>
      </c>
      <c r="AJ496">
        <v>-87.909718053500001</v>
      </c>
      <c r="AK496">
        <v>-1.005117999994809E-4</v>
      </c>
      <c r="AL496">
        <v>-6.4053499997385188E-5</v>
      </c>
      <c r="AM496" t="str">
        <f>_xlfn.IFNA(VLOOKUP(Sheet1!$C496,ADMIX_ALL!A:B,2,FALSE),"none")</f>
        <v>K6-18</v>
      </c>
      <c r="AN496" t="str">
        <f>_xlfn.IFNA(VLOOKUP(Sheet1!C496,ADMIX_SS!A:B,2,FALSE),"none")</f>
        <v>SubSample</v>
      </c>
      <c r="AO496" t="str">
        <f>_xlfn.IFNA(VLOOKUP(Sheet1!$C496,MONG_PHYLO!A:C,3,FALSE),"-")</f>
        <v>-</v>
      </c>
      <c r="AP496" t="str">
        <f>_xlfn.IFNA(VLOOKUP(Sheet1!$C496,MAC_PHYLO!A:C,3,FALSE),"-")</f>
        <v>alb</v>
      </c>
      <c r="AQ496" t="str">
        <f>_xlfn.IFNA(VLOOKUP(Sheet1!$C496,ConStruct!A:C,3,FALSE),"-")</f>
        <v>-</v>
      </c>
      <c r="AR496" t="str">
        <f>_xlfn.IFNA(VLOOKUP(Sheet1!$C496,GEA!A:C,3,FALSE),"-")</f>
        <v>-</v>
      </c>
      <c r="AS496" t="str">
        <f>_xlfn.IFNA(VLOOKUP(Sheet1!$C496,MAC_DSUITE!A:D,3,FALSE),"-")</f>
        <v>alb</v>
      </c>
      <c r="AT496" t="str">
        <f>_xlfn.IFNA(VLOOKUP(Sheet1!$C496,MONG_DSUITE!A:E,2,FALSE),"-")</f>
        <v>xxx</v>
      </c>
      <c r="AU496" t="str">
        <f>_xlfn.IFNA(VLOOKUP(Sheet1!$C496,MAC_PAINT2!A:D,4,FALSE),"-")</f>
        <v>alb-macpaint</v>
      </c>
    </row>
    <row r="497" spans="1:49" customFormat="1" x14ac:dyDescent="0.4">
      <c r="A497">
        <v>3948</v>
      </c>
      <c r="B497" t="s">
        <v>365</v>
      </c>
      <c r="C497" t="s">
        <v>366</v>
      </c>
      <c r="D497" t="str">
        <f>_xlfn.CONCAT(C497,".bam")</f>
        <v>SYST-MOR-0007185.bam</v>
      </c>
      <c r="E497" t="s">
        <v>367</v>
      </c>
      <c r="F497" t="s">
        <v>2407</v>
      </c>
      <c r="G497" t="s">
        <v>2412</v>
      </c>
      <c r="H497" t="s">
        <v>2496</v>
      </c>
      <c r="I497" t="s">
        <v>351</v>
      </c>
      <c r="K497" t="s">
        <v>143</v>
      </c>
      <c r="L497" t="s">
        <v>143</v>
      </c>
      <c r="N497" t="s">
        <v>143</v>
      </c>
      <c r="P497" t="s">
        <v>31</v>
      </c>
      <c r="Q497" t="s">
        <v>144</v>
      </c>
      <c r="R497" t="s">
        <v>2601</v>
      </c>
      <c r="S497" s="1">
        <v>44812</v>
      </c>
      <c r="T497" t="s">
        <v>33</v>
      </c>
      <c r="U497" t="s">
        <v>34</v>
      </c>
      <c r="V497" s="1">
        <v>44812</v>
      </c>
      <c r="W497" t="s">
        <v>35</v>
      </c>
      <c r="X497" t="s">
        <v>204</v>
      </c>
      <c r="Y497" t="s">
        <v>355</v>
      </c>
      <c r="Z497" t="s">
        <v>38</v>
      </c>
      <c r="AA497" t="s">
        <v>351</v>
      </c>
      <c r="AD497" t="s">
        <v>143</v>
      </c>
      <c r="AE497">
        <v>42.181708999999998</v>
      </c>
      <c r="AF497">
        <v>-87.909059999999997</v>
      </c>
      <c r="AG497" t="s">
        <v>40</v>
      </c>
      <c r="AH497" t="s">
        <v>41</v>
      </c>
      <c r="AI497">
        <v>42.181995939499998</v>
      </c>
      <c r="AJ497">
        <v>-87.909609256400003</v>
      </c>
      <c r="AK497">
        <v>2.8693950000047153E-4</v>
      </c>
      <c r="AL497">
        <v>-5.4925640000647036E-4</v>
      </c>
      <c r="AM497" t="str">
        <f>_xlfn.IFNA(VLOOKUP(Sheet1!$C497,ADMIX_ALL!A:B,2,FALSE),"none")</f>
        <v>K6-18</v>
      </c>
      <c r="AN497" t="str">
        <f>_xlfn.IFNA(VLOOKUP(Sheet1!C497,ADMIX_SS!A:B,2,FALSE),"none")</f>
        <v>Constant</v>
      </c>
      <c r="AO497" t="str">
        <f>_xlfn.IFNA(VLOOKUP(Sheet1!$C497,MONG_PHYLO!A:C,3,FALSE),"-")</f>
        <v>bic</v>
      </c>
      <c r="AP497" t="str">
        <f>_xlfn.IFNA(VLOOKUP(Sheet1!$C497,MAC_PHYLO!A:C,3,FALSE),"-")</f>
        <v>-</v>
      </c>
      <c r="AQ497" t="str">
        <f>_xlfn.IFNA(VLOOKUP(Sheet1!$C497,ConStruct!A:C,3,FALSE),"-")</f>
        <v>-</v>
      </c>
      <c r="AR497" t="str">
        <f>_xlfn.IFNA(VLOOKUP(Sheet1!$C497,GEA!A:C,3,FALSE),"-")</f>
        <v>-</v>
      </c>
      <c r="AS497" t="str">
        <f>_xlfn.IFNA(VLOOKUP(Sheet1!$C497,MAC_DSUITE!A:D,3,FALSE),"-")</f>
        <v>-</v>
      </c>
      <c r="AT497" t="str">
        <f>_xlfn.IFNA(VLOOKUP(Sheet1!$C497,MONG_DSUITE!A:E,2,FALSE),"-")</f>
        <v>bicolor</v>
      </c>
      <c r="AU497" t="str">
        <f>_xlfn.IFNA(VLOOKUP(Sheet1!$C497,MAC_PAINT2!A:D,4,FALSE),"-")</f>
        <v>-</v>
      </c>
    </row>
    <row r="498" spans="1:49" customFormat="1" x14ac:dyDescent="0.4">
      <c r="A498">
        <v>3949</v>
      </c>
      <c r="B498" t="s">
        <v>368</v>
      </c>
      <c r="C498" t="s">
        <v>369</v>
      </c>
      <c r="D498" t="str">
        <f>_xlfn.CONCAT(C498,".bam")</f>
        <v>SYST-MOR-0007186.bam</v>
      </c>
      <c r="E498" t="s">
        <v>370</v>
      </c>
      <c r="F498" t="s">
        <v>2407</v>
      </c>
      <c r="G498" t="s">
        <v>2412</v>
      </c>
      <c r="H498" t="s">
        <v>2496</v>
      </c>
      <c r="I498" t="s">
        <v>351</v>
      </c>
      <c r="K498" t="s">
        <v>64</v>
      </c>
      <c r="L498" t="s">
        <v>64</v>
      </c>
      <c r="N498" t="s">
        <v>64</v>
      </c>
      <c r="P498" t="s">
        <v>31</v>
      </c>
      <c r="Q498" t="s">
        <v>65</v>
      </c>
      <c r="R498" t="s">
        <v>2599</v>
      </c>
      <c r="S498" s="1">
        <v>44812</v>
      </c>
      <c r="T498" t="s">
        <v>33</v>
      </c>
      <c r="U498" t="s">
        <v>34</v>
      </c>
      <c r="V498" s="1">
        <v>44812</v>
      </c>
      <c r="W498" t="s">
        <v>35</v>
      </c>
      <c r="X498" t="s">
        <v>204</v>
      </c>
      <c r="Y498" t="s">
        <v>350</v>
      </c>
      <c r="Z498" t="s">
        <v>206</v>
      </c>
      <c r="AA498" t="s">
        <v>351</v>
      </c>
      <c r="AD498" t="s">
        <v>64</v>
      </c>
      <c r="AE498">
        <v>42.181798000000001</v>
      </c>
      <c r="AF498">
        <v>-87.908278999999993</v>
      </c>
      <c r="AG498" t="s">
        <v>40</v>
      </c>
      <c r="AH498" t="s">
        <v>41</v>
      </c>
      <c r="AI498">
        <v>42.181628854099998</v>
      </c>
      <c r="AJ498">
        <v>-87.908339062799996</v>
      </c>
      <c r="AK498">
        <v>-1.691459000028317E-4</v>
      </c>
      <c r="AL498">
        <v>-6.0062800002924632E-5</v>
      </c>
      <c r="AM498" t="str">
        <f>_xlfn.IFNA(VLOOKUP(Sheet1!$C498,ADMIX_ALL!A:B,2,FALSE),"none")</f>
        <v>K6-18</v>
      </c>
      <c r="AN498" t="str">
        <f>_xlfn.IFNA(VLOOKUP(Sheet1!C498,ADMIX_SS!A:B,2,FALSE),"none")</f>
        <v>SubSample</v>
      </c>
      <c r="AO498" t="str">
        <f>_xlfn.IFNA(VLOOKUP(Sheet1!$C498,MONG_PHYLO!A:C,3,FALSE),"-")</f>
        <v>-</v>
      </c>
      <c r="AP498" t="str">
        <f>_xlfn.IFNA(VLOOKUP(Sheet1!$C498,MAC_PHYLO!A:C,3,FALSE),"-")</f>
        <v>-</v>
      </c>
      <c r="AQ498" t="str">
        <f>_xlfn.IFNA(VLOOKUP(Sheet1!$C498,ConStruct!A:C,3,FALSE),"-")</f>
        <v>-</v>
      </c>
      <c r="AR498" t="str">
        <f>_xlfn.IFNA(VLOOKUP(Sheet1!$C498,GEA!A:C,3,FALSE),"-")</f>
        <v>-</v>
      </c>
      <c r="AS498" t="str">
        <f>_xlfn.IFNA(VLOOKUP(Sheet1!$C498,MAC_DSUITE!A:D,3,FALSE),"-")</f>
        <v>-</v>
      </c>
      <c r="AT498" t="str">
        <f>_xlfn.IFNA(VLOOKUP(Sheet1!$C498,MONG_DSUITE!A:E,2,FALSE),"-")</f>
        <v>xxx</v>
      </c>
      <c r="AU498" t="str">
        <f>_xlfn.IFNA(VLOOKUP(Sheet1!$C498,MAC_PAINT2!A:D,4,FALSE),"-")</f>
        <v>-</v>
      </c>
    </row>
    <row r="499" spans="1:49" customFormat="1" x14ac:dyDescent="0.4">
      <c r="A499">
        <v>3950</v>
      </c>
      <c r="B499" t="s">
        <v>371</v>
      </c>
      <c r="C499" t="s">
        <v>372</v>
      </c>
      <c r="D499" t="str">
        <f>_xlfn.CONCAT(C499,".bam")</f>
        <v>SYST-MOR-0007187.bam</v>
      </c>
      <c r="E499" t="s">
        <v>373</v>
      </c>
      <c r="F499" t="s">
        <v>2407</v>
      </c>
      <c r="G499" t="s">
        <v>2412</v>
      </c>
      <c r="H499" t="s">
        <v>2496</v>
      </c>
      <c r="I499" t="s">
        <v>351</v>
      </c>
      <c r="K499" t="s">
        <v>143</v>
      </c>
      <c r="L499" t="s">
        <v>143</v>
      </c>
      <c r="N499" t="s">
        <v>143</v>
      </c>
      <c r="P499" t="s">
        <v>31</v>
      </c>
      <c r="Q499" t="s">
        <v>144</v>
      </c>
      <c r="R499" t="s">
        <v>2601</v>
      </c>
      <c r="S499" s="1">
        <v>44812</v>
      </c>
      <c r="T499" t="s">
        <v>33</v>
      </c>
      <c r="U499" t="s">
        <v>34</v>
      </c>
      <c r="V499" s="1">
        <v>44812</v>
      </c>
      <c r="W499" t="s">
        <v>35</v>
      </c>
      <c r="X499" t="s">
        <v>204</v>
      </c>
      <c r="Y499" t="s">
        <v>355</v>
      </c>
      <c r="Z499" t="s">
        <v>38</v>
      </c>
      <c r="AA499" t="s">
        <v>351</v>
      </c>
      <c r="AD499" t="s">
        <v>143</v>
      </c>
      <c r="AE499">
        <v>42.181578999999999</v>
      </c>
      <c r="AF499">
        <v>-87.908004000000005</v>
      </c>
      <c r="AG499" t="s">
        <v>40</v>
      </c>
      <c r="AH499" t="s">
        <v>41</v>
      </c>
      <c r="AI499">
        <v>42.181559032800003</v>
      </c>
      <c r="AJ499">
        <v>-87.907851906600001</v>
      </c>
      <c r="AK499">
        <v>-1.9967199996528961E-5</v>
      </c>
      <c r="AL499">
        <v>1.5209340000410521E-4</v>
      </c>
      <c r="AM499" t="str">
        <f>_xlfn.IFNA(VLOOKUP(Sheet1!$C499,ADMIX_ALL!A:B,2,FALSE),"none")</f>
        <v>K6-18</v>
      </c>
      <c r="AN499" t="str">
        <f>_xlfn.IFNA(VLOOKUP(Sheet1!C499,ADMIX_SS!A:B,2,FALSE),"none")</f>
        <v>SubSample</v>
      </c>
      <c r="AO499" t="str">
        <f>_xlfn.IFNA(VLOOKUP(Sheet1!$C499,MONG_PHYLO!A:C,3,FALSE),"-")</f>
        <v>-</v>
      </c>
      <c r="AP499" t="str">
        <f>_xlfn.IFNA(VLOOKUP(Sheet1!$C499,MAC_PHYLO!A:C,3,FALSE),"-")</f>
        <v>-</v>
      </c>
      <c r="AQ499" t="str">
        <f>_xlfn.IFNA(VLOOKUP(Sheet1!$C499,ConStruct!A:C,3,FALSE),"-")</f>
        <v>-</v>
      </c>
      <c r="AR499" t="str">
        <f>_xlfn.IFNA(VLOOKUP(Sheet1!$C499,GEA!A:C,3,FALSE),"-")</f>
        <v>-</v>
      </c>
      <c r="AS499" t="str">
        <f>_xlfn.IFNA(VLOOKUP(Sheet1!$C499,MAC_DSUITE!A:D,3,FALSE),"-")</f>
        <v>-</v>
      </c>
      <c r="AT499" t="str">
        <f>_xlfn.IFNA(VLOOKUP(Sheet1!$C499,MONG_DSUITE!A:E,2,FALSE),"-")</f>
        <v>xxx</v>
      </c>
      <c r="AU499" t="str">
        <f>_xlfn.IFNA(VLOOKUP(Sheet1!$C499,MAC_PAINT2!A:D,4,FALSE),"-")</f>
        <v>-</v>
      </c>
    </row>
    <row r="500" spans="1:49" customFormat="1" x14ac:dyDescent="0.4">
      <c r="A500">
        <v>3951</v>
      </c>
      <c r="B500" t="s">
        <v>374</v>
      </c>
      <c r="C500" t="s">
        <v>375</v>
      </c>
      <c r="D500" t="str">
        <f>_xlfn.CONCAT(C500,".bam")</f>
        <v>SYST-MOR-0007188.bam</v>
      </c>
      <c r="E500" t="s">
        <v>376</v>
      </c>
      <c r="F500" t="s">
        <v>2407</v>
      </c>
      <c r="G500" t="s">
        <v>2412</v>
      </c>
      <c r="H500" t="s">
        <v>2496</v>
      </c>
      <c r="I500" t="s">
        <v>351</v>
      </c>
      <c r="K500" t="s">
        <v>45</v>
      </c>
      <c r="L500" t="s">
        <v>45</v>
      </c>
      <c r="N500" t="s">
        <v>45</v>
      </c>
      <c r="P500" t="s">
        <v>31</v>
      </c>
      <c r="Q500" t="s">
        <v>46</v>
      </c>
      <c r="R500" t="s">
        <v>2597</v>
      </c>
      <c r="S500" s="1">
        <v>44812</v>
      </c>
      <c r="T500" t="s">
        <v>33</v>
      </c>
      <c r="U500" t="s">
        <v>34</v>
      </c>
      <c r="V500" s="1">
        <v>44812</v>
      </c>
      <c r="W500" t="s">
        <v>35</v>
      </c>
      <c r="X500" t="s">
        <v>204</v>
      </c>
      <c r="Y500" t="s">
        <v>350</v>
      </c>
      <c r="Z500" t="s">
        <v>206</v>
      </c>
      <c r="AA500" t="s">
        <v>351</v>
      </c>
      <c r="AD500" t="s">
        <v>45</v>
      </c>
      <c r="AE500">
        <v>42.181494000000001</v>
      </c>
      <c r="AF500">
        <v>-87.907514000000006</v>
      </c>
      <c r="AG500" t="s">
        <v>40</v>
      </c>
      <c r="AH500" t="s">
        <v>41</v>
      </c>
      <c r="AI500">
        <v>42.181446254299999</v>
      </c>
      <c r="AJ500">
        <v>-87.907490311299995</v>
      </c>
      <c r="AK500">
        <v>-4.7745700001655678E-5</v>
      </c>
      <c r="AL500">
        <v>2.3688700011348374E-5</v>
      </c>
      <c r="AM500" t="str">
        <f>_xlfn.IFNA(VLOOKUP(Sheet1!$C500,ADMIX_ALL!A:B,2,FALSE),"none")</f>
        <v>K6-18</v>
      </c>
      <c r="AN500" t="str">
        <f>_xlfn.IFNA(VLOOKUP(Sheet1!C500,ADMIX_SS!A:B,2,FALSE),"none")</f>
        <v>SubSample</v>
      </c>
      <c r="AO500" t="str">
        <f>_xlfn.IFNA(VLOOKUP(Sheet1!$C500,MONG_PHYLO!A:C,3,FALSE),"-")</f>
        <v>-</v>
      </c>
      <c r="AP500" t="str">
        <f>_xlfn.IFNA(VLOOKUP(Sheet1!$C500,MAC_PHYLO!A:C,3,FALSE),"-")</f>
        <v>-</v>
      </c>
      <c r="AQ500" t="str">
        <f>_xlfn.IFNA(VLOOKUP(Sheet1!$C500,ConStruct!A:C,3,FALSE),"-")</f>
        <v>ConStruct</v>
      </c>
      <c r="AR500" t="str">
        <f>_xlfn.IFNA(VLOOKUP(Sheet1!$C500,GEA!A:C,3,FALSE),"-")</f>
        <v>GEA</v>
      </c>
      <c r="AS500" t="str">
        <f>_xlfn.IFNA(VLOOKUP(Sheet1!$C500,MAC_DSUITE!A:D,3,FALSE),"-")</f>
        <v>mac_IL_RCA</v>
      </c>
      <c r="AT500" t="str">
        <f>_xlfn.IFNA(VLOOKUP(Sheet1!$C500,MONG_DSUITE!A:E,2,FALSE),"-")</f>
        <v>macrocarpa_RCA</v>
      </c>
      <c r="AU500" t="str">
        <f>_xlfn.IFNA(VLOOKUP(Sheet1!$C500,MAC_PAINT2!A:D,4,FALSE),"-")</f>
        <v>macpaint</v>
      </c>
      <c r="AV500" t="s">
        <v>9193</v>
      </c>
      <c r="AW500" t="s">
        <v>9193</v>
      </c>
    </row>
    <row r="501" spans="1:49" customFormat="1" x14ac:dyDescent="0.4">
      <c r="A501">
        <v>3952</v>
      </c>
      <c r="B501" t="s">
        <v>377</v>
      </c>
      <c r="C501" t="s">
        <v>378</v>
      </c>
      <c r="D501" t="str">
        <f>_xlfn.CONCAT(C501,".bam")</f>
        <v>SYST-MOR-0007189.bam</v>
      </c>
      <c r="E501" t="s">
        <v>379</v>
      </c>
      <c r="F501" t="s">
        <v>2407</v>
      </c>
      <c r="G501" t="s">
        <v>2412</v>
      </c>
      <c r="H501" t="s">
        <v>2496</v>
      </c>
      <c r="I501" t="s">
        <v>351</v>
      </c>
      <c r="K501" t="s">
        <v>64</v>
      </c>
      <c r="L501" t="s">
        <v>64</v>
      </c>
      <c r="N501" t="s">
        <v>64</v>
      </c>
      <c r="P501" t="s">
        <v>31</v>
      </c>
      <c r="Q501" t="s">
        <v>65</v>
      </c>
      <c r="R501" t="s">
        <v>2599</v>
      </c>
      <c r="S501" s="1">
        <v>44812</v>
      </c>
      <c r="T501" t="s">
        <v>33</v>
      </c>
      <c r="U501" t="s">
        <v>34</v>
      </c>
      <c r="V501" s="1">
        <v>44812</v>
      </c>
      <c r="W501" t="s">
        <v>35</v>
      </c>
      <c r="X501" t="s">
        <v>204</v>
      </c>
      <c r="Y501" t="s">
        <v>355</v>
      </c>
      <c r="Z501" t="s">
        <v>38</v>
      </c>
      <c r="AA501" t="s">
        <v>351</v>
      </c>
      <c r="AD501" t="s">
        <v>64</v>
      </c>
      <c r="AE501">
        <v>42.181280000000001</v>
      </c>
      <c r="AF501">
        <v>-87.906869</v>
      </c>
      <c r="AG501" t="s">
        <v>40</v>
      </c>
      <c r="AH501" t="s">
        <v>41</v>
      </c>
      <c r="AI501">
        <v>42.181249405300001</v>
      </c>
      <c r="AJ501">
        <v>-87.906781872799996</v>
      </c>
      <c r="AK501">
        <v>-3.0594700000108332E-5</v>
      </c>
      <c r="AL501">
        <v>8.7127200004033512E-5</v>
      </c>
      <c r="AM501" t="str">
        <f>_xlfn.IFNA(VLOOKUP(Sheet1!$C501,ADMIX_ALL!A:B,2,FALSE),"none")</f>
        <v>K6-18</v>
      </c>
      <c r="AN501" t="str">
        <f>_xlfn.IFNA(VLOOKUP(Sheet1!C501,ADMIX_SS!A:B,2,FALSE),"none")</f>
        <v>SubSample</v>
      </c>
      <c r="AO501" t="str">
        <f>_xlfn.IFNA(VLOOKUP(Sheet1!$C501,MONG_PHYLO!A:C,3,FALSE),"-")</f>
        <v>-</v>
      </c>
      <c r="AP501" t="str">
        <f>_xlfn.IFNA(VLOOKUP(Sheet1!$C501,MAC_PHYLO!A:C,3,FALSE),"-")</f>
        <v>-</v>
      </c>
      <c r="AQ501" t="str">
        <f>_xlfn.IFNA(VLOOKUP(Sheet1!$C501,ConStruct!A:C,3,FALSE),"-")</f>
        <v>-</v>
      </c>
      <c r="AR501" t="str">
        <f>_xlfn.IFNA(VLOOKUP(Sheet1!$C501,GEA!A:C,3,FALSE),"-")</f>
        <v>-</v>
      </c>
      <c r="AS501" t="str">
        <f>_xlfn.IFNA(VLOOKUP(Sheet1!$C501,MAC_DSUITE!A:D,3,FALSE),"-")</f>
        <v>-</v>
      </c>
      <c r="AT501" t="str">
        <f>_xlfn.IFNA(VLOOKUP(Sheet1!$C501,MONG_DSUITE!A:E,2,FALSE),"-")</f>
        <v>xxx</v>
      </c>
      <c r="AU501" t="str">
        <f>_xlfn.IFNA(VLOOKUP(Sheet1!$C501,MAC_PAINT2!A:D,4,FALSE),"-")</f>
        <v>-</v>
      </c>
    </row>
    <row r="502" spans="1:49" customFormat="1" x14ac:dyDescent="0.4">
      <c r="A502">
        <v>3953</v>
      </c>
      <c r="B502" t="s">
        <v>380</v>
      </c>
      <c r="C502" t="s">
        <v>381</v>
      </c>
      <c r="D502" t="str">
        <f>_xlfn.CONCAT(C502,".bam")</f>
        <v>SYST-MOR-0007190.bam</v>
      </c>
      <c r="E502" t="s">
        <v>382</v>
      </c>
      <c r="F502" t="s">
        <v>2407</v>
      </c>
      <c r="G502" t="s">
        <v>2412</v>
      </c>
      <c r="H502" t="s">
        <v>2496</v>
      </c>
      <c r="I502" t="s">
        <v>351</v>
      </c>
      <c r="K502" t="s">
        <v>45</v>
      </c>
      <c r="L502" t="s">
        <v>45</v>
      </c>
      <c r="N502" t="s">
        <v>45</v>
      </c>
      <c r="P502" t="s">
        <v>31</v>
      </c>
      <c r="Q502" t="s">
        <v>46</v>
      </c>
      <c r="R502" t="s">
        <v>2597</v>
      </c>
      <c r="S502" s="1">
        <v>44812</v>
      </c>
      <c r="T502" t="s">
        <v>33</v>
      </c>
      <c r="U502" t="s">
        <v>34</v>
      </c>
      <c r="V502" s="1">
        <v>44812</v>
      </c>
      <c r="W502" t="s">
        <v>35</v>
      </c>
      <c r="X502" t="s">
        <v>204</v>
      </c>
      <c r="Y502" t="s">
        <v>350</v>
      </c>
      <c r="Z502" t="s">
        <v>206</v>
      </c>
      <c r="AA502" t="s">
        <v>351</v>
      </c>
      <c r="AD502" t="s">
        <v>45</v>
      </c>
      <c r="AE502">
        <v>42.181116000000003</v>
      </c>
      <c r="AF502">
        <v>-87.907092000000006</v>
      </c>
      <c r="AG502" t="s">
        <v>40</v>
      </c>
      <c r="AH502" t="s">
        <v>41</v>
      </c>
      <c r="AI502">
        <v>42.180990781699997</v>
      </c>
      <c r="AJ502">
        <v>-87.906918581699998</v>
      </c>
      <c r="AK502">
        <v>-1.2521830000622458E-4</v>
      </c>
      <c r="AL502">
        <v>1.7341830000816572E-4</v>
      </c>
      <c r="AM502" t="str">
        <f>_xlfn.IFNA(VLOOKUP(Sheet1!$C502,ADMIX_ALL!A:B,2,FALSE),"none")</f>
        <v>K6-18</v>
      </c>
      <c r="AN502" t="str">
        <f>_xlfn.IFNA(VLOOKUP(Sheet1!C502,ADMIX_SS!A:B,2,FALSE),"none")</f>
        <v>SubSample</v>
      </c>
      <c r="AO502" t="str">
        <f>_xlfn.IFNA(VLOOKUP(Sheet1!$C502,MONG_PHYLO!A:C,3,FALSE),"-")</f>
        <v>-</v>
      </c>
      <c r="AP502" t="str">
        <f>_xlfn.IFNA(VLOOKUP(Sheet1!$C502,MAC_PHYLO!A:C,3,FALSE),"-")</f>
        <v>-</v>
      </c>
      <c r="AQ502" t="str">
        <f>_xlfn.IFNA(VLOOKUP(Sheet1!$C502,ConStruct!A:C,3,FALSE),"-")</f>
        <v>ConStruct</v>
      </c>
      <c r="AR502" t="str">
        <f>_xlfn.IFNA(VLOOKUP(Sheet1!$C502,GEA!A:C,3,FALSE),"-")</f>
        <v>GEA</v>
      </c>
      <c r="AS502" t="str">
        <f>_xlfn.IFNA(VLOOKUP(Sheet1!$C502,MAC_DSUITE!A:D,3,FALSE),"-")</f>
        <v>mac_IL_RCA</v>
      </c>
      <c r="AT502" t="str">
        <f>_xlfn.IFNA(VLOOKUP(Sheet1!$C502,MONG_DSUITE!A:E,2,FALSE),"-")</f>
        <v>macrocarpa_RCA</v>
      </c>
      <c r="AU502" t="str">
        <f>_xlfn.IFNA(VLOOKUP(Sheet1!$C502,MAC_PAINT2!A:D,4,FALSE),"-")</f>
        <v>macpaint</v>
      </c>
      <c r="AV502" t="s">
        <v>9193</v>
      </c>
      <c r="AW502" t="s">
        <v>9193</v>
      </c>
    </row>
    <row r="503" spans="1:49" customFormat="1" x14ac:dyDescent="0.4">
      <c r="A503">
        <v>3954</v>
      </c>
      <c r="B503" t="s">
        <v>383</v>
      </c>
      <c r="C503" t="s">
        <v>384</v>
      </c>
      <c r="D503" t="str">
        <f>_xlfn.CONCAT(C503,".bam")</f>
        <v>SYST-MOR-0007191.bam</v>
      </c>
      <c r="E503" t="s">
        <v>385</v>
      </c>
      <c r="F503" t="s">
        <v>2407</v>
      </c>
      <c r="G503" t="s">
        <v>2412</v>
      </c>
      <c r="H503" t="s">
        <v>2496</v>
      </c>
      <c r="I503" t="s">
        <v>351</v>
      </c>
      <c r="K503" t="s">
        <v>8553</v>
      </c>
      <c r="L503" t="s">
        <v>143</v>
      </c>
      <c r="N503" t="s">
        <v>143</v>
      </c>
      <c r="P503" t="s">
        <v>31</v>
      </c>
      <c r="Q503" t="s">
        <v>144</v>
      </c>
      <c r="R503" t="s">
        <v>2601</v>
      </c>
      <c r="S503" s="1">
        <v>44812</v>
      </c>
      <c r="T503" t="s">
        <v>33</v>
      </c>
      <c r="U503" t="s">
        <v>34</v>
      </c>
      <c r="V503" s="1">
        <v>44812</v>
      </c>
      <c r="W503" t="s">
        <v>35</v>
      </c>
      <c r="X503" t="s">
        <v>204</v>
      </c>
      <c r="Y503" t="s">
        <v>355</v>
      </c>
      <c r="Z503" t="s">
        <v>38</v>
      </c>
      <c r="AA503" t="s">
        <v>351</v>
      </c>
      <c r="AD503" t="s">
        <v>143</v>
      </c>
      <c r="AE503">
        <v>42.180086000000003</v>
      </c>
      <c r="AF503">
        <v>-87.906420999999995</v>
      </c>
      <c r="AG503" t="s">
        <v>40</v>
      </c>
      <c r="AH503" t="s">
        <v>41</v>
      </c>
      <c r="AI503">
        <v>42.179950419900003</v>
      </c>
      <c r="AJ503">
        <v>-87.906466210299996</v>
      </c>
      <c r="AK503">
        <v>-1.3558010000025433E-4</v>
      </c>
      <c r="AL503">
        <v>-4.5210300001485848E-5</v>
      </c>
      <c r="AM503" t="str">
        <f>_xlfn.IFNA(VLOOKUP(Sheet1!$C503,ADMIX_ALL!A:B,2,FALSE),"none")</f>
        <v>K6-18</v>
      </c>
      <c r="AN503" t="str">
        <f>_xlfn.IFNA(VLOOKUP(Sheet1!C503,ADMIX_SS!A:B,2,FALSE),"none")</f>
        <v>SubSample</v>
      </c>
      <c r="AO503" t="str">
        <f>_xlfn.IFNA(VLOOKUP(Sheet1!$C503,MONG_PHYLO!A:C,3,FALSE),"-")</f>
        <v>-</v>
      </c>
      <c r="AP503" t="str">
        <f>_xlfn.IFNA(VLOOKUP(Sheet1!$C503,MAC_PHYLO!A:C,3,FALSE),"-")</f>
        <v>-</v>
      </c>
      <c r="AQ503" t="str">
        <f>_xlfn.IFNA(VLOOKUP(Sheet1!$C503,ConStruct!A:C,3,FALSE),"-")</f>
        <v>-</v>
      </c>
      <c r="AR503" t="str">
        <f>_xlfn.IFNA(VLOOKUP(Sheet1!$C503,GEA!A:C,3,FALSE),"-")</f>
        <v>-</v>
      </c>
      <c r="AS503" t="str">
        <f>_xlfn.IFNA(VLOOKUP(Sheet1!$C503,MAC_DSUITE!A:D,3,FALSE),"-")</f>
        <v>-</v>
      </c>
      <c r="AT503" t="str">
        <f>_xlfn.IFNA(VLOOKUP(Sheet1!$C503,MONG_DSUITE!A:E,2,FALSE),"-")</f>
        <v>xxx</v>
      </c>
      <c r="AU503" t="str">
        <f>_xlfn.IFNA(VLOOKUP(Sheet1!$C503,MAC_PAINT2!A:D,4,FALSE),"-")</f>
        <v>-</v>
      </c>
    </row>
    <row r="504" spans="1:49" customFormat="1" x14ac:dyDescent="0.4">
      <c r="A504">
        <v>3955</v>
      </c>
      <c r="B504" t="s">
        <v>386</v>
      </c>
      <c r="C504" t="s">
        <v>387</v>
      </c>
      <c r="D504" t="str">
        <f>_xlfn.CONCAT(C504,".bam")</f>
        <v>SYST-MOR-0007192.bam</v>
      </c>
      <c r="E504" t="s">
        <v>388</v>
      </c>
      <c r="F504" t="s">
        <v>2407</v>
      </c>
      <c r="G504" t="s">
        <v>2412</v>
      </c>
      <c r="H504" t="s">
        <v>2496</v>
      </c>
      <c r="I504" t="s">
        <v>351</v>
      </c>
      <c r="K504" t="s">
        <v>64</v>
      </c>
      <c r="L504" t="s">
        <v>64</v>
      </c>
      <c r="N504" t="s">
        <v>64</v>
      </c>
      <c r="P504" t="s">
        <v>31</v>
      </c>
      <c r="Q504" t="s">
        <v>65</v>
      </c>
      <c r="R504" t="s">
        <v>2599</v>
      </c>
      <c r="S504" s="1">
        <v>44812</v>
      </c>
      <c r="T504" t="s">
        <v>33</v>
      </c>
      <c r="U504" t="s">
        <v>34</v>
      </c>
      <c r="V504" s="1">
        <v>44812</v>
      </c>
      <c r="W504" t="s">
        <v>35</v>
      </c>
      <c r="X504" t="s">
        <v>204</v>
      </c>
      <c r="Y504" t="s">
        <v>350</v>
      </c>
      <c r="Z504" t="s">
        <v>206</v>
      </c>
      <c r="AA504" t="s">
        <v>351</v>
      </c>
      <c r="AD504" t="s">
        <v>64</v>
      </c>
      <c r="AE504">
        <v>42.179906000000003</v>
      </c>
      <c r="AF504">
        <v>-87.906594999999996</v>
      </c>
      <c r="AG504" t="s">
        <v>40</v>
      </c>
      <c r="AH504" t="s">
        <v>41</v>
      </c>
      <c r="AI504">
        <v>42.179822595799997</v>
      </c>
      <c r="AJ504">
        <v>-87.906599734099998</v>
      </c>
      <c r="AK504">
        <v>-8.34042000050772E-5</v>
      </c>
      <c r="AL504">
        <v>-4.7341000026790425E-6</v>
      </c>
      <c r="AM504" t="str">
        <f>_xlfn.IFNA(VLOOKUP(Sheet1!$C504,ADMIX_ALL!A:B,2,FALSE),"none")</f>
        <v>K6-18</v>
      </c>
      <c r="AN504" t="str">
        <f>_xlfn.IFNA(VLOOKUP(Sheet1!C504,ADMIX_SS!A:B,2,FALSE),"none")</f>
        <v>none</v>
      </c>
      <c r="AO504" t="str">
        <f>_xlfn.IFNA(VLOOKUP(Sheet1!$C504,MONG_PHYLO!A:C,3,FALSE),"-")</f>
        <v>-</v>
      </c>
      <c r="AP504" t="str">
        <f>_xlfn.IFNA(VLOOKUP(Sheet1!$C504,MAC_PHYLO!A:C,3,FALSE),"-")</f>
        <v>-</v>
      </c>
      <c r="AQ504" t="str">
        <f>_xlfn.IFNA(VLOOKUP(Sheet1!$C504,ConStruct!A:C,3,FALSE),"-")</f>
        <v>-</v>
      </c>
      <c r="AR504" t="str">
        <f>_xlfn.IFNA(VLOOKUP(Sheet1!$C504,GEA!A:C,3,FALSE),"-")</f>
        <v>-</v>
      </c>
      <c r="AS504" t="str">
        <f>_xlfn.IFNA(VLOOKUP(Sheet1!$C504,MAC_DSUITE!A:D,3,FALSE),"-")</f>
        <v>-</v>
      </c>
      <c r="AT504" t="str">
        <f>_xlfn.IFNA(VLOOKUP(Sheet1!$C504,MONG_DSUITE!A:E,2,FALSE),"-")</f>
        <v>xxx</v>
      </c>
      <c r="AU504" t="str">
        <f>_xlfn.IFNA(VLOOKUP(Sheet1!$C504,MAC_PAINT2!A:D,4,FALSE),"-")</f>
        <v>-</v>
      </c>
    </row>
    <row r="505" spans="1:49" customFormat="1" x14ac:dyDescent="0.4">
      <c r="A505">
        <v>3956</v>
      </c>
      <c r="B505" t="s">
        <v>389</v>
      </c>
      <c r="C505" t="s">
        <v>390</v>
      </c>
      <c r="D505" t="str">
        <f>_xlfn.CONCAT(C505,".bam")</f>
        <v>SYST-MOR-0007193.bam</v>
      </c>
      <c r="E505" t="s">
        <v>391</v>
      </c>
      <c r="F505" t="s">
        <v>2407</v>
      </c>
      <c r="G505" t="s">
        <v>2412</v>
      </c>
      <c r="H505" t="s">
        <v>2496</v>
      </c>
      <c r="I505" t="s">
        <v>351</v>
      </c>
      <c r="K505" t="s">
        <v>45</v>
      </c>
      <c r="L505" t="s">
        <v>45</v>
      </c>
      <c r="N505" t="s">
        <v>45</v>
      </c>
      <c r="P505" t="s">
        <v>31</v>
      </c>
      <c r="Q505" t="s">
        <v>46</v>
      </c>
      <c r="R505" t="s">
        <v>2597</v>
      </c>
      <c r="S505" s="1">
        <v>44812</v>
      </c>
      <c r="T505" t="s">
        <v>33</v>
      </c>
      <c r="U505" t="s">
        <v>34</v>
      </c>
      <c r="V505" s="1">
        <v>44812</v>
      </c>
      <c r="W505" t="s">
        <v>35</v>
      </c>
      <c r="X505" t="s">
        <v>204</v>
      </c>
      <c r="Y505" t="s">
        <v>355</v>
      </c>
      <c r="Z505" t="s">
        <v>38</v>
      </c>
      <c r="AA505" t="s">
        <v>351</v>
      </c>
      <c r="AD505" t="s">
        <v>45</v>
      </c>
      <c r="AE505">
        <v>42.179960999999999</v>
      </c>
      <c r="AF505">
        <v>-87.906599</v>
      </c>
      <c r="AG505" t="s">
        <v>40</v>
      </c>
      <c r="AH505" t="s">
        <v>41</v>
      </c>
      <c r="AI505">
        <v>42.179904548800003</v>
      </c>
      <c r="AJ505">
        <v>-87.906630392799997</v>
      </c>
      <c r="AK505">
        <v>-5.645119999542203E-5</v>
      </c>
      <c r="AL505">
        <v>-3.1392799996865506E-5</v>
      </c>
      <c r="AM505" t="str">
        <f>_xlfn.IFNA(VLOOKUP(Sheet1!$C505,ADMIX_ALL!A:B,2,FALSE),"none")</f>
        <v>K6-18</v>
      </c>
      <c r="AN505" t="str">
        <f>_xlfn.IFNA(VLOOKUP(Sheet1!C505,ADMIX_SS!A:B,2,FALSE),"none")</f>
        <v>SubSample</v>
      </c>
      <c r="AO505" t="str">
        <f>_xlfn.IFNA(VLOOKUP(Sheet1!$C505,MONG_PHYLO!A:C,3,FALSE),"-")</f>
        <v>-</v>
      </c>
      <c r="AP505" t="str">
        <f>_xlfn.IFNA(VLOOKUP(Sheet1!$C505,MAC_PHYLO!A:C,3,FALSE),"-")</f>
        <v>-</v>
      </c>
      <c r="AQ505" t="str">
        <f>_xlfn.IFNA(VLOOKUP(Sheet1!$C505,ConStruct!A:C,3,FALSE),"-")</f>
        <v>ConStruct</v>
      </c>
      <c r="AR505" t="str">
        <f>_xlfn.IFNA(VLOOKUP(Sheet1!$C505,GEA!A:C,3,FALSE),"-")</f>
        <v>GEA</v>
      </c>
      <c r="AS505" t="str">
        <f>_xlfn.IFNA(VLOOKUP(Sheet1!$C505,MAC_DSUITE!A:D,3,FALSE),"-")</f>
        <v>mac_IL_RCA</v>
      </c>
      <c r="AT505" t="str">
        <f>_xlfn.IFNA(VLOOKUP(Sheet1!$C505,MONG_DSUITE!A:E,2,FALSE),"-")</f>
        <v>macrocarpa_RCA</v>
      </c>
      <c r="AU505" t="str">
        <f>_xlfn.IFNA(VLOOKUP(Sheet1!$C505,MAC_PAINT2!A:D,4,FALSE),"-")</f>
        <v>macpaint</v>
      </c>
      <c r="AV505" t="s">
        <v>9193</v>
      </c>
      <c r="AW505" t="s">
        <v>9193</v>
      </c>
    </row>
    <row r="506" spans="1:49" customFormat="1" x14ac:dyDescent="0.4">
      <c r="A506">
        <v>3957</v>
      </c>
      <c r="B506" t="s">
        <v>392</v>
      </c>
      <c r="C506" t="s">
        <v>393</v>
      </c>
      <c r="D506" t="str">
        <f>_xlfn.CONCAT(C506,".bam")</f>
        <v>SYST-MOR-0007194.bam</v>
      </c>
      <c r="E506" t="s">
        <v>394</v>
      </c>
      <c r="F506" t="s">
        <v>2407</v>
      </c>
      <c r="G506" t="s">
        <v>2412</v>
      </c>
      <c r="H506" t="s">
        <v>2496</v>
      </c>
      <c r="I506" t="s">
        <v>351</v>
      </c>
      <c r="K506" t="s">
        <v>143</v>
      </c>
      <c r="L506" t="s">
        <v>143</v>
      </c>
      <c r="N506" t="s">
        <v>143</v>
      </c>
      <c r="P506" t="s">
        <v>31</v>
      </c>
      <c r="Q506" t="s">
        <v>144</v>
      </c>
      <c r="R506" t="s">
        <v>2601</v>
      </c>
      <c r="S506" s="1">
        <v>44812</v>
      </c>
      <c r="T506" t="s">
        <v>33</v>
      </c>
      <c r="U506" t="s">
        <v>34</v>
      </c>
      <c r="V506" s="1">
        <v>44812</v>
      </c>
      <c r="W506" t="s">
        <v>35</v>
      </c>
      <c r="X506" t="s">
        <v>204</v>
      </c>
      <c r="Y506" t="s">
        <v>350</v>
      </c>
      <c r="Z506" t="s">
        <v>206</v>
      </c>
      <c r="AA506" t="s">
        <v>351</v>
      </c>
      <c r="AD506" t="s">
        <v>143</v>
      </c>
      <c r="AE506">
        <v>42.179338999999999</v>
      </c>
      <c r="AF506">
        <v>-87.906487999999996</v>
      </c>
      <c r="AG506" t="s">
        <v>40</v>
      </c>
      <c r="AH506" t="s">
        <v>41</v>
      </c>
      <c r="AI506">
        <v>42.179018226499998</v>
      </c>
      <c r="AJ506">
        <v>-87.906087013000004</v>
      </c>
      <c r="AK506">
        <v>-3.2077350000037086E-4</v>
      </c>
      <c r="AL506">
        <v>4.0098699999191467E-4</v>
      </c>
      <c r="AM506" t="str">
        <f>_xlfn.IFNA(VLOOKUP(Sheet1!$C506,ADMIX_ALL!A:B,2,FALSE),"none")</f>
        <v>K6-18</v>
      </c>
      <c r="AN506" t="str">
        <f>_xlfn.IFNA(VLOOKUP(Sheet1!C506,ADMIX_SS!A:B,2,FALSE),"none")</f>
        <v>SubSample</v>
      </c>
      <c r="AO506" t="str">
        <f>_xlfn.IFNA(VLOOKUP(Sheet1!$C506,MONG_PHYLO!A:C,3,FALSE),"-")</f>
        <v>-</v>
      </c>
      <c r="AP506" t="str">
        <f>_xlfn.IFNA(VLOOKUP(Sheet1!$C506,MAC_PHYLO!A:C,3,FALSE),"-")</f>
        <v>-</v>
      </c>
      <c r="AQ506" t="str">
        <f>_xlfn.IFNA(VLOOKUP(Sheet1!$C506,ConStruct!A:C,3,FALSE),"-")</f>
        <v>-</v>
      </c>
      <c r="AR506" t="str">
        <f>_xlfn.IFNA(VLOOKUP(Sheet1!$C506,GEA!A:C,3,FALSE),"-")</f>
        <v>-</v>
      </c>
      <c r="AS506" t="str">
        <f>_xlfn.IFNA(VLOOKUP(Sheet1!$C506,MAC_DSUITE!A:D,3,FALSE),"-")</f>
        <v>-</v>
      </c>
      <c r="AT506" t="str">
        <f>_xlfn.IFNA(VLOOKUP(Sheet1!$C506,MONG_DSUITE!A:E,2,FALSE),"-")</f>
        <v>xxx</v>
      </c>
      <c r="AU506" t="str">
        <f>_xlfn.IFNA(VLOOKUP(Sheet1!$C506,MAC_PAINT2!A:D,4,FALSE),"-")</f>
        <v>-</v>
      </c>
    </row>
    <row r="507" spans="1:49" customFormat="1" x14ac:dyDescent="0.4">
      <c r="A507">
        <v>3958</v>
      </c>
      <c r="B507" t="s">
        <v>447</v>
      </c>
      <c r="C507" t="s">
        <v>448</v>
      </c>
      <c r="D507" t="str">
        <f>_xlfn.CONCAT(C507,".bam")</f>
        <v>SYST-MOR-0007195.bam</v>
      </c>
      <c r="E507" t="s">
        <v>449</v>
      </c>
      <c r="F507" t="s">
        <v>2413</v>
      </c>
      <c r="G507" t="s">
        <v>2418</v>
      </c>
      <c r="H507" t="s">
        <v>2501</v>
      </c>
      <c r="I507" t="s">
        <v>451</v>
      </c>
      <c r="K507" t="s">
        <v>64</v>
      </c>
      <c r="L507" t="s">
        <v>64</v>
      </c>
      <c r="N507" t="s">
        <v>64</v>
      </c>
      <c r="P507" t="s">
        <v>31</v>
      </c>
      <c r="Q507" t="s">
        <v>65</v>
      </c>
      <c r="R507" t="s">
        <v>2599</v>
      </c>
      <c r="S507" s="1">
        <v>44818</v>
      </c>
      <c r="T507" t="s">
        <v>33</v>
      </c>
      <c r="U507" t="s">
        <v>34</v>
      </c>
      <c r="V507" s="1">
        <v>44823</v>
      </c>
      <c r="W507" t="s">
        <v>35</v>
      </c>
      <c r="X507" t="s">
        <v>399</v>
      </c>
      <c r="Y507" t="s">
        <v>450</v>
      </c>
      <c r="Z507" t="s">
        <v>206</v>
      </c>
      <c r="AA507" t="s">
        <v>451</v>
      </c>
      <c r="AD507" t="s">
        <v>64</v>
      </c>
      <c r="AE507">
        <v>40.438583999999999</v>
      </c>
      <c r="AF507">
        <v>-86.932946999999999</v>
      </c>
      <c r="AG507" t="s">
        <v>40</v>
      </c>
      <c r="AH507" t="s">
        <v>41</v>
      </c>
      <c r="AI507">
        <v>40.438740248800002</v>
      </c>
      <c r="AJ507">
        <v>-86.932774046500001</v>
      </c>
      <c r="AK507">
        <v>1.5624880000331132E-4</v>
      </c>
      <c r="AL507">
        <v>1.729534999981297E-4</v>
      </c>
      <c r="AM507" t="str">
        <f>_xlfn.IFNA(VLOOKUP(Sheet1!$C507,ADMIX_ALL!A:B,2,FALSE),"none")</f>
        <v>K6-18</v>
      </c>
      <c r="AN507" t="str">
        <f>_xlfn.IFNA(VLOOKUP(Sheet1!C507,ADMIX_SS!A:B,2,FALSE),"none")</f>
        <v>SubSample</v>
      </c>
      <c r="AO507" t="str">
        <f>_xlfn.IFNA(VLOOKUP(Sheet1!$C507,MONG_PHYLO!A:C,3,FALSE),"-")</f>
        <v>-</v>
      </c>
      <c r="AP507" t="str">
        <f>_xlfn.IFNA(VLOOKUP(Sheet1!$C507,MAC_PHYLO!A:C,3,FALSE),"-")</f>
        <v>alb</v>
      </c>
      <c r="AQ507" t="str">
        <f>_xlfn.IFNA(VLOOKUP(Sheet1!$C507,ConStruct!A:C,3,FALSE),"-")</f>
        <v>-</v>
      </c>
      <c r="AR507" t="str">
        <f>_xlfn.IFNA(VLOOKUP(Sheet1!$C507,GEA!A:C,3,FALSE),"-")</f>
        <v>-</v>
      </c>
      <c r="AS507" t="str">
        <f>_xlfn.IFNA(VLOOKUP(Sheet1!$C507,MAC_DSUITE!A:D,3,FALSE),"-")</f>
        <v>alb</v>
      </c>
      <c r="AT507" t="str">
        <f>_xlfn.IFNA(VLOOKUP(Sheet1!$C507,MONG_DSUITE!A:E,2,FALSE),"-")</f>
        <v>xxx</v>
      </c>
      <c r="AU507" t="str">
        <f>_xlfn.IFNA(VLOOKUP(Sheet1!$C507,MAC_PAINT2!A:D,4,FALSE),"-")</f>
        <v>alb-macpaint</v>
      </c>
    </row>
    <row r="508" spans="1:49" customFormat="1" x14ac:dyDescent="0.4">
      <c r="A508">
        <v>3959</v>
      </c>
      <c r="B508" t="s">
        <v>452</v>
      </c>
      <c r="C508" t="s">
        <v>453</v>
      </c>
      <c r="D508" t="str">
        <f>_xlfn.CONCAT(C508,".bam")</f>
        <v>SYST-MOR-0007196.bam</v>
      </c>
      <c r="E508" t="s">
        <v>454</v>
      </c>
      <c r="F508" t="s">
        <v>2413</v>
      </c>
      <c r="G508" t="s">
        <v>2418</v>
      </c>
      <c r="H508" t="s">
        <v>2501</v>
      </c>
      <c r="I508" t="s">
        <v>451</v>
      </c>
      <c r="K508" t="s">
        <v>143</v>
      </c>
      <c r="L508" t="s">
        <v>143</v>
      </c>
      <c r="N508" t="s">
        <v>143</v>
      </c>
      <c r="P508" t="s">
        <v>31</v>
      </c>
      <c r="Q508" t="s">
        <v>144</v>
      </c>
      <c r="R508" t="s">
        <v>2601</v>
      </c>
      <c r="S508" s="1">
        <v>44818</v>
      </c>
      <c r="T508" t="s">
        <v>33</v>
      </c>
      <c r="U508" t="s">
        <v>34</v>
      </c>
      <c r="V508" s="1">
        <v>44823</v>
      </c>
      <c r="W508" t="s">
        <v>35</v>
      </c>
      <c r="X508" t="s">
        <v>399</v>
      </c>
      <c r="Y508" t="s">
        <v>450</v>
      </c>
      <c r="Z508" t="s">
        <v>206</v>
      </c>
      <c r="AA508" t="s">
        <v>451</v>
      </c>
      <c r="AD508" t="s">
        <v>143</v>
      </c>
      <c r="AE508">
        <v>40.437621999999998</v>
      </c>
      <c r="AF508">
        <v>-86.932541999999998</v>
      </c>
      <c r="AG508" t="s">
        <v>40</v>
      </c>
      <c r="AH508" t="s">
        <v>41</v>
      </c>
      <c r="AI508">
        <v>40.437711621699997</v>
      </c>
      <c r="AJ508">
        <v>-86.932539018</v>
      </c>
      <c r="AK508">
        <v>8.9621699999042903E-5</v>
      </c>
      <c r="AL508">
        <v>2.9819999980418288E-6</v>
      </c>
      <c r="AM508" t="str">
        <f>_xlfn.IFNA(VLOOKUP(Sheet1!$C508,ADMIX_ALL!A:B,2,FALSE),"none")</f>
        <v>K6-18</v>
      </c>
      <c r="AN508" t="str">
        <f>_xlfn.IFNA(VLOOKUP(Sheet1!C508,ADMIX_SS!A:B,2,FALSE),"none")</f>
        <v>Constant</v>
      </c>
      <c r="AO508" t="str">
        <f>_xlfn.IFNA(VLOOKUP(Sheet1!$C508,MONG_PHYLO!A:C,3,FALSE),"-")</f>
        <v>bic</v>
      </c>
      <c r="AP508" t="str">
        <f>_xlfn.IFNA(VLOOKUP(Sheet1!$C508,MAC_PHYLO!A:C,3,FALSE),"-")</f>
        <v>bic</v>
      </c>
      <c r="AQ508" t="str">
        <f>_xlfn.IFNA(VLOOKUP(Sheet1!$C508,ConStruct!A:C,3,FALSE),"-")</f>
        <v>-</v>
      </c>
      <c r="AR508" t="str">
        <f>_xlfn.IFNA(VLOOKUP(Sheet1!$C508,GEA!A:C,3,FALSE),"-")</f>
        <v>-</v>
      </c>
      <c r="AS508" t="str">
        <f>_xlfn.IFNA(VLOOKUP(Sheet1!$C508,MAC_DSUITE!A:D,3,FALSE),"-")</f>
        <v>bic</v>
      </c>
      <c r="AT508" t="str">
        <f>_xlfn.IFNA(VLOOKUP(Sheet1!$C508,MONG_DSUITE!A:E,2,FALSE),"-")</f>
        <v>bicolor</v>
      </c>
      <c r="AU508" t="str">
        <f>_xlfn.IFNA(VLOOKUP(Sheet1!$C508,MAC_PAINT2!A:D,4,FALSE),"-")</f>
        <v>bic-macpaint</v>
      </c>
    </row>
    <row r="509" spans="1:49" customFormat="1" x14ac:dyDescent="0.4">
      <c r="A509">
        <v>3960</v>
      </c>
      <c r="B509" t="s">
        <v>455</v>
      </c>
      <c r="C509" t="s">
        <v>456</v>
      </c>
      <c r="D509" t="str">
        <f>_xlfn.CONCAT(C509,".bam")</f>
        <v>SYST-MOR-0007197.bam</v>
      </c>
      <c r="E509" t="s">
        <v>457</v>
      </c>
      <c r="F509" t="s">
        <v>2413</v>
      </c>
      <c r="G509" t="s">
        <v>2418</v>
      </c>
      <c r="H509" t="s">
        <v>2501</v>
      </c>
      <c r="I509" t="s">
        <v>451</v>
      </c>
      <c r="K509" t="s">
        <v>64</v>
      </c>
      <c r="L509" t="s">
        <v>64</v>
      </c>
      <c r="N509" t="s">
        <v>64</v>
      </c>
      <c r="P509" t="s">
        <v>31</v>
      </c>
      <c r="Q509" t="s">
        <v>65</v>
      </c>
      <c r="R509" t="s">
        <v>2599</v>
      </c>
      <c r="S509" s="1">
        <v>44818</v>
      </c>
      <c r="T509" t="s">
        <v>33</v>
      </c>
      <c r="U509" t="s">
        <v>34</v>
      </c>
      <c r="V509" s="1">
        <v>44823</v>
      </c>
      <c r="W509" t="s">
        <v>35</v>
      </c>
      <c r="X509" t="s">
        <v>399</v>
      </c>
      <c r="Y509" t="s">
        <v>450</v>
      </c>
      <c r="Z509" t="s">
        <v>206</v>
      </c>
      <c r="AA509" t="s">
        <v>451</v>
      </c>
      <c r="AD509" t="s">
        <v>64</v>
      </c>
      <c r="AE509">
        <v>40.437243000000002</v>
      </c>
      <c r="AF509">
        <v>-86.932675000000003</v>
      </c>
      <c r="AG509" t="s">
        <v>40</v>
      </c>
      <c r="AH509" t="s">
        <v>41</v>
      </c>
      <c r="AI509">
        <v>40.437374082399998</v>
      </c>
      <c r="AJ509">
        <v>-86.932793241100001</v>
      </c>
      <c r="AK509">
        <v>1.3108239999581883E-4</v>
      </c>
      <c r="AL509">
        <v>-1.1824109999736265E-4</v>
      </c>
      <c r="AM509" t="str">
        <f>_xlfn.IFNA(VLOOKUP(Sheet1!$C509,ADMIX_ALL!A:B,2,FALSE),"none")</f>
        <v>K6-18</v>
      </c>
      <c r="AN509" t="str">
        <f>_xlfn.IFNA(VLOOKUP(Sheet1!C509,ADMIX_SS!A:B,2,FALSE),"none")</f>
        <v>SubSample</v>
      </c>
      <c r="AO509" t="str">
        <f>_xlfn.IFNA(VLOOKUP(Sheet1!$C509,MONG_PHYLO!A:C,3,FALSE),"-")</f>
        <v>-</v>
      </c>
      <c r="AP509" t="str">
        <f>_xlfn.IFNA(VLOOKUP(Sheet1!$C509,MAC_PHYLO!A:C,3,FALSE),"-")</f>
        <v>-</v>
      </c>
      <c r="AQ509" t="str">
        <f>_xlfn.IFNA(VLOOKUP(Sheet1!$C509,ConStruct!A:C,3,FALSE),"-")</f>
        <v>-</v>
      </c>
      <c r="AR509" t="str">
        <f>_xlfn.IFNA(VLOOKUP(Sheet1!$C509,GEA!A:C,3,FALSE),"-")</f>
        <v>-</v>
      </c>
      <c r="AS509" t="str">
        <f>_xlfn.IFNA(VLOOKUP(Sheet1!$C509,MAC_DSUITE!A:D,3,FALSE),"-")</f>
        <v>-</v>
      </c>
      <c r="AT509" t="str">
        <f>_xlfn.IFNA(VLOOKUP(Sheet1!$C509,MONG_DSUITE!A:E,2,FALSE),"-")</f>
        <v>xxx</v>
      </c>
      <c r="AU509" t="str">
        <f>_xlfn.IFNA(VLOOKUP(Sheet1!$C509,MAC_PAINT2!A:D,4,FALSE),"-")</f>
        <v>-</v>
      </c>
    </row>
    <row r="510" spans="1:49" customFormat="1" x14ac:dyDescent="0.4">
      <c r="A510">
        <v>3961</v>
      </c>
      <c r="B510" t="s">
        <v>458</v>
      </c>
      <c r="C510" t="s">
        <v>459</v>
      </c>
      <c r="D510" t="str">
        <f>_xlfn.CONCAT(C510,".bam")</f>
        <v>SYST-MOR-0007198.bam</v>
      </c>
      <c r="E510" t="s">
        <v>460</v>
      </c>
      <c r="F510" t="s">
        <v>2413</v>
      </c>
      <c r="G510" t="s">
        <v>2418</v>
      </c>
      <c r="H510" t="s">
        <v>2501</v>
      </c>
      <c r="I510" t="s">
        <v>451</v>
      </c>
      <c r="K510" t="s">
        <v>64</v>
      </c>
      <c r="L510" t="s">
        <v>64</v>
      </c>
      <c r="N510" t="s">
        <v>64</v>
      </c>
      <c r="P510" t="s">
        <v>31</v>
      </c>
      <c r="Q510" t="s">
        <v>65</v>
      </c>
      <c r="R510" t="s">
        <v>2599</v>
      </c>
      <c r="S510" s="1">
        <v>44818</v>
      </c>
      <c r="T510" t="s">
        <v>33</v>
      </c>
      <c r="U510" t="s">
        <v>34</v>
      </c>
      <c r="V510" s="1">
        <v>44823</v>
      </c>
      <c r="W510" t="s">
        <v>35</v>
      </c>
      <c r="X510" t="s">
        <v>399</v>
      </c>
      <c r="Y510" t="s">
        <v>450</v>
      </c>
      <c r="Z510" t="s">
        <v>206</v>
      </c>
      <c r="AA510" t="s">
        <v>451</v>
      </c>
      <c r="AD510" t="s">
        <v>64</v>
      </c>
      <c r="AE510">
        <v>40.435110000000002</v>
      </c>
      <c r="AF510">
        <v>-86.933235999999994</v>
      </c>
      <c r="AG510" t="s">
        <v>40</v>
      </c>
      <c r="AH510" t="s">
        <v>41</v>
      </c>
      <c r="AI510">
        <v>40.435177101800001</v>
      </c>
      <c r="AJ510">
        <v>-86.933136060899997</v>
      </c>
      <c r="AK510">
        <v>6.7101799999136347E-5</v>
      </c>
      <c r="AL510">
        <v>9.993909999650441E-5</v>
      </c>
      <c r="AM510" t="str">
        <f>_xlfn.IFNA(VLOOKUP(Sheet1!$C510,ADMIX_ALL!A:B,2,FALSE),"none")</f>
        <v>K6-18</v>
      </c>
      <c r="AN510" t="str">
        <f>_xlfn.IFNA(VLOOKUP(Sheet1!C510,ADMIX_SS!A:B,2,FALSE),"none")</f>
        <v>SubSample</v>
      </c>
      <c r="AO510" t="str">
        <f>_xlfn.IFNA(VLOOKUP(Sheet1!$C510,MONG_PHYLO!A:C,3,FALSE),"-")</f>
        <v>-</v>
      </c>
      <c r="AP510" t="str">
        <f>_xlfn.IFNA(VLOOKUP(Sheet1!$C510,MAC_PHYLO!A:C,3,FALSE),"-")</f>
        <v>-</v>
      </c>
      <c r="AQ510" t="str">
        <f>_xlfn.IFNA(VLOOKUP(Sheet1!$C510,ConStruct!A:C,3,FALSE),"-")</f>
        <v>-</v>
      </c>
      <c r="AR510" t="str">
        <f>_xlfn.IFNA(VLOOKUP(Sheet1!$C510,GEA!A:C,3,FALSE),"-")</f>
        <v>-</v>
      </c>
      <c r="AS510" t="str">
        <f>_xlfn.IFNA(VLOOKUP(Sheet1!$C510,MAC_DSUITE!A:D,3,FALSE),"-")</f>
        <v>-</v>
      </c>
      <c r="AT510" t="str">
        <f>_xlfn.IFNA(VLOOKUP(Sheet1!$C510,MONG_DSUITE!A:E,2,FALSE),"-")</f>
        <v>xxx</v>
      </c>
      <c r="AU510" t="str">
        <f>_xlfn.IFNA(VLOOKUP(Sheet1!$C510,MAC_PAINT2!A:D,4,FALSE),"-")</f>
        <v>-</v>
      </c>
    </row>
    <row r="511" spans="1:49" customFormat="1" x14ac:dyDescent="0.4">
      <c r="A511">
        <v>3962</v>
      </c>
      <c r="B511" t="s">
        <v>461</v>
      </c>
      <c r="C511" t="s">
        <v>462</v>
      </c>
      <c r="D511" t="str">
        <f>_xlfn.CONCAT(C511,".bam")</f>
        <v>SYST-MOR-0007199.bam</v>
      </c>
      <c r="E511" t="s">
        <v>463</v>
      </c>
      <c r="F511" t="s">
        <v>2413</v>
      </c>
      <c r="G511" t="s">
        <v>2418</v>
      </c>
      <c r="H511" t="s">
        <v>2501</v>
      </c>
      <c r="I511" t="s">
        <v>451</v>
      </c>
      <c r="K511" t="s">
        <v>143</v>
      </c>
      <c r="L511" t="s">
        <v>143</v>
      </c>
      <c r="N511" t="s">
        <v>143</v>
      </c>
      <c r="P511" t="s">
        <v>31</v>
      </c>
      <c r="Q511" t="s">
        <v>144</v>
      </c>
      <c r="R511" t="s">
        <v>2601</v>
      </c>
      <c r="S511" s="1">
        <v>44818</v>
      </c>
      <c r="T511" t="s">
        <v>33</v>
      </c>
      <c r="U511" t="s">
        <v>34</v>
      </c>
      <c r="V511" s="1">
        <v>44823</v>
      </c>
      <c r="W511" t="s">
        <v>35</v>
      </c>
      <c r="X511" t="s">
        <v>399</v>
      </c>
      <c r="Y511" t="s">
        <v>450</v>
      </c>
      <c r="Z511" t="s">
        <v>206</v>
      </c>
      <c r="AA511" t="s">
        <v>451</v>
      </c>
      <c r="AD511" t="s">
        <v>143</v>
      </c>
      <c r="AE511">
        <v>40.436804000000002</v>
      </c>
      <c r="AF511">
        <v>-86.933732000000006</v>
      </c>
      <c r="AG511" t="s">
        <v>40</v>
      </c>
      <c r="AH511" t="s">
        <v>41</v>
      </c>
      <c r="AI511">
        <v>40.436678049199998</v>
      </c>
      <c r="AJ511">
        <v>-86.934216069100003</v>
      </c>
      <c r="AK511">
        <v>-1.2595080000465941E-4</v>
      </c>
      <c r="AL511">
        <v>-4.8406909999698655E-4</v>
      </c>
      <c r="AM511" t="str">
        <f>_xlfn.IFNA(VLOOKUP(Sheet1!$C511,ADMIX_ALL!A:B,2,FALSE),"none")</f>
        <v>K6-18</v>
      </c>
      <c r="AN511" t="str">
        <f>_xlfn.IFNA(VLOOKUP(Sheet1!C511,ADMIX_SS!A:B,2,FALSE),"none")</f>
        <v>SubSample</v>
      </c>
      <c r="AO511" t="str">
        <f>_xlfn.IFNA(VLOOKUP(Sheet1!$C511,MONG_PHYLO!A:C,3,FALSE),"-")</f>
        <v>-</v>
      </c>
      <c r="AP511" t="str">
        <f>_xlfn.IFNA(VLOOKUP(Sheet1!$C511,MAC_PHYLO!A:C,3,FALSE),"-")</f>
        <v>-</v>
      </c>
      <c r="AQ511" t="str">
        <f>_xlfn.IFNA(VLOOKUP(Sheet1!$C511,ConStruct!A:C,3,FALSE),"-")</f>
        <v>-</v>
      </c>
      <c r="AR511" t="str">
        <f>_xlfn.IFNA(VLOOKUP(Sheet1!$C511,GEA!A:C,3,FALSE),"-")</f>
        <v>-</v>
      </c>
      <c r="AS511" t="str">
        <f>_xlfn.IFNA(VLOOKUP(Sheet1!$C511,MAC_DSUITE!A:D,3,FALSE),"-")</f>
        <v>-</v>
      </c>
      <c r="AT511" t="str">
        <f>_xlfn.IFNA(VLOOKUP(Sheet1!$C511,MONG_DSUITE!A:E,2,FALSE),"-")</f>
        <v>xxx</v>
      </c>
      <c r="AU511" t="str">
        <f>_xlfn.IFNA(VLOOKUP(Sheet1!$C511,MAC_PAINT2!A:D,4,FALSE),"-")</f>
        <v>-</v>
      </c>
    </row>
    <row r="512" spans="1:49" customFormat="1" x14ac:dyDescent="0.4">
      <c r="A512">
        <v>3963</v>
      </c>
      <c r="B512" t="s">
        <v>464</v>
      </c>
      <c r="C512" t="s">
        <v>465</v>
      </c>
      <c r="D512" t="str">
        <f>_xlfn.CONCAT(C512,".bam")</f>
        <v>SYST-MOR-0007200.bam</v>
      </c>
      <c r="E512" t="s">
        <v>466</v>
      </c>
      <c r="F512" t="s">
        <v>2413</v>
      </c>
      <c r="G512" t="s">
        <v>2418</v>
      </c>
      <c r="H512" t="s">
        <v>2501</v>
      </c>
      <c r="I512" t="s">
        <v>451</v>
      </c>
      <c r="K512" t="s">
        <v>45</v>
      </c>
      <c r="L512" t="s">
        <v>45</v>
      </c>
      <c r="N512" t="s">
        <v>45</v>
      </c>
      <c r="P512" t="s">
        <v>31</v>
      </c>
      <c r="Q512" t="s">
        <v>46</v>
      </c>
      <c r="R512" t="s">
        <v>2597</v>
      </c>
      <c r="S512" s="1">
        <v>44818</v>
      </c>
      <c r="T512" t="s">
        <v>33</v>
      </c>
      <c r="U512" t="s">
        <v>34</v>
      </c>
      <c r="V512" s="1">
        <v>44823</v>
      </c>
      <c r="W512" t="s">
        <v>35</v>
      </c>
      <c r="X512" t="s">
        <v>399</v>
      </c>
      <c r="Y512" t="s">
        <v>450</v>
      </c>
      <c r="Z512" t="s">
        <v>206</v>
      </c>
      <c r="AA512" t="s">
        <v>451</v>
      </c>
      <c r="AD512" t="s">
        <v>45</v>
      </c>
      <c r="AE512">
        <v>40.437838999999997</v>
      </c>
      <c r="AF512">
        <v>-86.933767000000003</v>
      </c>
      <c r="AG512" t="s">
        <v>40</v>
      </c>
      <c r="AH512" t="s">
        <v>41</v>
      </c>
      <c r="AI512">
        <v>40.437031933100002</v>
      </c>
      <c r="AJ512">
        <v>-86.933588599900006</v>
      </c>
      <c r="AK512">
        <v>-8.0706689999487935E-4</v>
      </c>
      <c r="AL512">
        <v>1.7840009999758877E-4</v>
      </c>
      <c r="AM512" t="str">
        <f>_xlfn.IFNA(VLOOKUP(Sheet1!$C512,ADMIX_ALL!A:B,2,FALSE),"none")</f>
        <v>K6-18</v>
      </c>
      <c r="AN512" t="str">
        <f>_xlfn.IFNA(VLOOKUP(Sheet1!C512,ADMIX_SS!A:B,2,FALSE),"none")</f>
        <v>SubSample</v>
      </c>
      <c r="AO512" t="str">
        <f>_xlfn.IFNA(VLOOKUP(Sheet1!$C512,MONG_PHYLO!A:C,3,FALSE),"-")</f>
        <v>-</v>
      </c>
      <c r="AP512" t="str">
        <f>_xlfn.IFNA(VLOOKUP(Sheet1!$C512,MAC_PHYLO!A:C,3,FALSE),"-")</f>
        <v>-</v>
      </c>
      <c r="AQ512" t="str">
        <f>_xlfn.IFNA(VLOOKUP(Sheet1!$C512,ConStruct!A:C,3,FALSE),"-")</f>
        <v>ConStruct</v>
      </c>
      <c r="AR512" t="str">
        <f>_xlfn.IFNA(VLOOKUP(Sheet1!$C512,GEA!A:C,3,FALSE),"-")</f>
        <v>GEA</v>
      </c>
      <c r="AS512" t="str">
        <f>_xlfn.IFNA(VLOOKUP(Sheet1!$C512,MAC_DSUITE!A:D,3,FALSE),"-")</f>
        <v>xxx</v>
      </c>
      <c r="AT512" t="str">
        <f>_xlfn.IFNA(VLOOKUP(Sheet1!$C512,MONG_DSUITE!A:E,2,FALSE),"-")</f>
        <v>xxx</v>
      </c>
      <c r="AU512" t="str">
        <f>_xlfn.IFNA(VLOOKUP(Sheet1!$C512,MAC_PAINT2!A:D,4,FALSE),"-")</f>
        <v>macpaint</v>
      </c>
      <c r="AV512" t="s">
        <v>9193</v>
      </c>
      <c r="AW512" t="s">
        <v>9193</v>
      </c>
    </row>
    <row r="513" spans="1:49" customFormat="1" x14ac:dyDescent="0.4">
      <c r="A513">
        <v>3964</v>
      </c>
      <c r="B513" t="s">
        <v>467</v>
      </c>
      <c r="C513" t="s">
        <v>468</v>
      </c>
      <c r="D513" t="str">
        <f>_xlfn.CONCAT(C513,".bam")</f>
        <v>SYST-MOR-0007201.bam</v>
      </c>
      <c r="E513" t="s">
        <v>469</v>
      </c>
      <c r="F513" t="s">
        <v>2413</v>
      </c>
      <c r="G513" t="s">
        <v>2418</v>
      </c>
      <c r="H513" t="s">
        <v>2501</v>
      </c>
      <c r="I513" t="s">
        <v>451</v>
      </c>
      <c r="K513" t="s">
        <v>64</v>
      </c>
      <c r="L513" t="s">
        <v>64</v>
      </c>
      <c r="N513" t="s">
        <v>64</v>
      </c>
      <c r="P513" t="s">
        <v>31</v>
      </c>
      <c r="Q513" t="s">
        <v>65</v>
      </c>
      <c r="R513" t="s">
        <v>2599</v>
      </c>
      <c r="S513" s="1">
        <v>44818</v>
      </c>
      <c r="T513" t="s">
        <v>33</v>
      </c>
      <c r="U513" t="s">
        <v>34</v>
      </c>
      <c r="V513" s="1">
        <v>44823</v>
      </c>
      <c r="W513" t="s">
        <v>35</v>
      </c>
      <c r="X513" t="s">
        <v>399</v>
      </c>
      <c r="Y513" t="s">
        <v>450</v>
      </c>
      <c r="Z513" t="s">
        <v>206</v>
      </c>
      <c r="AA513" t="s">
        <v>451</v>
      </c>
      <c r="AD513" t="s">
        <v>64</v>
      </c>
      <c r="AE513">
        <v>40.438491999999997</v>
      </c>
      <c r="AF513">
        <v>-86.930974000000006</v>
      </c>
      <c r="AG513" t="s">
        <v>40</v>
      </c>
      <c r="AH513" t="s">
        <v>41</v>
      </c>
      <c r="AI513">
        <v>40.438481457599998</v>
      </c>
      <c r="AJ513">
        <v>-86.931088361999997</v>
      </c>
      <c r="AK513">
        <v>-1.0542399998314522E-5</v>
      </c>
      <c r="AL513">
        <v>-1.1436199999081964E-4</v>
      </c>
      <c r="AM513" t="str">
        <f>_xlfn.IFNA(VLOOKUP(Sheet1!$C513,ADMIX_ALL!A:B,2,FALSE),"none")</f>
        <v>K6-18</v>
      </c>
      <c r="AN513" t="str">
        <f>_xlfn.IFNA(VLOOKUP(Sheet1!C513,ADMIX_SS!A:B,2,FALSE),"none")</f>
        <v>SubSample</v>
      </c>
      <c r="AO513" t="str">
        <f>_xlfn.IFNA(VLOOKUP(Sheet1!$C513,MONG_PHYLO!A:C,3,FALSE),"-")</f>
        <v>-</v>
      </c>
      <c r="AP513" t="str">
        <f>_xlfn.IFNA(VLOOKUP(Sheet1!$C513,MAC_PHYLO!A:C,3,FALSE),"-")</f>
        <v>-</v>
      </c>
      <c r="AQ513" t="str">
        <f>_xlfn.IFNA(VLOOKUP(Sheet1!$C513,ConStruct!A:C,3,FALSE),"-")</f>
        <v>-</v>
      </c>
      <c r="AR513" t="str">
        <f>_xlfn.IFNA(VLOOKUP(Sheet1!$C513,GEA!A:C,3,FALSE),"-")</f>
        <v>-</v>
      </c>
      <c r="AS513" t="str">
        <f>_xlfn.IFNA(VLOOKUP(Sheet1!$C513,MAC_DSUITE!A:D,3,FALSE),"-")</f>
        <v>-</v>
      </c>
      <c r="AT513" t="str">
        <f>_xlfn.IFNA(VLOOKUP(Sheet1!$C513,MONG_DSUITE!A:E,2,FALSE),"-")</f>
        <v>xxx</v>
      </c>
      <c r="AU513" t="str">
        <f>_xlfn.IFNA(VLOOKUP(Sheet1!$C513,MAC_PAINT2!A:D,4,FALSE),"-")</f>
        <v>-</v>
      </c>
    </row>
    <row r="514" spans="1:49" customFormat="1" x14ac:dyDescent="0.4">
      <c r="A514">
        <v>3965</v>
      </c>
      <c r="B514" t="s">
        <v>470</v>
      </c>
      <c r="C514" t="s">
        <v>471</v>
      </c>
      <c r="D514" t="str">
        <f>_xlfn.CONCAT(C514,".bam")</f>
        <v>SYST-MOR-0007202.bam</v>
      </c>
      <c r="E514" t="s">
        <v>472</v>
      </c>
      <c r="F514" t="s">
        <v>2413</v>
      </c>
      <c r="G514" t="s">
        <v>2418</v>
      </c>
      <c r="H514" t="s">
        <v>2501</v>
      </c>
      <c r="I514" t="s">
        <v>451</v>
      </c>
      <c r="K514" t="s">
        <v>84</v>
      </c>
      <c r="L514" t="s">
        <v>84</v>
      </c>
      <c r="N514" t="s">
        <v>84</v>
      </c>
      <c r="P514" t="s">
        <v>31</v>
      </c>
      <c r="Q514" t="s">
        <v>85</v>
      </c>
      <c r="R514" t="s">
        <v>2600</v>
      </c>
      <c r="S514" s="1">
        <v>44818</v>
      </c>
      <c r="T514" t="s">
        <v>33</v>
      </c>
      <c r="U514" t="s">
        <v>34</v>
      </c>
      <c r="V514" s="1">
        <v>44823</v>
      </c>
      <c r="W514" t="s">
        <v>35</v>
      </c>
      <c r="X514" t="s">
        <v>399</v>
      </c>
      <c r="Y514" t="s">
        <v>450</v>
      </c>
      <c r="Z514" t="s">
        <v>206</v>
      </c>
      <c r="AA514" t="s">
        <v>451</v>
      </c>
      <c r="AD514" t="s">
        <v>84</v>
      </c>
      <c r="AE514">
        <v>40.438383000000002</v>
      </c>
      <c r="AF514">
        <v>-86.930811000000006</v>
      </c>
      <c r="AG514" t="s">
        <v>40</v>
      </c>
      <c r="AH514" t="s">
        <v>41</v>
      </c>
      <c r="AI514">
        <v>40.438523702399998</v>
      </c>
      <c r="AJ514">
        <v>-86.930983336699995</v>
      </c>
      <c r="AK514">
        <v>1.4070239999597334E-4</v>
      </c>
      <c r="AL514">
        <v>-1.72336699989728E-4</v>
      </c>
      <c r="AM514" t="str">
        <f>_xlfn.IFNA(VLOOKUP(Sheet1!$C514,ADMIX_ALL!A:B,2,FALSE),"none")</f>
        <v>K6-18</v>
      </c>
      <c r="AN514" t="str">
        <f>_xlfn.IFNA(VLOOKUP(Sheet1!C514,ADMIX_SS!A:B,2,FALSE),"none")</f>
        <v>SubSample</v>
      </c>
      <c r="AO514" t="str">
        <f>_xlfn.IFNA(VLOOKUP(Sheet1!$C514,MONG_PHYLO!A:C,3,FALSE),"-")</f>
        <v>-</v>
      </c>
      <c r="AP514" t="str">
        <f>_xlfn.IFNA(VLOOKUP(Sheet1!$C514,MAC_PHYLO!A:C,3,FALSE),"-")</f>
        <v>-</v>
      </c>
      <c r="AQ514" t="str">
        <f>_xlfn.IFNA(VLOOKUP(Sheet1!$C514,ConStruct!A:C,3,FALSE),"-")</f>
        <v>-</v>
      </c>
      <c r="AR514" t="str">
        <f>_xlfn.IFNA(VLOOKUP(Sheet1!$C514,GEA!A:C,3,FALSE),"-")</f>
        <v>-</v>
      </c>
      <c r="AS514" t="str">
        <f>_xlfn.IFNA(VLOOKUP(Sheet1!$C514,MAC_DSUITE!A:D,3,FALSE),"-")</f>
        <v>-</v>
      </c>
      <c r="AT514" t="str">
        <f>_xlfn.IFNA(VLOOKUP(Sheet1!$C514,MONG_DSUITE!A:E,2,FALSE),"-")</f>
        <v>xxx</v>
      </c>
      <c r="AU514" t="str">
        <f>_xlfn.IFNA(VLOOKUP(Sheet1!$C514,MAC_PAINT2!A:D,4,FALSE),"-")</f>
        <v>-</v>
      </c>
    </row>
    <row r="515" spans="1:49" customFormat="1" x14ac:dyDescent="0.4">
      <c r="A515">
        <v>3966</v>
      </c>
      <c r="B515" t="s">
        <v>473</v>
      </c>
      <c r="C515" t="s">
        <v>474</v>
      </c>
      <c r="D515" t="str">
        <f>_xlfn.CONCAT(C515,".bam")</f>
        <v>SYST-MOR-0007203.bam</v>
      </c>
      <c r="E515" t="s">
        <v>475</v>
      </c>
      <c r="F515" t="s">
        <v>2413</v>
      </c>
      <c r="G515" t="s">
        <v>2418</v>
      </c>
      <c r="H515" t="s">
        <v>2501</v>
      </c>
      <c r="I515" t="s">
        <v>451</v>
      </c>
      <c r="K515" t="s">
        <v>84</v>
      </c>
      <c r="L515" t="s">
        <v>84</v>
      </c>
      <c r="N515" t="s">
        <v>84</v>
      </c>
      <c r="P515" t="s">
        <v>31</v>
      </c>
      <c r="Q515" t="s">
        <v>85</v>
      </c>
      <c r="R515" t="s">
        <v>2600</v>
      </c>
      <c r="S515" s="1">
        <v>44818</v>
      </c>
      <c r="T515" t="s">
        <v>33</v>
      </c>
      <c r="U515" t="s">
        <v>34</v>
      </c>
      <c r="V515" s="1">
        <v>44823</v>
      </c>
      <c r="W515" t="s">
        <v>35</v>
      </c>
      <c r="X515" t="s">
        <v>399</v>
      </c>
      <c r="Y515" t="s">
        <v>450</v>
      </c>
      <c r="Z515" t="s">
        <v>206</v>
      </c>
      <c r="AA515" t="s">
        <v>451</v>
      </c>
      <c r="AD515" t="s">
        <v>84</v>
      </c>
      <c r="AE515">
        <v>40.436971</v>
      </c>
      <c r="AF515">
        <v>-86.929077000000007</v>
      </c>
      <c r="AG515" t="s">
        <v>40</v>
      </c>
      <c r="AH515" t="s">
        <v>41</v>
      </c>
      <c r="AI515">
        <v>40.436986545099998</v>
      </c>
      <c r="AJ515">
        <v>-86.928988108499993</v>
      </c>
      <c r="AK515">
        <v>1.5545099998348633E-5</v>
      </c>
      <c r="AL515">
        <v>8.8891500013232871E-5</v>
      </c>
      <c r="AM515" t="str">
        <f>_xlfn.IFNA(VLOOKUP(Sheet1!$C515,ADMIX_ALL!A:B,2,FALSE),"none")</f>
        <v>K6-18</v>
      </c>
      <c r="AN515" t="str">
        <f>_xlfn.IFNA(VLOOKUP(Sheet1!C515,ADMIX_SS!A:B,2,FALSE),"none")</f>
        <v>SubSample</v>
      </c>
      <c r="AO515" t="str">
        <f>_xlfn.IFNA(VLOOKUP(Sheet1!$C515,MONG_PHYLO!A:C,3,FALSE),"-")</f>
        <v>-</v>
      </c>
      <c r="AP515" t="str">
        <f>_xlfn.IFNA(VLOOKUP(Sheet1!$C515,MAC_PHYLO!A:C,3,FALSE),"-")</f>
        <v>-</v>
      </c>
      <c r="AQ515" t="str">
        <f>_xlfn.IFNA(VLOOKUP(Sheet1!$C515,ConStruct!A:C,3,FALSE),"-")</f>
        <v>-</v>
      </c>
      <c r="AR515" t="str">
        <f>_xlfn.IFNA(VLOOKUP(Sheet1!$C515,GEA!A:C,3,FALSE),"-")</f>
        <v>-</v>
      </c>
      <c r="AS515" t="str">
        <f>_xlfn.IFNA(VLOOKUP(Sheet1!$C515,MAC_DSUITE!A:D,3,FALSE),"-")</f>
        <v>-</v>
      </c>
      <c r="AT515" t="str">
        <f>_xlfn.IFNA(VLOOKUP(Sheet1!$C515,MONG_DSUITE!A:E,2,FALSE),"-")</f>
        <v>xxx</v>
      </c>
      <c r="AU515" t="str">
        <f>_xlfn.IFNA(VLOOKUP(Sheet1!$C515,MAC_PAINT2!A:D,4,FALSE),"-")</f>
        <v>-</v>
      </c>
    </row>
    <row r="516" spans="1:49" customFormat="1" x14ac:dyDescent="0.4">
      <c r="A516">
        <v>3967</v>
      </c>
      <c r="B516" t="s">
        <v>476</v>
      </c>
      <c r="C516" t="s">
        <v>477</v>
      </c>
      <c r="D516" t="str">
        <f>_xlfn.CONCAT(C516,".bam")</f>
        <v>SYST-MOR-0007204.bam</v>
      </c>
      <c r="E516" t="s">
        <v>478</v>
      </c>
      <c r="F516" t="s">
        <v>2413</v>
      </c>
      <c r="G516" t="s">
        <v>2418</v>
      </c>
      <c r="H516" t="s">
        <v>2501</v>
      </c>
      <c r="I516" t="s">
        <v>451</v>
      </c>
      <c r="K516" t="s">
        <v>84</v>
      </c>
      <c r="L516" t="s">
        <v>84</v>
      </c>
      <c r="N516" t="s">
        <v>84</v>
      </c>
      <c r="P516" t="s">
        <v>31</v>
      </c>
      <c r="Q516" t="s">
        <v>85</v>
      </c>
      <c r="R516" t="s">
        <v>2600</v>
      </c>
      <c r="S516" s="1">
        <v>44818</v>
      </c>
      <c r="T516" t="s">
        <v>33</v>
      </c>
      <c r="U516" t="s">
        <v>34</v>
      </c>
      <c r="V516" s="1">
        <v>44823</v>
      </c>
      <c r="W516" t="s">
        <v>35</v>
      </c>
      <c r="X516" t="s">
        <v>399</v>
      </c>
      <c r="Y516" t="s">
        <v>450</v>
      </c>
      <c r="Z516" t="s">
        <v>206</v>
      </c>
      <c r="AA516" t="s">
        <v>451</v>
      </c>
      <c r="AD516" t="s">
        <v>84</v>
      </c>
      <c r="AE516">
        <v>40.437052999999999</v>
      </c>
      <c r="AF516">
        <v>-86.929563000000002</v>
      </c>
      <c r="AG516" t="s">
        <v>40</v>
      </c>
      <c r="AH516" t="s">
        <v>41</v>
      </c>
      <c r="AI516">
        <v>40.437133396100002</v>
      </c>
      <c r="AJ516">
        <v>-86.929867370099998</v>
      </c>
      <c r="AK516">
        <v>8.0396100003099491E-5</v>
      </c>
      <c r="AL516">
        <v>-3.0437009999673137E-4</v>
      </c>
      <c r="AM516" t="str">
        <f>_xlfn.IFNA(VLOOKUP(Sheet1!$C516,ADMIX_ALL!A:B,2,FALSE),"none")</f>
        <v>K6-18</v>
      </c>
      <c r="AN516" t="str">
        <f>_xlfn.IFNA(VLOOKUP(Sheet1!C516,ADMIX_SS!A:B,2,FALSE),"none")</f>
        <v>SubSample</v>
      </c>
      <c r="AO516" t="str">
        <f>_xlfn.IFNA(VLOOKUP(Sheet1!$C516,MONG_PHYLO!A:C,3,FALSE),"-")</f>
        <v>-</v>
      </c>
      <c r="AP516" t="str">
        <f>_xlfn.IFNA(VLOOKUP(Sheet1!$C516,MAC_PHYLO!A:C,3,FALSE),"-")</f>
        <v>-</v>
      </c>
      <c r="AQ516" t="str">
        <f>_xlfn.IFNA(VLOOKUP(Sheet1!$C516,ConStruct!A:C,3,FALSE),"-")</f>
        <v>-</v>
      </c>
      <c r="AR516" t="str">
        <f>_xlfn.IFNA(VLOOKUP(Sheet1!$C516,GEA!A:C,3,FALSE),"-")</f>
        <v>-</v>
      </c>
      <c r="AS516" t="str">
        <f>_xlfn.IFNA(VLOOKUP(Sheet1!$C516,MAC_DSUITE!A:D,3,FALSE),"-")</f>
        <v>-</v>
      </c>
      <c r="AT516" t="str">
        <f>_xlfn.IFNA(VLOOKUP(Sheet1!$C516,MONG_DSUITE!A:E,2,FALSE),"-")</f>
        <v>xxx</v>
      </c>
      <c r="AU516" t="str">
        <f>_xlfn.IFNA(VLOOKUP(Sheet1!$C516,MAC_PAINT2!A:D,4,FALSE),"-")</f>
        <v>-</v>
      </c>
    </row>
    <row r="517" spans="1:49" customFormat="1" x14ac:dyDescent="0.4">
      <c r="A517">
        <v>3968</v>
      </c>
      <c r="B517" t="s">
        <v>479</v>
      </c>
      <c r="C517" t="s">
        <v>480</v>
      </c>
      <c r="D517" t="str">
        <f>_xlfn.CONCAT(C517,".bam")</f>
        <v>SYST-MOR-0007205.bam</v>
      </c>
      <c r="E517" t="s">
        <v>481</v>
      </c>
      <c r="F517" t="s">
        <v>2413</v>
      </c>
      <c r="G517" t="s">
        <v>2419</v>
      </c>
      <c r="H517" t="s">
        <v>2502</v>
      </c>
      <c r="I517" t="s">
        <v>483</v>
      </c>
      <c r="K517" t="s">
        <v>84</v>
      </c>
      <c r="L517" t="s">
        <v>84</v>
      </c>
      <c r="N517" t="s">
        <v>84</v>
      </c>
      <c r="P517" t="s">
        <v>31</v>
      </c>
      <c r="Q517" t="s">
        <v>85</v>
      </c>
      <c r="R517" t="s">
        <v>2600</v>
      </c>
      <c r="S517" s="1">
        <v>44819</v>
      </c>
      <c r="T517" t="s">
        <v>33</v>
      </c>
      <c r="U517" t="s">
        <v>34</v>
      </c>
      <c r="V517" s="1">
        <v>44823</v>
      </c>
      <c r="W517" t="s">
        <v>35</v>
      </c>
      <c r="X517" t="s">
        <v>399</v>
      </c>
      <c r="Y517" t="s">
        <v>482</v>
      </c>
      <c r="Z517" t="s">
        <v>206</v>
      </c>
      <c r="AA517" t="s">
        <v>483</v>
      </c>
      <c r="AD517" t="s">
        <v>84</v>
      </c>
      <c r="AE517">
        <v>40.457290999999998</v>
      </c>
      <c r="AF517">
        <v>-85.509986999999995</v>
      </c>
      <c r="AG517" t="s">
        <v>40</v>
      </c>
      <c r="AH517" t="s">
        <v>41</v>
      </c>
      <c r="AI517">
        <v>40.457216477999999</v>
      </c>
      <c r="AJ517">
        <v>-85.510266423299996</v>
      </c>
      <c r="AK517">
        <v>-7.4521999998466981E-5</v>
      </c>
      <c r="AL517">
        <v>-2.7942330000030324E-4</v>
      </c>
      <c r="AM517" t="str">
        <f>_xlfn.IFNA(VLOOKUP(Sheet1!$C517,ADMIX_ALL!A:B,2,FALSE),"none")</f>
        <v>K6-18</v>
      </c>
      <c r="AN517" t="str">
        <f>_xlfn.IFNA(VLOOKUP(Sheet1!C517,ADMIX_SS!A:B,2,FALSE),"none")</f>
        <v>Constant</v>
      </c>
      <c r="AO517" t="str">
        <f>_xlfn.IFNA(VLOOKUP(Sheet1!$C517,MONG_PHYLO!A:C,3,FALSE),"-")</f>
        <v>mue</v>
      </c>
      <c r="AP517" t="str">
        <f>_xlfn.IFNA(VLOOKUP(Sheet1!$C517,MAC_PHYLO!A:C,3,FALSE),"-")</f>
        <v>-</v>
      </c>
      <c r="AQ517" t="str">
        <f>_xlfn.IFNA(VLOOKUP(Sheet1!$C517,ConStruct!A:C,3,FALSE),"-")</f>
        <v>-</v>
      </c>
      <c r="AR517" t="str">
        <f>_xlfn.IFNA(VLOOKUP(Sheet1!$C517,GEA!A:C,3,FALSE),"-")</f>
        <v>-</v>
      </c>
      <c r="AS517" t="str">
        <f>_xlfn.IFNA(VLOOKUP(Sheet1!$C517,MAC_DSUITE!A:D,3,FALSE),"-")</f>
        <v>-</v>
      </c>
      <c r="AT517" t="str">
        <f>_xlfn.IFNA(VLOOKUP(Sheet1!$C517,MONG_DSUITE!A:E,2,FALSE),"-")</f>
        <v>muehlenbergii</v>
      </c>
      <c r="AU517" t="str">
        <f>_xlfn.IFNA(VLOOKUP(Sheet1!$C517,MAC_PAINT2!A:D,4,FALSE),"-")</f>
        <v>-</v>
      </c>
    </row>
    <row r="518" spans="1:49" customFormat="1" x14ac:dyDescent="0.4">
      <c r="A518">
        <v>3969</v>
      </c>
      <c r="B518" t="s">
        <v>484</v>
      </c>
      <c r="C518" t="s">
        <v>485</v>
      </c>
      <c r="D518" t="str">
        <f>_xlfn.CONCAT(C518,".bam")</f>
        <v>SYST-MOR-0007206.bam</v>
      </c>
      <c r="E518" t="s">
        <v>486</v>
      </c>
      <c r="F518" t="s">
        <v>2413</v>
      </c>
      <c r="G518" t="s">
        <v>2419</v>
      </c>
      <c r="H518" t="s">
        <v>2502</v>
      </c>
      <c r="I518" t="s">
        <v>483</v>
      </c>
      <c r="K518" t="s">
        <v>45</v>
      </c>
      <c r="L518" t="s">
        <v>45</v>
      </c>
      <c r="N518" t="s">
        <v>45</v>
      </c>
      <c r="P518" t="s">
        <v>31</v>
      </c>
      <c r="Q518" t="s">
        <v>46</v>
      </c>
      <c r="R518" t="s">
        <v>2597</v>
      </c>
      <c r="S518" s="1">
        <v>44819</v>
      </c>
      <c r="T518" t="s">
        <v>33</v>
      </c>
      <c r="U518" t="s">
        <v>34</v>
      </c>
      <c r="V518" s="1">
        <v>44823</v>
      </c>
      <c r="W518" t="s">
        <v>35</v>
      </c>
      <c r="X518" t="s">
        <v>399</v>
      </c>
      <c r="Y518" t="s">
        <v>482</v>
      </c>
      <c r="Z518" t="s">
        <v>206</v>
      </c>
      <c r="AA518" t="s">
        <v>483</v>
      </c>
      <c r="AD518" t="s">
        <v>45</v>
      </c>
      <c r="AE518">
        <v>40.457366999999998</v>
      </c>
      <c r="AF518">
        <v>-85.511077999999998</v>
      </c>
      <c r="AG518" t="s">
        <v>40</v>
      </c>
      <c r="AH518" t="s">
        <v>41</v>
      </c>
      <c r="AI518">
        <v>40.457008900200002</v>
      </c>
      <c r="AJ518">
        <v>-85.511484900599996</v>
      </c>
      <c r="AK518">
        <v>-3.5809979999612551E-4</v>
      </c>
      <c r="AL518">
        <v>-4.0690059999803907E-4</v>
      </c>
      <c r="AM518" t="str">
        <f>_xlfn.IFNA(VLOOKUP(Sheet1!$C518,ADMIX_ALL!A:B,2,FALSE),"none")</f>
        <v>K6-18</v>
      </c>
      <c r="AN518" t="str">
        <f>_xlfn.IFNA(VLOOKUP(Sheet1!C518,ADMIX_SS!A:B,2,FALSE),"none")</f>
        <v>SubSample</v>
      </c>
      <c r="AO518" t="str">
        <f>_xlfn.IFNA(VLOOKUP(Sheet1!$C518,MONG_PHYLO!A:C,3,FALSE),"-")</f>
        <v>-</v>
      </c>
      <c r="AP518" t="str">
        <f>_xlfn.IFNA(VLOOKUP(Sheet1!$C518,MAC_PHYLO!A:C,3,FALSE),"-")</f>
        <v>-</v>
      </c>
      <c r="AQ518" t="str">
        <f>_xlfn.IFNA(VLOOKUP(Sheet1!$C518,ConStruct!A:C,3,FALSE),"-")</f>
        <v>ConStruct</v>
      </c>
      <c r="AR518" t="str">
        <f>_xlfn.IFNA(VLOOKUP(Sheet1!$C518,GEA!A:C,3,FALSE),"-")</f>
        <v>GEA</v>
      </c>
      <c r="AS518" t="str">
        <f>_xlfn.IFNA(VLOOKUP(Sheet1!$C518,MAC_DSUITE!A:D,3,FALSE),"-")</f>
        <v>mac_IN_TYL</v>
      </c>
      <c r="AT518" t="str">
        <f>_xlfn.IFNA(VLOOKUP(Sheet1!$C518,MONG_DSUITE!A:E,2,FALSE),"-")</f>
        <v>macrocarpa_TYL</v>
      </c>
      <c r="AU518" t="str">
        <f>_xlfn.IFNA(VLOOKUP(Sheet1!$C518,MAC_PAINT2!A:D,4,FALSE),"-")</f>
        <v>macpaint</v>
      </c>
      <c r="AV518" t="s">
        <v>9193</v>
      </c>
      <c r="AW518" t="s">
        <v>9193</v>
      </c>
    </row>
    <row r="519" spans="1:49" customFormat="1" x14ac:dyDescent="0.4">
      <c r="A519">
        <v>3970</v>
      </c>
      <c r="B519" t="s">
        <v>487</v>
      </c>
      <c r="C519" t="s">
        <v>488</v>
      </c>
      <c r="D519" t="str">
        <f>_xlfn.CONCAT(C519,".bam")</f>
        <v>SYST-MOR-0007207.bam</v>
      </c>
      <c r="E519" t="s">
        <v>489</v>
      </c>
      <c r="F519" t="s">
        <v>2413</v>
      </c>
      <c r="G519" t="s">
        <v>2419</v>
      </c>
      <c r="H519" t="s">
        <v>2502</v>
      </c>
      <c r="I519" t="s">
        <v>483</v>
      </c>
      <c r="K519" t="s">
        <v>45</v>
      </c>
      <c r="L519" t="s">
        <v>45</v>
      </c>
      <c r="N519" t="s">
        <v>45</v>
      </c>
      <c r="P519" t="s">
        <v>31</v>
      </c>
      <c r="Q519" t="s">
        <v>46</v>
      </c>
      <c r="R519" t="s">
        <v>2597</v>
      </c>
      <c r="S519" s="1">
        <v>44819</v>
      </c>
      <c r="T519" t="s">
        <v>33</v>
      </c>
      <c r="U519" t="s">
        <v>34</v>
      </c>
      <c r="V519" s="1">
        <v>44823</v>
      </c>
      <c r="W519" t="s">
        <v>35</v>
      </c>
      <c r="X519" t="s">
        <v>399</v>
      </c>
      <c r="Y519" t="s">
        <v>482</v>
      </c>
      <c r="Z519" t="s">
        <v>206</v>
      </c>
      <c r="AA519" t="s">
        <v>483</v>
      </c>
      <c r="AD519" t="s">
        <v>45</v>
      </c>
      <c r="AE519">
        <v>40.457881999999998</v>
      </c>
      <c r="AF519">
        <v>-85.511741999999998</v>
      </c>
      <c r="AG519" t="s">
        <v>40</v>
      </c>
      <c r="AH519" t="s">
        <v>41</v>
      </c>
      <c r="AI519">
        <v>40.457911044399999</v>
      </c>
      <c r="AJ519">
        <v>-85.511369817000002</v>
      </c>
      <c r="AK519">
        <v>2.9044400001509985E-5</v>
      </c>
      <c r="AL519">
        <v>3.7218299999608462E-4</v>
      </c>
      <c r="AM519" t="str">
        <f>_xlfn.IFNA(VLOOKUP(Sheet1!$C519,ADMIX_ALL!A:B,2,FALSE),"none")</f>
        <v>K6-18</v>
      </c>
      <c r="AN519" t="str">
        <f>_xlfn.IFNA(VLOOKUP(Sheet1!C519,ADMIX_SS!A:B,2,FALSE),"none")</f>
        <v>SubSample</v>
      </c>
      <c r="AO519" t="str">
        <f>_xlfn.IFNA(VLOOKUP(Sheet1!$C519,MONG_PHYLO!A:C,3,FALSE),"-")</f>
        <v>-</v>
      </c>
      <c r="AP519" t="str">
        <f>_xlfn.IFNA(VLOOKUP(Sheet1!$C519,MAC_PHYLO!A:C,3,FALSE),"-")</f>
        <v>-</v>
      </c>
      <c r="AQ519" t="str">
        <f>_xlfn.IFNA(VLOOKUP(Sheet1!$C519,ConStruct!A:C,3,FALSE),"-")</f>
        <v>ConStruct</v>
      </c>
      <c r="AR519" t="str">
        <f>_xlfn.IFNA(VLOOKUP(Sheet1!$C519,GEA!A:C,3,FALSE),"-")</f>
        <v>GEA</v>
      </c>
      <c r="AS519" t="str">
        <f>_xlfn.IFNA(VLOOKUP(Sheet1!$C519,MAC_DSUITE!A:D,3,FALSE),"-")</f>
        <v>mac_IN_TYL</v>
      </c>
      <c r="AT519" t="str">
        <f>_xlfn.IFNA(VLOOKUP(Sheet1!$C519,MONG_DSUITE!A:E,2,FALSE),"-")</f>
        <v>macrocarpa_TYL</v>
      </c>
      <c r="AU519" t="str">
        <f>_xlfn.IFNA(VLOOKUP(Sheet1!$C519,MAC_PAINT2!A:D,4,FALSE),"-")</f>
        <v>macpaint</v>
      </c>
      <c r="AV519" t="s">
        <v>9193</v>
      </c>
      <c r="AW519" t="s">
        <v>9193</v>
      </c>
    </row>
    <row r="520" spans="1:49" customFormat="1" x14ac:dyDescent="0.4">
      <c r="A520">
        <v>3971</v>
      </c>
      <c r="B520" t="s">
        <v>490</v>
      </c>
      <c r="C520" t="s">
        <v>491</v>
      </c>
      <c r="D520" t="str">
        <f>_xlfn.CONCAT(C520,".bam")</f>
        <v>SYST-MOR-0007208.bam</v>
      </c>
      <c r="E520" t="s">
        <v>492</v>
      </c>
      <c r="F520" t="s">
        <v>2413</v>
      </c>
      <c r="G520" t="s">
        <v>2419</v>
      </c>
      <c r="H520" t="s">
        <v>2502</v>
      </c>
      <c r="I520" t="s">
        <v>483</v>
      </c>
      <c r="K520" t="s">
        <v>45</v>
      </c>
      <c r="L520" t="s">
        <v>45</v>
      </c>
      <c r="N520" t="s">
        <v>45</v>
      </c>
      <c r="P520" t="s">
        <v>31</v>
      </c>
      <c r="Q520" t="s">
        <v>46</v>
      </c>
      <c r="R520" t="s">
        <v>2597</v>
      </c>
      <c r="S520" s="1">
        <v>44819</v>
      </c>
      <c r="T520" t="s">
        <v>33</v>
      </c>
      <c r="U520" t="s">
        <v>34</v>
      </c>
      <c r="V520" s="1">
        <v>44823</v>
      </c>
      <c r="W520" t="s">
        <v>35</v>
      </c>
      <c r="X520" t="s">
        <v>399</v>
      </c>
      <c r="Y520" t="s">
        <v>482</v>
      </c>
      <c r="Z520" t="s">
        <v>206</v>
      </c>
      <c r="AA520" t="s">
        <v>483</v>
      </c>
      <c r="AD520" t="s">
        <v>45</v>
      </c>
      <c r="AE520">
        <v>40.458125000000003</v>
      </c>
      <c r="AF520">
        <v>-85.511150999999998</v>
      </c>
      <c r="AG520" t="s">
        <v>40</v>
      </c>
      <c r="AH520" t="s">
        <v>41</v>
      </c>
      <c r="AI520">
        <v>40.4580350966</v>
      </c>
      <c r="AJ520">
        <v>-85.5116220285</v>
      </c>
      <c r="AK520">
        <v>-8.990340000281094E-5</v>
      </c>
      <c r="AL520">
        <v>-4.7102850000158014E-4</v>
      </c>
      <c r="AM520" t="str">
        <f>_xlfn.IFNA(VLOOKUP(Sheet1!$C520,ADMIX_ALL!A:B,2,FALSE),"none")</f>
        <v>K6-18</v>
      </c>
      <c r="AN520" t="str">
        <f>_xlfn.IFNA(VLOOKUP(Sheet1!C520,ADMIX_SS!A:B,2,FALSE),"none")</f>
        <v>SubSample</v>
      </c>
      <c r="AO520" t="str">
        <f>_xlfn.IFNA(VLOOKUP(Sheet1!$C520,MONG_PHYLO!A:C,3,FALSE),"-")</f>
        <v>-</v>
      </c>
      <c r="AP520" t="str">
        <f>_xlfn.IFNA(VLOOKUP(Sheet1!$C520,MAC_PHYLO!A:C,3,FALSE),"-")</f>
        <v>-</v>
      </c>
      <c r="AQ520" t="str">
        <f>_xlfn.IFNA(VLOOKUP(Sheet1!$C520,ConStruct!A:C,3,FALSE),"-")</f>
        <v>ConStruct</v>
      </c>
      <c r="AR520" t="str">
        <f>_xlfn.IFNA(VLOOKUP(Sheet1!$C520,GEA!A:C,3,FALSE),"-")</f>
        <v>GEA</v>
      </c>
      <c r="AS520" t="str">
        <f>_xlfn.IFNA(VLOOKUP(Sheet1!$C520,MAC_DSUITE!A:D,3,FALSE),"-")</f>
        <v>mac_IN_TYL</v>
      </c>
      <c r="AT520" t="str">
        <f>_xlfn.IFNA(VLOOKUP(Sheet1!$C520,MONG_DSUITE!A:E,2,FALSE),"-")</f>
        <v>macrocarpa_TYL</v>
      </c>
      <c r="AU520" t="str">
        <f>_xlfn.IFNA(VLOOKUP(Sheet1!$C520,MAC_PAINT2!A:D,4,FALSE),"-")</f>
        <v>macpaint</v>
      </c>
      <c r="AV520" t="s">
        <v>9193</v>
      </c>
      <c r="AW520" t="s">
        <v>9193</v>
      </c>
    </row>
    <row r="521" spans="1:49" customFormat="1" x14ac:dyDescent="0.4">
      <c r="A521">
        <v>3972</v>
      </c>
      <c r="B521" t="s">
        <v>493</v>
      </c>
      <c r="C521" t="s">
        <v>494</v>
      </c>
      <c r="D521" t="str">
        <f>_xlfn.CONCAT(C521,".bam")</f>
        <v>SYST-MOR-0007209.bam</v>
      </c>
      <c r="E521" t="s">
        <v>495</v>
      </c>
      <c r="F521" t="s">
        <v>2413</v>
      </c>
      <c r="G521" t="s">
        <v>2419</v>
      </c>
      <c r="H521" t="s">
        <v>2502</v>
      </c>
      <c r="I521" t="s">
        <v>483</v>
      </c>
      <c r="K521" t="s">
        <v>84</v>
      </c>
      <c r="L521" t="s">
        <v>84</v>
      </c>
      <c r="N521" t="s">
        <v>84</v>
      </c>
      <c r="P521" t="s">
        <v>31</v>
      </c>
      <c r="Q521" t="s">
        <v>85</v>
      </c>
      <c r="R521" t="s">
        <v>2600</v>
      </c>
      <c r="S521" s="1">
        <v>44819</v>
      </c>
      <c r="T521" t="s">
        <v>33</v>
      </c>
      <c r="U521" t="s">
        <v>34</v>
      </c>
      <c r="V521" s="1">
        <v>44823</v>
      </c>
      <c r="W521" t="s">
        <v>35</v>
      </c>
      <c r="X521" t="s">
        <v>399</v>
      </c>
      <c r="Y521" t="s">
        <v>482</v>
      </c>
      <c r="Z521" t="s">
        <v>206</v>
      </c>
      <c r="AA521" t="s">
        <v>483</v>
      </c>
      <c r="AD521" t="s">
        <v>84</v>
      </c>
      <c r="AE521">
        <v>40.458257000000003</v>
      </c>
      <c r="AF521">
        <v>-85.510915999999995</v>
      </c>
      <c r="AG521" t="s">
        <v>40</v>
      </c>
      <c r="AH521" t="s">
        <v>41</v>
      </c>
      <c r="AI521">
        <v>40.458087231999997</v>
      </c>
      <c r="AJ521">
        <v>-85.511069744899999</v>
      </c>
      <c r="AK521">
        <v>-1.6976800000634285E-4</v>
      </c>
      <c r="AL521">
        <v>-1.5374490000397145E-4</v>
      </c>
      <c r="AM521" t="str">
        <f>_xlfn.IFNA(VLOOKUP(Sheet1!$C521,ADMIX_ALL!A:B,2,FALSE),"none")</f>
        <v>K6-18</v>
      </c>
      <c r="AN521" t="str">
        <f>_xlfn.IFNA(VLOOKUP(Sheet1!C521,ADMIX_SS!A:B,2,FALSE),"none")</f>
        <v>SubSample</v>
      </c>
      <c r="AO521" t="str">
        <f>_xlfn.IFNA(VLOOKUP(Sheet1!$C521,MONG_PHYLO!A:C,3,FALSE),"-")</f>
        <v>-</v>
      </c>
      <c r="AP521" t="str">
        <f>_xlfn.IFNA(VLOOKUP(Sheet1!$C521,MAC_PHYLO!A:C,3,FALSE),"-")</f>
        <v>mue</v>
      </c>
      <c r="AQ521" t="str">
        <f>_xlfn.IFNA(VLOOKUP(Sheet1!$C521,ConStruct!A:C,3,FALSE),"-")</f>
        <v>-</v>
      </c>
      <c r="AR521" t="str">
        <f>_xlfn.IFNA(VLOOKUP(Sheet1!$C521,GEA!A:C,3,FALSE),"-")</f>
        <v>-</v>
      </c>
      <c r="AS521" t="str">
        <f>_xlfn.IFNA(VLOOKUP(Sheet1!$C521,MAC_DSUITE!A:D,3,FALSE),"-")</f>
        <v>mue</v>
      </c>
      <c r="AT521" t="str">
        <f>_xlfn.IFNA(VLOOKUP(Sheet1!$C521,MONG_DSUITE!A:E,2,FALSE),"-")</f>
        <v>xxx</v>
      </c>
      <c r="AU521" t="str">
        <f>_xlfn.IFNA(VLOOKUP(Sheet1!$C521,MAC_PAINT2!A:D,4,FALSE),"-")</f>
        <v>mue-macpaint</v>
      </c>
    </row>
    <row r="522" spans="1:49" customFormat="1" x14ac:dyDescent="0.4">
      <c r="A522">
        <v>3973</v>
      </c>
      <c r="B522" t="s">
        <v>496</v>
      </c>
      <c r="C522" t="s">
        <v>497</v>
      </c>
      <c r="D522" t="str">
        <f>_xlfn.CONCAT(C522,".bam")</f>
        <v>SYST-MOR-0007210.bam</v>
      </c>
      <c r="E522" t="s">
        <v>498</v>
      </c>
      <c r="F522" t="s">
        <v>2413</v>
      </c>
      <c r="G522" t="s">
        <v>2419</v>
      </c>
      <c r="H522" t="s">
        <v>2502</v>
      </c>
      <c r="I522" t="s">
        <v>483</v>
      </c>
      <c r="K522" t="s">
        <v>84</v>
      </c>
      <c r="L522" t="s">
        <v>84</v>
      </c>
      <c r="N522" t="s">
        <v>84</v>
      </c>
      <c r="P522" t="s">
        <v>31</v>
      </c>
      <c r="Q522" t="s">
        <v>85</v>
      </c>
      <c r="R522" t="s">
        <v>2600</v>
      </c>
      <c r="S522" s="1">
        <v>44819</v>
      </c>
      <c r="T522" t="s">
        <v>33</v>
      </c>
      <c r="U522" t="s">
        <v>34</v>
      </c>
      <c r="V522" s="1">
        <v>44823</v>
      </c>
      <c r="W522" t="s">
        <v>35</v>
      </c>
      <c r="X522" t="s">
        <v>399</v>
      </c>
      <c r="Y522" t="s">
        <v>482</v>
      </c>
      <c r="Z522" t="s">
        <v>206</v>
      </c>
      <c r="AA522" t="s">
        <v>483</v>
      </c>
      <c r="AD522" t="s">
        <v>84</v>
      </c>
      <c r="AE522">
        <v>40.456561999999998</v>
      </c>
      <c r="AF522">
        <v>-85.511442000000002</v>
      </c>
      <c r="AG522" t="s">
        <v>40</v>
      </c>
      <c r="AH522" t="s">
        <v>41</v>
      </c>
      <c r="AI522">
        <v>40.456661009299999</v>
      </c>
      <c r="AJ522">
        <v>-85.511559248099999</v>
      </c>
      <c r="AK522">
        <v>9.9009300001284828E-5</v>
      </c>
      <c r="AL522">
        <v>-1.1724809999691388E-4</v>
      </c>
      <c r="AM522" t="str">
        <f>_xlfn.IFNA(VLOOKUP(Sheet1!$C522,ADMIX_ALL!A:B,2,FALSE),"none")</f>
        <v>K6-18</v>
      </c>
      <c r="AN522" t="str">
        <f>_xlfn.IFNA(VLOOKUP(Sheet1!C522,ADMIX_SS!A:B,2,FALSE),"none")</f>
        <v>SubSample</v>
      </c>
      <c r="AO522" t="str">
        <f>_xlfn.IFNA(VLOOKUP(Sheet1!$C522,MONG_PHYLO!A:C,3,FALSE),"-")</f>
        <v>-</v>
      </c>
      <c r="AP522" t="str">
        <f>_xlfn.IFNA(VLOOKUP(Sheet1!$C522,MAC_PHYLO!A:C,3,FALSE),"-")</f>
        <v>-</v>
      </c>
      <c r="AQ522" t="str">
        <f>_xlfn.IFNA(VLOOKUP(Sheet1!$C522,ConStruct!A:C,3,FALSE),"-")</f>
        <v>-</v>
      </c>
      <c r="AR522" t="str">
        <f>_xlfn.IFNA(VLOOKUP(Sheet1!$C522,GEA!A:C,3,FALSE),"-")</f>
        <v>-</v>
      </c>
      <c r="AS522" t="str">
        <f>_xlfn.IFNA(VLOOKUP(Sheet1!$C522,MAC_DSUITE!A:D,3,FALSE),"-")</f>
        <v>-</v>
      </c>
      <c r="AT522" t="str">
        <f>_xlfn.IFNA(VLOOKUP(Sheet1!$C522,MONG_DSUITE!A:E,2,FALSE),"-")</f>
        <v>xxx</v>
      </c>
      <c r="AU522" t="str">
        <f>_xlfn.IFNA(VLOOKUP(Sheet1!$C522,MAC_PAINT2!A:D,4,FALSE),"-")</f>
        <v>-</v>
      </c>
    </row>
    <row r="523" spans="1:49" customFormat="1" x14ac:dyDescent="0.4">
      <c r="A523">
        <v>3974</v>
      </c>
      <c r="B523" t="s">
        <v>499</v>
      </c>
      <c r="C523" t="s">
        <v>500</v>
      </c>
      <c r="D523" t="str">
        <f>_xlfn.CONCAT(C523,".bam")</f>
        <v>SYST-MOR-0007211.bam</v>
      </c>
      <c r="E523" t="s">
        <v>501</v>
      </c>
      <c r="F523" t="s">
        <v>2413</v>
      </c>
      <c r="G523" t="s">
        <v>2419</v>
      </c>
      <c r="H523" t="s">
        <v>2502</v>
      </c>
      <c r="I523" t="s">
        <v>483</v>
      </c>
      <c r="K523" t="s">
        <v>64</v>
      </c>
      <c r="L523" t="s">
        <v>64</v>
      </c>
      <c r="N523" t="s">
        <v>64</v>
      </c>
      <c r="P523" t="s">
        <v>31</v>
      </c>
      <c r="Q523" t="s">
        <v>65</v>
      </c>
      <c r="R523" t="s">
        <v>2599</v>
      </c>
      <c r="S523" s="1">
        <v>44819</v>
      </c>
      <c r="T523" t="s">
        <v>33</v>
      </c>
      <c r="U523" t="s">
        <v>34</v>
      </c>
      <c r="V523" s="1">
        <v>44823</v>
      </c>
      <c r="W523" t="s">
        <v>35</v>
      </c>
      <c r="X523" t="s">
        <v>399</v>
      </c>
      <c r="Y523" t="s">
        <v>482</v>
      </c>
      <c r="Z523" t="s">
        <v>206</v>
      </c>
      <c r="AA523" t="s">
        <v>483</v>
      </c>
      <c r="AD523" t="s">
        <v>64</v>
      </c>
      <c r="AE523">
        <v>40.455734</v>
      </c>
      <c r="AF523">
        <v>-85.51164</v>
      </c>
      <c r="AG523" t="s">
        <v>40</v>
      </c>
      <c r="AH523" t="s">
        <v>41</v>
      </c>
      <c r="AI523">
        <v>40.4560049854</v>
      </c>
      <c r="AJ523">
        <v>-85.511127424799994</v>
      </c>
      <c r="AK523">
        <v>2.709854000002565E-4</v>
      </c>
      <c r="AL523">
        <v>5.1257520000547174E-4</v>
      </c>
      <c r="AM523" t="str">
        <f>_xlfn.IFNA(VLOOKUP(Sheet1!$C523,ADMIX_ALL!A:B,2,FALSE),"none")</f>
        <v>K6-18</v>
      </c>
      <c r="AN523" t="str">
        <f>_xlfn.IFNA(VLOOKUP(Sheet1!C523,ADMIX_SS!A:B,2,FALSE),"none")</f>
        <v>none</v>
      </c>
      <c r="AO523" t="str">
        <f>_xlfn.IFNA(VLOOKUP(Sheet1!$C523,MONG_PHYLO!A:C,3,FALSE),"-")</f>
        <v>-</v>
      </c>
      <c r="AP523" t="str">
        <f>_xlfn.IFNA(VLOOKUP(Sheet1!$C523,MAC_PHYLO!A:C,3,FALSE),"-")</f>
        <v>-</v>
      </c>
      <c r="AQ523" t="str">
        <f>_xlfn.IFNA(VLOOKUP(Sheet1!$C523,ConStruct!A:C,3,FALSE),"-")</f>
        <v>-</v>
      </c>
      <c r="AR523" t="str">
        <f>_xlfn.IFNA(VLOOKUP(Sheet1!$C523,GEA!A:C,3,FALSE),"-")</f>
        <v>-</v>
      </c>
      <c r="AS523" t="str">
        <f>_xlfn.IFNA(VLOOKUP(Sheet1!$C523,MAC_DSUITE!A:D,3,FALSE),"-")</f>
        <v>-</v>
      </c>
      <c r="AT523" t="str">
        <f>_xlfn.IFNA(VLOOKUP(Sheet1!$C523,MONG_DSUITE!A:E,2,FALSE),"-")</f>
        <v>xxx</v>
      </c>
      <c r="AU523" t="str">
        <f>_xlfn.IFNA(VLOOKUP(Sheet1!$C523,MAC_PAINT2!A:D,4,FALSE),"-")</f>
        <v>-</v>
      </c>
    </row>
    <row r="524" spans="1:49" customFormat="1" x14ac:dyDescent="0.4">
      <c r="A524">
        <v>3975</v>
      </c>
      <c r="B524" t="s">
        <v>502</v>
      </c>
      <c r="C524" t="s">
        <v>503</v>
      </c>
      <c r="D524" t="str">
        <f>_xlfn.CONCAT(C524,".bam")</f>
        <v>SYST-MOR-0007212.bam</v>
      </c>
      <c r="E524" t="s">
        <v>504</v>
      </c>
      <c r="F524" t="s">
        <v>2413</v>
      </c>
      <c r="G524" t="s">
        <v>2419</v>
      </c>
      <c r="H524" t="s">
        <v>2502</v>
      </c>
      <c r="I524" t="s">
        <v>483</v>
      </c>
      <c r="K524" t="s">
        <v>143</v>
      </c>
      <c r="L524" t="s">
        <v>143</v>
      </c>
      <c r="N524" t="s">
        <v>143</v>
      </c>
      <c r="P524" t="s">
        <v>31</v>
      </c>
      <c r="Q524" t="s">
        <v>144</v>
      </c>
      <c r="R524" t="s">
        <v>2601</v>
      </c>
      <c r="S524" s="1">
        <v>44819</v>
      </c>
      <c r="T524" t="s">
        <v>33</v>
      </c>
      <c r="U524" t="s">
        <v>34</v>
      </c>
      <c r="V524" s="1">
        <v>44823</v>
      </c>
      <c r="W524" t="s">
        <v>35</v>
      </c>
      <c r="X524" t="s">
        <v>399</v>
      </c>
      <c r="Y524" t="s">
        <v>482</v>
      </c>
      <c r="Z524" t="s">
        <v>206</v>
      </c>
      <c r="AA524" t="s">
        <v>483</v>
      </c>
      <c r="AD524" t="s">
        <v>143</v>
      </c>
      <c r="AE524">
        <v>40.455345000000001</v>
      </c>
      <c r="AF524">
        <v>-85.510240999999994</v>
      </c>
      <c r="AG524" t="s">
        <v>40</v>
      </c>
      <c r="AH524" t="s">
        <v>41</v>
      </c>
      <c r="AI524">
        <v>40.455503091300002</v>
      </c>
      <c r="AJ524">
        <v>-85.510397097199998</v>
      </c>
      <c r="AK524">
        <v>1.5809130000121741E-4</v>
      </c>
      <c r="AL524">
        <v>-1.5609720000497873E-4</v>
      </c>
      <c r="AM524" t="str">
        <f>_xlfn.IFNA(VLOOKUP(Sheet1!$C524,ADMIX_ALL!A:B,2,FALSE),"none")</f>
        <v>K6-18</v>
      </c>
      <c r="AN524" t="str">
        <f>_xlfn.IFNA(VLOOKUP(Sheet1!C524,ADMIX_SS!A:B,2,FALSE),"none")</f>
        <v>Constant</v>
      </c>
      <c r="AO524" t="str">
        <f>_xlfn.IFNA(VLOOKUP(Sheet1!$C524,MONG_PHYLO!A:C,3,FALSE),"-")</f>
        <v>bic</v>
      </c>
      <c r="AP524" t="str">
        <f>_xlfn.IFNA(VLOOKUP(Sheet1!$C524,MAC_PHYLO!A:C,3,FALSE),"-")</f>
        <v>bic</v>
      </c>
      <c r="AQ524" t="str">
        <f>_xlfn.IFNA(VLOOKUP(Sheet1!$C524,ConStruct!A:C,3,FALSE),"-")</f>
        <v>-</v>
      </c>
      <c r="AR524" t="str">
        <f>_xlfn.IFNA(VLOOKUP(Sheet1!$C524,GEA!A:C,3,FALSE),"-")</f>
        <v>-</v>
      </c>
      <c r="AS524" t="str">
        <f>_xlfn.IFNA(VLOOKUP(Sheet1!$C524,MAC_DSUITE!A:D,3,FALSE),"-")</f>
        <v>bic</v>
      </c>
      <c r="AT524" t="str">
        <f>_xlfn.IFNA(VLOOKUP(Sheet1!$C524,MONG_DSUITE!A:E,2,FALSE),"-")</f>
        <v>bicolor</v>
      </c>
      <c r="AU524" t="str">
        <f>_xlfn.IFNA(VLOOKUP(Sheet1!$C524,MAC_PAINT2!A:D,4,FALSE),"-")</f>
        <v>bic-macpaint</v>
      </c>
    </row>
    <row r="525" spans="1:49" customFormat="1" x14ac:dyDescent="0.4">
      <c r="A525">
        <v>3976</v>
      </c>
      <c r="B525" t="s">
        <v>505</v>
      </c>
      <c r="C525" t="s">
        <v>506</v>
      </c>
      <c r="D525" t="str">
        <f>_xlfn.CONCAT(C525,".bam")</f>
        <v>SYST-MOR-0007213.bam</v>
      </c>
      <c r="E525" t="s">
        <v>507</v>
      </c>
      <c r="F525" t="s">
        <v>2413</v>
      </c>
      <c r="G525" t="s">
        <v>2419</v>
      </c>
      <c r="H525" t="s">
        <v>2502</v>
      </c>
      <c r="I525" t="s">
        <v>483</v>
      </c>
      <c r="K525" t="s">
        <v>143</v>
      </c>
      <c r="L525" t="s">
        <v>143</v>
      </c>
      <c r="N525" t="s">
        <v>143</v>
      </c>
      <c r="P525" t="s">
        <v>31</v>
      </c>
      <c r="Q525" t="s">
        <v>144</v>
      </c>
      <c r="R525" t="s">
        <v>2601</v>
      </c>
      <c r="S525" s="1">
        <v>44819</v>
      </c>
      <c r="T525" t="s">
        <v>33</v>
      </c>
      <c r="U525" t="s">
        <v>34</v>
      </c>
      <c r="V525" s="1">
        <v>44823</v>
      </c>
      <c r="W525" t="s">
        <v>35</v>
      </c>
      <c r="X525" t="s">
        <v>399</v>
      </c>
      <c r="Y525" t="s">
        <v>482</v>
      </c>
      <c r="Z525" t="s">
        <v>206</v>
      </c>
      <c r="AA525" t="s">
        <v>483</v>
      </c>
      <c r="AD525" t="s">
        <v>143</v>
      </c>
      <c r="AE525">
        <v>40.455370000000002</v>
      </c>
      <c r="AF525">
        <v>-85.510389000000004</v>
      </c>
      <c r="AG525" t="s">
        <v>40</v>
      </c>
      <c r="AH525" t="s">
        <v>41</v>
      </c>
      <c r="AI525">
        <v>40.455482178399997</v>
      </c>
      <c r="AJ525">
        <v>-85.510500949000004</v>
      </c>
      <c r="AK525">
        <v>1.1217839999488888E-4</v>
      </c>
      <c r="AL525">
        <v>-1.1194900000077723E-4</v>
      </c>
      <c r="AM525" t="str">
        <f>_xlfn.IFNA(VLOOKUP(Sheet1!$C525,ADMIX_ALL!A:B,2,FALSE),"none")</f>
        <v>K6-18</v>
      </c>
      <c r="AN525" t="str">
        <f>_xlfn.IFNA(VLOOKUP(Sheet1!C525,ADMIX_SS!A:B,2,FALSE),"none")</f>
        <v>SubSample</v>
      </c>
      <c r="AO525" t="str">
        <f>_xlfn.IFNA(VLOOKUP(Sheet1!$C525,MONG_PHYLO!A:C,3,FALSE),"-")</f>
        <v>-</v>
      </c>
      <c r="AP525" t="str">
        <f>_xlfn.IFNA(VLOOKUP(Sheet1!$C525,MAC_PHYLO!A:C,3,FALSE),"-")</f>
        <v>-</v>
      </c>
      <c r="AQ525" t="str">
        <f>_xlfn.IFNA(VLOOKUP(Sheet1!$C525,ConStruct!A:C,3,FALSE),"-")</f>
        <v>-</v>
      </c>
      <c r="AR525" t="str">
        <f>_xlfn.IFNA(VLOOKUP(Sheet1!$C525,GEA!A:C,3,FALSE),"-")</f>
        <v>-</v>
      </c>
      <c r="AS525" t="str">
        <f>_xlfn.IFNA(VLOOKUP(Sheet1!$C525,MAC_DSUITE!A:D,3,FALSE),"-")</f>
        <v>-</v>
      </c>
      <c r="AT525" t="str">
        <f>_xlfn.IFNA(VLOOKUP(Sheet1!$C525,MONG_DSUITE!A:E,2,FALSE),"-")</f>
        <v>xxx</v>
      </c>
      <c r="AU525" t="str">
        <f>_xlfn.IFNA(VLOOKUP(Sheet1!$C525,MAC_PAINT2!A:D,4,FALSE),"-")</f>
        <v>-</v>
      </c>
    </row>
    <row r="526" spans="1:49" customFormat="1" x14ac:dyDescent="0.4">
      <c r="A526">
        <v>3977</v>
      </c>
      <c r="B526" t="s">
        <v>508</v>
      </c>
      <c r="C526" t="s">
        <v>509</v>
      </c>
      <c r="D526" t="str">
        <f>_xlfn.CONCAT(C526,".bam")</f>
        <v>SYST-MOR-0007214.bam</v>
      </c>
      <c r="E526" t="s">
        <v>510</v>
      </c>
      <c r="F526" t="s">
        <v>2413</v>
      </c>
      <c r="G526" t="s">
        <v>2419</v>
      </c>
      <c r="H526" t="s">
        <v>2502</v>
      </c>
      <c r="I526" t="s">
        <v>483</v>
      </c>
      <c r="K526" t="s">
        <v>143</v>
      </c>
      <c r="L526" t="s">
        <v>143</v>
      </c>
      <c r="N526" t="s">
        <v>143</v>
      </c>
      <c r="P526" t="s">
        <v>31</v>
      </c>
      <c r="Q526" t="s">
        <v>144</v>
      </c>
      <c r="R526" t="s">
        <v>2601</v>
      </c>
      <c r="S526" s="1">
        <v>44819</v>
      </c>
      <c r="T526" t="s">
        <v>33</v>
      </c>
      <c r="U526" t="s">
        <v>34</v>
      </c>
      <c r="V526" s="1">
        <v>44823</v>
      </c>
      <c r="W526" t="s">
        <v>35</v>
      </c>
      <c r="X526" t="s">
        <v>399</v>
      </c>
      <c r="Y526" t="s">
        <v>482</v>
      </c>
      <c r="Z526" t="s">
        <v>206</v>
      </c>
      <c r="AA526" t="s">
        <v>483</v>
      </c>
      <c r="AD526" t="s">
        <v>143</v>
      </c>
      <c r="AE526">
        <v>40.455440000000003</v>
      </c>
      <c r="AF526">
        <v>-85.510653000000005</v>
      </c>
      <c r="AG526" t="s">
        <v>40</v>
      </c>
      <c r="AH526" t="s">
        <v>41</v>
      </c>
      <c r="AI526">
        <v>40.455270702999997</v>
      </c>
      <c r="AJ526">
        <v>-85.510399611699995</v>
      </c>
      <c r="AK526">
        <v>-1.6929700000645198E-4</v>
      </c>
      <c r="AL526">
        <v>2.5338830000976031E-4</v>
      </c>
      <c r="AM526" t="str">
        <f>_xlfn.IFNA(VLOOKUP(Sheet1!$C526,ADMIX_ALL!A:B,2,FALSE),"none")</f>
        <v>K6-18</v>
      </c>
      <c r="AN526" t="str">
        <f>_xlfn.IFNA(VLOOKUP(Sheet1!C526,ADMIX_SS!A:B,2,FALSE),"none")</f>
        <v>SubSample</v>
      </c>
      <c r="AO526" t="str">
        <f>_xlfn.IFNA(VLOOKUP(Sheet1!$C526,MONG_PHYLO!A:C,3,FALSE),"-")</f>
        <v>-</v>
      </c>
      <c r="AP526" t="str">
        <f>_xlfn.IFNA(VLOOKUP(Sheet1!$C526,MAC_PHYLO!A:C,3,FALSE),"-")</f>
        <v>-</v>
      </c>
      <c r="AQ526" t="str">
        <f>_xlfn.IFNA(VLOOKUP(Sheet1!$C526,ConStruct!A:C,3,FALSE),"-")</f>
        <v>-</v>
      </c>
      <c r="AR526" t="str">
        <f>_xlfn.IFNA(VLOOKUP(Sheet1!$C526,GEA!A:C,3,FALSE),"-")</f>
        <v>-</v>
      </c>
      <c r="AS526" t="str">
        <f>_xlfn.IFNA(VLOOKUP(Sheet1!$C526,MAC_DSUITE!A:D,3,FALSE),"-")</f>
        <v>-</v>
      </c>
      <c r="AT526" t="str">
        <f>_xlfn.IFNA(VLOOKUP(Sheet1!$C526,MONG_DSUITE!A:E,2,FALSE),"-")</f>
        <v>xxx</v>
      </c>
      <c r="AU526" t="str">
        <f>_xlfn.IFNA(VLOOKUP(Sheet1!$C526,MAC_PAINT2!A:D,4,FALSE),"-")</f>
        <v>-</v>
      </c>
    </row>
    <row r="527" spans="1:49" customFormat="1" x14ac:dyDescent="0.4">
      <c r="A527">
        <v>3978</v>
      </c>
      <c r="B527" t="s">
        <v>511</v>
      </c>
      <c r="C527" t="s">
        <v>512</v>
      </c>
      <c r="D527" t="str">
        <f>_xlfn.CONCAT(C527,".bam")</f>
        <v>SYST-MOR-0007215.bam</v>
      </c>
      <c r="E527" t="s">
        <v>513</v>
      </c>
      <c r="F527" t="s">
        <v>2413</v>
      </c>
      <c r="G527" t="s">
        <v>2419</v>
      </c>
      <c r="H527" t="s">
        <v>2502</v>
      </c>
      <c r="I527" t="s">
        <v>483</v>
      </c>
      <c r="K527" t="s">
        <v>84</v>
      </c>
      <c r="L527" t="s">
        <v>84</v>
      </c>
      <c r="N527" t="s">
        <v>84</v>
      </c>
      <c r="P527" t="s">
        <v>31</v>
      </c>
      <c r="Q527" t="s">
        <v>85</v>
      </c>
      <c r="R527" t="s">
        <v>2600</v>
      </c>
      <c r="S527" s="1">
        <v>44819</v>
      </c>
      <c r="T527" t="s">
        <v>33</v>
      </c>
      <c r="U527" t="s">
        <v>34</v>
      </c>
      <c r="V527" s="1">
        <v>44823</v>
      </c>
      <c r="W527" t="s">
        <v>35</v>
      </c>
      <c r="X527" t="s">
        <v>399</v>
      </c>
      <c r="Y527" t="s">
        <v>482</v>
      </c>
      <c r="Z527" t="s">
        <v>206</v>
      </c>
      <c r="AA527" t="s">
        <v>483</v>
      </c>
      <c r="AD527" t="s">
        <v>84</v>
      </c>
      <c r="AE527">
        <v>40.457023</v>
      </c>
      <c r="AF527">
        <v>-85.508851000000007</v>
      </c>
      <c r="AG527" t="s">
        <v>40</v>
      </c>
      <c r="AH527" t="s">
        <v>41</v>
      </c>
      <c r="AI527">
        <v>40.456760879599997</v>
      </c>
      <c r="AJ527">
        <v>-85.508963791699998</v>
      </c>
      <c r="AK527">
        <v>-2.6212040000217485E-4</v>
      </c>
      <c r="AL527">
        <v>-1.1279169999056649E-4</v>
      </c>
      <c r="AM527" t="str">
        <f>_xlfn.IFNA(VLOOKUP(Sheet1!$C527,ADMIX_ALL!A:B,2,FALSE),"none")</f>
        <v>K6-18</v>
      </c>
      <c r="AN527" t="str">
        <f>_xlfn.IFNA(VLOOKUP(Sheet1!C527,ADMIX_SS!A:B,2,FALSE),"none")</f>
        <v>Constant</v>
      </c>
      <c r="AO527" t="str">
        <f>_xlfn.IFNA(VLOOKUP(Sheet1!$C527,MONG_PHYLO!A:C,3,FALSE),"-")</f>
        <v>mue</v>
      </c>
      <c r="AP527" t="str">
        <f>_xlfn.IFNA(VLOOKUP(Sheet1!$C527,MAC_PHYLO!A:C,3,FALSE),"-")</f>
        <v>-</v>
      </c>
      <c r="AQ527" t="str">
        <f>_xlfn.IFNA(VLOOKUP(Sheet1!$C527,ConStruct!A:C,3,FALSE),"-")</f>
        <v>-</v>
      </c>
      <c r="AR527" t="str">
        <f>_xlfn.IFNA(VLOOKUP(Sheet1!$C527,GEA!A:C,3,FALSE),"-")</f>
        <v>-</v>
      </c>
      <c r="AS527" t="str">
        <f>_xlfn.IFNA(VLOOKUP(Sheet1!$C527,MAC_DSUITE!A:D,3,FALSE),"-")</f>
        <v>-</v>
      </c>
      <c r="AT527" t="str">
        <f>_xlfn.IFNA(VLOOKUP(Sheet1!$C527,MONG_DSUITE!A:E,2,FALSE),"-")</f>
        <v>muehlenbergii</v>
      </c>
      <c r="AU527" t="str">
        <f>_xlfn.IFNA(VLOOKUP(Sheet1!$C527,MAC_PAINT2!A:D,4,FALSE),"-")</f>
        <v>-</v>
      </c>
    </row>
    <row r="528" spans="1:49" customFormat="1" x14ac:dyDescent="0.4">
      <c r="A528">
        <v>3979</v>
      </c>
      <c r="B528" t="s">
        <v>514</v>
      </c>
      <c r="C528" t="s">
        <v>515</v>
      </c>
      <c r="D528" t="str">
        <f>_xlfn.CONCAT(C528,".bam")</f>
        <v>SYST-MOR-0007216.bam</v>
      </c>
      <c r="E528" t="s">
        <v>516</v>
      </c>
      <c r="F528" t="s">
        <v>2413</v>
      </c>
      <c r="G528" t="s">
        <v>2419</v>
      </c>
      <c r="H528" t="s">
        <v>2502</v>
      </c>
      <c r="I528" t="s">
        <v>483</v>
      </c>
      <c r="K528" t="s">
        <v>64</v>
      </c>
      <c r="L528" t="s">
        <v>64</v>
      </c>
      <c r="N528" t="s">
        <v>64</v>
      </c>
      <c r="P528" t="s">
        <v>31</v>
      </c>
      <c r="Q528" t="s">
        <v>65</v>
      </c>
      <c r="R528" t="s">
        <v>2599</v>
      </c>
      <c r="S528" s="1">
        <v>44819</v>
      </c>
      <c r="T528" t="s">
        <v>33</v>
      </c>
      <c r="U528" t="s">
        <v>34</v>
      </c>
      <c r="V528" s="1">
        <v>44823</v>
      </c>
      <c r="W528" t="s">
        <v>35</v>
      </c>
      <c r="X528" t="s">
        <v>399</v>
      </c>
      <c r="Y528" t="s">
        <v>482</v>
      </c>
      <c r="Z528" t="s">
        <v>206</v>
      </c>
      <c r="AA528" t="s">
        <v>483</v>
      </c>
      <c r="AD528" t="s">
        <v>64</v>
      </c>
      <c r="AE528">
        <v>40.456997000000001</v>
      </c>
      <c r="AF528">
        <v>-85.507453999999996</v>
      </c>
      <c r="AG528" t="s">
        <v>40</v>
      </c>
      <c r="AH528" t="s">
        <v>41</v>
      </c>
      <c r="AI528">
        <v>40.456934259299999</v>
      </c>
      <c r="AJ528">
        <v>-85.507415402800007</v>
      </c>
      <c r="AK528">
        <v>-6.2740700002450467E-5</v>
      </c>
      <c r="AL528">
        <v>3.8597199988998909E-5</v>
      </c>
      <c r="AM528" t="str">
        <f>_xlfn.IFNA(VLOOKUP(Sheet1!$C528,ADMIX_ALL!A:B,2,FALSE),"none")</f>
        <v>K6-18</v>
      </c>
      <c r="AN528" t="str">
        <f>_xlfn.IFNA(VLOOKUP(Sheet1!C528,ADMIX_SS!A:B,2,FALSE),"none")</f>
        <v>SubSample</v>
      </c>
      <c r="AO528" t="str">
        <f>_xlfn.IFNA(VLOOKUP(Sheet1!$C528,MONG_PHYLO!A:C,3,FALSE),"-")</f>
        <v>-</v>
      </c>
      <c r="AP528" t="str">
        <f>_xlfn.IFNA(VLOOKUP(Sheet1!$C528,MAC_PHYLO!A:C,3,FALSE),"-")</f>
        <v>-</v>
      </c>
      <c r="AQ528" t="str">
        <f>_xlfn.IFNA(VLOOKUP(Sheet1!$C528,ConStruct!A:C,3,FALSE),"-")</f>
        <v>-</v>
      </c>
      <c r="AR528" t="str">
        <f>_xlfn.IFNA(VLOOKUP(Sheet1!$C528,GEA!A:C,3,FALSE),"-")</f>
        <v>-</v>
      </c>
      <c r="AS528" t="str">
        <f>_xlfn.IFNA(VLOOKUP(Sheet1!$C528,MAC_DSUITE!A:D,3,FALSE),"-")</f>
        <v>-</v>
      </c>
      <c r="AT528" t="str">
        <f>_xlfn.IFNA(VLOOKUP(Sheet1!$C528,MONG_DSUITE!A:E,2,FALSE),"-")</f>
        <v>xxx</v>
      </c>
      <c r="AU528" t="str">
        <f>_xlfn.IFNA(VLOOKUP(Sheet1!$C528,MAC_PAINT2!A:D,4,FALSE),"-")</f>
        <v>-</v>
      </c>
    </row>
    <row r="529" spans="1:49" customFormat="1" x14ac:dyDescent="0.4">
      <c r="A529">
        <v>3980</v>
      </c>
      <c r="B529" t="s">
        <v>517</v>
      </c>
      <c r="C529" t="s">
        <v>518</v>
      </c>
      <c r="D529" t="str">
        <f>_xlfn.CONCAT(C529,".bam")</f>
        <v>SYST-MOR-0007217.bam</v>
      </c>
      <c r="E529" t="s">
        <v>519</v>
      </c>
      <c r="F529" t="s">
        <v>2413</v>
      </c>
      <c r="G529" t="s">
        <v>2419</v>
      </c>
      <c r="H529" t="s">
        <v>2502</v>
      </c>
      <c r="I529" t="s">
        <v>483</v>
      </c>
      <c r="K529" t="s">
        <v>64</v>
      </c>
      <c r="L529" t="s">
        <v>64</v>
      </c>
      <c r="N529" t="s">
        <v>64</v>
      </c>
      <c r="P529" t="s">
        <v>31</v>
      </c>
      <c r="Q529" t="s">
        <v>65</v>
      </c>
      <c r="R529" t="s">
        <v>2599</v>
      </c>
      <c r="S529" s="1">
        <v>44819</v>
      </c>
      <c r="T529" t="s">
        <v>33</v>
      </c>
      <c r="U529" t="s">
        <v>34</v>
      </c>
      <c r="V529" s="1">
        <v>44823</v>
      </c>
      <c r="W529" t="s">
        <v>35</v>
      </c>
      <c r="X529" t="s">
        <v>399</v>
      </c>
      <c r="Y529" t="s">
        <v>482</v>
      </c>
      <c r="Z529" t="s">
        <v>206</v>
      </c>
      <c r="AA529" t="s">
        <v>483</v>
      </c>
      <c r="AD529" t="s">
        <v>64</v>
      </c>
      <c r="AE529">
        <v>40.456902999999997</v>
      </c>
      <c r="AF529">
        <v>-85.508927</v>
      </c>
      <c r="AG529" t="s">
        <v>40</v>
      </c>
      <c r="AH529" t="s">
        <v>41</v>
      </c>
      <c r="AI529">
        <v>40.456952657599999</v>
      </c>
      <c r="AJ529">
        <v>-85.508969239999999</v>
      </c>
      <c r="AK529">
        <v>4.9657600001751234E-5</v>
      </c>
      <c r="AL529">
        <v>-4.2239999999083011E-5</v>
      </c>
      <c r="AM529" t="str">
        <f>_xlfn.IFNA(VLOOKUP(Sheet1!$C529,ADMIX_ALL!A:B,2,FALSE),"none")</f>
        <v>K6-18</v>
      </c>
      <c r="AN529" t="str">
        <f>_xlfn.IFNA(VLOOKUP(Sheet1!C529,ADMIX_SS!A:B,2,FALSE),"none")</f>
        <v>SubSample</v>
      </c>
      <c r="AO529" t="str">
        <f>_xlfn.IFNA(VLOOKUP(Sheet1!$C529,MONG_PHYLO!A:C,3,FALSE),"-")</f>
        <v>-</v>
      </c>
      <c r="AP529" t="str">
        <f>_xlfn.IFNA(VLOOKUP(Sheet1!$C529,MAC_PHYLO!A:C,3,FALSE),"-")</f>
        <v>-</v>
      </c>
      <c r="AQ529" t="str">
        <f>_xlfn.IFNA(VLOOKUP(Sheet1!$C529,ConStruct!A:C,3,FALSE),"-")</f>
        <v>-</v>
      </c>
      <c r="AR529" t="str">
        <f>_xlfn.IFNA(VLOOKUP(Sheet1!$C529,GEA!A:C,3,FALSE),"-")</f>
        <v>-</v>
      </c>
      <c r="AS529" t="str">
        <f>_xlfn.IFNA(VLOOKUP(Sheet1!$C529,MAC_DSUITE!A:D,3,FALSE),"-")</f>
        <v>-</v>
      </c>
      <c r="AT529" t="str">
        <f>_xlfn.IFNA(VLOOKUP(Sheet1!$C529,MONG_DSUITE!A:E,2,FALSE),"-")</f>
        <v>xxx</v>
      </c>
      <c r="AU529" t="str">
        <f>_xlfn.IFNA(VLOOKUP(Sheet1!$C529,MAC_PAINT2!A:D,4,FALSE),"-")</f>
        <v>-</v>
      </c>
    </row>
    <row r="530" spans="1:49" customFormat="1" x14ac:dyDescent="0.4">
      <c r="A530">
        <v>3981</v>
      </c>
      <c r="B530" t="s">
        <v>520</v>
      </c>
      <c r="C530" t="s">
        <v>521</v>
      </c>
      <c r="D530" t="str">
        <f>_xlfn.CONCAT(C530,".bam")</f>
        <v>SYST-MOR-0007218.bam</v>
      </c>
      <c r="E530" t="s">
        <v>522</v>
      </c>
      <c r="F530" t="s">
        <v>2413</v>
      </c>
      <c r="G530" t="s">
        <v>2419</v>
      </c>
      <c r="H530" t="s">
        <v>2502</v>
      </c>
      <c r="I530" t="s">
        <v>483</v>
      </c>
      <c r="K530" t="s">
        <v>8554</v>
      </c>
      <c r="L530" t="s">
        <v>84</v>
      </c>
      <c r="N530" t="s">
        <v>84</v>
      </c>
      <c r="P530" t="s">
        <v>31</v>
      </c>
      <c r="Q530" t="s">
        <v>85</v>
      </c>
      <c r="R530" t="s">
        <v>2600</v>
      </c>
      <c r="S530" s="1">
        <v>44819</v>
      </c>
      <c r="T530" t="s">
        <v>33</v>
      </c>
      <c r="U530" t="s">
        <v>34</v>
      </c>
      <c r="V530" s="1">
        <v>44823</v>
      </c>
      <c r="W530" t="s">
        <v>35</v>
      </c>
      <c r="X530" t="s">
        <v>399</v>
      </c>
      <c r="Y530" t="s">
        <v>482</v>
      </c>
      <c r="Z530" t="s">
        <v>206</v>
      </c>
      <c r="AA530" t="s">
        <v>483</v>
      </c>
      <c r="AD530" t="s">
        <v>84</v>
      </c>
      <c r="AE530">
        <v>40.456969999999998</v>
      </c>
      <c r="AF530">
        <v>-85.508488999999997</v>
      </c>
      <c r="AG530" t="s">
        <v>40</v>
      </c>
      <c r="AH530" t="s">
        <v>41</v>
      </c>
      <c r="AI530">
        <v>40.456968205999999</v>
      </c>
      <c r="AJ530">
        <v>-85.508564477899995</v>
      </c>
      <c r="AK530">
        <v>-1.7939999992222511E-6</v>
      </c>
      <c r="AL530">
        <v>-7.5477899997622444E-5</v>
      </c>
      <c r="AM530" t="str">
        <f>_xlfn.IFNA(VLOOKUP(Sheet1!$C530,ADMIX_ALL!A:B,2,FALSE),"none")</f>
        <v>K6-18</v>
      </c>
      <c r="AN530" t="str">
        <f>_xlfn.IFNA(VLOOKUP(Sheet1!C530,ADMIX_SS!A:B,2,FALSE),"none")</f>
        <v>SubSample</v>
      </c>
      <c r="AO530" t="str">
        <f>_xlfn.IFNA(VLOOKUP(Sheet1!$C530,MONG_PHYLO!A:C,3,FALSE),"-")</f>
        <v>-</v>
      </c>
      <c r="AP530" t="str">
        <f>_xlfn.IFNA(VLOOKUP(Sheet1!$C530,MAC_PHYLO!A:C,3,FALSE),"-")</f>
        <v>-</v>
      </c>
      <c r="AQ530" t="str">
        <f>_xlfn.IFNA(VLOOKUP(Sheet1!$C530,ConStruct!A:C,3,FALSE),"-")</f>
        <v>-</v>
      </c>
      <c r="AR530" t="str">
        <f>_xlfn.IFNA(VLOOKUP(Sheet1!$C530,GEA!A:C,3,FALSE),"-")</f>
        <v>-</v>
      </c>
      <c r="AS530" t="str">
        <f>_xlfn.IFNA(VLOOKUP(Sheet1!$C530,MAC_DSUITE!A:D,3,FALSE),"-")</f>
        <v>-</v>
      </c>
      <c r="AT530" t="str">
        <f>_xlfn.IFNA(VLOOKUP(Sheet1!$C530,MONG_DSUITE!A:E,2,FALSE),"-")</f>
        <v>xxx</v>
      </c>
      <c r="AU530" t="str">
        <f>_xlfn.IFNA(VLOOKUP(Sheet1!$C530,MAC_PAINT2!A:D,4,FALSE),"-")</f>
        <v>-</v>
      </c>
    </row>
    <row r="531" spans="1:49" customFormat="1" x14ac:dyDescent="0.4">
      <c r="A531">
        <v>3982</v>
      </c>
      <c r="B531" t="s">
        <v>395</v>
      </c>
      <c r="C531" t="s">
        <v>396</v>
      </c>
      <c r="D531" t="str">
        <f>_xlfn.CONCAT(C531,".bam")</f>
        <v>SYST-MOR-0007219.bam</v>
      </c>
      <c r="E531" t="s">
        <v>397</v>
      </c>
      <c r="F531" t="s">
        <v>2413</v>
      </c>
      <c r="G531" t="s">
        <v>2414</v>
      </c>
      <c r="H531" t="s">
        <v>2497</v>
      </c>
      <c r="I531" t="s">
        <v>401</v>
      </c>
      <c r="K531" t="s">
        <v>45</v>
      </c>
      <c r="L531" t="s">
        <v>45</v>
      </c>
      <c r="N531" t="s">
        <v>45</v>
      </c>
      <c r="P531" t="s">
        <v>31</v>
      </c>
      <c r="Q531" t="s">
        <v>46</v>
      </c>
      <c r="R531" t="s">
        <v>2597</v>
      </c>
      <c r="S531" s="1">
        <v>44820</v>
      </c>
      <c r="T531" t="s">
        <v>398</v>
      </c>
      <c r="U531" t="s">
        <v>34</v>
      </c>
      <c r="V531" s="1">
        <v>44823</v>
      </c>
      <c r="W531" t="s">
        <v>35</v>
      </c>
      <c r="X531" t="s">
        <v>399</v>
      </c>
      <c r="Y531" t="s">
        <v>400</v>
      </c>
      <c r="Z531" t="s">
        <v>206</v>
      </c>
      <c r="AA531" t="s">
        <v>401</v>
      </c>
      <c r="AD531" t="s">
        <v>45</v>
      </c>
      <c r="AE531">
        <v>39.220007000000003</v>
      </c>
      <c r="AF531">
        <v>-86.542603999999997</v>
      </c>
      <c r="AG531" t="s">
        <v>40</v>
      </c>
      <c r="AH531" t="s">
        <v>41</v>
      </c>
      <c r="AI531">
        <v>39.219944598200001</v>
      </c>
      <c r="AJ531">
        <v>-86.542607434199994</v>
      </c>
      <c r="AK531">
        <v>-6.2401800001055108E-5</v>
      </c>
      <c r="AL531">
        <v>-3.4341999963771741E-6</v>
      </c>
      <c r="AM531" t="str">
        <f>_xlfn.IFNA(VLOOKUP(Sheet1!$C531,ADMIX_ALL!A:B,2,FALSE),"none")</f>
        <v>K6-18</v>
      </c>
      <c r="AN531" t="str">
        <f>_xlfn.IFNA(VLOOKUP(Sheet1!C531,ADMIX_SS!A:B,2,FALSE),"none")</f>
        <v>SubSample</v>
      </c>
      <c r="AO531" t="str">
        <f>_xlfn.IFNA(VLOOKUP(Sheet1!$C531,MONG_PHYLO!A:C,3,FALSE),"-")</f>
        <v>-</v>
      </c>
      <c r="AP531" t="str">
        <f>_xlfn.IFNA(VLOOKUP(Sheet1!$C531,MAC_PHYLO!A:C,3,FALSE),"-")</f>
        <v>-</v>
      </c>
      <c r="AQ531" t="str">
        <f>_xlfn.IFNA(VLOOKUP(Sheet1!$C531,ConStruct!A:C,3,FALSE),"-")</f>
        <v>ConStruct</v>
      </c>
      <c r="AR531" t="str">
        <f>_xlfn.IFNA(VLOOKUP(Sheet1!$C531,GEA!A:C,3,FALSE),"-")</f>
        <v>GEA</v>
      </c>
      <c r="AS531" t="str">
        <f>_xlfn.IFNA(VLOOKUP(Sheet1!$C531,MAC_DSUITE!A:D,3,FALSE),"-")</f>
        <v>mac_IN_BLR</v>
      </c>
      <c r="AT531" t="str">
        <f>_xlfn.IFNA(VLOOKUP(Sheet1!$C531,MONG_DSUITE!A:E,2,FALSE),"-")</f>
        <v>macrocarpa_BLR</v>
      </c>
      <c r="AU531" t="str">
        <f>_xlfn.IFNA(VLOOKUP(Sheet1!$C531,MAC_PAINT2!A:D,4,FALSE),"-")</f>
        <v>macpaint</v>
      </c>
      <c r="AV531" t="s">
        <v>9193</v>
      </c>
      <c r="AW531" t="s">
        <v>9193</v>
      </c>
    </row>
    <row r="532" spans="1:49" customFormat="1" x14ac:dyDescent="0.4">
      <c r="A532">
        <v>3983</v>
      </c>
      <c r="B532" t="s">
        <v>402</v>
      </c>
      <c r="C532" t="s">
        <v>403</v>
      </c>
      <c r="D532" t="str">
        <f>_xlfn.CONCAT(C532,".bam")</f>
        <v>SYST-MOR-0007220.bam</v>
      </c>
      <c r="E532" t="s">
        <v>404</v>
      </c>
      <c r="F532" t="s">
        <v>2413</v>
      </c>
      <c r="G532" t="s">
        <v>2414</v>
      </c>
      <c r="H532" t="s">
        <v>2497</v>
      </c>
      <c r="I532" t="s">
        <v>401</v>
      </c>
      <c r="K532" t="s">
        <v>45</v>
      </c>
      <c r="L532" t="s">
        <v>45</v>
      </c>
      <c r="N532" t="s">
        <v>45</v>
      </c>
      <c r="P532" t="s">
        <v>31</v>
      </c>
      <c r="Q532" t="s">
        <v>46</v>
      </c>
      <c r="R532" t="s">
        <v>2597</v>
      </c>
      <c r="S532" s="1">
        <v>44820</v>
      </c>
      <c r="T532" t="s">
        <v>398</v>
      </c>
      <c r="U532" t="s">
        <v>34</v>
      </c>
      <c r="V532" s="1">
        <v>44823</v>
      </c>
      <c r="W532" t="s">
        <v>35</v>
      </c>
      <c r="X532" t="s">
        <v>399</v>
      </c>
      <c r="Y532" t="s">
        <v>400</v>
      </c>
      <c r="Z532" t="s">
        <v>206</v>
      </c>
      <c r="AA532" t="s">
        <v>401</v>
      </c>
      <c r="AD532" t="s">
        <v>45</v>
      </c>
      <c r="AE532">
        <v>39.221722999999997</v>
      </c>
      <c r="AF532">
        <v>-86.542771000000002</v>
      </c>
      <c r="AG532" t="s">
        <v>40</v>
      </c>
      <c r="AH532" t="s">
        <v>41</v>
      </c>
      <c r="AI532">
        <v>39.221697044599999</v>
      </c>
      <c r="AJ532">
        <v>-86.5426338372</v>
      </c>
      <c r="AK532">
        <v>-2.595539999816765E-5</v>
      </c>
      <c r="AL532">
        <v>1.3716280000153347E-4</v>
      </c>
      <c r="AM532" t="str">
        <f>_xlfn.IFNA(VLOOKUP(Sheet1!$C532,ADMIX_ALL!A:B,2,FALSE),"none")</f>
        <v>K6-18</v>
      </c>
      <c r="AN532" t="str">
        <f>_xlfn.IFNA(VLOOKUP(Sheet1!C532,ADMIX_SS!A:B,2,FALSE),"none")</f>
        <v>SubSample</v>
      </c>
      <c r="AO532" t="str">
        <f>_xlfn.IFNA(VLOOKUP(Sheet1!$C532,MONG_PHYLO!A:C,3,FALSE),"-")</f>
        <v>-</v>
      </c>
      <c r="AP532" t="str">
        <f>_xlfn.IFNA(VLOOKUP(Sheet1!$C532,MAC_PHYLO!A:C,3,FALSE),"-")</f>
        <v>-</v>
      </c>
      <c r="AQ532" t="str">
        <f>_xlfn.IFNA(VLOOKUP(Sheet1!$C532,ConStruct!A:C,3,FALSE),"-")</f>
        <v>ConStruct</v>
      </c>
      <c r="AR532" t="str">
        <f>_xlfn.IFNA(VLOOKUP(Sheet1!$C532,GEA!A:C,3,FALSE),"-")</f>
        <v>GEA</v>
      </c>
      <c r="AS532" t="str">
        <f>_xlfn.IFNA(VLOOKUP(Sheet1!$C532,MAC_DSUITE!A:D,3,FALSE),"-")</f>
        <v>mac_IN_BLR</v>
      </c>
      <c r="AT532" t="str">
        <f>_xlfn.IFNA(VLOOKUP(Sheet1!$C532,MONG_DSUITE!A:E,2,FALSE),"-")</f>
        <v>macrocarpa_BLR</v>
      </c>
      <c r="AU532" t="str">
        <f>_xlfn.IFNA(VLOOKUP(Sheet1!$C532,MAC_PAINT2!A:D,4,FALSE),"-")</f>
        <v>macpaint</v>
      </c>
      <c r="AV532" t="s">
        <v>9193</v>
      </c>
      <c r="AW532" t="s">
        <v>9193</v>
      </c>
    </row>
    <row r="533" spans="1:49" customFormat="1" x14ac:dyDescent="0.4">
      <c r="A533">
        <v>3984</v>
      </c>
      <c r="B533" t="s">
        <v>425</v>
      </c>
      <c r="C533" t="s">
        <v>426</v>
      </c>
      <c r="D533" t="str">
        <f>_xlfn.CONCAT(C533,".bam")</f>
        <v>SYST-MOR-0007221.bam</v>
      </c>
      <c r="E533" t="s">
        <v>427</v>
      </c>
      <c r="F533" t="s">
        <v>2413</v>
      </c>
      <c r="G533" t="s">
        <v>2417</v>
      </c>
      <c r="H533" t="s">
        <v>2500</v>
      </c>
      <c r="I533" t="s">
        <v>428</v>
      </c>
      <c r="K533" t="s">
        <v>45</v>
      </c>
      <c r="L533" t="s">
        <v>45</v>
      </c>
      <c r="N533" t="s">
        <v>45</v>
      </c>
      <c r="P533" t="s">
        <v>31</v>
      </c>
      <c r="Q533" t="s">
        <v>46</v>
      </c>
      <c r="R533" t="s">
        <v>2597</v>
      </c>
      <c r="S533" s="1">
        <v>44820</v>
      </c>
      <c r="T533" t="s">
        <v>398</v>
      </c>
      <c r="U533" t="s">
        <v>34</v>
      </c>
      <c r="V533" s="1">
        <v>44823</v>
      </c>
      <c r="W533" t="s">
        <v>35</v>
      </c>
      <c r="X533" t="s">
        <v>399</v>
      </c>
      <c r="Y533" t="s">
        <v>400</v>
      </c>
      <c r="Z533" t="s">
        <v>206</v>
      </c>
      <c r="AA533" t="s">
        <v>428</v>
      </c>
      <c r="AD533" t="s">
        <v>45</v>
      </c>
      <c r="AE533">
        <v>39.197561</v>
      </c>
      <c r="AF533">
        <v>-86.537880000000001</v>
      </c>
      <c r="AG533" t="s">
        <v>40</v>
      </c>
      <c r="AH533" t="s">
        <v>41</v>
      </c>
      <c r="AI533">
        <v>39.215941243800003</v>
      </c>
      <c r="AJ533">
        <v>-86.541416219499993</v>
      </c>
      <c r="AK533">
        <v>1.8380243800002916E-2</v>
      </c>
      <c r="AL533">
        <v>-3.5362194999919438E-3</v>
      </c>
      <c r="AM533" t="str">
        <f>_xlfn.IFNA(VLOOKUP(Sheet1!$C533,ADMIX_ALL!A:B,2,FALSE),"none")</f>
        <v>K6-18</v>
      </c>
      <c r="AN533" t="str">
        <f>_xlfn.IFNA(VLOOKUP(Sheet1!C533,ADMIX_SS!A:B,2,FALSE),"none")</f>
        <v>SubSample</v>
      </c>
      <c r="AO533" t="str">
        <f>_xlfn.IFNA(VLOOKUP(Sheet1!$C533,MONG_PHYLO!A:C,3,FALSE),"-")</f>
        <v>-</v>
      </c>
      <c r="AP533" t="str">
        <f>_xlfn.IFNA(VLOOKUP(Sheet1!$C533,MAC_PHYLO!A:C,3,FALSE),"-")</f>
        <v>-</v>
      </c>
      <c r="AQ533" t="str">
        <f>_xlfn.IFNA(VLOOKUP(Sheet1!$C533,ConStruct!A:C,3,FALSE),"-")</f>
        <v>ConStruct</v>
      </c>
      <c r="AR533" t="str">
        <f>_xlfn.IFNA(VLOOKUP(Sheet1!$C533,GEA!A:C,3,FALSE),"-")</f>
        <v>GEA</v>
      </c>
      <c r="AS533" t="str">
        <f>_xlfn.IFNA(VLOOKUP(Sheet1!$C533,MAC_DSUITE!A:D,3,FALSE),"-")</f>
        <v>mac_IN_LCP</v>
      </c>
      <c r="AT533" t="str">
        <f>_xlfn.IFNA(VLOOKUP(Sheet1!$C533,MONG_DSUITE!A:E,2,FALSE),"-")</f>
        <v>macrocarpa_LCP</v>
      </c>
      <c r="AU533" t="str">
        <f>_xlfn.IFNA(VLOOKUP(Sheet1!$C533,MAC_PAINT2!A:D,4,FALSE),"-")</f>
        <v>macpaint</v>
      </c>
      <c r="AV533" t="s">
        <v>9193</v>
      </c>
      <c r="AW533" t="s">
        <v>9193</v>
      </c>
    </row>
    <row r="534" spans="1:49" customFormat="1" x14ac:dyDescent="0.4">
      <c r="A534">
        <v>3985</v>
      </c>
      <c r="B534" t="s">
        <v>429</v>
      </c>
      <c r="C534" t="s">
        <v>430</v>
      </c>
      <c r="D534" t="str">
        <f>_xlfn.CONCAT(C534,".bam")</f>
        <v>SYST-MOR-0007222.bam</v>
      </c>
      <c r="E534" t="s">
        <v>431</v>
      </c>
      <c r="F534" t="s">
        <v>2413</v>
      </c>
      <c r="G534" t="s">
        <v>2417</v>
      </c>
      <c r="H534" t="s">
        <v>2500</v>
      </c>
      <c r="I534" t="s">
        <v>428</v>
      </c>
      <c r="K534" t="s">
        <v>45</v>
      </c>
      <c r="L534" t="s">
        <v>45</v>
      </c>
      <c r="N534" t="s">
        <v>45</v>
      </c>
      <c r="P534" t="s">
        <v>31</v>
      </c>
      <c r="Q534" t="s">
        <v>46</v>
      </c>
      <c r="R534" t="s">
        <v>2597</v>
      </c>
      <c r="S534" s="1">
        <v>44820</v>
      </c>
      <c r="T534" t="s">
        <v>398</v>
      </c>
      <c r="U534" t="s">
        <v>34</v>
      </c>
      <c r="V534" s="1">
        <v>44823</v>
      </c>
      <c r="W534" t="s">
        <v>35</v>
      </c>
      <c r="X534" t="s">
        <v>399</v>
      </c>
      <c r="Y534" t="s">
        <v>400</v>
      </c>
      <c r="Z534" t="s">
        <v>206</v>
      </c>
      <c r="AA534" t="s">
        <v>428</v>
      </c>
      <c r="AD534" t="s">
        <v>45</v>
      </c>
      <c r="AE534">
        <v>39.197400999999999</v>
      </c>
      <c r="AF534">
        <v>-86.539024999999995</v>
      </c>
      <c r="AG534" t="s">
        <v>40</v>
      </c>
      <c r="AH534" t="s">
        <v>41</v>
      </c>
      <c r="AI534">
        <v>39.197507919800003</v>
      </c>
      <c r="AJ534">
        <v>-86.5390222427</v>
      </c>
      <c r="AK534">
        <v>1.0691980000387957E-4</v>
      </c>
      <c r="AL534">
        <v>2.757299995437279E-6</v>
      </c>
      <c r="AM534" t="str">
        <f>_xlfn.IFNA(VLOOKUP(Sheet1!$C534,ADMIX_ALL!A:B,2,FALSE),"none")</f>
        <v>K6-18</v>
      </c>
      <c r="AN534" t="str">
        <f>_xlfn.IFNA(VLOOKUP(Sheet1!C534,ADMIX_SS!A:B,2,FALSE),"none")</f>
        <v>SubSample</v>
      </c>
      <c r="AO534" t="str">
        <f>_xlfn.IFNA(VLOOKUP(Sheet1!$C534,MONG_PHYLO!A:C,3,FALSE),"-")</f>
        <v>-</v>
      </c>
      <c r="AP534" t="str">
        <f>_xlfn.IFNA(VLOOKUP(Sheet1!$C534,MAC_PHYLO!A:C,3,FALSE),"-")</f>
        <v>-</v>
      </c>
      <c r="AQ534" t="str">
        <f>_xlfn.IFNA(VLOOKUP(Sheet1!$C534,ConStruct!A:C,3,FALSE),"-")</f>
        <v>ConStruct</v>
      </c>
      <c r="AR534" t="str">
        <f>_xlfn.IFNA(VLOOKUP(Sheet1!$C534,GEA!A:C,3,FALSE),"-")</f>
        <v>GEA</v>
      </c>
      <c r="AS534" t="str">
        <f>_xlfn.IFNA(VLOOKUP(Sheet1!$C534,MAC_DSUITE!A:D,3,FALSE),"-")</f>
        <v>mac_IN_LCP</v>
      </c>
      <c r="AT534" t="str">
        <f>_xlfn.IFNA(VLOOKUP(Sheet1!$C534,MONG_DSUITE!A:E,2,FALSE),"-")</f>
        <v>macrocarpa_LCP</v>
      </c>
      <c r="AU534" t="str">
        <f>_xlfn.IFNA(VLOOKUP(Sheet1!$C534,MAC_PAINT2!A:D,4,FALSE),"-")</f>
        <v>macpaint</v>
      </c>
      <c r="AV534" t="s">
        <v>9193</v>
      </c>
      <c r="AW534" t="s">
        <v>9193</v>
      </c>
    </row>
    <row r="535" spans="1:49" customFormat="1" x14ac:dyDescent="0.4">
      <c r="A535">
        <v>3986</v>
      </c>
      <c r="B535" t="s">
        <v>432</v>
      </c>
      <c r="C535" t="s">
        <v>433</v>
      </c>
      <c r="D535" t="str">
        <f>_xlfn.CONCAT(C535,".bam")</f>
        <v>SYST-MOR-0007223.bam</v>
      </c>
      <c r="E535" t="s">
        <v>434</v>
      </c>
      <c r="F535" t="s">
        <v>2413</v>
      </c>
      <c r="G535" t="s">
        <v>2417</v>
      </c>
      <c r="H535" t="s">
        <v>2500</v>
      </c>
      <c r="I535" t="s">
        <v>428</v>
      </c>
      <c r="K535" t="s">
        <v>84</v>
      </c>
      <c r="L535" t="s">
        <v>84</v>
      </c>
      <c r="N535" t="s">
        <v>84</v>
      </c>
      <c r="P535" t="s">
        <v>31</v>
      </c>
      <c r="Q535" t="s">
        <v>85</v>
      </c>
      <c r="R535" t="s">
        <v>2600</v>
      </c>
      <c r="S535" s="1">
        <v>44820</v>
      </c>
      <c r="T535" t="s">
        <v>398</v>
      </c>
      <c r="U535" t="s">
        <v>34</v>
      </c>
      <c r="V535" s="1">
        <v>44823</v>
      </c>
      <c r="W535" t="s">
        <v>35</v>
      </c>
      <c r="X535" t="s">
        <v>399</v>
      </c>
      <c r="Y535" t="s">
        <v>400</v>
      </c>
      <c r="Z535" t="s">
        <v>206</v>
      </c>
      <c r="AA535" t="s">
        <v>428</v>
      </c>
      <c r="AD535" t="s">
        <v>84</v>
      </c>
      <c r="AE535">
        <v>39.196964999999999</v>
      </c>
      <c r="AF535">
        <v>-86.538253999999995</v>
      </c>
      <c r="AG535" t="s">
        <v>40</v>
      </c>
      <c r="AH535" t="s">
        <v>41</v>
      </c>
      <c r="AI535">
        <v>39.196934555699997</v>
      </c>
      <c r="AJ535">
        <v>-86.538233589499995</v>
      </c>
      <c r="AK535">
        <v>-3.0444300001875035E-5</v>
      </c>
      <c r="AL535">
        <v>2.0410499999456988E-5</v>
      </c>
      <c r="AM535" t="str">
        <f>_xlfn.IFNA(VLOOKUP(Sheet1!$C535,ADMIX_ALL!A:B,2,FALSE),"none")</f>
        <v>K6-18</v>
      </c>
      <c r="AN535" t="str">
        <f>_xlfn.IFNA(VLOOKUP(Sheet1!C535,ADMIX_SS!A:B,2,FALSE),"none")</f>
        <v>SubSample</v>
      </c>
      <c r="AO535" t="str">
        <f>_xlfn.IFNA(VLOOKUP(Sheet1!$C535,MONG_PHYLO!A:C,3,FALSE),"-")</f>
        <v>-</v>
      </c>
      <c r="AP535" t="str">
        <f>_xlfn.IFNA(VLOOKUP(Sheet1!$C535,MAC_PHYLO!A:C,3,FALSE),"-")</f>
        <v>-</v>
      </c>
      <c r="AQ535" t="str">
        <f>_xlfn.IFNA(VLOOKUP(Sheet1!$C535,ConStruct!A:C,3,FALSE),"-")</f>
        <v>-</v>
      </c>
      <c r="AR535" t="str">
        <f>_xlfn.IFNA(VLOOKUP(Sheet1!$C535,GEA!A:C,3,FALSE),"-")</f>
        <v>-</v>
      </c>
      <c r="AS535" t="str">
        <f>_xlfn.IFNA(VLOOKUP(Sheet1!$C535,MAC_DSUITE!A:D,3,FALSE),"-")</f>
        <v>-</v>
      </c>
      <c r="AT535" t="str">
        <f>_xlfn.IFNA(VLOOKUP(Sheet1!$C535,MONG_DSUITE!A:E,2,FALSE),"-")</f>
        <v>xxx</v>
      </c>
      <c r="AU535" t="str">
        <f>_xlfn.IFNA(VLOOKUP(Sheet1!$C535,MAC_PAINT2!A:D,4,FALSE),"-")</f>
        <v>-</v>
      </c>
    </row>
    <row r="536" spans="1:49" customFormat="1" x14ac:dyDescent="0.4">
      <c r="A536">
        <v>3987</v>
      </c>
      <c r="B536" t="s">
        <v>435</v>
      </c>
      <c r="C536" t="s">
        <v>436</v>
      </c>
      <c r="D536" t="str">
        <f>_xlfn.CONCAT(C536,".bam")</f>
        <v>SYST-MOR-0007224.bam</v>
      </c>
      <c r="E536" t="s">
        <v>437</v>
      </c>
      <c r="F536" t="s">
        <v>2413</v>
      </c>
      <c r="G536" t="s">
        <v>2417</v>
      </c>
      <c r="H536" t="s">
        <v>2500</v>
      </c>
      <c r="I536" t="s">
        <v>428</v>
      </c>
      <c r="K536" t="s">
        <v>84</v>
      </c>
      <c r="L536" t="s">
        <v>84</v>
      </c>
      <c r="N536" t="s">
        <v>84</v>
      </c>
      <c r="P536" t="s">
        <v>31</v>
      </c>
      <c r="Q536" t="s">
        <v>85</v>
      </c>
      <c r="R536" t="s">
        <v>2600</v>
      </c>
      <c r="S536" s="1">
        <v>44820</v>
      </c>
      <c r="T536" t="s">
        <v>398</v>
      </c>
      <c r="U536" t="s">
        <v>34</v>
      </c>
      <c r="V536" s="1">
        <v>44823</v>
      </c>
      <c r="W536" t="s">
        <v>35</v>
      </c>
      <c r="X536" t="s">
        <v>399</v>
      </c>
      <c r="Y536" t="s">
        <v>400</v>
      </c>
      <c r="Z536" t="s">
        <v>206</v>
      </c>
      <c r="AA536" t="s">
        <v>428</v>
      </c>
      <c r="AD536" t="s">
        <v>84</v>
      </c>
      <c r="AE536">
        <v>39.196455</v>
      </c>
      <c r="AF536">
        <v>-86.537745999999999</v>
      </c>
      <c r="AG536" t="s">
        <v>40</v>
      </c>
      <c r="AH536" t="s">
        <v>41</v>
      </c>
      <c r="AI536">
        <v>39.196465797800002</v>
      </c>
      <c r="AJ536">
        <v>-86.537845926399996</v>
      </c>
      <c r="AK536">
        <v>1.0797800001682845E-5</v>
      </c>
      <c r="AL536">
        <v>-9.9926399997229964E-5</v>
      </c>
      <c r="AM536" t="str">
        <f>_xlfn.IFNA(VLOOKUP(Sheet1!$C536,ADMIX_ALL!A:B,2,FALSE),"none")</f>
        <v>K6-18</v>
      </c>
      <c r="AN536" t="str">
        <f>_xlfn.IFNA(VLOOKUP(Sheet1!C536,ADMIX_SS!A:B,2,FALSE),"none")</f>
        <v>SubSample</v>
      </c>
      <c r="AO536" t="str">
        <f>_xlfn.IFNA(VLOOKUP(Sheet1!$C536,MONG_PHYLO!A:C,3,FALSE),"-")</f>
        <v>-</v>
      </c>
      <c r="AP536" t="str">
        <f>_xlfn.IFNA(VLOOKUP(Sheet1!$C536,MAC_PHYLO!A:C,3,FALSE),"-")</f>
        <v>-</v>
      </c>
      <c r="AQ536" t="str">
        <f>_xlfn.IFNA(VLOOKUP(Sheet1!$C536,ConStruct!A:C,3,FALSE),"-")</f>
        <v>-</v>
      </c>
      <c r="AR536" t="str">
        <f>_xlfn.IFNA(VLOOKUP(Sheet1!$C536,GEA!A:C,3,FALSE),"-")</f>
        <v>-</v>
      </c>
      <c r="AS536" t="str">
        <f>_xlfn.IFNA(VLOOKUP(Sheet1!$C536,MAC_DSUITE!A:D,3,FALSE),"-")</f>
        <v>-</v>
      </c>
      <c r="AT536" t="str">
        <f>_xlfn.IFNA(VLOOKUP(Sheet1!$C536,MONG_DSUITE!A:E,2,FALSE),"-")</f>
        <v>xxx</v>
      </c>
      <c r="AU536" t="str">
        <f>_xlfn.IFNA(VLOOKUP(Sheet1!$C536,MAC_PAINT2!A:D,4,FALSE),"-")</f>
        <v>-</v>
      </c>
    </row>
    <row r="537" spans="1:49" customFormat="1" x14ac:dyDescent="0.4">
      <c r="A537">
        <v>3988</v>
      </c>
      <c r="B537" t="s">
        <v>438</v>
      </c>
      <c r="C537" t="s">
        <v>439</v>
      </c>
      <c r="D537" t="str">
        <f>_xlfn.CONCAT(C537,".bam")</f>
        <v>SYST-MOR-0007225.bam</v>
      </c>
      <c r="E537" t="s">
        <v>440</v>
      </c>
      <c r="F537" t="s">
        <v>2413</v>
      </c>
      <c r="G537" t="s">
        <v>2417</v>
      </c>
      <c r="H537" t="s">
        <v>2500</v>
      </c>
      <c r="I537" t="s">
        <v>428</v>
      </c>
      <c r="K537" t="s">
        <v>84</v>
      </c>
      <c r="L537" t="s">
        <v>84</v>
      </c>
      <c r="N537" t="s">
        <v>84</v>
      </c>
      <c r="P537" t="s">
        <v>31</v>
      </c>
      <c r="Q537" t="s">
        <v>85</v>
      </c>
      <c r="R537" t="s">
        <v>2600</v>
      </c>
      <c r="S537" s="1">
        <v>44820</v>
      </c>
      <c r="T537" t="s">
        <v>398</v>
      </c>
      <c r="U537" t="s">
        <v>34</v>
      </c>
      <c r="V537" s="1">
        <v>44823</v>
      </c>
      <c r="W537" t="s">
        <v>35</v>
      </c>
      <c r="X537" t="s">
        <v>399</v>
      </c>
      <c r="Y537" t="s">
        <v>400</v>
      </c>
      <c r="Z537" t="s">
        <v>206</v>
      </c>
      <c r="AA537" t="s">
        <v>428</v>
      </c>
      <c r="AD537" t="s">
        <v>84</v>
      </c>
      <c r="AE537">
        <v>39.196261</v>
      </c>
      <c r="AF537">
        <v>-86.53707</v>
      </c>
      <c r="AG537" t="s">
        <v>40</v>
      </c>
      <c r="AH537" t="s">
        <v>41</v>
      </c>
      <c r="AI537">
        <v>39.196371920399997</v>
      </c>
      <c r="AJ537">
        <v>-86.537014609300002</v>
      </c>
      <c r="AK537">
        <v>1.109203999973829E-4</v>
      </c>
      <c r="AL537">
        <v>5.5390699998270065E-5</v>
      </c>
      <c r="AM537" t="str">
        <f>_xlfn.IFNA(VLOOKUP(Sheet1!$C537,ADMIX_ALL!A:B,2,FALSE),"none")</f>
        <v>K6-18</v>
      </c>
      <c r="AN537" t="str">
        <f>_xlfn.IFNA(VLOOKUP(Sheet1!C537,ADMIX_SS!A:B,2,FALSE),"none")</f>
        <v>SubSample</v>
      </c>
      <c r="AO537" t="str">
        <f>_xlfn.IFNA(VLOOKUP(Sheet1!$C537,MONG_PHYLO!A:C,3,FALSE),"-")</f>
        <v>-</v>
      </c>
      <c r="AP537" t="str">
        <f>_xlfn.IFNA(VLOOKUP(Sheet1!$C537,MAC_PHYLO!A:C,3,FALSE),"-")</f>
        <v>-</v>
      </c>
      <c r="AQ537" t="str">
        <f>_xlfn.IFNA(VLOOKUP(Sheet1!$C537,ConStruct!A:C,3,FALSE),"-")</f>
        <v>-</v>
      </c>
      <c r="AR537" t="str">
        <f>_xlfn.IFNA(VLOOKUP(Sheet1!$C537,GEA!A:C,3,FALSE),"-")</f>
        <v>-</v>
      </c>
      <c r="AS537" t="str">
        <f>_xlfn.IFNA(VLOOKUP(Sheet1!$C537,MAC_DSUITE!A:D,3,FALSE),"-")</f>
        <v>-</v>
      </c>
      <c r="AT537" t="str">
        <f>_xlfn.IFNA(VLOOKUP(Sheet1!$C537,MONG_DSUITE!A:E,2,FALSE),"-")</f>
        <v>xxx</v>
      </c>
      <c r="AU537" t="str">
        <f>_xlfn.IFNA(VLOOKUP(Sheet1!$C537,MAC_PAINT2!A:D,4,FALSE),"-")</f>
        <v>-</v>
      </c>
    </row>
    <row r="538" spans="1:49" customFormat="1" x14ac:dyDescent="0.4">
      <c r="A538">
        <v>3989</v>
      </c>
      <c r="B538" t="s">
        <v>441</v>
      </c>
      <c r="C538" t="s">
        <v>442</v>
      </c>
      <c r="D538" t="str">
        <f>_xlfn.CONCAT(C538,".bam")</f>
        <v>SYST-MOR-0007226.bam</v>
      </c>
      <c r="E538" t="s">
        <v>443</v>
      </c>
      <c r="F538" t="s">
        <v>2413</v>
      </c>
      <c r="G538" t="s">
        <v>2417</v>
      </c>
      <c r="H538" t="s">
        <v>2500</v>
      </c>
      <c r="I538" t="s">
        <v>428</v>
      </c>
      <c r="K538" t="s">
        <v>84</v>
      </c>
      <c r="L538" t="s">
        <v>84</v>
      </c>
      <c r="N538" t="s">
        <v>84</v>
      </c>
      <c r="P538" t="s">
        <v>31</v>
      </c>
      <c r="Q538" t="s">
        <v>85</v>
      </c>
      <c r="R538" t="s">
        <v>2600</v>
      </c>
      <c r="S538" s="1">
        <v>44820</v>
      </c>
      <c r="T538" t="s">
        <v>398</v>
      </c>
      <c r="U538" t="s">
        <v>34</v>
      </c>
      <c r="V538" s="1">
        <v>44823</v>
      </c>
      <c r="W538" t="s">
        <v>35</v>
      </c>
      <c r="X538" t="s">
        <v>399</v>
      </c>
      <c r="Y538" t="s">
        <v>400</v>
      </c>
      <c r="Z538" t="s">
        <v>206</v>
      </c>
      <c r="AA538" t="s">
        <v>428</v>
      </c>
      <c r="AD538" t="s">
        <v>84</v>
      </c>
      <c r="AE538">
        <v>39.198096</v>
      </c>
      <c r="AF538">
        <v>-86.539097999999996</v>
      </c>
      <c r="AG538" t="s">
        <v>40</v>
      </c>
      <c r="AH538" t="s">
        <v>41</v>
      </c>
      <c r="AI538">
        <v>39.197992309999997</v>
      </c>
      <c r="AJ538">
        <v>-86.539010424200001</v>
      </c>
      <c r="AK538">
        <v>-1.0369000000309825E-4</v>
      </c>
      <c r="AL538">
        <v>8.7575799994965564E-5</v>
      </c>
      <c r="AM538" t="str">
        <f>_xlfn.IFNA(VLOOKUP(Sheet1!$C538,ADMIX_ALL!A:B,2,FALSE),"none")</f>
        <v>K6-18</v>
      </c>
      <c r="AN538" t="str">
        <f>_xlfn.IFNA(VLOOKUP(Sheet1!C538,ADMIX_SS!A:B,2,FALSE),"none")</f>
        <v>SubSample</v>
      </c>
      <c r="AO538" t="str">
        <f>_xlfn.IFNA(VLOOKUP(Sheet1!$C538,MONG_PHYLO!A:C,3,FALSE),"-")</f>
        <v>-</v>
      </c>
      <c r="AP538" t="str">
        <f>_xlfn.IFNA(VLOOKUP(Sheet1!$C538,MAC_PHYLO!A:C,3,FALSE),"-")</f>
        <v>-</v>
      </c>
      <c r="AQ538" t="str">
        <f>_xlfn.IFNA(VLOOKUP(Sheet1!$C538,ConStruct!A:C,3,FALSE),"-")</f>
        <v>-</v>
      </c>
      <c r="AR538" t="str">
        <f>_xlfn.IFNA(VLOOKUP(Sheet1!$C538,GEA!A:C,3,FALSE),"-")</f>
        <v>-</v>
      </c>
      <c r="AS538" t="str">
        <f>_xlfn.IFNA(VLOOKUP(Sheet1!$C538,MAC_DSUITE!A:D,3,FALSE),"-")</f>
        <v>-</v>
      </c>
      <c r="AT538" t="str">
        <f>_xlfn.IFNA(VLOOKUP(Sheet1!$C538,MONG_DSUITE!A:E,2,FALSE),"-")</f>
        <v>xxx</v>
      </c>
      <c r="AU538" t="str">
        <f>_xlfn.IFNA(VLOOKUP(Sheet1!$C538,MAC_PAINT2!A:D,4,FALSE),"-")</f>
        <v>-</v>
      </c>
    </row>
    <row r="539" spans="1:49" customFormat="1" x14ac:dyDescent="0.4">
      <c r="A539">
        <v>3990</v>
      </c>
      <c r="B539" t="s">
        <v>444</v>
      </c>
      <c r="C539" t="s">
        <v>445</v>
      </c>
      <c r="D539" t="str">
        <f>_xlfn.CONCAT(C539,".bam")</f>
        <v>SYST-MOR-0007227.bam</v>
      </c>
      <c r="E539" t="s">
        <v>446</v>
      </c>
      <c r="F539" t="s">
        <v>2413</v>
      </c>
      <c r="G539" t="s">
        <v>2417</v>
      </c>
      <c r="H539" t="s">
        <v>2500</v>
      </c>
      <c r="I539" t="s">
        <v>428</v>
      </c>
      <c r="K539" t="s">
        <v>84</v>
      </c>
      <c r="L539" t="s">
        <v>84</v>
      </c>
      <c r="N539" t="s">
        <v>84</v>
      </c>
      <c r="P539" t="s">
        <v>31</v>
      </c>
      <c r="Q539" t="s">
        <v>85</v>
      </c>
      <c r="R539" t="s">
        <v>2600</v>
      </c>
      <c r="S539" s="1">
        <v>44820</v>
      </c>
      <c r="T539" t="s">
        <v>398</v>
      </c>
      <c r="U539" t="s">
        <v>34</v>
      </c>
      <c r="V539" s="1">
        <v>44823</v>
      </c>
      <c r="W539" t="s">
        <v>35</v>
      </c>
      <c r="X539" t="s">
        <v>399</v>
      </c>
      <c r="Y539" t="s">
        <v>400</v>
      </c>
      <c r="Z539" t="s">
        <v>206</v>
      </c>
      <c r="AA539" t="s">
        <v>428</v>
      </c>
      <c r="AD539" t="s">
        <v>84</v>
      </c>
      <c r="AE539">
        <v>39.198965999999999</v>
      </c>
      <c r="AF539">
        <v>-86.538785000000004</v>
      </c>
      <c r="AG539" t="s">
        <v>40</v>
      </c>
      <c r="AH539" t="s">
        <v>41</v>
      </c>
      <c r="AI539">
        <v>39.198992732000001</v>
      </c>
      <c r="AJ539">
        <v>-86.538791824200004</v>
      </c>
      <c r="AK539">
        <v>2.6732000002027689E-5</v>
      </c>
      <c r="AL539">
        <v>-6.8241999997553648E-6</v>
      </c>
      <c r="AM539" t="str">
        <f>_xlfn.IFNA(VLOOKUP(Sheet1!$C539,ADMIX_ALL!A:B,2,FALSE),"none")</f>
        <v>K6-18</v>
      </c>
      <c r="AN539" t="str">
        <f>_xlfn.IFNA(VLOOKUP(Sheet1!C539,ADMIX_SS!A:B,2,FALSE),"none")</f>
        <v>SubSample</v>
      </c>
      <c r="AO539" t="str">
        <f>_xlfn.IFNA(VLOOKUP(Sheet1!$C539,MONG_PHYLO!A:C,3,FALSE),"-")</f>
        <v>-</v>
      </c>
      <c r="AP539" t="str">
        <f>_xlfn.IFNA(VLOOKUP(Sheet1!$C539,MAC_PHYLO!A:C,3,FALSE),"-")</f>
        <v>-</v>
      </c>
      <c r="AQ539" t="str">
        <f>_xlfn.IFNA(VLOOKUP(Sheet1!$C539,ConStruct!A:C,3,FALSE),"-")</f>
        <v>-</v>
      </c>
      <c r="AR539" t="str">
        <f>_xlfn.IFNA(VLOOKUP(Sheet1!$C539,GEA!A:C,3,FALSE),"-")</f>
        <v>-</v>
      </c>
      <c r="AS539" t="str">
        <f>_xlfn.IFNA(VLOOKUP(Sheet1!$C539,MAC_DSUITE!A:D,3,FALSE),"-")</f>
        <v>-</v>
      </c>
      <c r="AT539" t="str">
        <f>_xlfn.IFNA(VLOOKUP(Sheet1!$C539,MONG_DSUITE!A:E,2,FALSE),"-")</f>
        <v>xxx</v>
      </c>
      <c r="AU539" t="str">
        <f>_xlfn.IFNA(VLOOKUP(Sheet1!$C539,MAC_PAINT2!A:D,4,FALSE),"-")</f>
        <v>-</v>
      </c>
    </row>
    <row r="540" spans="1:49" customFormat="1" x14ac:dyDescent="0.4">
      <c r="A540">
        <v>3991</v>
      </c>
      <c r="B540" t="s">
        <v>405</v>
      </c>
      <c r="C540" t="s">
        <v>406</v>
      </c>
      <c r="D540" t="str">
        <f>_xlfn.CONCAT(C540,".bam")</f>
        <v>SYST-MOR-0007228.bam</v>
      </c>
      <c r="E540" t="s">
        <v>407</v>
      </c>
      <c r="F540" t="s">
        <v>2413</v>
      </c>
      <c r="G540" t="s">
        <v>2415</v>
      </c>
      <c r="H540" t="s">
        <v>2498</v>
      </c>
      <c r="I540" t="s">
        <v>408</v>
      </c>
      <c r="K540" t="s">
        <v>64</v>
      </c>
      <c r="L540" t="s">
        <v>64</v>
      </c>
      <c r="N540" t="s">
        <v>64</v>
      </c>
      <c r="P540" t="s">
        <v>31</v>
      </c>
      <c r="Q540" t="s">
        <v>65</v>
      </c>
      <c r="R540" t="s">
        <v>2599</v>
      </c>
      <c r="S540" s="1">
        <v>44820</v>
      </c>
      <c r="T540" t="s">
        <v>398</v>
      </c>
      <c r="U540" t="s">
        <v>34</v>
      </c>
      <c r="V540" s="1">
        <v>44823</v>
      </c>
      <c r="W540" t="s">
        <v>35</v>
      </c>
      <c r="X540" t="s">
        <v>399</v>
      </c>
      <c r="Y540" t="s">
        <v>400</v>
      </c>
      <c r="Z540" t="s">
        <v>206</v>
      </c>
      <c r="AA540" t="s">
        <v>408</v>
      </c>
      <c r="AD540" t="s">
        <v>64</v>
      </c>
      <c r="AE540">
        <v>39.189734999999999</v>
      </c>
      <c r="AF540">
        <v>-86.501863999999998</v>
      </c>
      <c r="AG540" t="s">
        <v>40</v>
      </c>
      <c r="AH540" t="s">
        <v>41</v>
      </c>
      <c r="AI540">
        <v>39.189670295500001</v>
      </c>
      <c r="AJ540">
        <v>-86.501873899299994</v>
      </c>
      <c r="AK540">
        <v>-6.4704499997958465E-5</v>
      </c>
      <c r="AL540">
        <v>-9.899299996618538E-6</v>
      </c>
      <c r="AM540" t="str">
        <f>_xlfn.IFNA(VLOOKUP(Sheet1!$C540,ADMIX_ALL!A:B,2,FALSE),"none")</f>
        <v>K6-18</v>
      </c>
      <c r="AN540" t="str">
        <f>_xlfn.IFNA(VLOOKUP(Sheet1!C540,ADMIX_SS!A:B,2,FALSE),"none")</f>
        <v>SubSample</v>
      </c>
      <c r="AO540" t="str">
        <f>_xlfn.IFNA(VLOOKUP(Sheet1!$C540,MONG_PHYLO!A:C,3,FALSE),"-")</f>
        <v>-</v>
      </c>
      <c r="AP540" t="str">
        <f>_xlfn.IFNA(VLOOKUP(Sheet1!$C540,MAC_PHYLO!A:C,3,FALSE),"-")</f>
        <v>-</v>
      </c>
      <c r="AQ540" t="str">
        <f>_xlfn.IFNA(VLOOKUP(Sheet1!$C540,ConStruct!A:C,3,FALSE),"-")</f>
        <v>-</v>
      </c>
      <c r="AR540" t="str">
        <f>_xlfn.IFNA(VLOOKUP(Sheet1!$C540,GEA!A:C,3,FALSE),"-")</f>
        <v>-</v>
      </c>
      <c r="AS540" t="str">
        <f>_xlfn.IFNA(VLOOKUP(Sheet1!$C540,MAC_DSUITE!A:D,3,FALSE),"-")</f>
        <v>-</v>
      </c>
      <c r="AT540" t="str">
        <f>_xlfn.IFNA(VLOOKUP(Sheet1!$C540,MONG_DSUITE!A:E,2,FALSE),"-")</f>
        <v>xxx</v>
      </c>
      <c r="AU540" t="str">
        <f>_xlfn.IFNA(VLOOKUP(Sheet1!$C540,MAC_PAINT2!A:D,4,FALSE),"-")</f>
        <v>-</v>
      </c>
    </row>
    <row r="541" spans="1:49" customFormat="1" x14ac:dyDescent="0.4">
      <c r="A541">
        <v>3992</v>
      </c>
      <c r="B541" t="s">
        <v>409</v>
      </c>
      <c r="C541" t="s">
        <v>410</v>
      </c>
      <c r="D541" t="str">
        <f>_xlfn.CONCAT(C541,".bam")</f>
        <v>SYST-MOR-0007229.bam</v>
      </c>
      <c r="E541" t="s">
        <v>411</v>
      </c>
      <c r="F541" t="s">
        <v>2413</v>
      </c>
      <c r="G541" t="s">
        <v>2415</v>
      </c>
      <c r="H541" t="s">
        <v>2498</v>
      </c>
      <c r="I541" t="s">
        <v>408</v>
      </c>
      <c r="K541" t="s">
        <v>64</v>
      </c>
      <c r="L541" t="s">
        <v>64</v>
      </c>
      <c r="N541" t="s">
        <v>64</v>
      </c>
      <c r="P541" t="s">
        <v>31</v>
      </c>
      <c r="Q541" t="s">
        <v>65</v>
      </c>
      <c r="R541" t="s">
        <v>2599</v>
      </c>
      <c r="S541" s="1">
        <v>44820</v>
      </c>
      <c r="T541" t="s">
        <v>398</v>
      </c>
      <c r="U541" t="s">
        <v>34</v>
      </c>
      <c r="V541" s="1">
        <v>44823</v>
      </c>
      <c r="W541" t="s">
        <v>35</v>
      </c>
      <c r="X541" t="s">
        <v>399</v>
      </c>
      <c r="Y541" t="s">
        <v>400</v>
      </c>
      <c r="Z541" t="s">
        <v>206</v>
      </c>
      <c r="AA541" t="s">
        <v>408</v>
      </c>
      <c r="AD541" t="s">
        <v>64</v>
      </c>
      <c r="AE541">
        <v>39.189950000000003</v>
      </c>
      <c r="AF541">
        <v>-86.501028000000005</v>
      </c>
      <c r="AG541" t="s">
        <v>40</v>
      </c>
      <c r="AH541" t="s">
        <v>41</v>
      </c>
      <c r="AI541">
        <v>39.189364355999999</v>
      </c>
      <c r="AJ541">
        <v>-86.501253135599995</v>
      </c>
      <c r="AK541">
        <v>-5.8564400000449268E-4</v>
      </c>
      <c r="AL541">
        <v>-2.2513559999026711E-4</v>
      </c>
      <c r="AM541" t="str">
        <f>_xlfn.IFNA(VLOOKUP(Sheet1!$C541,ADMIX_ALL!A:B,2,FALSE),"none")</f>
        <v>K6-18</v>
      </c>
      <c r="AN541" t="str">
        <f>_xlfn.IFNA(VLOOKUP(Sheet1!C541,ADMIX_SS!A:B,2,FALSE),"none")</f>
        <v>SubSample</v>
      </c>
      <c r="AO541" t="str">
        <f>_xlfn.IFNA(VLOOKUP(Sheet1!$C541,MONG_PHYLO!A:C,3,FALSE),"-")</f>
        <v>-</v>
      </c>
      <c r="AP541" t="str">
        <f>_xlfn.IFNA(VLOOKUP(Sheet1!$C541,MAC_PHYLO!A:C,3,FALSE),"-")</f>
        <v>-</v>
      </c>
      <c r="AQ541" t="str">
        <f>_xlfn.IFNA(VLOOKUP(Sheet1!$C541,ConStruct!A:C,3,FALSE),"-")</f>
        <v>-</v>
      </c>
      <c r="AR541" t="str">
        <f>_xlfn.IFNA(VLOOKUP(Sheet1!$C541,GEA!A:C,3,FALSE),"-")</f>
        <v>-</v>
      </c>
      <c r="AS541" t="str">
        <f>_xlfn.IFNA(VLOOKUP(Sheet1!$C541,MAC_DSUITE!A:D,3,FALSE),"-")</f>
        <v>-</v>
      </c>
      <c r="AT541" t="str">
        <f>_xlfn.IFNA(VLOOKUP(Sheet1!$C541,MONG_DSUITE!A:E,2,FALSE),"-")</f>
        <v>xxx</v>
      </c>
      <c r="AU541" t="str">
        <f>_xlfn.IFNA(VLOOKUP(Sheet1!$C541,MAC_PAINT2!A:D,4,FALSE),"-")</f>
        <v>-</v>
      </c>
    </row>
    <row r="542" spans="1:49" customFormat="1" x14ac:dyDescent="0.4">
      <c r="A542">
        <v>3993</v>
      </c>
      <c r="B542" t="s">
        <v>412</v>
      </c>
      <c r="C542" t="s">
        <v>413</v>
      </c>
      <c r="D542" t="str">
        <f>_xlfn.CONCAT(C542,".bam")</f>
        <v>SYST-MOR-0007230.bam</v>
      </c>
      <c r="E542" t="s">
        <v>414</v>
      </c>
      <c r="F542" t="s">
        <v>2413</v>
      </c>
      <c r="G542" t="s">
        <v>2415</v>
      </c>
      <c r="H542" t="s">
        <v>2498</v>
      </c>
      <c r="I542" t="s">
        <v>408</v>
      </c>
      <c r="K542" t="s">
        <v>64</v>
      </c>
      <c r="L542" t="s">
        <v>64</v>
      </c>
      <c r="N542" t="s">
        <v>64</v>
      </c>
      <c r="P542" t="s">
        <v>31</v>
      </c>
      <c r="Q542" t="s">
        <v>65</v>
      </c>
      <c r="R542" t="s">
        <v>2599</v>
      </c>
      <c r="S542" s="1">
        <v>44820</v>
      </c>
      <c r="T542" t="s">
        <v>398</v>
      </c>
      <c r="U542" t="s">
        <v>34</v>
      </c>
      <c r="V542" s="1">
        <v>44823</v>
      </c>
      <c r="W542" t="s">
        <v>35</v>
      </c>
      <c r="X542" t="s">
        <v>399</v>
      </c>
      <c r="Y542" t="s">
        <v>400</v>
      </c>
      <c r="Z542" t="s">
        <v>206</v>
      </c>
      <c r="AA542" t="s">
        <v>408</v>
      </c>
      <c r="AD542" t="s">
        <v>64</v>
      </c>
      <c r="AE542">
        <v>39.189925000000002</v>
      </c>
      <c r="AF542">
        <v>-86.499604000000005</v>
      </c>
      <c r="AG542" t="s">
        <v>40</v>
      </c>
      <c r="AH542" t="s">
        <v>41</v>
      </c>
      <c r="AI542">
        <v>39.189637815600001</v>
      </c>
      <c r="AJ542">
        <v>-86.499759564300007</v>
      </c>
      <c r="AK542">
        <v>-2.8718440000119472E-4</v>
      </c>
      <c r="AL542">
        <v>-1.5556430000174259E-4</v>
      </c>
      <c r="AM542" t="str">
        <f>_xlfn.IFNA(VLOOKUP(Sheet1!$C542,ADMIX_ALL!A:B,2,FALSE),"none")</f>
        <v>K6-18</v>
      </c>
      <c r="AN542" t="str">
        <f>_xlfn.IFNA(VLOOKUP(Sheet1!C542,ADMIX_SS!A:B,2,FALSE),"none")</f>
        <v>SubSample</v>
      </c>
      <c r="AO542" t="str">
        <f>_xlfn.IFNA(VLOOKUP(Sheet1!$C542,MONG_PHYLO!A:C,3,FALSE),"-")</f>
        <v>-</v>
      </c>
      <c r="AP542" t="str">
        <f>_xlfn.IFNA(VLOOKUP(Sheet1!$C542,MAC_PHYLO!A:C,3,FALSE),"-")</f>
        <v>-</v>
      </c>
      <c r="AQ542" t="str">
        <f>_xlfn.IFNA(VLOOKUP(Sheet1!$C542,ConStruct!A:C,3,FALSE),"-")</f>
        <v>-</v>
      </c>
      <c r="AR542" t="str">
        <f>_xlfn.IFNA(VLOOKUP(Sheet1!$C542,GEA!A:C,3,FALSE),"-")</f>
        <v>-</v>
      </c>
      <c r="AS542" t="str">
        <f>_xlfn.IFNA(VLOOKUP(Sheet1!$C542,MAC_DSUITE!A:D,3,FALSE),"-")</f>
        <v>-</v>
      </c>
      <c r="AT542" t="str">
        <f>_xlfn.IFNA(VLOOKUP(Sheet1!$C542,MONG_DSUITE!A:E,2,FALSE),"-")</f>
        <v>xxx</v>
      </c>
      <c r="AU542" t="str">
        <f>_xlfn.IFNA(VLOOKUP(Sheet1!$C542,MAC_PAINT2!A:D,4,FALSE),"-")</f>
        <v>-</v>
      </c>
    </row>
    <row r="543" spans="1:49" customFormat="1" x14ac:dyDescent="0.4">
      <c r="A543">
        <v>3994</v>
      </c>
      <c r="B543" t="s">
        <v>415</v>
      </c>
      <c r="C543" t="s">
        <v>416</v>
      </c>
      <c r="D543" t="str">
        <f>_xlfn.CONCAT(C543,".bam")</f>
        <v>SYST-MOR-0007231.bam</v>
      </c>
      <c r="E543" t="s">
        <v>417</v>
      </c>
      <c r="F543" t="s">
        <v>2413</v>
      </c>
      <c r="G543" t="s">
        <v>2415</v>
      </c>
      <c r="H543" t="s">
        <v>2498</v>
      </c>
      <c r="I543" t="s">
        <v>408</v>
      </c>
      <c r="K543" t="s">
        <v>64</v>
      </c>
      <c r="L543" t="s">
        <v>64</v>
      </c>
      <c r="N543" t="s">
        <v>64</v>
      </c>
      <c r="P543" t="s">
        <v>31</v>
      </c>
      <c r="Q543" t="s">
        <v>65</v>
      </c>
      <c r="R543" t="s">
        <v>2599</v>
      </c>
      <c r="S543" s="1">
        <v>44820</v>
      </c>
      <c r="T543" t="s">
        <v>398</v>
      </c>
      <c r="U543" t="s">
        <v>34</v>
      </c>
      <c r="V543" s="1">
        <v>44823</v>
      </c>
      <c r="W543" t="s">
        <v>35</v>
      </c>
      <c r="X543" t="s">
        <v>399</v>
      </c>
      <c r="Y543" t="s">
        <v>400</v>
      </c>
      <c r="Z543" t="s">
        <v>206</v>
      </c>
      <c r="AA543" t="s">
        <v>408</v>
      </c>
      <c r="AD543" t="s">
        <v>64</v>
      </c>
      <c r="AE543">
        <v>39.188890999999998</v>
      </c>
      <c r="AF543">
        <v>-86.499559000000005</v>
      </c>
      <c r="AG543" t="s">
        <v>40</v>
      </c>
      <c r="AH543" t="s">
        <v>41</v>
      </c>
      <c r="AI543">
        <v>39.188756500399997</v>
      </c>
      <c r="AJ543">
        <v>-86.499316245399996</v>
      </c>
      <c r="AK543">
        <v>-1.3449960000144756E-4</v>
      </c>
      <c r="AL543">
        <v>2.4275460000922067E-4</v>
      </c>
      <c r="AM543" t="str">
        <f>_xlfn.IFNA(VLOOKUP(Sheet1!$C543,ADMIX_ALL!A:B,2,FALSE),"none")</f>
        <v>K6-18</v>
      </c>
      <c r="AN543" t="str">
        <f>_xlfn.IFNA(VLOOKUP(Sheet1!C543,ADMIX_SS!A:B,2,FALSE),"none")</f>
        <v>SubSample</v>
      </c>
      <c r="AO543" t="str">
        <f>_xlfn.IFNA(VLOOKUP(Sheet1!$C543,MONG_PHYLO!A:C,3,FALSE),"-")</f>
        <v>-</v>
      </c>
      <c r="AP543" t="str">
        <f>_xlfn.IFNA(VLOOKUP(Sheet1!$C543,MAC_PHYLO!A:C,3,FALSE),"-")</f>
        <v>-</v>
      </c>
      <c r="AQ543" t="str">
        <f>_xlfn.IFNA(VLOOKUP(Sheet1!$C543,ConStruct!A:C,3,FALSE),"-")</f>
        <v>-</v>
      </c>
      <c r="AR543" t="str">
        <f>_xlfn.IFNA(VLOOKUP(Sheet1!$C543,GEA!A:C,3,FALSE),"-")</f>
        <v>-</v>
      </c>
      <c r="AS543" t="str">
        <f>_xlfn.IFNA(VLOOKUP(Sheet1!$C543,MAC_DSUITE!A:D,3,FALSE),"-")</f>
        <v>-</v>
      </c>
      <c r="AT543" t="str">
        <f>_xlfn.IFNA(VLOOKUP(Sheet1!$C543,MONG_DSUITE!A:E,2,FALSE),"-")</f>
        <v>xxx</v>
      </c>
      <c r="AU543" t="str">
        <f>_xlfn.IFNA(VLOOKUP(Sheet1!$C543,MAC_PAINT2!A:D,4,FALSE),"-")</f>
        <v>-</v>
      </c>
    </row>
    <row r="544" spans="1:49" customFormat="1" x14ac:dyDescent="0.4">
      <c r="A544">
        <v>3995</v>
      </c>
      <c r="B544" t="s">
        <v>418</v>
      </c>
      <c r="C544" t="s">
        <v>419</v>
      </c>
      <c r="D544" t="str">
        <f>_xlfn.CONCAT(C544,".bam")</f>
        <v>SYST-MOR-0007232.bam</v>
      </c>
      <c r="E544" t="s">
        <v>420</v>
      </c>
      <c r="F544" t="s">
        <v>2413</v>
      </c>
      <c r="G544" t="s">
        <v>2415</v>
      </c>
      <c r="H544" t="s">
        <v>2498</v>
      </c>
      <c r="I544" t="s">
        <v>408</v>
      </c>
      <c r="K544" t="s">
        <v>64</v>
      </c>
      <c r="L544" t="s">
        <v>64</v>
      </c>
      <c r="N544" t="s">
        <v>64</v>
      </c>
      <c r="P544" t="s">
        <v>31</v>
      </c>
      <c r="Q544" t="s">
        <v>65</v>
      </c>
      <c r="R544" t="s">
        <v>2599</v>
      </c>
      <c r="S544" s="1">
        <v>44820</v>
      </c>
      <c r="T544" t="s">
        <v>398</v>
      </c>
      <c r="U544" t="s">
        <v>34</v>
      </c>
      <c r="V544" s="1">
        <v>44823</v>
      </c>
      <c r="W544" t="s">
        <v>35</v>
      </c>
      <c r="X544" t="s">
        <v>399</v>
      </c>
      <c r="Y544" t="s">
        <v>400</v>
      </c>
      <c r="Z544" t="s">
        <v>206</v>
      </c>
      <c r="AA544" t="s">
        <v>408</v>
      </c>
      <c r="AD544" t="s">
        <v>64</v>
      </c>
      <c r="AE544">
        <v>39.187251000000003</v>
      </c>
      <c r="AF544">
        <v>-86.500821000000002</v>
      </c>
      <c r="AG544" t="s">
        <v>40</v>
      </c>
      <c r="AH544" t="s">
        <v>41</v>
      </c>
      <c r="AI544">
        <v>39.188135820500001</v>
      </c>
      <c r="AJ544">
        <v>-86.501004612200006</v>
      </c>
      <c r="AK544">
        <v>8.848204999978293E-4</v>
      </c>
      <c r="AL544">
        <v>-1.8361220000429057E-4</v>
      </c>
      <c r="AM544" t="str">
        <f>_xlfn.IFNA(VLOOKUP(Sheet1!$C544,ADMIX_ALL!A:B,2,FALSE),"none")</f>
        <v>K6-18</v>
      </c>
      <c r="AN544" t="str">
        <f>_xlfn.IFNA(VLOOKUP(Sheet1!C544,ADMIX_SS!A:B,2,FALSE),"none")</f>
        <v>SubSample</v>
      </c>
      <c r="AO544" t="str">
        <f>_xlfn.IFNA(VLOOKUP(Sheet1!$C544,MONG_PHYLO!A:C,3,FALSE),"-")</f>
        <v>-</v>
      </c>
      <c r="AP544" t="str">
        <f>_xlfn.IFNA(VLOOKUP(Sheet1!$C544,MAC_PHYLO!A:C,3,FALSE),"-")</f>
        <v>-</v>
      </c>
      <c r="AQ544" t="str">
        <f>_xlfn.IFNA(VLOOKUP(Sheet1!$C544,ConStruct!A:C,3,FALSE),"-")</f>
        <v>-</v>
      </c>
      <c r="AR544" t="str">
        <f>_xlfn.IFNA(VLOOKUP(Sheet1!$C544,GEA!A:C,3,FALSE),"-")</f>
        <v>-</v>
      </c>
      <c r="AS544" t="str">
        <f>_xlfn.IFNA(VLOOKUP(Sheet1!$C544,MAC_DSUITE!A:D,3,FALSE),"-")</f>
        <v>-</v>
      </c>
      <c r="AT544" t="str">
        <f>_xlfn.IFNA(VLOOKUP(Sheet1!$C544,MONG_DSUITE!A:E,2,FALSE),"-")</f>
        <v>xxx</v>
      </c>
      <c r="AU544" t="str">
        <f>_xlfn.IFNA(VLOOKUP(Sheet1!$C544,MAC_PAINT2!A:D,4,FALSE),"-")</f>
        <v>-</v>
      </c>
    </row>
    <row r="545" spans="1:49" customFormat="1" x14ac:dyDescent="0.4">
      <c r="A545">
        <v>3996</v>
      </c>
      <c r="B545" t="s">
        <v>421</v>
      </c>
      <c r="C545" t="s">
        <v>422</v>
      </c>
      <c r="D545" t="str">
        <f>_xlfn.CONCAT(C545,".bam")</f>
        <v>SYST-MOR-0007233.bam</v>
      </c>
      <c r="E545" t="s">
        <v>423</v>
      </c>
      <c r="F545" t="s">
        <v>2413</v>
      </c>
      <c r="G545" t="s">
        <v>2416</v>
      </c>
      <c r="H545" t="s">
        <v>2499</v>
      </c>
      <c r="I545" t="s">
        <v>424</v>
      </c>
      <c r="K545" t="s">
        <v>45</v>
      </c>
      <c r="L545" t="s">
        <v>45</v>
      </c>
      <c r="N545" t="s">
        <v>45</v>
      </c>
      <c r="P545" t="s">
        <v>31</v>
      </c>
      <c r="Q545" t="s">
        <v>46</v>
      </c>
      <c r="R545" t="s">
        <v>2597</v>
      </c>
      <c r="S545" s="1">
        <v>44820</v>
      </c>
      <c r="T545" t="s">
        <v>398</v>
      </c>
      <c r="U545" t="s">
        <v>34</v>
      </c>
      <c r="V545" s="1">
        <v>44823</v>
      </c>
      <c r="W545" t="s">
        <v>35</v>
      </c>
      <c r="X545" t="s">
        <v>399</v>
      </c>
      <c r="Y545" t="s">
        <v>400</v>
      </c>
      <c r="Z545" t="s">
        <v>206</v>
      </c>
      <c r="AA545" t="s">
        <v>424</v>
      </c>
      <c r="AD545" t="s">
        <v>45</v>
      </c>
      <c r="AE545">
        <v>39.168304999999997</v>
      </c>
      <c r="AF545">
        <v>-86.524118000000001</v>
      </c>
      <c r="AG545" t="s">
        <v>40</v>
      </c>
      <c r="AH545" t="s">
        <v>41</v>
      </c>
      <c r="AI545">
        <v>39.168249880899999</v>
      </c>
      <c r="AJ545">
        <v>-86.524123242200005</v>
      </c>
      <c r="AK545">
        <v>-5.5119099997114063E-5</v>
      </c>
      <c r="AL545">
        <v>-5.2422000038632177E-6</v>
      </c>
      <c r="AM545" t="str">
        <f>_xlfn.IFNA(VLOOKUP(Sheet1!$C545,ADMIX_ALL!A:B,2,FALSE),"none")</f>
        <v>K6-18</v>
      </c>
      <c r="AN545" t="str">
        <f>_xlfn.IFNA(VLOOKUP(Sheet1!C545,ADMIX_SS!A:B,2,FALSE),"none")</f>
        <v>SubSample</v>
      </c>
      <c r="AO545" t="str">
        <f>_xlfn.IFNA(VLOOKUP(Sheet1!$C545,MONG_PHYLO!A:C,3,FALSE),"-")</f>
        <v>-</v>
      </c>
      <c r="AP545" t="str">
        <f>_xlfn.IFNA(VLOOKUP(Sheet1!$C545,MAC_PHYLO!A:C,3,FALSE),"-")</f>
        <v>-</v>
      </c>
      <c r="AQ545" t="str">
        <f>_xlfn.IFNA(VLOOKUP(Sheet1!$C545,ConStruct!A:C,3,FALSE),"-")</f>
        <v>ConStruct</v>
      </c>
      <c r="AR545" t="str">
        <f>_xlfn.IFNA(VLOOKUP(Sheet1!$C545,GEA!A:C,3,FALSE),"-")</f>
        <v>GEA</v>
      </c>
      <c r="AS545" t="str">
        <f>_xlfn.IFNA(VLOOKUP(Sheet1!$C545,MAC_DSUITE!A:D,3,FALSE),"-")</f>
        <v>xxx</v>
      </c>
      <c r="AT545" t="str">
        <f>_xlfn.IFNA(VLOOKUP(Sheet1!$C545,MONG_DSUITE!A:E,2,FALSE),"-")</f>
        <v>xxx</v>
      </c>
      <c r="AU545" t="str">
        <f>_xlfn.IFNA(VLOOKUP(Sheet1!$C545,MAC_PAINT2!A:D,4,FALSE),"-")</f>
        <v>macpaint</v>
      </c>
      <c r="AV545" t="s">
        <v>9193</v>
      </c>
      <c r="AW545" t="s">
        <v>9193</v>
      </c>
    </row>
    <row r="546" spans="1:49" customFormat="1" x14ac:dyDescent="0.4">
      <c r="A546">
        <v>3997</v>
      </c>
      <c r="B546" t="s">
        <v>1866</v>
      </c>
      <c r="C546" t="s">
        <v>1867</v>
      </c>
      <c r="D546" t="str">
        <f>_xlfn.CONCAT(C546,".bam")</f>
        <v>SYST-MOR-0007234.bam</v>
      </c>
      <c r="E546" t="s">
        <v>1868</v>
      </c>
      <c r="F546" t="s">
        <v>2454</v>
      </c>
      <c r="G546" t="s">
        <v>2456</v>
      </c>
      <c r="H546" t="s">
        <v>2543</v>
      </c>
      <c r="I546" t="s">
        <v>1870</v>
      </c>
      <c r="K546" t="s">
        <v>84</v>
      </c>
      <c r="L546" t="s">
        <v>84</v>
      </c>
      <c r="N546" t="s">
        <v>84</v>
      </c>
      <c r="P546" t="s">
        <v>31</v>
      </c>
      <c r="Q546" t="s">
        <v>85</v>
      </c>
      <c r="R546" t="s">
        <v>2600</v>
      </c>
      <c r="S546" s="1">
        <v>44822</v>
      </c>
      <c r="T546" t="s">
        <v>33</v>
      </c>
      <c r="U546" t="s">
        <v>34</v>
      </c>
      <c r="V546" s="1">
        <v>44823</v>
      </c>
      <c r="W546" t="s">
        <v>35</v>
      </c>
      <c r="X546" t="s">
        <v>1820</v>
      </c>
      <c r="Y546" t="s">
        <v>1869</v>
      </c>
      <c r="Z546" t="s">
        <v>206</v>
      </c>
      <c r="AA546" t="s">
        <v>1870</v>
      </c>
      <c r="AD546" t="s">
        <v>84</v>
      </c>
      <c r="AE546">
        <v>39.345528000000002</v>
      </c>
      <c r="AF546">
        <v>-82.034701999999996</v>
      </c>
      <c r="AG546" t="s">
        <v>40</v>
      </c>
      <c r="AH546" t="s">
        <v>41</v>
      </c>
      <c r="AI546">
        <v>39.345543383900001</v>
      </c>
      <c r="AJ546">
        <v>-82.034655067499997</v>
      </c>
      <c r="AK546">
        <v>1.538389999922174E-5</v>
      </c>
      <c r="AL546">
        <v>4.6932499998320054E-5</v>
      </c>
      <c r="AM546" t="str">
        <f>_xlfn.IFNA(VLOOKUP(Sheet1!$C546,ADMIX_ALL!A:B,2,FALSE),"none")</f>
        <v>K6-18</v>
      </c>
      <c r="AN546" t="str">
        <f>_xlfn.IFNA(VLOOKUP(Sheet1!C546,ADMIX_SS!A:B,2,FALSE),"none")</f>
        <v>SubSample</v>
      </c>
      <c r="AO546" t="str">
        <f>_xlfn.IFNA(VLOOKUP(Sheet1!$C546,MONG_PHYLO!A:C,3,FALSE),"-")</f>
        <v>-</v>
      </c>
      <c r="AP546" t="str">
        <f>_xlfn.IFNA(VLOOKUP(Sheet1!$C546,MAC_PHYLO!A:C,3,FALSE),"-")</f>
        <v>-</v>
      </c>
      <c r="AQ546" t="str">
        <f>_xlfn.IFNA(VLOOKUP(Sheet1!$C546,ConStruct!A:C,3,FALSE),"-")</f>
        <v>-</v>
      </c>
      <c r="AR546" t="str">
        <f>_xlfn.IFNA(VLOOKUP(Sheet1!$C546,GEA!A:C,3,FALSE),"-")</f>
        <v>-</v>
      </c>
      <c r="AS546" t="str">
        <f>_xlfn.IFNA(VLOOKUP(Sheet1!$C546,MAC_DSUITE!A:D,3,FALSE),"-")</f>
        <v>-</v>
      </c>
      <c r="AT546" t="str">
        <f>_xlfn.IFNA(VLOOKUP(Sheet1!$C546,MONG_DSUITE!A:E,2,FALSE),"-")</f>
        <v>xxx</v>
      </c>
      <c r="AU546" t="str">
        <f>_xlfn.IFNA(VLOOKUP(Sheet1!$C546,MAC_PAINT2!A:D,4,FALSE),"-")</f>
        <v>-</v>
      </c>
    </row>
    <row r="547" spans="1:49" customFormat="1" x14ac:dyDescent="0.4">
      <c r="A547">
        <v>3998</v>
      </c>
      <c r="B547" t="s">
        <v>1871</v>
      </c>
      <c r="C547" t="s">
        <v>1872</v>
      </c>
      <c r="D547" t="str">
        <f>_xlfn.CONCAT(C547,".bam")</f>
        <v>SYST-MOR-0007235.bam</v>
      </c>
      <c r="E547" t="s">
        <v>1873</v>
      </c>
      <c r="F547" t="s">
        <v>2454</v>
      </c>
      <c r="G547" t="s">
        <v>2456</v>
      </c>
      <c r="H547" t="s">
        <v>2543</v>
      </c>
      <c r="I547" t="s">
        <v>1870</v>
      </c>
      <c r="K547" t="s">
        <v>84</v>
      </c>
      <c r="L547" t="s">
        <v>84</v>
      </c>
      <c r="N547" t="s">
        <v>84</v>
      </c>
      <c r="P547" t="s">
        <v>31</v>
      </c>
      <c r="Q547" t="s">
        <v>85</v>
      </c>
      <c r="R547" t="s">
        <v>2600</v>
      </c>
      <c r="S547" s="1">
        <v>44822</v>
      </c>
      <c r="T547" t="s">
        <v>33</v>
      </c>
      <c r="U547" t="s">
        <v>34</v>
      </c>
      <c r="V547" s="1">
        <v>44823</v>
      </c>
      <c r="W547" t="s">
        <v>35</v>
      </c>
      <c r="X547" t="s">
        <v>1820</v>
      </c>
      <c r="Y547" t="s">
        <v>1869</v>
      </c>
      <c r="Z547" t="s">
        <v>206</v>
      </c>
      <c r="AA547" t="s">
        <v>1870</v>
      </c>
      <c r="AD547" t="s">
        <v>84</v>
      </c>
      <c r="AE547">
        <v>39.346829</v>
      </c>
      <c r="AF547">
        <v>-82.036901999999998</v>
      </c>
      <c r="AG547" t="s">
        <v>40</v>
      </c>
      <c r="AH547" t="s">
        <v>41</v>
      </c>
      <c r="AI547">
        <v>39.346969407099998</v>
      </c>
      <c r="AJ547">
        <v>-82.0367920865</v>
      </c>
      <c r="AK547">
        <v>1.4040709999818546E-4</v>
      </c>
      <c r="AL547">
        <v>1.0991349999756039E-4</v>
      </c>
      <c r="AM547" t="str">
        <f>_xlfn.IFNA(VLOOKUP(Sheet1!$C547,ADMIX_ALL!A:B,2,FALSE),"none")</f>
        <v>K6-18</v>
      </c>
      <c r="AN547" t="str">
        <f>_xlfn.IFNA(VLOOKUP(Sheet1!C547,ADMIX_SS!A:B,2,FALSE),"none")</f>
        <v>SubSample</v>
      </c>
      <c r="AO547" t="str">
        <f>_xlfn.IFNA(VLOOKUP(Sheet1!$C547,MONG_PHYLO!A:C,3,FALSE),"-")</f>
        <v>-</v>
      </c>
      <c r="AP547" t="str">
        <f>_xlfn.IFNA(VLOOKUP(Sheet1!$C547,MAC_PHYLO!A:C,3,FALSE),"-")</f>
        <v>-</v>
      </c>
      <c r="AQ547" t="str">
        <f>_xlfn.IFNA(VLOOKUP(Sheet1!$C547,ConStruct!A:C,3,FALSE),"-")</f>
        <v>-</v>
      </c>
      <c r="AR547" t="str">
        <f>_xlfn.IFNA(VLOOKUP(Sheet1!$C547,GEA!A:C,3,FALSE),"-")</f>
        <v>-</v>
      </c>
      <c r="AS547" t="str">
        <f>_xlfn.IFNA(VLOOKUP(Sheet1!$C547,MAC_DSUITE!A:D,3,FALSE),"-")</f>
        <v>-</v>
      </c>
      <c r="AT547" t="str">
        <f>_xlfn.IFNA(VLOOKUP(Sheet1!$C547,MONG_DSUITE!A:E,2,FALSE),"-")</f>
        <v>xxx</v>
      </c>
      <c r="AU547" t="str">
        <f>_xlfn.IFNA(VLOOKUP(Sheet1!$C547,MAC_PAINT2!A:D,4,FALSE),"-")</f>
        <v>-</v>
      </c>
    </row>
    <row r="548" spans="1:49" customFormat="1" x14ac:dyDescent="0.4">
      <c r="A548">
        <v>3999</v>
      </c>
      <c r="B548" t="s">
        <v>1874</v>
      </c>
      <c r="C548" t="s">
        <v>1875</v>
      </c>
      <c r="D548" t="str">
        <f>_xlfn.CONCAT(C548,".bam")</f>
        <v>SYST-MOR-0007236.bam</v>
      </c>
      <c r="E548" t="s">
        <v>1876</v>
      </c>
      <c r="F548" t="s">
        <v>2454</v>
      </c>
      <c r="G548" t="s">
        <v>2456</v>
      </c>
      <c r="H548" t="s">
        <v>2543</v>
      </c>
      <c r="I548" t="s">
        <v>1870</v>
      </c>
      <c r="K548" t="s">
        <v>64</v>
      </c>
      <c r="L548" t="s">
        <v>64</v>
      </c>
      <c r="N548" t="s">
        <v>64</v>
      </c>
      <c r="P548" t="s">
        <v>31</v>
      </c>
      <c r="Q548" t="s">
        <v>65</v>
      </c>
      <c r="R548" t="s">
        <v>2599</v>
      </c>
      <c r="S548" s="1">
        <v>44822</v>
      </c>
      <c r="T548" t="s">
        <v>33</v>
      </c>
      <c r="U548" t="s">
        <v>34</v>
      </c>
      <c r="V548" s="1">
        <v>44823</v>
      </c>
      <c r="W548" t="s">
        <v>35</v>
      </c>
      <c r="X548" t="s">
        <v>1820</v>
      </c>
      <c r="Y548" t="s">
        <v>1869</v>
      </c>
      <c r="Z548" t="s">
        <v>206</v>
      </c>
      <c r="AA548" t="s">
        <v>1870</v>
      </c>
      <c r="AD548" t="s">
        <v>64</v>
      </c>
      <c r="AE548">
        <v>39.346950999999997</v>
      </c>
      <c r="AF548">
        <v>-82.037267</v>
      </c>
      <c r="AG548" t="s">
        <v>40</v>
      </c>
      <c r="AH548" t="s">
        <v>41</v>
      </c>
      <c r="AI548">
        <v>39.347136709899999</v>
      </c>
      <c r="AJ548">
        <v>-82.037191651800001</v>
      </c>
      <c r="AK548">
        <v>1.8570990000199572E-4</v>
      </c>
      <c r="AL548">
        <v>7.5348199999325516E-5</v>
      </c>
      <c r="AM548" t="str">
        <f>_xlfn.IFNA(VLOOKUP(Sheet1!$C548,ADMIX_ALL!A:B,2,FALSE),"none")</f>
        <v>K6-18</v>
      </c>
      <c r="AN548" t="str">
        <f>_xlfn.IFNA(VLOOKUP(Sheet1!C548,ADMIX_SS!A:B,2,FALSE),"none")</f>
        <v>SubSample</v>
      </c>
      <c r="AO548" t="str">
        <f>_xlfn.IFNA(VLOOKUP(Sheet1!$C548,MONG_PHYLO!A:C,3,FALSE),"-")</f>
        <v>-</v>
      </c>
      <c r="AP548" t="str">
        <f>_xlfn.IFNA(VLOOKUP(Sheet1!$C548,MAC_PHYLO!A:C,3,FALSE),"-")</f>
        <v>-</v>
      </c>
      <c r="AQ548" t="str">
        <f>_xlfn.IFNA(VLOOKUP(Sheet1!$C548,ConStruct!A:C,3,FALSE),"-")</f>
        <v>-</v>
      </c>
      <c r="AR548" t="str">
        <f>_xlfn.IFNA(VLOOKUP(Sheet1!$C548,GEA!A:C,3,FALSE),"-")</f>
        <v>-</v>
      </c>
      <c r="AS548" t="str">
        <f>_xlfn.IFNA(VLOOKUP(Sheet1!$C548,MAC_DSUITE!A:D,3,FALSE),"-")</f>
        <v>-</v>
      </c>
      <c r="AT548" t="str">
        <f>_xlfn.IFNA(VLOOKUP(Sheet1!$C548,MONG_DSUITE!A:E,2,FALSE),"-")</f>
        <v>xxx</v>
      </c>
      <c r="AU548" t="str">
        <f>_xlfn.IFNA(VLOOKUP(Sheet1!$C548,MAC_PAINT2!A:D,4,FALSE),"-")</f>
        <v>-</v>
      </c>
    </row>
    <row r="549" spans="1:49" customFormat="1" x14ac:dyDescent="0.4">
      <c r="A549">
        <v>4000</v>
      </c>
      <c r="B549" t="s">
        <v>1877</v>
      </c>
      <c r="C549" t="s">
        <v>1878</v>
      </c>
      <c r="D549" t="str">
        <f>_xlfn.CONCAT(C549,".bam")</f>
        <v>SYST-MOR-0007237.bam</v>
      </c>
      <c r="E549" t="s">
        <v>1879</v>
      </c>
      <c r="F549" t="s">
        <v>2454</v>
      </c>
      <c r="G549" t="s">
        <v>2456</v>
      </c>
      <c r="H549" t="s">
        <v>2543</v>
      </c>
      <c r="I549" t="s">
        <v>1870</v>
      </c>
      <c r="K549" t="s">
        <v>64</v>
      </c>
      <c r="L549" t="s">
        <v>64</v>
      </c>
      <c r="N549" t="s">
        <v>64</v>
      </c>
      <c r="P549" t="s">
        <v>31</v>
      </c>
      <c r="Q549" t="s">
        <v>65</v>
      </c>
      <c r="R549" t="s">
        <v>2599</v>
      </c>
      <c r="S549" s="1">
        <v>44822</v>
      </c>
      <c r="T549" t="s">
        <v>33</v>
      </c>
      <c r="U549" t="s">
        <v>34</v>
      </c>
      <c r="V549" s="1">
        <v>44823</v>
      </c>
      <c r="W549" t="s">
        <v>35</v>
      </c>
      <c r="X549" t="s">
        <v>1820</v>
      </c>
      <c r="Y549" t="s">
        <v>1869</v>
      </c>
      <c r="Z549" t="s">
        <v>206</v>
      </c>
      <c r="AA549" t="s">
        <v>1870</v>
      </c>
      <c r="AD549" t="s">
        <v>64</v>
      </c>
      <c r="AE549">
        <v>39.348610000000001</v>
      </c>
      <c r="AF549">
        <v>-82.039720000000003</v>
      </c>
      <c r="AG549" t="s">
        <v>40</v>
      </c>
      <c r="AH549" t="s">
        <v>41</v>
      </c>
      <c r="AI549">
        <v>39.348630825999997</v>
      </c>
      <c r="AJ549">
        <v>-82.039783587800002</v>
      </c>
      <c r="AK549">
        <v>2.0825999996532119E-5</v>
      </c>
      <c r="AL549">
        <v>-6.3587799999709205E-5</v>
      </c>
      <c r="AM549" t="str">
        <f>_xlfn.IFNA(VLOOKUP(Sheet1!$C549,ADMIX_ALL!A:B,2,FALSE),"none")</f>
        <v>K6-18</v>
      </c>
      <c r="AN549" t="str">
        <f>_xlfn.IFNA(VLOOKUP(Sheet1!C549,ADMIX_SS!A:B,2,FALSE),"none")</f>
        <v>SubSample</v>
      </c>
      <c r="AO549" t="str">
        <f>_xlfn.IFNA(VLOOKUP(Sheet1!$C549,MONG_PHYLO!A:C,3,FALSE),"-")</f>
        <v>-</v>
      </c>
      <c r="AP549" t="str">
        <f>_xlfn.IFNA(VLOOKUP(Sheet1!$C549,MAC_PHYLO!A:C,3,FALSE),"-")</f>
        <v>-</v>
      </c>
      <c r="AQ549" t="str">
        <f>_xlfn.IFNA(VLOOKUP(Sheet1!$C549,ConStruct!A:C,3,FALSE),"-")</f>
        <v>-</v>
      </c>
      <c r="AR549" t="str">
        <f>_xlfn.IFNA(VLOOKUP(Sheet1!$C549,GEA!A:C,3,FALSE),"-")</f>
        <v>-</v>
      </c>
      <c r="AS549" t="str">
        <f>_xlfn.IFNA(VLOOKUP(Sheet1!$C549,MAC_DSUITE!A:D,3,FALSE),"-")</f>
        <v>-</v>
      </c>
      <c r="AT549" t="str">
        <f>_xlfn.IFNA(VLOOKUP(Sheet1!$C549,MONG_DSUITE!A:E,2,FALSE),"-")</f>
        <v>xxx</v>
      </c>
      <c r="AU549" t="str">
        <f>_xlfn.IFNA(VLOOKUP(Sheet1!$C549,MAC_PAINT2!A:D,4,FALSE),"-")</f>
        <v>-</v>
      </c>
    </row>
    <row r="550" spans="1:49" customFormat="1" x14ac:dyDescent="0.4">
      <c r="A550">
        <v>4001</v>
      </c>
      <c r="B550" t="s">
        <v>1880</v>
      </c>
      <c r="C550" t="s">
        <v>1881</v>
      </c>
      <c r="D550" t="str">
        <f>_xlfn.CONCAT(C550,".bam")</f>
        <v>SYST-MOR-0007238.bam</v>
      </c>
      <c r="E550" t="s">
        <v>1882</v>
      </c>
      <c r="F550" t="s">
        <v>2454</v>
      </c>
      <c r="G550" t="s">
        <v>2456</v>
      </c>
      <c r="H550" t="s">
        <v>2543</v>
      </c>
      <c r="I550" t="s">
        <v>1870</v>
      </c>
      <c r="K550" t="s">
        <v>1729</v>
      </c>
      <c r="L550" t="s">
        <v>1729</v>
      </c>
      <c r="N550" t="s">
        <v>1729</v>
      </c>
      <c r="P550" t="s">
        <v>31</v>
      </c>
      <c r="Q550" t="s">
        <v>1730</v>
      </c>
      <c r="R550" t="s">
        <v>2604</v>
      </c>
      <c r="S550" s="1">
        <v>44822</v>
      </c>
      <c r="T550" t="s">
        <v>33</v>
      </c>
      <c r="U550" t="s">
        <v>34</v>
      </c>
      <c r="V550" s="1">
        <v>44823</v>
      </c>
      <c r="W550" t="s">
        <v>35</v>
      </c>
      <c r="X550" t="s">
        <v>1820</v>
      </c>
      <c r="Y550" t="s">
        <v>1869</v>
      </c>
      <c r="Z550" t="s">
        <v>206</v>
      </c>
      <c r="AA550" t="s">
        <v>1870</v>
      </c>
      <c r="AD550" t="s">
        <v>1729</v>
      </c>
      <c r="AE550">
        <v>39.349271999999999</v>
      </c>
      <c r="AF550">
        <v>-82.047353999999999</v>
      </c>
      <c r="AG550" t="s">
        <v>40</v>
      </c>
      <c r="AH550" t="s">
        <v>41</v>
      </c>
      <c r="AI550">
        <v>39.349452755500003</v>
      </c>
      <c r="AJ550">
        <v>-82.047292348100001</v>
      </c>
      <c r="AK550">
        <v>1.8075550000418161E-4</v>
      </c>
      <c r="AL550">
        <v>6.1651899997627879E-5</v>
      </c>
      <c r="AM550" t="str">
        <f>_xlfn.IFNA(VLOOKUP(Sheet1!$C550,ADMIX_ALL!A:B,2,FALSE),"none")</f>
        <v>K6-18</v>
      </c>
      <c r="AN550" t="str">
        <f>_xlfn.IFNA(VLOOKUP(Sheet1!C550,ADMIX_SS!A:B,2,FALSE),"none")</f>
        <v>SubSample</v>
      </c>
      <c r="AO550" t="str">
        <f>_xlfn.IFNA(VLOOKUP(Sheet1!$C550,MONG_PHYLO!A:C,3,FALSE),"-")</f>
        <v>-</v>
      </c>
      <c r="AP550" t="str">
        <f>_xlfn.IFNA(VLOOKUP(Sheet1!$C550,MAC_PHYLO!A:C,3,FALSE),"-")</f>
        <v>mon</v>
      </c>
      <c r="AQ550" t="str">
        <f>_xlfn.IFNA(VLOOKUP(Sheet1!$C550,ConStruct!A:C,3,FALSE),"-")</f>
        <v>-</v>
      </c>
      <c r="AR550" t="str">
        <f>_xlfn.IFNA(VLOOKUP(Sheet1!$C550,GEA!A:C,3,FALSE),"-")</f>
        <v>-</v>
      </c>
      <c r="AS550" t="str">
        <f>_xlfn.IFNA(VLOOKUP(Sheet1!$C550,MAC_DSUITE!A:D,3,FALSE),"-")</f>
        <v>xxx</v>
      </c>
      <c r="AT550" t="str">
        <f>_xlfn.IFNA(VLOOKUP(Sheet1!$C550,MONG_DSUITE!A:E,2,FALSE),"-")</f>
        <v>xxx</v>
      </c>
      <c r="AU550" t="str">
        <f>_xlfn.IFNA(VLOOKUP(Sheet1!$C550,MAC_PAINT2!A:D,4,FALSE),"-")</f>
        <v>-</v>
      </c>
    </row>
    <row r="551" spans="1:49" customFormat="1" x14ac:dyDescent="0.4">
      <c r="A551">
        <v>4002</v>
      </c>
      <c r="B551" t="s">
        <v>1883</v>
      </c>
      <c r="C551" t="s">
        <v>1884</v>
      </c>
      <c r="D551" t="str">
        <f>_xlfn.CONCAT(C551,".bam")</f>
        <v>SYST-MOR-0007239.bam</v>
      </c>
      <c r="E551" t="s">
        <v>1885</v>
      </c>
      <c r="F551" t="s">
        <v>2454</v>
      </c>
      <c r="G551" t="s">
        <v>2456</v>
      </c>
      <c r="H551" t="s">
        <v>2543</v>
      </c>
      <c r="I551" t="s">
        <v>1870</v>
      </c>
      <c r="K551" t="s">
        <v>1729</v>
      </c>
      <c r="L551" t="s">
        <v>1729</v>
      </c>
      <c r="N551" t="s">
        <v>1729</v>
      </c>
      <c r="P551" t="s">
        <v>31</v>
      </c>
      <c r="Q551" t="s">
        <v>1730</v>
      </c>
      <c r="R551" t="s">
        <v>2604</v>
      </c>
      <c r="S551" s="1">
        <v>44822</v>
      </c>
      <c r="T551" t="s">
        <v>33</v>
      </c>
      <c r="U551" t="s">
        <v>34</v>
      </c>
      <c r="V551" s="1">
        <v>44823</v>
      </c>
      <c r="W551" t="s">
        <v>35</v>
      </c>
      <c r="X551" t="s">
        <v>1820</v>
      </c>
      <c r="Y551" t="s">
        <v>1869</v>
      </c>
      <c r="Z551" t="s">
        <v>206</v>
      </c>
      <c r="AA551" t="s">
        <v>1870</v>
      </c>
      <c r="AD551" t="s">
        <v>1729</v>
      </c>
      <c r="AE551">
        <v>39.349482000000002</v>
      </c>
      <c r="AF551">
        <v>-82.046768</v>
      </c>
      <c r="AG551" t="s">
        <v>40</v>
      </c>
      <c r="AH551" t="s">
        <v>41</v>
      </c>
      <c r="AI551">
        <v>39.349526725700002</v>
      </c>
      <c r="AJ551">
        <v>-82.046924466299998</v>
      </c>
      <c r="AK551">
        <v>4.4725700000469715E-5</v>
      </c>
      <c r="AL551">
        <v>-1.5646629999821471E-4</v>
      </c>
      <c r="AM551" t="str">
        <f>_xlfn.IFNA(VLOOKUP(Sheet1!$C551,ADMIX_ALL!A:B,2,FALSE),"none")</f>
        <v>K6-18</v>
      </c>
      <c r="AN551" t="str">
        <f>_xlfn.IFNA(VLOOKUP(Sheet1!C551,ADMIX_SS!A:B,2,FALSE),"none")</f>
        <v>Constant</v>
      </c>
      <c r="AO551" t="str">
        <f>_xlfn.IFNA(VLOOKUP(Sheet1!$C551,MONG_PHYLO!A:C,3,FALSE),"-")</f>
        <v>mon</v>
      </c>
      <c r="AP551" t="str">
        <f>_xlfn.IFNA(VLOOKUP(Sheet1!$C551,MAC_PHYLO!A:C,3,FALSE),"-")</f>
        <v>-</v>
      </c>
      <c r="AQ551" t="str">
        <f>_xlfn.IFNA(VLOOKUP(Sheet1!$C551,ConStruct!A:C,3,FALSE),"-")</f>
        <v>-</v>
      </c>
      <c r="AR551" t="str">
        <f>_xlfn.IFNA(VLOOKUP(Sheet1!$C551,GEA!A:C,3,FALSE),"-")</f>
        <v>-</v>
      </c>
      <c r="AS551" t="str">
        <f>_xlfn.IFNA(VLOOKUP(Sheet1!$C551,MAC_DSUITE!A:D,3,FALSE),"-")</f>
        <v>-</v>
      </c>
      <c r="AT551" t="str">
        <f>_xlfn.IFNA(VLOOKUP(Sheet1!$C551,MONG_DSUITE!A:E,2,FALSE),"-")</f>
        <v>montana</v>
      </c>
      <c r="AU551" t="str">
        <f>_xlfn.IFNA(VLOOKUP(Sheet1!$C551,MAC_PAINT2!A:D,4,FALSE),"-")</f>
        <v>-</v>
      </c>
    </row>
    <row r="552" spans="1:49" customFormat="1" x14ac:dyDescent="0.4">
      <c r="A552">
        <v>4003</v>
      </c>
      <c r="B552" t="s">
        <v>1886</v>
      </c>
      <c r="C552" t="s">
        <v>1887</v>
      </c>
      <c r="D552" t="str">
        <f>_xlfn.CONCAT(C552,".bam")</f>
        <v>SYST-MOR-0007240.bam</v>
      </c>
      <c r="E552" t="s">
        <v>1888</v>
      </c>
      <c r="F552" t="s">
        <v>2454</v>
      </c>
      <c r="G552" t="s">
        <v>2456</v>
      </c>
      <c r="H552" t="s">
        <v>2543</v>
      </c>
      <c r="I552" t="s">
        <v>1870</v>
      </c>
      <c r="K552" t="s">
        <v>1729</v>
      </c>
      <c r="L552" t="s">
        <v>1729</v>
      </c>
      <c r="N552" t="s">
        <v>1729</v>
      </c>
      <c r="P552" t="s">
        <v>31</v>
      </c>
      <c r="Q552" t="s">
        <v>1730</v>
      </c>
      <c r="R552" t="s">
        <v>2604</v>
      </c>
      <c r="S552" s="1">
        <v>44822</v>
      </c>
      <c r="T552" t="s">
        <v>33</v>
      </c>
      <c r="U552" t="s">
        <v>34</v>
      </c>
      <c r="V552" s="1">
        <v>44823</v>
      </c>
      <c r="W552" t="s">
        <v>35</v>
      </c>
      <c r="X552" t="s">
        <v>1820</v>
      </c>
      <c r="Y552" t="s">
        <v>1869</v>
      </c>
      <c r="Z552" t="s">
        <v>206</v>
      </c>
      <c r="AA552" t="s">
        <v>1870</v>
      </c>
      <c r="AD552" t="s">
        <v>1729</v>
      </c>
      <c r="AE552">
        <v>39.336371</v>
      </c>
      <c r="AF552">
        <v>-82.015625</v>
      </c>
      <c r="AG552" t="s">
        <v>40</v>
      </c>
      <c r="AH552" t="s">
        <v>41</v>
      </c>
      <c r="AI552">
        <v>39.336198451999998</v>
      </c>
      <c r="AJ552">
        <v>-82.015277082200001</v>
      </c>
      <c r="AK552">
        <v>-1.7254800000188197E-4</v>
      </c>
      <c r="AL552">
        <v>3.4791779999920891E-4</v>
      </c>
      <c r="AM552" t="str">
        <f>_xlfn.IFNA(VLOOKUP(Sheet1!$C552,ADMIX_ALL!A:B,2,FALSE),"none")</f>
        <v>K6-18</v>
      </c>
      <c r="AN552" t="str">
        <f>_xlfn.IFNA(VLOOKUP(Sheet1!C552,ADMIX_SS!A:B,2,FALSE),"none")</f>
        <v>Constant</v>
      </c>
      <c r="AO552" t="str">
        <f>_xlfn.IFNA(VLOOKUP(Sheet1!$C552,MONG_PHYLO!A:C,3,FALSE),"-")</f>
        <v>mon</v>
      </c>
      <c r="AP552" t="str">
        <f>_xlfn.IFNA(VLOOKUP(Sheet1!$C552,MAC_PHYLO!A:C,3,FALSE),"-")</f>
        <v>mon</v>
      </c>
      <c r="AQ552" t="str">
        <f>_xlfn.IFNA(VLOOKUP(Sheet1!$C552,ConStruct!A:C,3,FALSE),"-")</f>
        <v>-</v>
      </c>
      <c r="AR552" t="str">
        <f>_xlfn.IFNA(VLOOKUP(Sheet1!$C552,GEA!A:C,3,FALSE),"-")</f>
        <v>-</v>
      </c>
      <c r="AS552" t="str">
        <f>_xlfn.IFNA(VLOOKUP(Sheet1!$C552,MAC_DSUITE!A:D,3,FALSE),"-")</f>
        <v>xxx</v>
      </c>
      <c r="AT552" t="str">
        <f>_xlfn.IFNA(VLOOKUP(Sheet1!$C552,MONG_DSUITE!A:E,2,FALSE),"-")</f>
        <v>montana</v>
      </c>
      <c r="AU552" t="str">
        <f>_xlfn.IFNA(VLOOKUP(Sheet1!$C552,MAC_PAINT2!A:D,4,FALSE),"-")</f>
        <v>-</v>
      </c>
    </row>
    <row r="553" spans="1:49" customFormat="1" x14ac:dyDescent="0.4">
      <c r="A553">
        <v>4004</v>
      </c>
      <c r="B553" t="s">
        <v>200</v>
      </c>
      <c r="C553" t="s">
        <v>201</v>
      </c>
      <c r="D553" t="str">
        <f>_xlfn.CONCAT(C553,".bam")</f>
        <v>SYST-MOR-0007241.bam</v>
      </c>
      <c r="E553" t="s">
        <v>202</v>
      </c>
      <c r="F553" t="s">
        <v>2407</v>
      </c>
      <c r="G553" t="s">
        <v>2408</v>
      </c>
      <c r="H553" t="s">
        <v>2492</v>
      </c>
      <c r="I553" t="s">
        <v>207</v>
      </c>
      <c r="K553" t="s">
        <v>45</v>
      </c>
      <c r="L553" t="s">
        <v>45</v>
      </c>
      <c r="N553" t="s">
        <v>45</v>
      </c>
      <c r="P553" t="s">
        <v>31</v>
      </c>
      <c r="Q553" t="s">
        <v>46</v>
      </c>
      <c r="R553" t="s">
        <v>2597</v>
      </c>
      <c r="S553" s="1">
        <v>44840</v>
      </c>
      <c r="T553" t="s">
        <v>203</v>
      </c>
      <c r="U553" t="s">
        <v>34</v>
      </c>
      <c r="V553" s="1">
        <v>44841</v>
      </c>
      <c r="W553" t="s">
        <v>35</v>
      </c>
      <c r="X553" t="s">
        <v>204</v>
      </c>
      <c r="Y553" t="s">
        <v>205</v>
      </c>
      <c r="Z553" t="s">
        <v>206</v>
      </c>
      <c r="AA553" t="s">
        <v>207</v>
      </c>
      <c r="AD553" t="s">
        <v>45</v>
      </c>
      <c r="AE553">
        <v>39.839267</v>
      </c>
      <c r="AF553">
        <v>-88.367813999999996</v>
      </c>
      <c r="AG553" t="s">
        <v>40</v>
      </c>
      <c r="AH553" t="s">
        <v>41</v>
      </c>
      <c r="AI553">
        <v>39.839282124299999</v>
      </c>
      <c r="AJ553">
        <v>-88.367891823999997</v>
      </c>
      <c r="AK553">
        <v>1.5124299999058621E-5</v>
      </c>
      <c r="AL553">
        <v>-7.7824000001669447E-5</v>
      </c>
      <c r="AM553" t="str">
        <f>_xlfn.IFNA(VLOOKUP(Sheet1!$C553,ADMIX_ALL!A:B,2,FALSE),"none")</f>
        <v>K6-18</v>
      </c>
      <c r="AN553" t="str">
        <f>_xlfn.IFNA(VLOOKUP(Sheet1!C553,ADMIX_SS!A:B,2,FALSE),"none")</f>
        <v>SubSample</v>
      </c>
      <c r="AO553" t="str">
        <f>_xlfn.IFNA(VLOOKUP(Sheet1!$C553,MONG_PHYLO!A:C,3,FALSE),"-")</f>
        <v>-</v>
      </c>
      <c r="AP553" t="str">
        <f>_xlfn.IFNA(VLOOKUP(Sheet1!$C553,MAC_PHYLO!A:C,3,FALSE),"-")</f>
        <v>-</v>
      </c>
      <c r="AQ553" t="str">
        <f>_xlfn.IFNA(VLOOKUP(Sheet1!$C553,ConStruct!A:C,3,FALSE),"-")</f>
        <v>ConStruct</v>
      </c>
      <c r="AR553" t="str">
        <f>_xlfn.IFNA(VLOOKUP(Sheet1!$C553,GEA!A:C,3,FALSE),"-")</f>
        <v>GEA</v>
      </c>
      <c r="AS553" t="str">
        <f>_xlfn.IFNA(VLOOKUP(Sheet1!$C553,MAC_DSUITE!A:D,3,FALSE),"-")</f>
        <v>mac_IL_CHB</v>
      </c>
      <c r="AT553" t="str">
        <f>_xlfn.IFNA(VLOOKUP(Sheet1!$C553,MONG_DSUITE!A:E,2,FALSE),"-")</f>
        <v>macrocarpa_CHB</v>
      </c>
      <c r="AU553" t="str">
        <f>_xlfn.IFNA(VLOOKUP(Sheet1!$C553,MAC_PAINT2!A:D,4,FALSE),"-")</f>
        <v>macpaint</v>
      </c>
      <c r="AV553" t="s">
        <v>9193</v>
      </c>
      <c r="AW553" t="s">
        <v>9193</v>
      </c>
    </row>
    <row r="554" spans="1:49" customFormat="1" x14ac:dyDescent="0.4">
      <c r="A554">
        <v>4005</v>
      </c>
      <c r="B554" t="s">
        <v>208</v>
      </c>
      <c r="C554" t="s">
        <v>209</v>
      </c>
      <c r="D554" t="str">
        <f>_xlfn.CONCAT(C554,".bam")</f>
        <v>SYST-MOR-0007242.bam</v>
      </c>
      <c r="E554" t="s">
        <v>210</v>
      </c>
      <c r="F554" t="s">
        <v>2407</v>
      </c>
      <c r="G554" t="s">
        <v>2408</v>
      </c>
      <c r="H554" t="s">
        <v>2492</v>
      </c>
      <c r="I554" t="s">
        <v>207</v>
      </c>
      <c r="K554" t="s">
        <v>45</v>
      </c>
      <c r="L554" t="s">
        <v>45</v>
      </c>
      <c r="N554" t="s">
        <v>45</v>
      </c>
      <c r="P554" t="s">
        <v>31</v>
      </c>
      <c r="Q554" t="s">
        <v>46</v>
      </c>
      <c r="R554" t="s">
        <v>2597</v>
      </c>
      <c r="S554" s="1">
        <v>44840</v>
      </c>
      <c r="T554" t="s">
        <v>203</v>
      </c>
      <c r="U554" t="s">
        <v>34</v>
      </c>
      <c r="V554" s="1">
        <v>44841</v>
      </c>
      <c r="W554" t="s">
        <v>35</v>
      </c>
      <c r="X554" t="s">
        <v>204</v>
      </c>
      <c r="Y554" t="s">
        <v>205</v>
      </c>
      <c r="Z554" t="s">
        <v>206</v>
      </c>
      <c r="AA554" t="s">
        <v>207</v>
      </c>
      <c r="AD554" t="s">
        <v>45</v>
      </c>
      <c r="AE554">
        <v>39.839402999999997</v>
      </c>
      <c r="AF554">
        <v>-88.367953999999997</v>
      </c>
      <c r="AG554" t="s">
        <v>40</v>
      </c>
      <c r="AH554" t="s">
        <v>41</v>
      </c>
      <c r="AI554">
        <v>39.839281998600001</v>
      </c>
      <c r="AJ554">
        <v>-88.367903893900007</v>
      </c>
      <c r="AK554">
        <v>-1.2100139999660087E-4</v>
      </c>
      <c r="AL554">
        <v>5.0106099990898656E-5</v>
      </c>
      <c r="AM554" t="str">
        <f>_xlfn.IFNA(VLOOKUP(Sheet1!$C554,ADMIX_ALL!A:B,2,FALSE),"none")</f>
        <v>K6-18</v>
      </c>
      <c r="AN554" t="str">
        <f>_xlfn.IFNA(VLOOKUP(Sheet1!C554,ADMIX_SS!A:B,2,FALSE),"none")</f>
        <v>SubSample</v>
      </c>
      <c r="AO554" t="str">
        <f>_xlfn.IFNA(VLOOKUP(Sheet1!$C554,MONG_PHYLO!A:C,3,FALSE),"-")</f>
        <v>-</v>
      </c>
      <c r="AP554" t="str">
        <f>_xlfn.IFNA(VLOOKUP(Sheet1!$C554,MAC_PHYLO!A:C,3,FALSE),"-")</f>
        <v>-</v>
      </c>
      <c r="AQ554" t="str">
        <f>_xlfn.IFNA(VLOOKUP(Sheet1!$C554,ConStruct!A:C,3,FALSE),"-")</f>
        <v>ConStruct</v>
      </c>
      <c r="AR554" t="str">
        <f>_xlfn.IFNA(VLOOKUP(Sheet1!$C554,GEA!A:C,3,FALSE),"-")</f>
        <v>GEA</v>
      </c>
      <c r="AS554" t="str">
        <f>_xlfn.IFNA(VLOOKUP(Sheet1!$C554,MAC_DSUITE!A:D,3,FALSE),"-")</f>
        <v>mac_IL_CHB</v>
      </c>
      <c r="AT554" t="str">
        <f>_xlfn.IFNA(VLOOKUP(Sheet1!$C554,MONG_DSUITE!A:E,2,FALSE),"-")</f>
        <v>macrocarpa_CHB</v>
      </c>
      <c r="AU554" t="str">
        <f>_xlfn.IFNA(VLOOKUP(Sheet1!$C554,MAC_PAINT2!A:D,4,FALSE),"-")</f>
        <v>macpaint</v>
      </c>
      <c r="AV554" t="s">
        <v>9193</v>
      </c>
      <c r="AW554" t="s">
        <v>9193</v>
      </c>
    </row>
    <row r="555" spans="1:49" customFormat="1" x14ac:dyDescent="0.4">
      <c r="A555">
        <v>4006</v>
      </c>
      <c r="B555" t="s">
        <v>211</v>
      </c>
      <c r="C555" t="s">
        <v>212</v>
      </c>
      <c r="D555" t="str">
        <f>_xlfn.CONCAT(C555,".bam")</f>
        <v>SYST-MOR-0007243.bam</v>
      </c>
      <c r="E555" t="s">
        <v>213</v>
      </c>
      <c r="F555" t="s">
        <v>2407</v>
      </c>
      <c r="G555" t="s">
        <v>2408</v>
      </c>
      <c r="H555" t="s">
        <v>2492</v>
      </c>
      <c r="I555" t="s">
        <v>207</v>
      </c>
      <c r="K555" t="s">
        <v>45</v>
      </c>
      <c r="L555" t="s">
        <v>45</v>
      </c>
      <c r="N555" t="s">
        <v>45</v>
      </c>
      <c r="P555" t="s">
        <v>31</v>
      </c>
      <c r="Q555" t="s">
        <v>46</v>
      </c>
      <c r="R555" t="s">
        <v>2597</v>
      </c>
      <c r="S555" s="1">
        <v>44840</v>
      </c>
      <c r="T555" t="s">
        <v>203</v>
      </c>
      <c r="U555" t="s">
        <v>34</v>
      </c>
      <c r="V555" s="1">
        <v>44841</v>
      </c>
      <c r="W555" t="s">
        <v>35</v>
      </c>
      <c r="X555" t="s">
        <v>204</v>
      </c>
      <c r="Y555" t="s">
        <v>205</v>
      </c>
      <c r="Z555" t="s">
        <v>206</v>
      </c>
      <c r="AA555" t="s">
        <v>207</v>
      </c>
      <c r="AD555" t="s">
        <v>45</v>
      </c>
      <c r="AE555">
        <v>39.839036999999998</v>
      </c>
      <c r="AF555">
        <v>-88.368015999999997</v>
      </c>
      <c r="AG555" t="s">
        <v>40</v>
      </c>
      <c r="AH555" t="s">
        <v>41</v>
      </c>
      <c r="AI555">
        <v>39.839189210900003</v>
      </c>
      <c r="AJ555">
        <v>-88.367987209999995</v>
      </c>
      <c r="AK555">
        <v>1.5221090000494542E-4</v>
      </c>
      <c r="AL555">
        <v>2.8790000001777116E-5</v>
      </c>
      <c r="AM555" t="str">
        <f>_xlfn.IFNA(VLOOKUP(Sheet1!$C555,ADMIX_ALL!A:B,2,FALSE),"none")</f>
        <v>K6-18</v>
      </c>
      <c r="AN555" t="str">
        <f>_xlfn.IFNA(VLOOKUP(Sheet1!C555,ADMIX_SS!A:B,2,FALSE),"none")</f>
        <v>SubSample</v>
      </c>
      <c r="AO555" t="str">
        <f>_xlfn.IFNA(VLOOKUP(Sheet1!$C555,MONG_PHYLO!A:C,3,FALSE),"-")</f>
        <v>-</v>
      </c>
      <c r="AP555" t="str">
        <f>_xlfn.IFNA(VLOOKUP(Sheet1!$C555,MAC_PHYLO!A:C,3,FALSE),"-")</f>
        <v>-</v>
      </c>
      <c r="AQ555" t="str">
        <f>_xlfn.IFNA(VLOOKUP(Sheet1!$C555,ConStruct!A:C,3,FALSE),"-")</f>
        <v>ConStruct</v>
      </c>
      <c r="AR555" t="str">
        <f>_xlfn.IFNA(VLOOKUP(Sheet1!$C555,GEA!A:C,3,FALSE),"-")</f>
        <v>GEA</v>
      </c>
      <c r="AS555" t="str">
        <f>_xlfn.IFNA(VLOOKUP(Sheet1!$C555,MAC_DSUITE!A:D,3,FALSE),"-")</f>
        <v>mac_IL_CHB</v>
      </c>
      <c r="AT555" t="str">
        <f>_xlfn.IFNA(VLOOKUP(Sheet1!$C555,MONG_DSUITE!A:E,2,FALSE),"-")</f>
        <v>macrocarpa_CHB</v>
      </c>
      <c r="AU555" t="str">
        <f>_xlfn.IFNA(VLOOKUP(Sheet1!$C555,MAC_PAINT2!A:D,4,FALSE),"-")</f>
        <v>macpaint</v>
      </c>
      <c r="AV555" t="s">
        <v>9193</v>
      </c>
      <c r="AW555" t="s">
        <v>9193</v>
      </c>
    </row>
    <row r="556" spans="1:49" customFormat="1" x14ac:dyDescent="0.4">
      <c r="A556">
        <v>4007</v>
      </c>
      <c r="B556" t="s">
        <v>214</v>
      </c>
      <c r="C556" t="s">
        <v>215</v>
      </c>
      <c r="D556" t="str">
        <f>_xlfn.CONCAT(C556,".bam")</f>
        <v>SYST-MOR-0007244.bam</v>
      </c>
      <c r="E556" t="s">
        <v>216</v>
      </c>
      <c r="F556" t="s">
        <v>2407</v>
      </c>
      <c r="G556" t="s">
        <v>2408</v>
      </c>
      <c r="H556" t="s">
        <v>2492</v>
      </c>
      <c r="I556" t="s">
        <v>207</v>
      </c>
      <c r="K556" t="s">
        <v>64</v>
      </c>
      <c r="L556" t="s">
        <v>64</v>
      </c>
      <c r="N556" t="s">
        <v>64</v>
      </c>
      <c r="P556" t="s">
        <v>31</v>
      </c>
      <c r="Q556" t="s">
        <v>65</v>
      </c>
      <c r="R556" t="s">
        <v>2599</v>
      </c>
      <c r="S556" s="1">
        <v>44840</v>
      </c>
      <c r="T556" t="s">
        <v>203</v>
      </c>
      <c r="U556" t="s">
        <v>34</v>
      </c>
      <c r="V556" s="1">
        <v>44841</v>
      </c>
      <c r="W556" t="s">
        <v>35</v>
      </c>
      <c r="X556" t="s">
        <v>204</v>
      </c>
      <c r="Y556" t="s">
        <v>205</v>
      </c>
      <c r="Z556" t="s">
        <v>206</v>
      </c>
      <c r="AA556" t="s">
        <v>207</v>
      </c>
      <c r="AD556" t="s">
        <v>64</v>
      </c>
      <c r="AE556">
        <v>39.839322000000003</v>
      </c>
      <c r="AF556">
        <v>-88.368375999999998</v>
      </c>
      <c r="AG556" t="s">
        <v>40</v>
      </c>
      <c r="AH556" t="s">
        <v>41</v>
      </c>
      <c r="AI556">
        <v>39.839377929500003</v>
      </c>
      <c r="AJ556">
        <v>-88.368665892699994</v>
      </c>
      <c r="AK556">
        <v>5.5929500000218013E-5</v>
      </c>
      <c r="AL556">
        <v>-2.8989269999613043E-4</v>
      </c>
      <c r="AM556" t="str">
        <f>_xlfn.IFNA(VLOOKUP(Sheet1!$C556,ADMIX_ALL!A:B,2,FALSE),"none")</f>
        <v>K6-18</v>
      </c>
      <c r="AN556" t="str">
        <f>_xlfn.IFNA(VLOOKUP(Sheet1!C556,ADMIX_SS!A:B,2,FALSE),"none")</f>
        <v>SubSample</v>
      </c>
      <c r="AO556" t="str">
        <f>_xlfn.IFNA(VLOOKUP(Sheet1!$C556,MONG_PHYLO!A:C,3,FALSE),"-")</f>
        <v>-</v>
      </c>
      <c r="AP556" t="str">
        <f>_xlfn.IFNA(VLOOKUP(Sheet1!$C556,MAC_PHYLO!A:C,3,FALSE),"-")</f>
        <v>-</v>
      </c>
      <c r="AQ556" t="str">
        <f>_xlfn.IFNA(VLOOKUP(Sheet1!$C556,ConStruct!A:C,3,FALSE),"-")</f>
        <v>-</v>
      </c>
      <c r="AR556" t="str">
        <f>_xlfn.IFNA(VLOOKUP(Sheet1!$C556,GEA!A:C,3,FALSE),"-")</f>
        <v>-</v>
      </c>
      <c r="AS556" t="str">
        <f>_xlfn.IFNA(VLOOKUP(Sheet1!$C556,MAC_DSUITE!A:D,3,FALSE),"-")</f>
        <v>-</v>
      </c>
      <c r="AT556" t="str">
        <f>_xlfn.IFNA(VLOOKUP(Sheet1!$C556,MONG_DSUITE!A:E,2,FALSE),"-")</f>
        <v>xxx</v>
      </c>
      <c r="AU556" t="str">
        <f>_xlfn.IFNA(VLOOKUP(Sheet1!$C556,MAC_PAINT2!A:D,4,FALSE),"-")</f>
        <v>-</v>
      </c>
    </row>
    <row r="557" spans="1:49" customFormat="1" x14ac:dyDescent="0.4">
      <c r="A557">
        <v>4008</v>
      </c>
      <c r="B557" t="s">
        <v>217</v>
      </c>
      <c r="C557" t="s">
        <v>218</v>
      </c>
      <c r="D557" t="str">
        <f>_xlfn.CONCAT(C557,".bam")</f>
        <v>SYST-MOR-0007245.bam</v>
      </c>
      <c r="E557" t="s">
        <v>219</v>
      </c>
      <c r="F557" t="s">
        <v>2407</v>
      </c>
      <c r="G557" t="s">
        <v>2408</v>
      </c>
      <c r="H557" t="s">
        <v>2492</v>
      </c>
      <c r="I557" t="s">
        <v>207</v>
      </c>
      <c r="K557" t="s">
        <v>64</v>
      </c>
      <c r="L557" t="s">
        <v>64</v>
      </c>
      <c r="N557" t="s">
        <v>64</v>
      </c>
      <c r="P557" t="s">
        <v>31</v>
      </c>
      <c r="Q557" t="s">
        <v>65</v>
      </c>
      <c r="R557" t="s">
        <v>2599</v>
      </c>
      <c r="S557" s="1">
        <v>44840</v>
      </c>
      <c r="T557" t="s">
        <v>203</v>
      </c>
      <c r="U557" t="s">
        <v>34</v>
      </c>
      <c r="V557" s="1">
        <v>44841</v>
      </c>
      <c r="W557" t="s">
        <v>35</v>
      </c>
      <c r="X557" t="s">
        <v>204</v>
      </c>
      <c r="Y557" t="s">
        <v>205</v>
      </c>
      <c r="Z557" t="s">
        <v>206</v>
      </c>
      <c r="AA557" t="s">
        <v>207</v>
      </c>
      <c r="AD557" t="s">
        <v>64</v>
      </c>
      <c r="AE557">
        <v>39.839317999999999</v>
      </c>
      <c r="AF557">
        <v>-88.368629999999996</v>
      </c>
      <c r="AG557" t="s">
        <v>40</v>
      </c>
      <c r="AH557" t="s">
        <v>41</v>
      </c>
      <c r="AI557">
        <v>39.839334930299998</v>
      </c>
      <c r="AJ557">
        <v>-88.368708808099996</v>
      </c>
      <c r="AK557">
        <v>1.6930299999273757E-5</v>
      </c>
      <c r="AL557">
        <v>-7.8808099999605474E-5</v>
      </c>
      <c r="AM557" t="str">
        <f>_xlfn.IFNA(VLOOKUP(Sheet1!$C557,ADMIX_ALL!A:B,2,FALSE),"none")</f>
        <v>K6-18</v>
      </c>
      <c r="AN557" t="str">
        <f>_xlfn.IFNA(VLOOKUP(Sheet1!C557,ADMIX_SS!A:B,2,FALSE),"none")</f>
        <v>SubSample</v>
      </c>
      <c r="AO557" t="str">
        <f>_xlfn.IFNA(VLOOKUP(Sheet1!$C557,MONG_PHYLO!A:C,3,FALSE),"-")</f>
        <v>-</v>
      </c>
      <c r="AP557" t="str">
        <f>_xlfn.IFNA(VLOOKUP(Sheet1!$C557,MAC_PHYLO!A:C,3,FALSE),"-")</f>
        <v>-</v>
      </c>
      <c r="AQ557" t="str">
        <f>_xlfn.IFNA(VLOOKUP(Sheet1!$C557,ConStruct!A:C,3,FALSE),"-")</f>
        <v>-</v>
      </c>
      <c r="AR557" t="str">
        <f>_xlfn.IFNA(VLOOKUP(Sheet1!$C557,GEA!A:C,3,FALSE),"-")</f>
        <v>-</v>
      </c>
      <c r="AS557" t="str">
        <f>_xlfn.IFNA(VLOOKUP(Sheet1!$C557,MAC_DSUITE!A:D,3,FALSE),"-")</f>
        <v>-</v>
      </c>
      <c r="AT557" t="str">
        <f>_xlfn.IFNA(VLOOKUP(Sheet1!$C557,MONG_DSUITE!A:E,2,FALSE),"-")</f>
        <v>xxx</v>
      </c>
      <c r="AU557" t="str">
        <f>_xlfn.IFNA(VLOOKUP(Sheet1!$C557,MAC_PAINT2!A:D,4,FALSE),"-")</f>
        <v>-</v>
      </c>
    </row>
    <row r="558" spans="1:49" customFormat="1" x14ac:dyDescent="0.4">
      <c r="A558">
        <v>4009</v>
      </c>
      <c r="B558" t="s">
        <v>220</v>
      </c>
      <c r="C558" t="s">
        <v>221</v>
      </c>
      <c r="D558" t="str">
        <f>_xlfn.CONCAT(C558,".bam")</f>
        <v>SYST-MOR-0007246.bam</v>
      </c>
      <c r="E558" t="s">
        <v>222</v>
      </c>
      <c r="F558" t="s">
        <v>2407</v>
      </c>
      <c r="G558" t="s">
        <v>2408</v>
      </c>
      <c r="H558" t="s">
        <v>2492</v>
      </c>
      <c r="I558" t="s">
        <v>207</v>
      </c>
      <c r="K558" t="s">
        <v>45</v>
      </c>
      <c r="L558" t="s">
        <v>45</v>
      </c>
      <c r="N558" t="s">
        <v>45</v>
      </c>
      <c r="P558" t="s">
        <v>31</v>
      </c>
      <c r="Q558" t="s">
        <v>46</v>
      </c>
      <c r="R558" t="s">
        <v>2597</v>
      </c>
      <c r="S558" s="1">
        <v>44840</v>
      </c>
      <c r="T558" t="s">
        <v>203</v>
      </c>
      <c r="U558" t="s">
        <v>34</v>
      </c>
      <c r="V558" s="1">
        <v>44841</v>
      </c>
      <c r="W558" t="s">
        <v>35</v>
      </c>
      <c r="X558" t="s">
        <v>204</v>
      </c>
      <c r="Y558" t="s">
        <v>205</v>
      </c>
      <c r="Z558" t="s">
        <v>206</v>
      </c>
      <c r="AA558" t="s">
        <v>207</v>
      </c>
      <c r="AD558" t="s">
        <v>45</v>
      </c>
      <c r="AE558">
        <v>39.839492</v>
      </c>
      <c r="AF558">
        <v>-88.368621000000005</v>
      </c>
      <c r="AG558" t="s">
        <v>40</v>
      </c>
      <c r="AH558" t="s">
        <v>41</v>
      </c>
      <c r="AI558">
        <v>39.839522182000003</v>
      </c>
      <c r="AJ558">
        <v>-88.368774438399996</v>
      </c>
      <c r="AK558">
        <v>3.0182000003264875E-5</v>
      </c>
      <c r="AL558">
        <v>-1.5343839999104603E-4</v>
      </c>
      <c r="AM558" t="str">
        <f>_xlfn.IFNA(VLOOKUP(Sheet1!$C558,ADMIX_ALL!A:B,2,FALSE),"none")</f>
        <v>K6-18</v>
      </c>
      <c r="AN558" t="str">
        <f>_xlfn.IFNA(VLOOKUP(Sheet1!C558,ADMIX_SS!A:B,2,FALSE),"none")</f>
        <v>SubSample</v>
      </c>
      <c r="AO558" t="str">
        <f>_xlfn.IFNA(VLOOKUP(Sheet1!$C558,MONG_PHYLO!A:C,3,FALSE),"-")</f>
        <v>-</v>
      </c>
      <c r="AP558" t="str">
        <f>_xlfn.IFNA(VLOOKUP(Sheet1!$C558,MAC_PHYLO!A:C,3,FALSE),"-")</f>
        <v>-</v>
      </c>
      <c r="AQ558" t="str">
        <f>_xlfn.IFNA(VLOOKUP(Sheet1!$C558,ConStruct!A:C,3,FALSE),"-")</f>
        <v>ConStruct</v>
      </c>
      <c r="AR558" t="str">
        <f>_xlfn.IFNA(VLOOKUP(Sheet1!$C558,GEA!A:C,3,FALSE),"-")</f>
        <v>GEA</v>
      </c>
      <c r="AS558" t="str">
        <f>_xlfn.IFNA(VLOOKUP(Sheet1!$C558,MAC_DSUITE!A:D,3,FALSE),"-")</f>
        <v>mac_IL_CHB</v>
      </c>
      <c r="AT558" t="str">
        <f>_xlfn.IFNA(VLOOKUP(Sheet1!$C558,MONG_DSUITE!A:E,2,FALSE),"-")</f>
        <v>macrocarpa_CHB</v>
      </c>
      <c r="AU558" t="str">
        <f>_xlfn.IFNA(VLOOKUP(Sheet1!$C558,MAC_PAINT2!A:D,4,FALSE),"-")</f>
        <v>macpaint</v>
      </c>
      <c r="AV558" t="s">
        <v>9193</v>
      </c>
      <c r="AW558" t="s">
        <v>9193</v>
      </c>
    </row>
    <row r="559" spans="1:49" customFormat="1" x14ac:dyDescent="0.4">
      <c r="A559">
        <v>4010</v>
      </c>
      <c r="B559" t="s">
        <v>223</v>
      </c>
      <c r="C559" t="s">
        <v>224</v>
      </c>
      <c r="D559" t="str">
        <f>_xlfn.CONCAT(C559,".bam")</f>
        <v>SYST-MOR-0007247.bam</v>
      </c>
      <c r="E559" t="s">
        <v>225</v>
      </c>
      <c r="F559" t="s">
        <v>2407</v>
      </c>
      <c r="G559" t="s">
        <v>2408</v>
      </c>
      <c r="H559" t="s">
        <v>2492</v>
      </c>
      <c r="I559" t="s">
        <v>207</v>
      </c>
      <c r="K559" t="s">
        <v>45</v>
      </c>
      <c r="L559" t="s">
        <v>45</v>
      </c>
      <c r="N559" t="s">
        <v>45</v>
      </c>
      <c r="P559" t="s">
        <v>31</v>
      </c>
      <c r="Q559" t="s">
        <v>46</v>
      </c>
      <c r="R559" t="s">
        <v>2597</v>
      </c>
      <c r="S559" s="1">
        <v>44840</v>
      </c>
      <c r="T559" t="s">
        <v>203</v>
      </c>
      <c r="U559" t="s">
        <v>34</v>
      </c>
      <c r="V559" s="1">
        <v>44841</v>
      </c>
      <c r="W559" t="s">
        <v>35</v>
      </c>
      <c r="X559" t="s">
        <v>204</v>
      </c>
      <c r="Y559" t="s">
        <v>205</v>
      </c>
      <c r="Z559" t="s">
        <v>206</v>
      </c>
      <c r="AA559" t="s">
        <v>207</v>
      </c>
      <c r="AD559" t="s">
        <v>45</v>
      </c>
      <c r="AE559">
        <v>39.839765</v>
      </c>
      <c r="AF559">
        <v>-88.369113999999996</v>
      </c>
      <c r="AG559" t="s">
        <v>40</v>
      </c>
      <c r="AH559" t="s">
        <v>41</v>
      </c>
      <c r="AI559">
        <v>39.839438479199998</v>
      </c>
      <c r="AJ559">
        <v>-88.368677165199998</v>
      </c>
      <c r="AK559">
        <v>-3.2652080000161732E-4</v>
      </c>
      <c r="AL559">
        <v>4.3683479999856445E-4</v>
      </c>
      <c r="AM559" t="str">
        <f>_xlfn.IFNA(VLOOKUP(Sheet1!$C559,ADMIX_ALL!A:B,2,FALSE),"none")</f>
        <v>K6-18</v>
      </c>
      <c r="AN559" t="str">
        <f>_xlfn.IFNA(VLOOKUP(Sheet1!C559,ADMIX_SS!A:B,2,FALSE),"none")</f>
        <v>SubSample</v>
      </c>
      <c r="AO559" t="str">
        <f>_xlfn.IFNA(VLOOKUP(Sheet1!$C559,MONG_PHYLO!A:C,3,FALSE),"-")</f>
        <v>-</v>
      </c>
      <c r="AP559" t="str">
        <f>_xlfn.IFNA(VLOOKUP(Sheet1!$C559,MAC_PHYLO!A:C,3,FALSE),"-")</f>
        <v>-</v>
      </c>
      <c r="AQ559" t="str">
        <f>_xlfn.IFNA(VLOOKUP(Sheet1!$C559,ConStruct!A:C,3,FALSE),"-")</f>
        <v>ConStruct</v>
      </c>
      <c r="AR559" t="str">
        <f>_xlfn.IFNA(VLOOKUP(Sheet1!$C559,GEA!A:C,3,FALSE),"-")</f>
        <v>GEA</v>
      </c>
      <c r="AS559" t="str">
        <f>_xlfn.IFNA(VLOOKUP(Sheet1!$C559,MAC_DSUITE!A:D,3,FALSE),"-")</f>
        <v>mac_IL_CHB</v>
      </c>
      <c r="AT559" t="str">
        <f>_xlfn.IFNA(VLOOKUP(Sheet1!$C559,MONG_DSUITE!A:E,2,FALSE),"-")</f>
        <v>macrocarpa_CHB</v>
      </c>
      <c r="AU559" t="str">
        <f>_xlfn.IFNA(VLOOKUP(Sheet1!$C559,MAC_PAINT2!A:D,4,FALSE),"-")</f>
        <v>macpaint</v>
      </c>
      <c r="AV559" t="s">
        <v>9193</v>
      </c>
      <c r="AW559" t="s">
        <v>9193</v>
      </c>
    </row>
    <row r="560" spans="1:49" customFormat="1" x14ac:dyDescent="0.4">
      <c r="A560">
        <v>4011</v>
      </c>
      <c r="B560" t="s">
        <v>226</v>
      </c>
      <c r="C560" t="s">
        <v>227</v>
      </c>
      <c r="D560" t="str">
        <f>_xlfn.CONCAT(C560,".bam")</f>
        <v>SYST-MOR-0007248.bam</v>
      </c>
      <c r="E560" t="s">
        <v>228</v>
      </c>
      <c r="F560" t="s">
        <v>2407</v>
      </c>
      <c r="G560" t="s">
        <v>2408</v>
      </c>
      <c r="H560" t="s">
        <v>2492</v>
      </c>
      <c r="I560" t="s">
        <v>207</v>
      </c>
      <c r="K560" t="s">
        <v>64</v>
      </c>
      <c r="L560" t="s">
        <v>64</v>
      </c>
      <c r="M560" t="s">
        <v>64</v>
      </c>
      <c r="N560" t="s">
        <v>45</v>
      </c>
      <c r="P560" t="s">
        <v>31</v>
      </c>
      <c r="Q560" t="s">
        <v>65</v>
      </c>
      <c r="R560" t="s">
        <v>2599</v>
      </c>
      <c r="S560" s="1">
        <v>44840</v>
      </c>
      <c r="T560" t="s">
        <v>203</v>
      </c>
      <c r="U560" t="s">
        <v>34</v>
      </c>
      <c r="V560" s="1">
        <v>44841</v>
      </c>
      <c r="W560" t="s">
        <v>35</v>
      </c>
      <c r="X560" t="s">
        <v>204</v>
      </c>
      <c r="Y560" t="s">
        <v>205</v>
      </c>
      <c r="Z560" t="s">
        <v>206</v>
      </c>
      <c r="AA560" t="s">
        <v>207</v>
      </c>
      <c r="AD560" t="s">
        <v>45</v>
      </c>
      <c r="AE560">
        <v>39.839716000000003</v>
      </c>
      <c r="AF560">
        <v>-88.369110000000006</v>
      </c>
      <c r="AG560" t="s">
        <v>40</v>
      </c>
      <c r="AH560" t="s">
        <v>41</v>
      </c>
      <c r="AI560">
        <v>39.8397098696</v>
      </c>
      <c r="AJ560">
        <v>-88.369129671500005</v>
      </c>
      <c r="AK560">
        <v>-6.130400002746228E-6</v>
      </c>
      <c r="AL560">
        <v>-1.9671499998707986E-5</v>
      </c>
      <c r="AM560" t="str">
        <f>_xlfn.IFNA(VLOOKUP(Sheet1!$C560,ADMIX_ALL!A:B,2,FALSE),"none")</f>
        <v>K6-18</v>
      </c>
      <c r="AN560" t="str">
        <f>_xlfn.IFNA(VLOOKUP(Sheet1!C560,ADMIX_SS!A:B,2,FALSE),"none")</f>
        <v>SubSample</v>
      </c>
      <c r="AO560" t="str">
        <f>_xlfn.IFNA(VLOOKUP(Sheet1!$C560,MONG_PHYLO!A:C,3,FALSE),"-")</f>
        <v>-</v>
      </c>
      <c r="AP560" t="str">
        <f>_xlfn.IFNA(VLOOKUP(Sheet1!$C560,MAC_PHYLO!A:C,3,FALSE),"-")</f>
        <v>-</v>
      </c>
      <c r="AQ560" t="str">
        <f>_xlfn.IFNA(VLOOKUP(Sheet1!$C560,ConStruct!A:C,3,FALSE),"-")</f>
        <v>-</v>
      </c>
      <c r="AR560" t="str">
        <f>_xlfn.IFNA(VLOOKUP(Sheet1!$C560,GEA!A:C,3,FALSE),"-")</f>
        <v>-</v>
      </c>
      <c r="AS560" t="str">
        <f>_xlfn.IFNA(VLOOKUP(Sheet1!$C560,MAC_DSUITE!A:D,3,FALSE),"-")</f>
        <v>-</v>
      </c>
      <c r="AT560" t="str">
        <f>_xlfn.IFNA(VLOOKUP(Sheet1!$C560,MONG_DSUITE!A:E,2,FALSE),"-")</f>
        <v>xxx</v>
      </c>
      <c r="AU560" t="str">
        <f>_xlfn.IFNA(VLOOKUP(Sheet1!$C560,MAC_PAINT2!A:D,4,FALSE),"-")</f>
        <v>-</v>
      </c>
    </row>
    <row r="561" spans="1:49" customFormat="1" x14ac:dyDescent="0.4">
      <c r="A561">
        <v>4012</v>
      </c>
      <c r="B561" t="s">
        <v>229</v>
      </c>
      <c r="C561" t="s">
        <v>230</v>
      </c>
      <c r="D561" t="str">
        <f>_xlfn.CONCAT(C561,".bam")</f>
        <v>SYST-MOR-0007249.bam</v>
      </c>
      <c r="E561" t="s">
        <v>231</v>
      </c>
      <c r="F561" t="s">
        <v>2407</v>
      </c>
      <c r="G561" t="s">
        <v>2408</v>
      </c>
      <c r="H561" t="s">
        <v>2492</v>
      </c>
      <c r="I561" t="s">
        <v>207</v>
      </c>
      <c r="K561" t="s">
        <v>64</v>
      </c>
      <c r="L561" t="s">
        <v>64</v>
      </c>
      <c r="M561" t="s">
        <v>64</v>
      </c>
      <c r="N561" t="s">
        <v>45</v>
      </c>
      <c r="P561" t="s">
        <v>31</v>
      </c>
      <c r="Q561" t="s">
        <v>65</v>
      </c>
      <c r="R561" t="s">
        <v>2599</v>
      </c>
      <c r="S561" s="1">
        <v>44840</v>
      </c>
      <c r="T561" t="s">
        <v>203</v>
      </c>
      <c r="U561" t="s">
        <v>34</v>
      </c>
      <c r="V561" s="1">
        <v>44841</v>
      </c>
      <c r="W561" t="s">
        <v>35</v>
      </c>
      <c r="X561" t="s">
        <v>204</v>
      </c>
      <c r="Y561" t="s">
        <v>205</v>
      </c>
      <c r="Z561" t="s">
        <v>206</v>
      </c>
      <c r="AA561" t="s">
        <v>207</v>
      </c>
      <c r="AD561" t="s">
        <v>45</v>
      </c>
      <c r="AE561">
        <v>39.839182999999998</v>
      </c>
      <c r="AF561">
        <v>-88.369715999999997</v>
      </c>
      <c r="AG561" t="s">
        <v>40</v>
      </c>
      <c r="AH561" t="s">
        <v>41</v>
      </c>
      <c r="AI561">
        <v>39.8391398415</v>
      </c>
      <c r="AJ561">
        <v>-88.369703404700005</v>
      </c>
      <c r="AK561">
        <v>-4.3158499998696698E-5</v>
      </c>
      <c r="AL561">
        <v>1.2595299992312903E-5</v>
      </c>
      <c r="AM561" t="str">
        <f>_xlfn.IFNA(VLOOKUP(Sheet1!$C561,ADMIX_ALL!A:B,2,FALSE),"none")</f>
        <v>K6-18</v>
      </c>
      <c r="AN561" t="str">
        <f>_xlfn.IFNA(VLOOKUP(Sheet1!C561,ADMIX_SS!A:B,2,FALSE),"none")</f>
        <v>SubSample</v>
      </c>
      <c r="AO561" t="str">
        <f>_xlfn.IFNA(VLOOKUP(Sheet1!$C561,MONG_PHYLO!A:C,3,FALSE),"-")</f>
        <v>-</v>
      </c>
      <c r="AP561" t="str">
        <f>_xlfn.IFNA(VLOOKUP(Sheet1!$C561,MAC_PHYLO!A:C,3,FALSE),"-")</f>
        <v>-</v>
      </c>
      <c r="AQ561" t="str">
        <f>_xlfn.IFNA(VLOOKUP(Sheet1!$C561,ConStruct!A:C,3,FALSE),"-")</f>
        <v>-</v>
      </c>
      <c r="AR561" t="str">
        <f>_xlfn.IFNA(VLOOKUP(Sheet1!$C561,GEA!A:C,3,FALSE),"-")</f>
        <v>-</v>
      </c>
      <c r="AS561" t="str">
        <f>_xlfn.IFNA(VLOOKUP(Sheet1!$C561,MAC_DSUITE!A:D,3,FALSE),"-")</f>
        <v>-</v>
      </c>
      <c r="AT561" t="str">
        <f>_xlfn.IFNA(VLOOKUP(Sheet1!$C561,MONG_DSUITE!A:E,2,FALSE),"-")</f>
        <v>xxx</v>
      </c>
      <c r="AU561" t="str">
        <f>_xlfn.IFNA(VLOOKUP(Sheet1!$C561,MAC_PAINT2!A:D,4,FALSE),"-")</f>
        <v>-</v>
      </c>
    </row>
    <row r="562" spans="1:49" customFormat="1" x14ac:dyDescent="0.4">
      <c r="A562">
        <v>4013</v>
      </c>
      <c r="B562" t="s">
        <v>232</v>
      </c>
      <c r="C562" t="s">
        <v>233</v>
      </c>
      <c r="D562" t="str">
        <f>_xlfn.CONCAT(C562,".bam")</f>
        <v>SYST-MOR-0007250.bam</v>
      </c>
      <c r="E562" t="s">
        <v>234</v>
      </c>
      <c r="F562" t="s">
        <v>2407</v>
      </c>
      <c r="G562" t="s">
        <v>2408</v>
      </c>
      <c r="H562" t="s">
        <v>2492</v>
      </c>
      <c r="I562" t="s">
        <v>207</v>
      </c>
      <c r="K562" t="s">
        <v>64</v>
      </c>
      <c r="L562" t="s">
        <v>64</v>
      </c>
      <c r="M562" t="s">
        <v>64</v>
      </c>
      <c r="N562" t="s">
        <v>45</v>
      </c>
      <c r="P562" t="s">
        <v>31</v>
      </c>
      <c r="Q562" t="s">
        <v>65</v>
      </c>
      <c r="R562" t="s">
        <v>2599</v>
      </c>
      <c r="S562" s="1">
        <v>44840</v>
      </c>
      <c r="T562" t="s">
        <v>203</v>
      </c>
      <c r="U562" t="s">
        <v>34</v>
      </c>
      <c r="V562" s="1">
        <v>44841</v>
      </c>
      <c r="W562" t="s">
        <v>35</v>
      </c>
      <c r="X562" t="s">
        <v>204</v>
      </c>
      <c r="Y562" t="s">
        <v>205</v>
      </c>
      <c r="Z562" t="s">
        <v>206</v>
      </c>
      <c r="AA562" t="s">
        <v>207</v>
      </c>
      <c r="AD562" t="s">
        <v>45</v>
      </c>
      <c r="AE562">
        <v>39.839106999999998</v>
      </c>
      <c r="AF562">
        <v>-88.369207000000003</v>
      </c>
      <c r="AG562" t="s">
        <v>40</v>
      </c>
      <c r="AH562" t="s">
        <v>41</v>
      </c>
      <c r="AI562">
        <v>39.839214356699998</v>
      </c>
      <c r="AJ562">
        <v>-88.369318256200003</v>
      </c>
      <c r="AK562">
        <v>1.0735669999917263E-4</v>
      </c>
      <c r="AL562">
        <v>-1.1125620000029812E-4</v>
      </c>
      <c r="AM562" t="str">
        <f>_xlfn.IFNA(VLOOKUP(Sheet1!$C562,ADMIX_ALL!A:B,2,FALSE),"none")</f>
        <v>K6-18</v>
      </c>
      <c r="AN562" t="str">
        <f>_xlfn.IFNA(VLOOKUP(Sheet1!C562,ADMIX_SS!A:B,2,FALSE),"none")</f>
        <v>SubSample</v>
      </c>
      <c r="AO562" t="str">
        <f>_xlfn.IFNA(VLOOKUP(Sheet1!$C562,MONG_PHYLO!A:C,3,FALSE),"-")</f>
        <v>-</v>
      </c>
      <c r="AP562" t="str">
        <f>_xlfn.IFNA(VLOOKUP(Sheet1!$C562,MAC_PHYLO!A:C,3,FALSE),"-")</f>
        <v>-</v>
      </c>
      <c r="AQ562" t="str">
        <f>_xlfn.IFNA(VLOOKUP(Sheet1!$C562,ConStruct!A:C,3,FALSE),"-")</f>
        <v>-</v>
      </c>
      <c r="AR562" t="str">
        <f>_xlfn.IFNA(VLOOKUP(Sheet1!$C562,GEA!A:C,3,FALSE),"-")</f>
        <v>-</v>
      </c>
      <c r="AS562" t="str">
        <f>_xlfn.IFNA(VLOOKUP(Sheet1!$C562,MAC_DSUITE!A:D,3,FALSE),"-")</f>
        <v>-</v>
      </c>
      <c r="AT562" t="str">
        <f>_xlfn.IFNA(VLOOKUP(Sheet1!$C562,MONG_DSUITE!A:E,2,FALSE),"-")</f>
        <v>xxx</v>
      </c>
      <c r="AU562" t="str">
        <f>_xlfn.IFNA(VLOOKUP(Sheet1!$C562,MAC_PAINT2!A:D,4,FALSE),"-")</f>
        <v>-</v>
      </c>
    </row>
    <row r="563" spans="1:49" customFormat="1" x14ac:dyDescent="0.4">
      <c r="A563">
        <v>4014</v>
      </c>
      <c r="B563" t="s">
        <v>1256</v>
      </c>
      <c r="C563" t="s">
        <v>1257</v>
      </c>
      <c r="D563" t="str">
        <f>_xlfn.CONCAT(C563,".bam")</f>
        <v>SYST-MOR-0007251.bam</v>
      </c>
      <c r="E563" t="s">
        <v>1258</v>
      </c>
      <c r="F563" t="s">
        <v>2439</v>
      </c>
      <c r="G563" t="s">
        <v>2440</v>
      </c>
      <c r="H563" t="s">
        <v>2527</v>
      </c>
      <c r="I563" t="s">
        <v>1262</v>
      </c>
      <c r="K563" t="s">
        <v>45</v>
      </c>
      <c r="L563" t="s">
        <v>45</v>
      </c>
      <c r="N563" t="s">
        <v>45</v>
      </c>
      <c r="P563" t="s">
        <v>31</v>
      </c>
      <c r="Q563" t="s">
        <v>46</v>
      </c>
      <c r="R563" t="s">
        <v>2597</v>
      </c>
      <c r="S563" s="1">
        <v>44784</v>
      </c>
      <c r="T563" t="s">
        <v>1259</v>
      </c>
      <c r="U563" t="s">
        <v>34</v>
      </c>
      <c r="V563" s="1">
        <v>44803</v>
      </c>
      <c r="W563" t="s">
        <v>35</v>
      </c>
      <c r="X563" t="s">
        <v>1260</v>
      </c>
      <c r="Y563" t="s">
        <v>1261</v>
      </c>
      <c r="Z563" t="s">
        <v>206</v>
      </c>
      <c r="AA563" t="s">
        <v>1262</v>
      </c>
      <c r="AD563" t="s">
        <v>45</v>
      </c>
      <c r="AE563">
        <v>45.398057999999999</v>
      </c>
      <c r="AF563">
        <v>-93.182768999999993</v>
      </c>
      <c r="AG563" t="s">
        <v>40</v>
      </c>
      <c r="AH563" t="s">
        <v>41</v>
      </c>
      <c r="AI563">
        <v>45.398007300000003</v>
      </c>
      <c r="AJ563">
        <v>-93.182817099999994</v>
      </c>
      <c r="AK563">
        <v>-5.0699999995629241E-5</v>
      </c>
      <c r="AL563">
        <v>-4.8100000000772525E-5</v>
      </c>
      <c r="AM563" t="str">
        <f>_xlfn.IFNA(VLOOKUP(Sheet1!$C563,ADMIX_ALL!A:B,2,FALSE),"none")</f>
        <v>K6-18</v>
      </c>
      <c r="AN563" t="str">
        <f>_xlfn.IFNA(VLOOKUP(Sheet1!C563,ADMIX_SS!A:B,2,FALSE),"none")</f>
        <v>SubSample</v>
      </c>
      <c r="AO563" t="str">
        <f>_xlfn.IFNA(VLOOKUP(Sheet1!$C563,MONG_PHYLO!A:C,3,FALSE),"-")</f>
        <v>-</v>
      </c>
      <c r="AP563" t="str">
        <f>_xlfn.IFNA(VLOOKUP(Sheet1!$C563,MAC_PHYLO!A:C,3,FALSE),"-")</f>
        <v>-</v>
      </c>
      <c r="AQ563" t="str">
        <f>_xlfn.IFNA(VLOOKUP(Sheet1!$C563,ConStruct!A:C,3,FALSE),"-")</f>
        <v>ConStruct</v>
      </c>
      <c r="AR563" t="str">
        <f>_xlfn.IFNA(VLOOKUP(Sheet1!$C563,GEA!A:C,3,FALSE),"-")</f>
        <v>GEA</v>
      </c>
      <c r="AS563" t="str">
        <f>_xlfn.IFNA(VLOOKUP(Sheet1!$C563,MAC_DSUITE!A:D,3,FALSE),"-")</f>
        <v>mac_MN_CDR</v>
      </c>
      <c r="AT563" t="str">
        <f>_xlfn.IFNA(VLOOKUP(Sheet1!$C563,MONG_DSUITE!A:E,2,FALSE),"-")</f>
        <v>macrocarpa_CDR</v>
      </c>
      <c r="AU563" t="str">
        <f>_xlfn.IFNA(VLOOKUP(Sheet1!$C563,MAC_PAINT2!A:D,4,FALSE),"-")</f>
        <v>macpaint</v>
      </c>
      <c r="AV563" t="s">
        <v>9193</v>
      </c>
      <c r="AW563" t="s">
        <v>9193</v>
      </c>
    </row>
    <row r="564" spans="1:49" customFormat="1" x14ac:dyDescent="0.4">
      <c r="A564">
        <v>4015</v>
      </c>
      <c r="B564" t="s">
        <v>1263</v>
      </c>
      <c r="C564" t="s">
        <v>1264</v>
      </c>
      <c r="D564" t="str">
        <f>_xlfn.CONCAT(C564,".bam")</f>
        <v>SYST-MOR-0007252.bam</v>
      </c>
      <c r="E564" t="s">
        <v>1265</v>
      </c>
      <c r="F564" t="s">
        <v>2439</v>
      </c>
      <c r="G564" t="s">
        <v>2440</v>
      </c>
      <c r="H564" t="s">
        <v>2527</v>
      </c>
      <c r="I564" t="s">
        <v>1262</v>
      </c>
      <c r="K564" t="s">
        <v>45</v>
      </c>
      <c r="L564" t="s">
        <v>45</v>
      </c>
      <c r="N564" t="s">
        <v>45</v>
      </c>
      <c r="P564" t="s">
        <v>31</v>
      </c>
      <c r="Q564" t="s">
        <v>46</v>
      </c>
      <c r="R564" t="s">
        <v>2597</v>
      </c>
      <c r="S564" s="1">
        <v>44784</v>
      </c>
      <c r="T564" t="s">
        <v>1259</v>
      </c>
      <c r="U564" t="s">
        <v>34</v>
      </c>
      <c r="V564" s="1">
        <v>44803</v>
      </c>
      <c r="W564" t="s">
        <v>35</v>
      </c>
      <c r="X564" t="s">
        <v>1260</v>
      </c>
      <c r="Y564" t="s">
        <v>1261</v>
      </c>
      <c r="Z564" t="s">
        <v>206</v>
      </c>
      <c r="AA564" t="s">
        <v>1262</v>
      </c>
      <c r="AD564" t="s">
        <v>45</v>
      </c>
      <c r="AE564">
        <v>45.397713000000003</v>
      </c>
      <c r="AF564">
        <v>-93.182551000000004</v>
      </c>
      <c r="AG564" t="s">
        <v>40</v>
      </c>
      <c r="AH564" t="s">
        <v>41</v>
      </c>
      <c r="AI564">
        <v>45.397771499999998</v>
      </c>
      <c r="AJ564">
        <v>-93.182542900000001</v>
      </c>
      <c r="AK564">
        <v>5.8499999994410246E-5</v>
      </c>
      <c r="AL564">
        <v>8.1000000022868335E-6</v>
      </c>
      <c r="AM564" t="str">
        <f>_xlfn.IFNA(VLOOKUP(Sheet1!$C564,ADMIX_ALL!A:B,2,FALSE),"none")</f>
        <v>K6-18</v>
      </c>
      <c r="AN564" t="str">
        <f>_xlfn.IFNA(VLOOKUP(Sheet1!C564,ADMIX_SS!A:B,2,FALSE),"none")</f>
        <v>SubSample</v>
      </c>
      <c r="AO564" t="str">
        <f>_xlfn.IFNA(VLOOKUP(Sheet1!$C564,MONG_PHYLO!A:C,3,FALSE),"-")</f>
        <v>-</v>
      </c>
      <c r="AP564" t="str">
        <f>_xlfn.IFNA(VLOOKUP(Sheet1!$C564,MAC_PHYLO!A:C,3,FALSE),"-")</f>
        <v>-</v>
      </c>
      <c r="AQ564" t="str">
        <f>_xlfn.IFNA(VLOOKUP(Sheet1!$C564,ConStruct!A:C,3,FALSE),"-")</f>
        <v>ConStruct</v>
      </c>
      <c r="AR564" t="str">
        <f>_xlfn.IFNA(VLOOKUP(Sheet1!$C564,GEA!A:C,3,FALSE),"-")</f>
        <v>GEA</v>
      </c>
      <c r="AS564" t="str">
        <f>_xlfn.IFNA(VLOOKUP(Sheet1!$C564,MAC_DSUITE!A:D,3,FALSE),"-")</f>
        <v>mac_MN_CDR</v>
      </c>
      <c r="AT564" t="str">
        <f>_xlfn.IFNA(VLOOKUP(Sheet1!$C564,MONG_DSUITE!A:E,2,FALSE),"-")</f>
        <v>macrocarpa_CDR</v>
      </c>
      <c r="AU564" t="str">
        <f>_xlfn.IFNA(VLOOKUP(Sheet1!$C564,MAC_PAINT2!A:D,4,FALSE),"-")</f>
        <v>macpaint</v>
      </c>
      <c r="AV564" t="s">
        <v>9193</v>
      </c>
      <c r="AW564" t="s">
        <v>9193</v>
      </c>
    </row>
    <row r="565" spans="1:49" customFormat="1" x14ac:dyDescent="0.4">
      <c r="A565">
        <v>4016</v>
      </c>
      <c r="B565" t="s">
        <v>1266</v>
      </c>
      <c r="C565" t="s">
        <v>1267</v>
      </c>
      <c r="D565" t="str">
        <f>_xlfn.CONCAT(C565,".bam")</f>
        <v>SYST-MOR-0007253.bam</v>
      </c>
      <c r="E565" t="s">
        <v>1268</v>
      </c>
      <c r="F565" t="s">
        <v>2439</v>
      </c>
      <c r="G565" t="s">
        <v>2440</v>
      </c>
      <c r="H565" t="s">
        <v>2527</v>
      </c>
      <c r="I565" t="s">
        <v>1262</v>
      </c>
      <c r="K565" t="s">
        <v>45</v>
      </c>
      <c r="L565" t="s">
        <v>45</v>
      </c>
      <c r="N565" t="s">
        <v>45</v>
      </c>
      <c r="P565" t="s">
        <v>31</v>
      </c>
      <c r="Q565" t="s">
        <v>46</v>
      </c>
      <c r="R565" t="s">
        <v>2597</v>
      </c>
      <c r="S565" s="1">
        <v>44784</v>
      </c>
      <c r="T565" t="s">
        <v>1259</v>
      </c>
      <c r="U565" t="s">
        <v>34</v>
      </c>
      <c r="V565" s="1">
        <v>44803</v>
      </c>
      <c r="W565" t="s">
        <v>35</v>
      </c>
      <c r="X565" t="s">
        <v>1260</v>
      </c>
      <c r="Y565" t="s">
        <v>1261</v>
      </c>
      <c r="Z565" t="s">
        <v>206</v>
      </c>
      <c r="AA565" t="s">
        <v>1262</v>
      </c>
      <c r="AD565" t="s">
        <v>45</v>
      </c>
      <c r="AE565">
        <v>45.398910999999998</v>
      </c>
      <c r="AF565">
        <v>-93.183117999999993</v>
      </c>
      <c r="AG565" t="s">
        <v>40</v>
      </c>
      <c r="AH565" t="s">
        <v>41</v>
      </c>
      <c r="AI565">
        <v>45.399020100000001</v>
      </c>
      <c r="AJ565">
        <v>-93.183098299999997</v>
      </c>
      <c r="AK565">
        <v>1.0910000000308173E-4</v>
      </c>
      <c r="AL565">
        <v>1.9699999995737016E-5</v>
      </c>
      <c r="AM565" t="str">
        <f>_xlfn.IFNA(VLOOKUP(Sheet1!$C565,ADMIX_ALL!A:B,2,FALSE),"none")</f>
        <v>K6-18</v>
      </c>
      <c r="AN565" t="str">
        <f>_xlfn.IFNA(VLOOKUP(Sheet1!C565,ADMIX_SS!A:B,2,FALSE),"none")</f>
        <v>SubSample</v>
      </c>
      <c r="AO565" t="str">
        <f>_xlfn.IFNA(VLOOKUP(Sheet1!$C565,MONG_PHYLO!A:C,3,FALSE),"-")</f>
        <v>-</v>
      </c>
      <c r="AP565" t="str">
        <f>_xlfn.IFNA(VLOOKUP(Sheet1!$C565,MAC_PHYLO!A:C,3,FALSE),"-")</f>
        <v>-</v>
      </c>
      <c r="AQ565" t="str">
        <f>_xlfn.IFNA(VLOOKUP(Sheet1!$C565,ConStruct!A:C,3,FALSE),"-")</f>
        <v>ConStruct</v>
      </c>
      <c r="AR565" t="str">
        <f>_xlfn.IFNA(VLOOKUP(Sheet1!$C565,GEA!A:C,3,FALSE),"-")</f>
        <v>GEA</v>
      </c>
      <c r="AS565" t="str">
        <f>_xlfn.IFNA(VLOOKUP(Sheet1!$C565,MAC_DSUITE!A:D,3,FALSE),"-")</f>
        <v>mac_MN_CDR</v>
      </c>
      <c r="AT565" t="str">
        <f>_xlfn.IFNA(VLOOKUP(Sheet1!$C565,MONG_DSUITE!A:E,2,FALSE),"-")</f>
        <v>macrocarpa_CDR</v>
      </c>
      <c r="AU565" t="str">
        <f>_xlfn.IFNA(VLOOKUP(Sheet1!$C565,MAC_PAINT2!A:D,4,FALSE),"-")</f>
        <v>macpaint</v>
      </c>
      <c r="AV565" t="s">
        <v>9193</v>
      </c>
      <c r="AW565" t="s">
        <v>9193</v>
      </c>
    </row>
    <row r="566" spans="1:49" customFormat="1" x14ac:dyDescent="0.4">
      <c r="A566">
        <v>4017</v>
      </c>
      <c r="B566" t="s">
        <v>1269</v>
      </c>
      <c r="C566" t="s">
        <v>1270</v>
      </c>
      <c r="D566" t="str">
        <f>_xlfn.CONCAT(C566,".bam")</f>
        <v>SYST-MOR-0007254.bam</v>
      </c>
      <c r="E566" t="s">
        <v>1271</v>
      </c>
      <c r="F566" t="s">
        <v>2439</v>
      </c>
      <c r="G566" t="s">
        <v>2440</v>
      </c>
      <c r="H566" t="s">
        <v>2527</v>
      </c>
      <c r="I566" t="s">
        <v>1262</v>
      </c>
      <c r="K566" t="s">
        <v>45</v>
      </c>
      <c r="L566" t="s">
        <v>45</v>
      </c>
      <c r="N566" t="s">
        <v>45</v>
      </c>
      <c r="P566" t="s">
        <v>31</v>
      </c>
      <c r="Q566" t="s">
        <v>114</v>
      </c>
      <c r="R566" t="s">
        <v>2597</v>
      </c>
      <c r="S566" s="1">
        <v>44784</v>
      </c>
      <c r="T566" t="s">
        <v>1259</v>
      </c>
      <c r="U566" t="s">
        <v>34</v>
      </c>
      <c r="V566" s="1">
        <v>44803</v>
      </c>
      <c r="W566" t="s">
        <v>35</v>
      </c>
      <c r="X566" t="s">
        <v>1260</v>
      </c>
      <c r="Y566" t="s">
        <v>1261</v>
      </c>
      <c r="Z566" t="s">
        <v>206</v>
      </c>
      <c r="AA566" t="s">
        <v>1262</v>
      </c>
      <c r="AD566" t="s">
        <v>45</v>
      </c>
      <c r="AE566">
        <v>45.401020000000003</v>
      </c>
      <c r="AF566">
        <v>-93.183355000000006</v>
      </c>
      <c r="AG566" t="s">
        <v>40</v>
      </c>
      <c r="AH566" t="s">
        <v>41</v>
      </c>
      <c r="AI566">
        <v>45.401022699999999</v>
      </c>
      <c r="AJ566">
        <v>-93.183334700000003</v>
      </c>
      <c r="AK566">
        <v>2.6999999960253263E-6</v>
      </c>
      <c r="AL566">
        <v>2.0300000002748675E-5</v>
      </c>
      <c r="AM566" t="str">
        <f>_xlfn.IFNA(VLOOKUP(Sheet1!$C566,ADMIX_ALL!A:B,2,FALSE),"none")</f>
        <v>K6-18</v>
      </c>
      <c r="AN566" t="str">
        <f>_xlfn.IFNA(VLOOKUP(Sheet1!C566,ADMIX_SS!A:B,2,FALSE),"none")</f>
        <v>SubSample</v>
      </c>
      <c r="AO566" t="str">
        <f>_xlfn.IFNA(VLOOKUP(Sheet1!$C566,MONG_PHYLO!A:C,3,FALSE),"-")</f>
        <v>-</v>
      </c>
      <c r="AP566" t="str">
        <f>_xlfn.IFNA(VLOOKUP(Sheet1!$C566,MAC_PHYLO!A:C,3,FALSE),"-")</f>
        <v>-</v>
      </c>
      <c r="AQ566" t="str">
        <f>_xlfn.IFNA(VLOOKUP(Sheet1!$C566,ConStruct!A:C,3,FALSE),"-")</f>
        <v>ConStruct</v>
      </c>
      <c r="AR566" t="str">
        <f>_xlfn.IFNA(VLOOKUP(Sheet1!$C566,GEA!A:C,3,FALSE),"-")</f>
        <v>GEA</v>
      </c>
      <c r="AS566" t="str">
        <f>_xlfn.IFNA(VLOOKUP(Sheet1!$C566,MAC_DSUITE!A:D,3,FALSE),"-")</f>
        <v>mac_MN_CDR</v>
      </c>
      <c r="AT566" t="str">
        <f>_xlfn.IFNA(VLOOKUP(Sheet1!$C566,MONG_DSUITE!A:E,2,FALSE),"-")</f>
        <v>macrocarpa_CDR</v>
      </c>
      <c r="AU566" t="str">
        <f>_xlfn.IFNA(VLOOKUP(Sheet1!$C566,MAC_PAINT2!A:D,4,FALSE),"-")</f>
        <v>macpaint</v>
      </c>
      <c r="AV566" t="s">
        <v>9193</v>
      </c>
      <c r="AW566" t="s">
        <v>9193</v>
      </c>
    </row>
    <row r="567" spans="1:49" customFormat="1" x14ac:dyDescent="0.4">
      <c r="A567">
        <v>4018</v>
      </c>
      <c r="B567" t="s">
        <v>1272</v>
      </c>
      <c r="C567" t="s">
        <v>1273</v>
      </c>
      <c r="D567" t="str">
        <f>_xlfn.CONCAT(C567,".bam")</f>
        <v>SYST-MOR-0007255.bam</v>
      </c>
      <c r="E567" t="s">
        <v>1274</v>
      </c>
      <c r="F567" t="s">
        <v>2439</v>
      </c>
      <c r="G567" t="s">
        <v>2440</v>
      </c>
      <c r="H567" t="s">
        <v>2527</v>
      </c>
      <c r="I567" t="s">
        <v>1262</v>
      </c>
      <c r="K567" t="s">
        <v>45</v>
      </c>
      <c r="L567" t="s">
        <v>45</v>
      </c>
      <c r="N567" t="s">
        <v>45</v>
      </c>
      <c r="P567" t="s">
        <v>31</v>
      </c>
      <c r="Q567" t="s">
        <v>114</v>
      </c>
      <c r="R567" t="s">
        <v>2597</v>
      </c>
      <c r="S567" s="1">
        <v>44784</v>
      </c>
      <c r="T567" t="s">
        <v>1259</v>
      </c>
      <c r="U567" t="s">
        <v>34</v>
      </c>
      <c r="V567" s="1">
        <v>44803</v>
      </c>
      <c r="W567" t="s">
        <v>35</v>
      </c>
      <c r="X567" t="s">
        <v>1260</v>
      </c>
      <c r="Y567" t="s">
        <v>1261</v>
      </c>
      <c r="Z567" t="s">
        <v>206</v>
      </c>
      <c r="AA567" t="s">
        <v>1262</v>
      </c>
      <c r="AD567" t="s">
        <v>45</v>
      </c>
      <c r="AE567">
        <v>45.400162000000002</v>
      </c>
      <c r="AF567">
        <v>-93.183261000000002</v>
      </c>
      <c r="AG567" t="s">
        <v>40</v>
      </c>
      <c r="AH567" t="s">
        <v>41</v>
      </c>
      <c r="AI567">
        <v>45.4001406</v>
      </c>
      <c r="AJ567">
        <v>-93.183275899999998</v>
      </c>
      <c r="AK567">
        <v>-2.1400000001392527E-5</v>
      </c>
      <c r="AL567">
        <v>-1.4899999996487168E-5</v>
      </c>
      <c r="AM567" t="str">
        <f>_xlfn.IFNA(VLOOKUP(Sheet1!$C567,ADMIX_ALL!A:B,2,FALSE),"none")</f>
        <v>K6-18</v>
      </c>
      <c r="AN567" t="str">
        <f>_xlfn.IFNA(VLOOKUP(Sheet1!C567,ADMIX_SS!A:B,2,FALSE),"none")</f>
        <v>Constant</v>
      </c>
      <c r="AO567" t="str">
        <f>_xlfn.IFNA(VLOOKUP(Sheet1!$C567,MONG_PHYLO!A:C,3,FALSE),"-")</f>
        <v>macN</v>
      </c>
      <c r="AP567" t="str">
        <f>_xlfn.IFNA(VLOOKUP(Sheet1!$C567,MAC_PHYLO!A:C,3,FALSE),"-")</f>
        <v>-</v>
      </c>
      <c r="AQ567" t="str">
        <f>_xlfn.IFNA(VLOOKUP(Sheet1!$C567,ConStruct!A:C,3,FALSE),"-")</f>
        <v>ConStruct</v>
      </c>
      <c r="AR567" t="str">
        <f>_xlfn.IFNA(VLOOKUP(Sheet1!$C567,GEA!A:C,3,FALSE),"-")</f>
        <v>GEA</v>
      </c>
      <c r="AS567" t="str">
        <f>_xlfn.IFNA(VLOOKUP(Sheet1!$C567,MAC_DSUITE!A:D,3,FALSE),"-")</f>
        <v>mac_MN_CDR</v>
      </c>
      <c r="AT567" t="str">
        <f>_xlfn.IFNA(VLOOKUP(Sheet1!$C567,MONG_DSUITE!A:E,2,FALSE),"-")</f>
        <v>macrocarpa_CDR</v>
      </c>
      <c r="AU567" t="str">
        <f>_xlfn.IFNA(VLOOKUP(Sheet1!$C567,MAC_PAINT2!A:D,4,FALSE),"-")</f>
        <v>macpaint</v>
      </c>
      <c r="AV567" t="s">
        <v>9193</v>
      </c>
      <c r="AW567" t="s">
        <v>9193</v>
      </c>
    </row>
    <row r="568" spans="1:49" customFormat="1" x14ac:dyDescent="0.4">
      <c r="A568">
        <v>4019</v>
      </c>
      <c r="B568" t="s">
        <v>1287</v>
      </c>
      <c r="C568" t="s">
        <v>1288</v>
      </c>
      <c r="D568" t="str">
        <f>_xlfn.CONCAT(C568,".bam")</f>
        <v>SYST-MOR-0007256.bam</v>
      </c>
      <c r="E568" t="s">
        <v>1289</v>
      </c>
      <c r="F568" t="s">
        <v>2439</v>
      </c>
      <c r="G568" t="s">
        <v>2440</v>
      </c>
      <c r="H568" t="s">
        <v>2527</v>
      </c>
      <c r="I568" t="s">
        <v>1262</v>
      </c>
      <c r="J568" t="s">
        <v>1274</v>
      </c>
      <c r="K568" t="s">
        <v>64</v>
      </c>
      <c r="L568" t="s">
        <v>64</v>
      </c>
      <c r="N568" t="s">
        <v>64</v>
      </c>
      <c r="P568" t="s">
        <v>31</v>
      </c>
      <c r="Q568" t="s">
        <v>65</v>
      </c>
      <c r="R568" t="s">
        <v>2599</v>
      </c>
      <c r="S568" s="1">
        <v>44799</v>
      </c>
      <c r="T568" t="s">
        <v>1259</v>
      </c>
      <c r="U568" t="s">
        <v>34</v>
      </c>
      <c r="V568" s="1">
        <v>44803</v>
      </c>
      <c r="W568" t="s">
        <v>35</v>
      </c>
      <c r="X568" t="s">
        <v>1260</v>
      </c>
      <c r="Y568" t="s">
        <v>1261</v>
      </c>
      <c r="Z568" t="s">
        <v>206</v>
      </c>
      <c r="AA568" t="s">
        <v>1262</v>
      </c>
      <c r="AD568" t="s">
        <v>64</v>
      </c>
      <c r="AE568">
        <v>45.400886</v>
      </c>
      <c r="AF568">
        <v>-93.200292000000005</v>
      </c>
      <c r="AG568" t="s">
        <v>40</v>
      </c>
      <c r="AH568" t="s">
        <v>41</v>
      </c>
      <c r="AI568">
        <v>45.400886</v>
      </c>
      <c r="AJ568">
        <v>-93.200292000000005</v>
      </c>
      <c r="AK568">
        <v>0</v>
      </c>
      <c r="AL568">
        <v>0</v>
      </c>
      <c r="AM568" t="str">
        <f>_xlfn.IFNA(VLOOKUP(Sheet1!$C568,ADMIX_ALL!A:B,2,FALSE),"none")</f>
        <v>K6-18</v>
      </c>
      <c r="AN568" t="str">
        <f>_xlfn.IFNA(VLOOKUP(Sheet1!C568,ADMIX_SS!A:B,2,FALSE),"none")</f>
        <v>SubSample</v>
      </c>
      <c r="AO568" t="str">
        <f>_xlfn.IFNA(VLOOKUP(Sheet1!$C568,MONG_PHYLO!A:C,3,FALSE),"-")</f>
        <v>-</v>
      </c>
      <c r="AP568" t="str">
        <f>_xlfn.IFNA(VLOOKUP(Sheet1!$C568,MAC_PHYLO!A:C,3,FALSE),"-")</f>
        <v>-</v>
      </c>
      <c r="AQ568" t="str">
        <f>_xlfn.IFNA(VLOOKUP(Sheet1!$C568,ConStruct!A:C,3,FALSE),"-")</f>
        <v>-</v>
      </c>
      <c r="AR568" t="str">
        <f>_xlfn.IFNA(VLOOKUP(Sheet1!$C568,GEA!A:C,3,FALSE),"-")</f>
        <v>-</v>
      </c>
      <c r="AS568" t="str">
        <f>_xlfn.IFNA(VLOOKUP(Sheet1!$C568,MAC_DSUITE!A:D,3,FALSE),"-")</f>
        <v>-</v>
      </c>
      <c r="AT568" t="str">
        <f>_xlfn.IFNA(VLOOKUP(Sheet1!$C568,MONG_DSUITE!A:E,2,FALSE),"-")</f>
        <v>xxx</v>
      </c>
      <c r="AU568" t="str">
        <f>_xlfn.IFNA(VLOOKUP(Sheet1!$C568,MAC_PAINT2!A:D,4,FALSE),"-")</f>
        <v>-</v>
      </c>
    </row>
    <row r="569" spans="1:49" customFormat="1" x14ac:dyDescent="0.4">
      <c r="A569">
        <v>4020</v>
      </c>
      <c r="B569" t="s">
        <v>1275</v>
      </c>
      <c r="C569" t="s">
        <v>1276</v>
      </c>
      <c r="D569" t="str">
        <f>_xlfn.CONCAT(C569,".bam")</f>
        <v>SYST-MOR-0007257.bam</v>
      </c>
      <c r="E569" t="s">
        <v>1277</v>
      </c>
      <c r="F569" t="s">
        <v>2439</v>
      </c>
      <c r="G569" t="s">
        <v>2440</v>
      </c>
      <c r="H569" t="s">
        <v>2527</v>
      </c>
      <c r="I569" t="s">
        <v>1262</v>
      </c>
      <c r="K569" t="s">
        <v>64</v>
      </c>
      <c r="L569" t="s">
        <v>64</v>
      </c>
      <c r="N569" t="s">
        <v>64</v>
      </c>
      <c r="P569" t="s">
        <v>31</v>
      </c>
      <c r="Q569" t="s">
        <v>65</v>
      </c>
      <c r="R569" t="s">
        <v>2599</v>
      </c>
      <c r="S569" s="1">
        <v>44799</v>
      </c>
      <c r="T569" t="s">
        <v>1259</v>
      </c>
      <c r="U569" t="s">
        <v>34</v>
      </c>
      <c r="V569" s="1">
        <v>44803</v>
      </c>
      <c r="W569" t="s">
        <v>35</v>
      </c>
      <c r="X569" t="s">
        <v>1260</v>
      </c>
      <c r="Y569" t="s">
        <v>1261</v>
      </c>
      <c r="Z569" t="s">
        <v>206</v>
      </c>
      <c r="AA569" t="s">
        <v>1262</v>
      </c>
      <c r="AD569" t="s">
        <v>64</v>
      </c>
      <c r="AE569">
        <v>45.424425999999997</v>
      </c>
      <c r="AF569">
        <v>-93.200337000000005</v>
      </c>
      <c r="AG569" t="s">
        <v>40</v>
      </c>
      <c r="AH569" t="s">
        <v>41</v>
      </c>
      <c r="AI569">
        <v>45.4244682</v>
      </c>
      <c r="AJ569">
        <v>-93.200374199999999</v>
      </c>
      <c r="AK569">
        <v>4.2200000002878824E-5</v>
      </c>
      <c r="AL569">
        <v>-3.7199999994186328E-5</v>
      </c>
      <c r="AM569" t="str">
        <f>_xlfn.IFNA(VLOOKUP(Sheet1!$C569,ADMIX_ALL!A:B,2,FALSE),"none")</f>
        <v>K6-18</v>
      </c>
      <c r="AN569" t="str">
        <f>_xlfn.IFNA(VLOOKUP(Sheet1!C569,ADMIX_SS!A:B,2,FALSE),"none")</f>
        <v>none</v>
      </c>
      <c r="AO569" t="str">
        <f>_xlfn.IFNA(VLOOKUP(Sheet1!$C569,MONG_PHYLO!A:C,3,FALSE),"-")</f>
        <v>-</v>
      </c>
      <c r="AP569" t="str">
        <f>_xlfn.IFNA(VLOOKUP(Sheet1!$C569,MAC_PHYLO!A:C,3,FALSE),"-")</f>
        <v>-</v>
      </c>
      <c r="AQ569" t="str">
        <f>_xlfn.IFNA(VLOOKUP(Sheet1!$C569,ConStruct!A:C,3,FALSE),"-")</f>
        <v>-</v>
      </c>
      <c r="AR569" t="str">
        <f>_xlfn.IFNA(VLOOKUP(Sheet1!$C569,GEA!A:C,3,FALSE),"-")</f>
        <v>-</v>
      </c>
      <c r="AS569" t="str">
        <f>_xlfn.IFNA(VLOOKUP(Sheet1!$C569,MAC_DSUITE!A:D,3,FALSE),"-")</f>
        <v>-</v>
      </c>
      <c r="AT569" t="str">
        <f>_xlfn.IFNA(VLOOKUP(Sheet1!$C569,MONG_DSUITE!A:E,2,FALSE),"-")</f>
        <v>xxx</v>
      </c>
      <c r="AU569" t="str">
        <f>_xlfn.IFNA(VLOOKUP(Sheet1!$C569,MAC_PAINT2!A:D,4,FALSE),"-")</f>
        <v>-</v>
      </c>
    </row>
    <row r="570" spans="1:49" customFormat="1" x14ac:dyDescent="0.4">
      <c r="A570">
        <v>4021</v>
      </c>
      <c r="B570" t="s">
        <v>1278</v>
      </c>
      <c r="C570" t="s">
        <v>1279</v>
      </c>
      <c r="D570" t="str">
        <f>_xlfn.CONCAT(C570,".bam")</f>
        <v>SYST-MOR-0007258.bam</v>
      </c>
      <c r="E570" t="s">
        <v>1280</v>
      </c>
      <c r="F570" t="s">
        <v>2439</v>
      </c>
      <c r="G570" t="s">
        <v>2440</v>
      </c>
      <c r="H570" t="s">
        <v>2527</v>
      </c>
      <c r="I570" t="s">
        <v>1262</v>
      </c>
      <c r="K570" t="s">
        <v>64</v>
      </c>
      <c r="L570" t="s">
        <v>64</v>
      </c>
      <c r="N570" t="s">
        <v>64</v>
      </c>
      <c r="P570" t="s">
        <v>31</v>
      </c>
      <c r="Q570" t="s">
        <v>65</v>
      </c>
      <c r="R570" t="s">
        <v>2599</v>
      </c>
      <c r="S570" s="1">
        <v>44799</v>
      </c>
      <c r="T570" t="s">
        <v>1259</v>
      </c>
      <c r="U570" t="s">
        <v>34</v>
      </c>
      <c r="V570" s="1">
        <v>44803</v>
      </c>
      <c r="W570" t="s">
        <v>35</v>
      </c>
      <c r="X570" t="s">
        <v>1260</v>
      </c>
      <c r="Y570" t="s">
        <v>1261</v>
      </c>
      <c r="Z570" t="s">
        <v>206</v>
      </c>
      <c r="AA570" t="s">
        <v>1262</v>
      </c>
      <c r="AD570" t="s">
        <v>64</v>
      </c>
      <c r="AE570">
        <v>45.424388</v>
      </c>
      <c r="AF570">
        <v>-93.200192000000001</v>
      </c>
      <c r="AG570" t="s">
        <v>40</v>
      </c>
      <c r="AH570" t="s">
        <v>41</v>
      </c>
      <c r="AI570">
        <v>45.424320600000001</v>
      </c>
      <c r="AJ570">
        <v>-93.200211499999995</v>
      </c>
      <c r="AK570">
        <v>-6.739999999894053E-5</v>
      </c>
      <c r="AL570">
        <v>-1.9499999993399797E-5</v>
      </c>
      <c r="AM570" t="str">
        <f>_xlfn.IFNA(VLOOKUP(Sheet1!$C570,ADMIX_ALL!A:B,2,FALSE),"none")</f>
        <v>K6-18</v>
      </c>
      <c r="AN570" t="str">
        <f>_xlfn.IFNA(VLOOKUP(Sheet1!C570,ADMIX_SS!A:B,2,FALSE),"none")</f>
        <v>SubSample</v>
      </c>
      <c r="AO570" t="str">
        <f>_xlfn.IFNA(VLOOKUP(Sheet1!$C570,MONG_PHYLO!A:C,3,FALSE),"-")</f>
        <v>-</v>
      </c>
      <c r="AP570" t="str">
        <f>_xlfn.IFNA(VLOOKUP(Sheet1!$C570,MAC_PHYLO!A:C,3,FALSE),"-")</f>
        <v>-</v>
      </c>
      <c r="AQ570" t="str">
        <f>_xlfn.IFNA(VLOOKUP(Sheet1!$C570,ConStruct!A:C,3,FALSE),"-")</f>
        <v>-</v>
      </c>
      <c r="AR570" t="str">
        <f>_xlfn.IFNA(VLOOKUP(Sheet1!$C570,GEA!A:C,3,FALSE),"-")</f>
        <v>-</v>
      </c>
      <c r="AS570" t="str">
        <f>_xlfn.IFNA(VLOOKUP(Sheet1!$C570,MAC_DSUITE!A:D,3,FALSE),"-")</f>
        <v>-</v>
      </c>
      <c r="AT570" t="str">
        <f>_xlfn.IFNA(VLOOKUP(Sheet1!$C570,MONG_DSUITE!A:E,2,FALSE),"-")</f>
        <v>xxx</v>
      </c>
      <c r="AU570" t="str">
        <f>_xlfn.IFNA(VLOOKUP(Sheet1!$C570,MAC_PAINT2!A:D,4,FALSE),"-")</f>
        <v>-</v>
      </c>
    </row>
    <row r="571" spans="1:49" customFormat="1" x14ac:dyDescent="0.4">
      <c r="A571">
        <v>4022</v>
      </c>
      <c r="B571" t="s">
        <v>1281</v>
      </c>
      <c r="C571" t="s">
        <v>1282</v>
      </c>
      <c r="D571" t="str">
        <f>_xlfn.CONCAT(C571,".bam")</f>
        <v>SYST-MOR-0007259.bam</v>
      </c>
      <c r="E571" t="s">
        <v>1283</v>
      </c>
      <c r="F571" t="s">
        <v>2439</v>
      </c>
      <c r="G571" t="s">
        <v>2440</v>
      </c>
      <c r="H571" t="s">
        <v>2527</v>
      </c>
      <c r="I571" t="s">
        <v>1262</v>
      </c>
      <c r="K571" t="s">
        <v>64</v>
      </c>
      <c r="L571" t="s">
        <v>64</v>
      </c>
      <c r="N571" t="s">
        <v>64</v>
      </c>
      <c r="P571" t="s">
        <v>31</v>
      </c>
      <c r="Q571" t="s">
        <v>65</v>
      </c>
      <c r="R571" t="s">
        <v>2599</v>
      </c>
      <c r="S571" s="1">
        <v>44799</v>
      </c>
      <c r="T571" t="s">
        <v>1259</v>
      </c>
      <c r="U571" t="s">
        <v>34</v>
      </c>
      <c r="V571" s="1">
        <v>44803</v>
      </c>
      <c r="W571" t="s">
        <v>35</v>
      </c>
      <c r="X571" t="s">
        <v>1260</v>
      </c>
      <c r="Y571" t="s">
        <v>1261</v>
      </c>
      <c r="Z571" t="s">
        <v>206</v>
      </c>
      <c r="AA571" t="s">
        <v>1262</v>
      </c>
      <c r="AD571" t="s">
        <v>64</v>
      </c>
      <c r="AE571">
        <v>45.424658999999998</v>
      </c>
      <c r="AF571">
        <v>-93.200742000000005</v>
      </c>
      <c r="AG571" t="s">
        <v>40</v>
      </c>
      <c r="AH571" t="s">
        <v>41</v>
      </c>
      <c r="AI571">
        <v>45.424718499999997</v>
      </c>
      <c r="AJ571">
        <v>-93.200986700000001</v>
      </c>
      <c r="AK571">
        <v>5.9499999998990916E-5</v>
      </c>
      <c r="AL571">
        <v>-2.4469999999610081E-4</v>
      </c>
      <c r="AM571" t="str">
        <f>_xlfn.IFNA(VLOOKUP(Sheet1!$C571,ADMIX_ALL!A:B,2,FALSE),"none")</f>
        <v>K6-18</v>
      </c>
      <c r="AN571" t="str">
        <f>_xlfn.IFNA(VLOOKUP(Sheet1!C571,ADMIX_SS!A:B,2,FALSE),"none")</f>
        <v>SubSample</v>
      </c>
      <c r="AO571" t="str">
        <f>_xlfn.IFNA(VLOOKUP(Sheet1!$C571,MONG_PHYLO!A:C,3,FALSE),"-")</f>
        <v>-</v>
      </c>
      <c r="AP571" t="str">
        <f>_xlfn.IFNA(VLOOKUP(Sheet1!$C571,MAC_PHYLO!A:C,3,FALSE),"-")</f>
        <v>-</v>
      </c>
      <c r="AQ571" t="str">
        <f>_xlfn.IFNA(VLOOKUP(Sheet1!$C571,ConStruct!A:C,3,FALSE),"-")</f>
        <v>-</v>
      </c>
      <c r="AR571" t="str">
        <f>_xlfn.IFNA(VLOOKUP(Sheet1!$C571,GEA!A:C,3,FALSE),"-")</f>
        <v>-</v>
      </c>
      <c r="AS571" t="str">
        <f>_xlfn.IFNA(VLOOKUP(Sheet1!$C571,MAC_DSUITE!A:D,3,FALSE),"-")</f>
        <v>-</v>
      </c>
      <c r="AT571" t="str">
        <f>_xlfn.IFNA(VLOOKUP(Sheet1!$C571,MONG_DSUITE!A:E,2,FALSE),"-")</f>
        <v>xxx</v>
      </c>
      <c r="AU571" t="str">
        <f>_xlfn.IFNA(VLOOKUP(Sheet1!$C571,MAC_PAINT2!A:D,4,FALSE),"-")</f>
        <v>-</v>
      </c>
    </row>
    <row r="572" spans="1:49" customFormat="1" x14ac:dyDescent="0.4">
      <c r="A572">
        <v>4023</v>
      </c>
      <c r="B572" t="s">
        <v>1284</v>
      </c>
      <c r="C572" t="s">
        <v>1285</v>
      </c>
      <c r="D572" t="str">
        <f>_xlfn.CONCAT(C572,".bam")</f>
        <v>SYST-MOR-0007260.bam</v>
      </c>
      <c r="E572" t="s">
        <v>1286</v>
      </c>
      <c r="F572" t="s">
        <v>2439</v>
      </c>
      <c r="G572" t="s">
        <v>2440</v>
      </c>
      <c r="H572" t="s">
        <v>2527</v>
      </c>
      <c r="I572" t="s">
        <v>1262</v>
      </c>
      <c r="K572" t="s">
        <v>64</v>
      </c>
      <c r="L572" t="s">
        <v>64</v>
      </c>
      <c r="N572" t="s">
        <v>64</v>
      </c>
      <c r="P572" t="s">
        <v>31</v>
      </c>
      <c r="Q572" t="s">
        <v>65</v>
      </c>
      <c r="R572" t="s">
        <v>2599</v>
      </c>
      <c r="S572" s="1">
        <v>44799</v>
      </c>
      <c r="T572" t="s">
        <v>1259</v>
      </c>
      <c r="U572" t="s">
        <v>34</v>
      </c>
      <c r="V572" s="1">
        <v>44803</v>
      </c>
      <c r="W572" t="s">
        <v>35</v>
      </c>
      <c r="X572" t="s">
        <v>1260</v>
      </c>
      <c r="Y572" t="s">
        <v>1261</v>
      </c>
      <c r="Z572" t="s">
        <v>206</v>
      </c>
      <c r="AA572" t="s">
        <v>1262</v>
      </c>
      <c r="AD572" t="s">
        <v>64</v>
      </c>
      <c r="AE572">
        <v>45.424821000000001</v>
      </c>
      <c r="AF572">
        <v>-93.201047000000003</v>
      </c>
      <c r="AG572" t="s">
        <v>40</v>
      </c>
      <c r="AH572" t="s">
        <v>41</v>
      </c>
      <c r="AI572">
        <v>45.424799200000002</v>
      </c>
      <c r="AJ572">
        <v>-93.201144400000004</v>
      </c>
      <c r="AK572">
        <v>-2.1799999998961539E-5</v>
      </c>
      <c r="AL572">
        <v>-9.7400000001357512E-5</v>
      </c>
      <c r="AM572" t="str">
        <f>_xlfn.IFNA(VLOOKUP(Sheet1!$C572,ADMIX_ALL!A:B,2,FALSE),"none")</f>
        <v>K6-18</v>
      </c>
      <c r="AN572" t="str">
        <f>_xlfn.IFNA(VLOOKUP(Sheet1!C572,ADMIX_SS!A:B,2,FALSE),"none")</f>
        <v>SubSample</v>
      </c>
      <c r="AO572" t="str">
        <f>_xlfn.IFNA(VLOOKUP(Sheet1!$C572,MONG_PHYLO!A:C,3,FALSE),"-")</f>
        <v>-</v>
      </c>
      <c r="AP572" t="str">
        <f>_xlfn.IFNA(VLOOKUP(Sheet1!$C572,MAC_PHYLO!A:C,3,FALSE),"-")</f>
        <v>-</v>
      </c>
      <c r="AQ572" t="str">
        <f>_xlfn.IFNA(VLOOKUP(Sheet1!$C572,ConStruct!A:C,3,FALSE),"-")</f>
        <v>-</v>
      </c>
      <c r="AR572" t="str">
        <f>_xlfn.IFNA(VLOOKUP(Sheet1!$C572,GEA!A:C,3,FALSE),"-")</f>
        <v>-</v>
      </c>
      <c r="AS572" t="str">
        <f>_xlfn.IFNA(VLOOKUP(Sheet1!$C572,MAC_DSUITE!A:D,3,FALSE),"-")</f>
        <v>-</v>
      </c>
      <c r="AT572" t="str">
        <f>_xlfn.IFNA(VLOOKUP(Sheet1!$C572,MONG_DSUITE!A:E,2,FALSE),"-")</f>
        <v>xxx</v>
      </c>
      <c r="AU572" t="str">
        <f>_xlfn.IFNA(VLOOKUP(Sheet1!$C572,MAC_PAINT2!A:D,4,FALSE),"-")</f>
        <v>-</v>
      </c>
    </row>
    <row r="573" spans="1:49" customFormat="1" x14ac:dyDescent="0.4">
      <c r="A573">
        <v>1950</v>
      </c>
      <c r="B573" t="s">
        <v>968</v>
      </c>
      <c r="C573" t="s">
        <v>969</v>
      </c>
      <c r="D573" t="str">
        <f>_xlfn.CONCAT(C573,".bam")</f>
        <v>SYST-MOR-0007357.bam</v>
      </c>
      <c r="E573" t="s">
        <v>970</v>
      </c>
      <c r="F573" t="s">
        <v>2476</v>
      </c>
      <c r="G573" t="s">
        <v>2475</v>
      </c>
      <c r="H573" t="s">
        <v>2519</v>
      </c>
      <c r="I573" t="s">
        <v>974</v>
      </c>
      <c r="K573" t="s">
        <v>45</v>
      </c>
      <c r="L573" t="s">
        <v>45</v>
      </c>
      <c r="N573" t="s">
        <v>45</v>
      </c>
      <c r="P573" t="s">
        <v>31</v>
      </c>
      <c r="Q573" t="s">
        <v>114</v>
      </c>
      <c r="R573" t="s">
        <v>2597</v>
      </c>
      <c r="S573" s="1">
        <v>42922</v>
      </c>
      <c r="T573" t="s">
        <v>971</v>
      </c>
      <c r="U573" t="s">
        <v>34</v>
      </c>
      <c r="W573" t="s">
        <v>972</v>
      </c>
      <c r="X573" t="s">
        <v>973</v>
      </c>
      <c r="AA573" t="s">
        <v>974</v>
      </c>
      <c r="AB573" t="s">
        <v>975</v>
      </c>
      <c r="AD573" t="s">
        <v>45</v>
      </c>
      <c r="AE573">
        <v>49.713590000000003</v>
      </c>
      <c r="AF573">
        <v>-95.243489999999994</v>
      </c>
      <c r="AG573" t="s">
        <v>40</v>
      </c>
      <c r="AH573" t="s">
        <v>41</v>
      </c>
      <c r="AI573">
        <v>49.713590000000003</v>
      </c>
      <c r="AJ573">
        <v>-95.243489999999994</v>
      </c>
      <c r="AK573">
        <v>0</v>
      </c>
      <c r="AL573">
        <v>0</v>
      </c>
      <c r="AM573" t="str">
        <f>_xlfn.IFNA(VLOOKUP(Sheet1!$C573,ADMIX_ALL!A:B,2,FALSE),"none")</f>
        <v>K6-18</v>
      </c>
      <c r="AN573" t="str">
        <f>_xlfn.IFNA(VLOOKUP(Sheet1!C573,ADMIX_SS!A:B,2,FALSE),"none")</f>
        <v>SubSample</v>
      </c>
      <c r="AO573" t="str">
        <f>_xlfn.IFNA(VLOOKUP(Sheet1!$C573,MONG_PHYLO!A:C,3,FALSE),"-")</f>
        <v>-</v>
      </c>
      <c r="AP573" t="str">
        <f>_xlfn.IFNA(VLOOKUP(Sheet1!$C573,MAC_PHYLO!A:C,3,FALSE),"-")</f>
        <v>-</v>
      </c>
      <c r="AQ573" t="str">
        <f>_xlfn.IFNA(VLOOKUP(Sheet1!$C573,ConStruct!A:C,3,FALSE),"-")</f>
        <v>ConStruct</v>
      </c>
      <c r="AR573" t="str">
        <f>_xlfn.IFNA(VLOOKUP(Sheet1!$C573,GEA!A:C,3,FALSE),"-")</f>
        <v>GEA</v>
      </c>
      <c r="AS573" t="str">
        <f>_xlfn.IFNA(VLOOKUP(Sheet1!$C573,MAC_DSUITE!A:D,3,FALSE),"-")</f>
        <v>mac_MB_WPP</v>
      </c>
      <c r="AT573" t="str">
        <f>_xlfn.IFNA(VLOOKUP(Sheet1!$C573,MONG_DSUITE!A:E,2,FALSE),"-")</f>
        <v>macrocarpa_WPP</v>
      </c>
      <c r="AU573" t="str">
        <f>_xlfn.IFNA(VLOOKUP(Sheet1!$C573,MAC_PAINT2!A:D,4,FALSE),"-")</f>
        <v>macpaint</v>
      </c>
      <c r="AV573" t="s">
        <v>9193</v>
      </c>
      <c r="AW573" t="s">
        <v>9193</v>
      </c>
    </row>
    <row r="574" spans="1:49" customFormat="1" x14ac:dyDescent="0.4">
      <c r="A574">
        <v>1951</v>
      </c>
      <c r="B574" t="s">
        <v>976</v>
      </c>
      <c r="C574" t="s">
        <v>977</v>
      </c>
      <c r="D574" t="str">
        <f>_xlfn.CONCAT(C574,".bam")</f>
        <v>SYST-MOR-0007358.bam</v>
      </c>
      <c r="E574" t="s">
        <v>978</v>
      </c>
      <c r="F574" t="s">
        <v>2476</v>
      </c>
      <c r="G574" t="s">
        <v>2475</v>
      </c>
      <c r="H574" t="s">
        <v>2519</v>
      </c>
      <c r="I574" t="s">
        <v>974</v>
      </c>
      <c r="K574" t="s">
        <v>45</v>
      </c>
      <c r="L574" t="s">
        <v>45</v>
      </c>
      <c r="N574" t="s">
        <v>45</v>
      </c>
      <c r="P574" t="s">
        <v>31</v>
      </c>
      <c r="Q574" t="s">
        <v>114</v>
      </c>
      <c r="R574" t="s">
        <v>2597</v>
      </c>
      <c r="S574" s="1">
        <v>42922</v>
      </c>
      <c r="T574" t="s">
        <v>971</v>
      </c>
      <c r="U574" t="s">
        <v>34</v>
      </c>
      <c r="W574" t="s">
        <v>972</v>
      </c>
      <c r="X574" t="s">
        <v>973</v>
      </c>
      <c r="AA574" t="s">
        <v>974</v>
      </c>
      <c r="AB574" t="s">
        <v>975</v>
      </c>
      <c r="AD574" t="s">
        <v>45</v>
      </c>
      <c r="AE574">
        <v>49.713760000000001</v>
      </c>
      <c r="AF574">
        <v>-95.243849999999995</v>
      </c>
      <c r="AG574" t="s">
        <v>40</v>
      </c>
      <c r="AH574" t="s">
        <v>41</v>
      </c>
      <c r="AI574">
        <v>49.713760000000001</v>
      </c>
      <c r="AJ574">
        <v>-95.243849999999995</v>
      </c>
      <c r="AK574">
        <v>0</v>
      </c>
      <c r="AL574">
        <v>0</v>
      </c>
      <c r="AM574" t="str">
        <f>_xlfn.IFNA(VLOOKUP(Sheet1!$C574,ADMIX_ALL!A:B,2,FALSE),"none")</f>
        <v>K6-18</v>
      </c>
      <c r="AN574" t="str">
        <f>_xlfn.IFNA(VLOOKUP(Sheet1!C574,ADMIX_SS!A:B,2,FALSE),"none")</f>
        <v>SubSample</v>
      </c>
      <c r="AO574" t="str">
        <f>_xlfn.IFNA(VLOOKUP(Sheet1!$C574,MONG_PHYLO!A:C,3,FALSE),"-")</f>
        <v>-</v>
      </c>
      <c r="AP574" t="str">
        <f>_xlfn.IFNA(VLOOKUP(Sheet1!$C574,MAC_PHYLO!A:C,3,FALSE),"-")</f>
        <v>-</v>
      </c>
      <c r="AQ574" t="str">
        <f>_xlfn.IFNA(VLOOKUP(Sheet1!$C574,ConStruct!A:C,3,FALSE),"-")</f>
        <v>ConStruct</v>
      </c>
      <c r="AR574" t="str">
        <f>_xlfn.IFNA(VLOOKUP(Sheet1!$C574,GEA!A:C,3,FALSE),"-")</f>
        <v>GEA</v>
      </c>
      <c r="AS574" t="str">
        <f>_xlfn.IFNA(VLOOKUP(Sheet1!$C574,MAC_DSUITE!A:D,3,FALSE),"-")</f>
        <v>mac_MB_WPP</v>
      </c>
      <c r="AT574" t="str">
        <f>_xlfn.IFNA(VLOOKUP(Sheet1!$C574,MONG_DSUITE!A:E,2,FALSE),"-")</f>
        <v>macrocarpa_WPP</v>
      </c>
      <c r="AU574" t="str">
        <f>_xlfn.IFNA(VLOOKUP(Sheet1!$C574,MAC_PAINT2!A:D,4,FALSE),"-")</f>
        <v>macpaint</v>
      </c>
      <c r="AV574" t="s">
        <v>9193</v>
      </c>
      <c r="AW574" t="s">
        <v>9193</v>
      </c>
    </row>
    <row r="575" spans="1:49" customFormat="1" x14ac:dyDescent="0.4">
      <c r="A575">
        <v>1952</v>
      </c>
      <c r="B575" t="s">
        <v>979</v>
      </c>
      <c r="C575" t="s">
        <v>980</v>
      </c>
      <c r="D575" t="str">
        <f>_xlfn.CONCAT(C575,".bam")</f>
        <v>SYST-MOR-0007359.bam</v>
      </c>
      <c r="E575" t="s">
        <v>981</v>
      </c>
      <c r="F575" t="s">
        <v>2476</v>
      </c>
      <c r="G575" t="s">
        <v>2475</v>
      </c>
      <c r="H575" t="s">
        <v>2519</v>
      </c>
      <c r="I575" t="s">
        <v>974</v>
      </c>
      <c r="K575" t="s">
        <v>45</v>
      </c>
      <c r="L575" t="s">
        <v>45</v>
      </c>
      <c r="N575" t="s">
        <v>45</v>
      </c>
      <c r="P575" t="s">
        <v>31</v>
      </c>
      <c r="Q575" t="s">
        <v>114</v>
      </c>
      <c r="R575" t="s">
        <v>2597</v>
      </c>
      <c r="S575" s="1">
        <v>42922</v>
      </c>
      <c r="T575" t="s">
        <v>971</v>
      </c>
      <c r="U575" t="s">
        <v>34</v>
      </c>
      <c r="W575" t="s">
        <v>972</v>
      </c>
      <c r="X575" t="s">
        <v>973</v>
      </c>
      <c r="AA575" t="s">
        <v>974</v>
      </c>
      <c r="AB575" t="s">
        <v>982</v>
      </c>
      <c r="AD575" t="s">
        <v>45</v>
      </c>
      <c r="AE575">
        <v>49.712780000000002</v>
      </c>
      <c r="AF575">
        <v>-95.244320000000002</v>
      </c>
      <c r="AG575" t="s">
        <v>40</v>
      </c>
      <c r="AH575" t="s">
        <v>41</v>
      </c>
      <c r="AI575">
        <v>49.712780000000002</v>
      </c>
      <c r="AJ575">
        <v>-95.244320000000002</v>
      </c>
      <c r="AK575">
        <v>0</v>
      </c>
      <c r="AL575">
        <v>0</v>
      </c>
      <c r="AM575" t="str">
        <f>_xlfn.IFNA(VLOOKUP(Sheet1!$C575,ADMIX_ALL!A:B,2,FALSE),"none")</f>
        <v>K6-18</v>
      </c>
      <c r="AN575" t="str">
        <f>_xlfn.IFNA(VLOOKUP(Sheet1!C575,ADMIX_SS!A:B,2,FALSE),"none")</f>
        <v>SubSample</v>
      </c>
      <c r="AO575" t="str">
        <f>_xlfn.IFNA(VLOOKUP(Sheet1!$C575,MONG_PHYLO!A:C,3,FALSE),"-")</f>
        <v>-</v>
      </c>
      <c r="AP575" t="str">
        <f>_xlfn.IFNA(VLOOKUP(Sheet1!$C575,MAC_PHYLO!A:C,3,FALSE),"-")</f>
        <v>-</v>
      </c>
      <c r="AQ575" t="str">
        <f>_xlfn.IFNA(VLOOKUP(Sheet1!$C575,ConStruct!A:C,3,FALSE),"-")</f>
        <v>ConStruct</v>
      </c>
      <c r="AR575" t="str">
        <f>_xlfn.IFNA(VLOOKUP(Sheet1!$C575,GEA!A:C,3,FALSE),"-")</f>
        <v>GEA</v>
      </c>
      <c r="AS575" t="str">
        <f>_xlfn.IFNA(VLOOKUP(Sheet1!$C575,MAC_DSUITE!A:D,3,FALSE),"-")</f>
        <v>mac_MB_WPP</v>
      </c>
      <c r="AT575" t="str">
        <f>_xlfn.IFNA(VLOOKUP(Sheet1!$C575,MONG_DSUITE!A:E,2,FALSE),"-")</f>
        <v>macrocarpa_WPP</v>
      </c>
      <c r="AU575" t="str">
        <f>_xlfn.IFNA(VLOOKUP(Sheet1!$C575,MAC_PAINT2!A:D,4,FALSE),"-")</f>
        <v>macpaint</v>
      </c>
      <c r="AV575" t="s">
        <v>9193</v>
      </c>
      <c r="AW575" t="s">
        <v>9193</v>
      </c>
    </row>
    <row r="576" spans="1:49" customFormat="1" x14ac:dyDescent="0.4">
      <c r="A576">
        <v>1953</v>
      </c>
      <c r="B576" t="s">
        <v>983</v>
      </c>
      <c r="C576" t="s">
        <v>984</v>
      </c>
      <c r="D576" t="str">
        <f>_xlfn.CONCAT(C576,".bam")</f>
        <v>SYST-MOR-0007360.bam</v>
      </c>
      <c r="E576" t="s">
        <v>985</v>
      </c>
      <c r="F576" t="s">
        <v>2476</v>
      </c>
      <c r="G576" t="s">
        <v>2475</v>
      </c>
      <c r="H576" t="s">
        <v>2519</v>
      </c>
      <c r="I576" t="s">
        <v>974</v>
      </c>
      <c r="K576" t="s">
        <v>45</v>
      </c>
      <c r="L576" t="s">
        <v>45</v>
      </c>
      <c r="N576" t="s">
        <v>45</v>
      </c>
      <c r="P576" t="s">
        <v>31</v>
      </c>
      <c r="Q576" t="s">
        <v>114</v>
      </c>
      <c r="R576" t="s">
        <v>2597</v>
      </c>
      <c r="S576" s="1">
        <v>42922</v>
      </c>
      <c r="T576" t="s">
        <v>971</v>
      </c>
      <c r="U576" t="s">
        <v>34</v>
      </c>
      <c r="W576" t="s">
        <v>972</v>
      </c>
      <c r="X576" t="s">
        <v>973</v>
      </c>
      <c r="AA576" t="s">
        <v>974</v>
      </c>
      <c r="AB576" t="s">
        <v>975</v>
      </c>
      <c r="AD576" t="s">
        <v>45</v>
      </c>
      <c r="AE576">
        <v>49.712780000000002</v>
      </c>
      <c r="AF576">
        <v>-95.244500000000002</v>
      </c>
      <c r="AG576" t="s">
        <v>40</v>
      </c>
      <c r="AH576" t="s">
        <v>41</v>
      </c>
      <c r="AI576">
        <v>49.712780000000002</v>
      </c>
      <c r="AJ576">
        <v>-95.244500000000002</v>
      </c>
      <c r="AK576">
        <v>0</v>
      </c>
      <c r="AL576">
        <v>0</v>
      </c>
      <c r="AM576" t="str">
        <f>_xlfn.IFNA(VLOOKUP(Sheet1!$C576,ADMIX_ALL!A:B,2,FALSE),"none")</f>
        <v>K6-18</v>
      </c>
      <c r="AN576" t="str">
        <f>_xlfn.IFNA(VLOOKUP(Sheet1!C576,ADMIX_SS!A:B,2,FALSE),"none")</f>
        <v>SubSample</v>
      </c>
      <c r="AO576" t="str">
        <f>_xlfn.IFNA(VLOOKUP(Sheet1!$C576,MONG_PHYLO!A:C,3,FALSE),"-")</f>
        <v>-</v>
      </c>
      <c r="AP576" t="str">
        <f>_xlfn.IFNA(VLOOKUP(Sheet1!$C576,MAC_PHYLO!A:C,3,FALSE),"-")</f>
        <v>-</v>
      </c>
      <c r="AQ576" t="str">
        <f>_xlfn.IFNA(VLOOKUP(Sheet1!$C576,ConStruct!A:C,3,FALSE),"-")</f>
        <v>ConStruct</v>
      </c>
      <c r="AR576" t="str">
        <f>_xlfn.IFNA(VLOOKUP(Sheet1!$C576,GEA!A:C,3,FALSE),"-")</f>
        <v>GEA</v>
      </c>
      <c r="AS576" t="str">
        <f>_xlfn.IFNA(VLOOKUP(Sheet1!$C576,MAC_DSUITE!A:D,3,FALSE),"-")</f>
        <v>mac_MB_WPP</v>
      </c>
      <c r="AT576" t="str">
        <f>_xlfn.IFNA(VLOOKUP(Sheet1!$C576,MONG_DSUITE!A:E,2,FALSE),"-")</f>
        <v>macrocarpa_WPP</v>
      </c>
      <c r="AU576" t="str">
        <f>_xlfn.IFNA(VLOOKUP(Sheet1!$C576,MAC_PAINT2!A:D,4,FALSE),"-")</f>
        <v>macpaint</v>
      </c>
      <c r="AV576" t="s">
        <v>9193</v>
      </c>
      <c r="AW576" t="s">
        <v>9193</v>
      </c>
    </row>
    <row r="577" spans="1:49" customFormat="1" x14ac:dyDescent="0.4">
      <c r="A577">
        <v>1954</v>
      </c>
      <c r="B577" t="s">
        <v>986</v>
      </c>
      <c r="C577" t="s">
        <v>987</v>
      </c>
      <c r="D577" t="str">
        <f>_xlfn.CONCAT(C577,".bam")</f>
        <v>SYST-MOR-0007361.bam</v>
      </c>
      <c r="E577" t="s">
        <v>988</v>
      </c>
      <c r="F577" t="s">
        <v>2476</v>
      </c>
      <c r="G577" t="s">
        <v>2475</v>
      </c>
      <c r="H577" t="s">
        <v>2519</v>
      </c>
      <c r="I577" t="s">
        <v>974</v>
      </c>
      <c r="K577" t="s">
        <v>45</v>
      </c>
      <c r="L577" t="s">
        <v>45</v>
      </c>
      <c r="N577" t="s">
        <v>45</v>
      </c>
      <c r="P577" t="s">
        <v>31</v>
      </c>
      <c r="Q577" t="s">
        <v>114</v>
      </c>
      <c r="R577" t="s">
        <v>2597</v>
      </c>
      <c r="S577" s="1">
        <v>42922</v>
      </c>
      <c r="T577" t="s">
        <v>971</v>
      </c>
      <c r="U577" t="s">
        <v>34</v>
      </c>
      <c r="W577" t="s">
        <v>972</v>
      </c>
      <c r="X577" t="s">
        <v>973</v>
      </c>
      <c r="AA577" t="s">
        <v>974</v>
      </c>
      <c r="AB577" t="s">
        <v>975</v>
      </c>
      <c r="AD577" t="s">
        <v>45</v>
      </c>
      <c r="AE577">
        <v>49.712159999999997</v>
      </c>
      <c r="AF577">
        <v>-95.244630000000001</v>
      </c>
      <c r="AG577" t="s">
        <v>40</v>
      </c>
      <c r="AH577" t="s">
        <v>41</v>
      </c>
      <c r="AI577">
        <v>49.712159999999997</v>
      </c>
      <c r="AJ577">
        <v>-95.244630000000001</v>
      </c>
      <c r="AK577">
        <v>0</v>
      </c>
      <c r="AL577">
        <v>0</v>
      </c>
      <c r="AM577" t="str">
        <f>_xlfn.IFNA(VLOOKUP(Sheet1!$C577,ADMIX_ALL!A:B,2,FALSE),"none")</f>
        <v>K6-18</v>
      </c>
      <c r="AN577" t="str">
        <f>_xlfn.IFNA(VLOOKUP(Sheet1!C577,ADMIX_SS!A:B,2,FALSE),"none")</f>
        <v>SubSample</v>
      </c>
      <c r="AO577" t="str">
        <f>_xlfn.IFNA(VLOOKUP(Sheet1!$C577,MONG_PHYLO!A:C,3,FALSE),"-")</f>
        <v>-</v>
      </c>
      <c r="AP577" t="str">
        <f>_xlfn.IFNA(VLOOKUP(Sheet1!$C577,MAC_PHYLO!A:C,3,FALSE),"-")</f>
        <v>-</v>
      </c>
      <c r="AQ577" t="str">
        <f>_xlfn.IFNA(VLOOKUP(Sheet1!$C577,ConStruct!A:C,3,FALSE),"-")</f>
        <v>ConStruct</v>
      </c>
      <c r="AR577" t="str">
        <f>_xlfn.IFNA(VLOOKUP(Sheet1!$C577,GEA!A:C,3,FALSE),"-")</f>
        <v>GEA</v>
      </c>
      <c r="AS577" t="str">
        <f>_xlfn.IFNA(VLOOKUP(Sheet1!$C577,MAC_DSUITE!A:D,3,FALSE),"-")</f>
        <v>mac_MB_WPP</v>
      </c>
      <c r="AT577" t="str">
        <f>_xlfn.IFNA(VLOOKUP(Sheet1!$C577,MONG_DSUITE!A:E,2,FALSE),"-")</f>
        <v>macrocarpa_WPP</v>
      </c>
      <c r="AU577" t="str">
        <f>_xlfn.IFNA(VLOOKUP(Sheet1!$C577,MAC_PAINT2!A:D,4,FALSE),"-")</f>
        <v>macpaint</v>
      </c>
      <c r="AV577" t="s">
        <v>9193</v>
      </c>
      <c r="AW577" t="s">
        <v>9193</v>
      </c>
    </row>
    <row r="578" spans="1:49" customFormat="1" x14ac:dyDescent="0.4">
      <c r="A578">
        <v>1955</v>
      </c>
      <c r="B578" t="s">
        <v>989</v>
      </c>
      <c r="C578" t="s">
        <v>990</v>
      </c>
      <c r="D578" t="str">
        <f>_xlfn.CONCAT(C578,".bam")</f>
        <v>SYST-MOR-0007362.bam</v>
      </c>
      <c r="E578" t="s">
        <v>991</v>
      </c>
      <c r="F578" t="s">
        <v>2476</v>
      </c>
      <c r="G578" t="s">
        <v>2475</v>
      </c>
      <c r="H578" t="s">
        <v>2519</v>
      </c>
      <c r="I578" t="s">
        <v>974</v>
      </c>
      <c r="K578" t="s">
        <v>45</v>
      </c>
      <c r="L578" t="s">
        <v>45</v>
      </c>
      <c r="N578" t="s">
        <v>45</v>
      </c>
      <c r="P578" t="s">
        <v>31</v>
      </c>
      <c r="Q578" t="s">
        <v>114</v>
      </c>
      <c r="R578" t="s">
        <v>2597</v>
      </c>
      <c r="S578" s="1">
        <v>42922</v>
      </c>
      <c r="T578" t="s">
        <v>971</v>
      </c>
      <c r="U578" t="s">
        <v>34</v>
      </c>
      <c r="W578" t="s">
        <v>972</v>
      </c>
      <c r="X578" t="s">
        <v>973</v>
      </c>
      <c r="AA578" t="s">
        <v>974</v>
      </c>
      <c r="AB578" t="s">
        <v>975</v>
      </c>
      <c r="AD578" t="s">
        <v>45</v>
      </c>
      <c r="AE578">
        <v>49.712040000000002</v>
      </c>
      <c r="AF578">
        <v>-95.244799999999998</v>
      </c>
      <c r="AG578" t="s">
        <v>40</v>
      </c>
      <c r="AH578" t="s">
        <v>41</v>
      </c>
      <c r="AI578">
        <v>49.712040000000002</v>
      </c>
      <c r="AJ578">
        <v>-95.244799999999998</v>
      </c>
      <c r="AK578">
        <v>0</v>
      </c>
      <c r="AL578">
        <v>0</v>
      </c>
      <c r="AM578" t="str">
        <f>_xlfn.IFNA(VLOOKUP(Sheet1!$C578,ADMIX_ALL!A:B,2,FALSE),"none")</f>
        <v>K6-18</v>
      </c>
      <c r="AN578" t="str">
        <f>_xlfn.IFNA(VLOOKUP(Sheet1!C578,ADMIX_SS!A:B,2,FALSE),"none")</f>
        <v>SubSample</v>
      </c>
      <c r="AO578" t="str">
        <f>_xlfn.IFNA(VLOOKUP(Sheet1!$C578,MONG_PHYLO!A:C,3,FALSE),"-")</f>
        <v>-</v>
      </c>
      <c r="AP578" t="str">
        <f>_xlfn.IFNA(VLOOKUP(Sheet1!$C578,MAC_PHYLO!A:C,3,FALSE),"-")</f>
        <v>-</v>
      </c>
      <c r="AQ578" t="str">
        <f>_xlfn.IFNA(VLOOKUP(Sheet1!$C578,ConStruct!A:C,3,FALSE),"-")</f>
        <v>ConStruct</v>
      </c>
      <c r="AR578" t="str">
        <f>_xlfn.IFNA(VLOOKUP(Sheet1!$C578,GEA!A:C,3,FALSE),"-")</f>
        <v>GEA</v>
      </c>
      <c r="AS578" t="str">
        <f>_xlfn.IFNA(VLOOKUP(Sheet1!$C578,MAC_DSUITE!A:D,3,FALSE),"-")</f>
        <v>mac_MB_WPP</v>
      </c>
      <c r="AT578" t="str">
        <f>_xlfn.IFNA(VLOOKUP(Sheet1!$C578,MONG_DSUITE!A:E,2,FALSE),"-")</f>
        <v>macrocarpa_WPP</v>
      </c>
      <c r="AU578" t="str">
        <f>_xlfn.IFNA(VLOOKUP(Sheet1!$C578,MAC_PAINT2!A:D,4,FALSE),"-")</f>
        <v>macpaint</v>
      </c>
      <c r="AV578" t="s">
        <v>9193</v>
      </c>
      <c r="AW578" t="s">
        <v>9193</v>
      </c>
    </row>
    <row r="579" spans="1:49" customFormat="1" x14ac:dyDescent="0.4">
      <c r="A579">
        <v>1956</v>
      </c>
      <c r="B579" t="s">
        <v>992</v>
      </c>
      <c r="C579" t="s">
        <v>993</v>
      </c>
      <c r="D579" t="str">
        <f>_xlfn.CONCAT(C579,".bam")</f>
        <v>SYST-MOR-0007363.bam</v>
      </c>
      <c r="E579" t="s">
        <v>994</v>
      </c>
      <c r="F579" t="s">
        <v>2476</v>
      </c>
      <c r="G579" t="s">
        <v>2475</v>
      </c>
      <c r="H579" t="s">
        <v>2519</v>
      </c>
      <c r="I579" t="s">
        <v>974</v>
      </c>
      <c r="K579" t="s">
        <v>45</v>
      </c>
      <c r="L579" t="s">
        <v>45</v>
      </c>
      <c r="N579" t="s">
        <v>45</v>
      </c>
      <c r="P579" t="s">
        <v>31</v>
      </c>
      <c r="Q579" t="s">
        <v>114</v>
      </c>
      <c r="R579" t="s">
        <v>2597</v>
      </c>
      <c r="S579" s="1">
        <v>42922</v>
      </c>
      <c r="T579" t="s">
        <v>971</v>
      </c>
      <c r="U579" t="s">
        <v>34</v>
      </c>
      <c r="W579" t="s">
        <v>972</v>
      </c>
      <c r="X579" t="s">
        <v>973</v>
      </c>
      <c r="AA579" t="s">
        <v>974</v>
      </c>
      <c r="AB579" t="s">
        <v>975</v>
      </c>
      <c r="AD579" t="s">
        <v>45</v>
      </c>
      <c r="AE579">
        <v>49.711950000000002</v>
      </c>
      <c r="AF579">
        <v>-95.244919999999993</v>
      </c>
      <c r="AG579" t="s">
        <v>40</v>
      </c>
      <c r="AH579" t="s">
        <v>41</v>
      </c>
      <c r="AI579">
        <v>49.711950000000002</v>
      </c>
      <c r="AJ579">
        <v>-95.244919999999993</v>
      </c>
      <c r="AK579">
        <v>0</v>
      </c>
      <c r="AL579">
        <v>0</v>
      </c>
      <c r="AM579" t="str">
        <f>_xlfn.IFNA(VLOOKUP(Sheet1!$C579,ADMIX_ALL!A:B,2,FALSE),"none")</f>
        <v>K6-18</v>
      </c>
      <c r="AN579" t="str">
        <f>_xlfn.IFNA(VLOOKUP(Sheet1!C579,ADMIX_SS!A:B,2,FALSE),"none")</f>
        <v>SubSample</v>
      </c>
      <c r="AO579" t="str">
        <f>_xlfn.IFNA(VLOOKUP(Sheet1!$C579,MONG_PHYLO!A:C,3,FALSE),"-")</f>
        <v>-</v>
      </c>
      <c r="AP579" t="str">
        <f>_xlfn.IFNA(VLOOKUP(Sheet1!$C579,MAC_PHYLO!A:C,3,FALSE),"-")</f>
        <v>-</v>
      </c>
      <c r="AQ579" t="str">
        <f>_xlfn.IFNA(VLOOKUP(Sheet1!$C579,ConStruct!A:C,3,FALSE),"-")</f>
        <v>ConStruct</v>
      </c>
      <c r="AR579" t="str">
        <f>_xlfn.IFNA(VLOOKUP(Sheet1!$C579,GEA!A:C,3,FALSE),"-")</f>
        <v>GEA</v>
      </c>
      <c r="AS579" t="str">
        <f>_xlfn.IFNA(VLOOKUP(Sheet1!$C579,MAC_DSUITE!A:D,3,FALSE),"-")</f>
        <v>mac_MB_WPP</v>
      </c>
      <c r="AT579" t="str">
        <f>_xlfn.IFNA(VLOOKUP(Sheet1!$C579,MONG_DSUITE!A:E,2,FALSE),"-")</f>
        <v>macrocarpa_WPP</v>
      </c>
      <c r="AU579" t="str">
        <f>_xlfn.IFNA(VLOOKUP(Sheet1!$C579,MAC_PAINT2!A:D,4,FALSE),"-")</f>
        <v>macpaint</v>
      </c>
      <c r="AV579" t="s">
        <v>9193</v>
      </c>
      <c r="AW579" t="s">
        <v>9193</v>
      </c>
    </row>
    <row r="580" spans="1:49" customFormat="1" x14ac:dyDescent="0.4">
      <c r="A580">
        <v>1957</v>
      </c>
      <c r="B580" t="s">
        <v>995</v>
      </c>
      <c r="C580" t="s">
        <v>996</v>
      </c>
      <c r="D580" t="str">
        <f>_xlfn.CONCAT(C580,".bam")</f>
        <v>SYST-MOR-0007364.bam</v>
      </c>
      <c r="E580" t="s">
        <v>997</v>
      </c>
      <c r="F580" t="s">
        <v>2476</v>
      </c>
      <c r="G580" t="s">
        <v>2475</v>
      </c>
      <c r="H580" t="s">
        <v>2519</v>
      </c>
      <c r="I580" t="s">
        <v>974</v>
      </c>
      <c r="K580" t="s">
        <v>45</v>
      </c>
      <c r="L580" t="s">
        <v>45</v>
      </c>
      <c r="N580" t="s">
        <v>45</v>
      </c>
      <c r="P580" t="s">
        <v>31</v>
      </c>
      <c r="Q580" t="s">
        <v>114</v>
      </c>
      <c r="R580" t="s">
        <v>2597</v>
      </c>
      <c r="S580" s="1">
        <v>42922</v>
      </c>
      <c r="T580" t="s">
        <v>971</v>
      </c>
      <c r="U580" t="s">
        <v>34</v>
      </c>
      <c r="W580" t="s">
        <v>972</v>
      </c>
      <c r="X580" t="s">
        <v>973</v>
      </c>
      <c r="AA580" t="s">
        <v>974</v>
      </c>
      <c r="AB580" t="s">
        <v>975</v>
      </c>
      <c r="AD580" t="s">
        <v>45</v>
      </c>
      <c r="AE580">
        <v>49.712090000000003</v>
      </c>
      <c r="AF580">
        <v>-95.244960000000006</v>
      </c>
      <c r="AG580" t="s">
        <v>40</v>
      </c>
      <c r="AH580" t="s">
        <v>41</v>
      </c>
      <c r="AI580">
        <v>49.712090000000003</v>
      </c>
      <c r="AJ580">
        <v>-95.244960000000006</v>
      </c>
      <c r="AK580">
        <v>0</v>
      </c>
      <c r="AL580">
        <v>0</v>
      </c>
      <c r="AM580" t="str">
        <f>_xlfn.IFNA(VLOOKUP(Sheet1!$C580,ADMIX_ALL!A:B,2,FALSE),"none")</f>
        <v>K6-18</v>
      </c>
      <c r="AN580" t="str">
        <f>_xlfn.IFNA(VLOOKUP(Sheet1!C580,ADMIX_SS!A:B,2,FALSE),"none")</f>
        <v>SubSample</v>
      </c>
      <c r="AO580" t="str">
        <f>_xlfn.IFNA(VLOOKUP(Sheet1!$C580,MONG_PHYLO!A:C,3,FALSE),"-")</f>
        <v>-</v>
      </c>
      <c r="AP580" t="str">
        <f>_xlfn.IFNA(VLOOKUP(Sheet1!$C580,MAC_PHYLO!A:C,3,FALSE),"-")</f>
        <v>-</v>
      </c>
      <c r="AQ580" t="str">
        <f>_xlfn.IFNA(VLOOKUP(Sheet1!$C580,ConStruct!A:C,3,FALSE),"-")</f>
        <v>ConStruct</v>
      </c>
      <c r="AR580" t="str">
        <f>_xlfn.IFNA(VLOOKUP(Sheet1!$C580,GEA!A:C,3,FALSE),"-")</f>
        <v>GEA</v>
      </c>
      <c r="AS580" t="str">
        <f>_xlfn.IFNA(VLOOKUP(Sheet1!$C580,MAC_DSUITE!A:D,3,FALSE),"-")</f>
        <v>mac_MB_WPP</v>
      </c>
      <c r="AT580" t="str">
        <f>_xlfn.IFNA(VLOOKUP(Sheet1!$C580,MONG_DSUITE!A:E,2,FALSE),"-")</f>
        <v>macrocarpa_WPP</v>
      </c>
      <c r="AU580" t="str">
        <f>_xlfn.IFNA(VLOOKUP(Sheet1!$C580,MAC_PAINT2!A:D,4,FALSE),"-")</f>
        <v>macpaint</v>
      </c>
      <c r="AV580" t="s">
        <v>9193</v>
      </c>
      <c r="AW580" t="s">
        <v>9193</v>
      </c>
    </row>
    <row r="581" spans="1:49" customFormat="1" x14ac:dyDescent="0.4">
      <c r="A581">
        <v>1958</v>
      </c>
      <c r="B581" t="s">
        <v>998</v>
      </c>
      <c r="C581" t="s">
        <v>999</v>
      </c>
      <c r="D581" t="str">
        <f>_xlfn.CONCAT(C581,".bam")</f>
        <v>SYST-MOR-0007365.bam</v>
      </c>
      <c r="E581" t="s">
        <v>1000</v>
      </c>
      <c r="F581" t="s">
        <v>2476</v>
      </c>
      <c r="G581" t="s">
        <v>2475</v>
      </c>
      <c r="H581" t="s">
        <v>2519</v>
      </c>
      <c r="I581" t="s">
        <v>974</v>
      </c>
      <c r="K581" t="s">
        <v>45</v>
      </c>
      <c r="L581" t="s">
        <v>45</v>
      </c>
      <c r="N581" t="s">
        <v>45</v>
      </c>
      <c r="P581" t="s">
        <v>31</v>
      </c>
      <c r="Q581" t="s">
        <v>114</v>
      </c>
      <c r="R581" t="s">
        <v>2597</v>
      </c>
      <c r="S581" s="1">
        <v>42922</v>
      </c>
      <c r="T581" t="s">
        <v>971</v>
      </c>
      <c r="U581" t="s">
        <v>34</v>
      </c>
      <c r="W581" t="s">
        <v>972</v>
      </c>
      <c r="X581" t="s">
        <v>973</v>
      </c>
      <c r="AA581" t="s">
        <v>974</v>
      </c>
      <c r="AB581" t="s">
        <v>975</v>
      </c>
      <c r="AD581" t="s">
        <v>45</v>
      </c>
      <c r="AE581">
        <v>49.711869999999998</v>
      </c>
      <c r="AF581">
        <v>-95.244720000000001</v>
      </c>
      <c r="AG581" t="s">
        <v>40</v>
      </c>
      <c r="AH581" t="s">
        <v>41</v>
      </c>
      <c r="AI581">
        <v>49.711869999999998</v>
      </c>
      <c r="AJ581">
        <v>-95.244720000000001</v>
      </c>
      <c r="AK581">
        <v>0</v>
      </c>
      <c r="AL581">
        <v>0</v>
      </c>
      <c r="AM581" t="str">
        <f>_xlfn.IFNA(VLOOKUP(Sheet1!$C581,ADMIX_ALL!A:B,2,FALSE),"none")</f>
        <v>K6-18</v>
      </c>
      <c r="AN581" t="str">
        <f>_xlfn.IFNA(VLOOKUP(Sheet1!C581,ADMIX_SS!A:B,2,FALSE),"none")</f>
        <v>SubSample</v>
      </c>
      <c r="AO581" t="str">
        <f>_xlfn.IFNA(VLOOKUP(Sheet1!$C581,MONG_PHYLO!A:C,3,FALSE),"-")</f>
        <v>-</v>
      </c>
      <c r="AP581" t="str">
        <f>_xlfn.IFNA(VLOOKUP(Sheet1!$C581,MAC_PHYLO!A:C,3,FALSE),"-")</f>
        <v>-</v>
      </c>
      <c r="AQ581" t="str">
        <f>_xlfn.IFNA(VLOOKUP(Sheet1!$C581,ConStruct!A:C,3,FALSE),"-")</f>
        <v>ConStruct</v>
      </c>
      <c r="AR581" t="str">
        <f>_xlfn.IFNA(VLOOKUP(Sheet1!$C581,GEA!A:C,3,FALSE),"-")</f>
        <v>GEA</v>
      </c>
      <c r="AS581" t="str">
        <f>_xlfn.IFNA(VLOOKUP(Sheet1!$C581,MAC_DSUITE!A:D,3,FALSE),"-")</f>
        <v>mac_MB_WPP</v>
      </c>
      <c r="AT581" t="str">
        <f>_xlfn.IFNA(VLOOKUP(Sheet1!$C581,MONG_DSUITE!A:E,2,FALSE),"-")</f>
        <v>macrocarpa_WPP</v>
      </c>
      <c r="AU581" t="str">
        <f>_xlfn.IFNA(VLOOKUP(Sheet1!$C581,MAC_PAINT2!A:D,4,FALSE),"-")</f>
        <v>macpaint</v>
      </c>
      <c r="AV581" t="s">
        <v>9193</v>
      </c>
      <c r="AW581" t="s">
        <v>9193</v>
      </c>
    </row>
    <row r="582" spans="1:49" customFormat="1" x14ac:dyDescent="0.4">
      <c r="A582">
        <v>1959</v>
      </c>
      <c r="B582" t="s">
        <v>1001</v>
      </c>
      <c r="C582" t="s">
        <v>1002</v>
      </c>
      <c r="D582" t="str">
        <f>_xlfn.CONCAT(C582,".bam")</f>
        <v>SYST-MOR-0007366.bam</v>
      </c>
      <c r="E582" t="s">
        <v>1003</v>
      </c>
      <c r="F582" t="s">
        <v>2476</v>
      </c>
      <c r="G582" t="s">
        <v>2475</v>
      </c>
      <c r="H582" t="s">
        <v>2519</v>
      </c>
      <c r="I582" t="s">
        <v>974</v>
      </c>
      <c r="K582" t="s">
        <v>45</v>
      </c>
      <c r="L582" t="s">
        <v>45</v>
      </c>
      <c r="N582" t="s">
        <v>45</v>
      </c>
      <c r="P582" t="s">
        <v>31</v>
      </c>
      <c r="Q582" t="s">
        <v>114</v>
      </c>
      <c r="R582" t="s">
        <v>2597</v>
      </c>
      <c r="S582" s="1">
        <v>42922</v>
      </c>
      <c r="T582" t="s">
        <v>971</v>
      </c>
      <c r="U582" t="s">
        <v>34</v>
      </c>
      <c r="W582" t="s">
        <v>972</v>
      </c>
      <c r="X582" t="s">
        <v>973</v>
      </c>
      <c r="AA582" t="s">
        <v>974</v>
      </c>
      <c r="AB582" t="s">
        <v>975</v>
      </c>
      <c r="AD582" t="s">
        <v>45</v>
      </c>
      <c r="AE582">
        <v>49.711869999999998</v>
      </c>
      <c r="AF582">
        <v>-95.244560000000007</v>
      </c>
      <c r="AG582" t="s">
        <v>40</v>
      </c>
      <c r="AH582" t="s">
        <v>41</v>
      </c>
      <c r="AI582">
        <v>49.711869999999998</v>
      </c>
      <c r="AJ582">
        <v>-95.244560000000007</v>
      </c>
      <c r="AK582">
        <v>0</v>
      </c>
      <c r="AL582">
        <v>0</v>
      </c>
      <c r="AM582" t="str">
        <f>_xlfn.IFNA(VLOOKUP(Sheet1!$C582,ADMIX_ALL!A:B,2,FALSE),"none")</f>
        <v>K6-18</v>
      </c>
      <c r="AN582" t="str">
        <f>_xlfn.IFNA(VLOOKUP(Sheet1!C582,ADMIX_SS!A:B,2,FALSE),"none")</f>
        <v>SubSample</v>
      </c>
      <c r="AO582" t="str">
        <f>_xlfn.IFNA(VLOOKUP(Sheet1!$C582,MONG_PHYLO!A:C,3,FALSE),"-")</f>
        <v>-</v>
      </c>
      <c r="AP582" t="str">
        <f>_xlfn.IFNA(VLOOKUP(Sheet1!$C582,MAC_PHYLO!A:C,3,FALSE),"-")</f>
        <v>-</v>
      </c>
      <c r="AQ582" t="str">
        <f>_xlfn.IFNA(VLOOKUP(Sheet1!$C582,ConStruct!A:C,3,FALSE),"-")</f>
        <v>ConStruct</v>
      </c>
      <c r="AR582" t="str">
        <f>_xlfn.IFNA(VLOOKUP(Sheet1!$C582,GEA!A:C,3,FALSE),"-")</f>
        <v>GEA</v>
      </c>
      <c r="AS582" t="str">
        <f>_xlfn.IFNA(VLOOKUP(Sheet1!$C582,MAC_DSUITE!A:D,3,FALSE),"-")</f>
        <v>mac_MB_WPP</v>
      </c>
      <c r="AT582" t="str">
        <f>_xlfn.IFNA(VLOOKUP(Sheet1!$C582,MONG_DSUITE!A:E,2,FALSE),"-")</f>
        <v>macrocarpa_WPP</v>
      </c>
      <c r="AU582" t="str">
        <f>_xlfn.IFNA(VLOOKUP(Sheet1!$C582,MAC_PAINT2!A:D,4,FALSE),"-")</f>
        <v>macpaint</v>
      </c>
      <c r="AV582" t="s">
        <v>9193</v>
      </c>
      <c r="AW582" t="s">
        <v>9193</v>
      </c>
    </row>
    <row r="583" spans="1:49" customFormat="1" x14ac:dyDescent="0.4">
      <c r="A583">
        <v>1960</v>
      </c>
      <c r="B583" t="s">
        <v>1004</v>
      </c>
      <c r="C583" t="s">
        <v>1005</v>
      </c>
      <c r="D583" t="str">
        <f>_xlfn.CONCAT(C583,".bam")</f>
        <v>SYST-MOR-0007367.bam</v>
      </c>
      <c r="E583" t="s">
        <v>1006</v>
      </c>
      <c r="F583" t="s">
        <v>2476</v>
      </c>
      <c r="G583" t="s">
        <v>2477</v>
      </c>
      <c r="H583" t="s">
        <v>2520</v>
      </c>
      <c r="I583" t="s">
        <v>1007</v>
      </c>
      <c r="K583" t="s">
        <v>45</v>
      </c>
      <c r="L583" t="s">
        <v>45</v>
      </c>
      <c r="N583" t="s">
        <v>45</v>
      </c>
      <c r="P583" t="s">
        <v>31</v>
      </c>
      <c r="Q583" t="s">
        <v>114</v>
      </c>
      <c r="R583" t="s">
        <v>2597</v>
      </c>
      <c r="S583" s="1">
        <v>42923</v>
      </c>
      <c r="T583" t="s">
        <v>526</v>
      </c>
      <c r="U583" t="s">
        <v>34</v>
      </c>
      <c r="W583" t="s">
        <v>972</v>
      </c>
      <c r="X583" t="s">
        <v>973</v>
      </c>
      <c r="AA583" t="s">
        <v>1007</v>
      </c>
      <c r="AB583" t="s">
        <v>1008</v>
      </c>
      <c r="AD583" t="s">
        <v>45</v>
      </c>
      <c r="AE583">
        <v>49.761040000000001</v>
      </c>
      <c r="AF583">
        <v>-99.159710000000004</v>
      </c>
      <c r="AG583" t="s">
        <v>40</v>
      </c>
      <c r="AH583" t="s">
        <v>41</v>
      </c>
      <c r="AI583">
        <v>49.761040000000001</v>
      </c>
      <c r="AJ583">
        <v>-99.159710000000004</v>
      </c>
      <c r="AK583">
        <v>0</v>
      </c>
      <c r="AL583">
        <v>0</v>
      </c>
      <c r="AM583" t="str">
        <f>_xlfn.IFNA(VLOOKUP(Sheet1!$C583,ADMIX_ALL!A:B,2,FALSE),"none")</f>
        <v>K6-18</v>
      </c>
      <c r="AN583" t="str">
        <f>_xlfn.IFNA(VLOOKUP(Sheet1!C583,ADMIX_SS!A:B,2,FALSE),"none")</f>
        <v>SubSample</v>
      </c>
      <c r="AO583" t="str">
        <f>_xlfn.IFNA(VLOOKUP(Sheet1!$C583,MONG_PHYLO!A:C,3,FALSE),"-")</f>
        <v>-</v>
      </c>
      <c r="AP583" t="str">
        <f>_xlfn.IFNA(VLOOKUP(Sheet1!$C583,MAC_PHYLO!A:C,3,FALSE),"-")</f>
        <v>-</v>
      </c>
      <c r="AQ583" t="str">
        <f>_xlfn.IFNA(VLOOKUP(Sheet1!$C583,ConStruct!A:C,3,FALSE),"-")</f>
        <v>ConStruct</v>
      </c>
      <c r="AR583" t="str">
        <f>_xlfn.IFNA(VLOOKUP(Sheet1!$C583,GEA!A:C,3,FALSE),"-")</f>
        <v>GEA</v>
      </c>
      <c r="AS583" t="str">
        <f>_xlfn.IFNA(VLOOKUP(Sheet1!$C583,MAC_DSUITE!A:D,3,FALSE),"-")</f>
        <v>mac_MB_SWP</v>
      </c>
      <c r="AT583" t="str">
        <f>_xlfn.IFNA(VLOOKUP(Sheet1!$C583,MONG_DSUITE!A:E,2,FALSE),"-")</f>
        <v>macrocarpa_SWP</v>
      </c>
      <c r="AU583" t="str">
        <f>_xlfn.IFNA(VLOOKUP(Sheet1!$C583,MAC_PAINT2!A:D,4,FALSE),"-")</f>
        <v>macpaint</v>
      </c>
      <c r="AV583" t="s">
        <v>9193</v>
      </c>
      <c r="AW583" t="s">
        <v>9193</v>
      </c>
    </row>
    <row r="584" spans="1:49" customFormat="1" x14ac:dyDescent="0.4">
      <c r="A584">
        <v>1961</v>
      </c>
      <c r="B584" t="s">
        <v>1009</v>
      </c>
      <c r="C584" t="s">
        <v>1010</v>
      </c>
      <c r="D584" t="str">
        <f>_xlfn.CONCAT(C584,".bam")</f>
        <v>SYST-MOR-0007368.bam</v>
      </c>
      <c r="E584" t="s">
        <v>1011</v>
      </c>
      <c r="F584" t="s">
        <v>2476</v>
      </c>
      <c r="G584" t="s">
        <v>2477</v>
      </c>
      <c r="H584" t="s">
        <v>2520</v>
      </c>
      <c r="I584" t="s">
        <v>1007</v>
      </c>
      <c r="K584" t="s">
        <v>45</v>
      </c>
      <c r="L584" t="s">
        <v>45</v>
      </c>
      <c r="N584" t="s">
        <v>45</v>
      </c>
      <c r="P584" t="s">
        <v>31</v>
      </c>
      <c r="Q584" t="s">
        <v>114</v>
      </c>
      <c r="R584" t="s">
        <v>2597</v>
      </c>
      <c r="S584" s="1">
        <v>42923</v>
      </c>
      <c r="T584" t="s">
        <v>526</v>
      </c>
      <c r="U584" t="s">
        <v>34</v>
      </c>
      <c r="W584" t="s">
        <v>972</v>
      </c>
      <c r="X584" t="s">
        <v>973</v>
      </c>
      <c r="AA584" t="s">
        <v>1007</v>
      </c>
      <c r="AB584" t="s">
        <v>1008</v>
      </c>
      <c r="AD584" t="s">
        <v>45</v>
      </c>
      <c r="AE584">
        <v>49.760950000000001</v>
      </c>
      <c r="AF584">
        <v>-99.159829999999999</v>
      </c>
      <c r="AG584" t="s">
        <v>40</v>
      </c>
      <c r="AH584" t="s">
        <v>41</v>
      </c>
      <c r="AI584">
        <v>49.760950000000001</v>
      </c>
      <c r="AJ584">
        <v>-99.159829999999999</v>
      </c>
      <c r="AK584">
        <v>0</v>
      </c>
      <c r="AL584">
        <v>0</v>
      </c>
      <c r="AM584" t="str">
        <f>_xlfn.IFNA(VLOOKUP(Sheet1!$C584,ADMIX_ALL!A:B,2,FALSE),"none")</f>
        <v>K6-18</v>
      </c>
      <c r="AN584" t="str">
        <f>_xlfn.IFNA(VLOOKUP(Sheet1!C584,ADMIX_SS!A:B,2,FALSE),"none")</f>
        <v>SubSample</v>
      </c>
      <c r="AO584" t="str">
        <f>_xlfn.IFNA(VLOOKUP(Sheet1!$C584,MONG_PHYLO!A:C,3,FALSE),"-")</f>
        <v>-</v>
      </c>
      <c r="AP584" t="str">
        <f>_xlfn.IFNA(VLOOKUP(Sheet1!$C584,MAC_PHYLO!A:C,3,FALSE),"-")</f>
        <v>-</v>
      </c>
      <c r="AQ584" t="str">
        <f>_xlfn.IFNA(VLOOKUP(Sheet1!$C584,ConStruct!A:C,3,FALSE),"-")</f>
        <v>ConStruct</v>
      </c>
      <c r="AR584" t="str">
        <f>_xlfn.IFNA(VLOOKUP(Sheet1!$C584,GEA!A:C,3,FALSE),"-")</f>
        <v>GEA</v>
      </c>
      <c r="AS584" t="str">
        <f>_xlfn.IFNA(VLOOKUP(Sheet1!$C584,MAC_DSUITE!A:D,3,FALSE),"-")</f>
        <v>mac_MB_SWP</v>
      </c>
      <c r="AT584" t="str">
        <f>_xlfn.IFNA(VLOOKUP(Sheet1!$C584,MONG_DSUITE!A:E,2,FALSE),"-")</f>
        <v>macrocarpa_SWP</v>
      </c>
      <c r="AU584" t="str">
        <f>_xlfn.IFNA(VLOOKUP(Sheet1!$C584,MAC_PAINT2!A:D,4,FALSE),"-")</f>
        <v>macpaint</v>
      </c>
      <c r="AV584" t="s">
        <v>9193</v>
      </c>
      <c r="AW584" t="s">
        <v>9193</v>
      </c>
    </row>
    <row r="585" spans="1:49" customFormat="1" x14ac:dyDescent="0.4">
      <c r="A585">
        <v>1962</v>
      </c>
      <c r="B585" t="s">
        <v>1012</v>
      </c>
      <c r="C585" t="s">
        <v>1013</v>
      </c>
      <c r="D585" t="str">
        <f>_xlfn.CONCAT(C585,".bam")</f>
        <v>SYST-MOR-0007369.bam</v>
      </c>
      <c r="E585" t="s">
        <v>1014</v>
      </c>
      <c r="F585" t="s">
        <v>2476</v>
      </c>
      <c r="G585" t="s">
        <v>2477</v>
      </c>
      <c r="H585" t="s">
        <v>2520</v>
      </c>
      <c r="I585" t="s">
        <v>1007</v>
      </c>
      <c r="K585" t="s">
        <v>45</v>
      </c>
      <c r="L585" t="s">
        <v>45</v>
      </c>
      <c r="N585" t="s">
        <v>45</v>
      </c>
      <c r="P585" t="s">
        <v>31</v>
      </c>
      <c r="Q585" t="s">
        <v>114</v>
      </c>
      <c r="R585" t="s">
        <v>2597</v>
      </c>
      <c r="S585" s="1">
        <v>42923</v>
      </c>
      <c r="T585" t="s">
        <v>526</v>
      </c>
      <c r="U585" t="s">
        <v>34</v>
      </c>
      <c r="W585" t="s">
        <v>972</v>
      </c>
      <c r="X585" t="s">
        <v>973</v>
      </c>
      <c r="AA585" t="s">
        <v>1007</v>
      </c>
      <c r="AB585" t="s">
        <v>1008</v>
      </c>
      <c r="AD585" t="s">
        <v>45</v>
      </c>
      <c r="AE585">
        <v>49.76061</v>
      </c>
      <c r="AF585">
        <v>-99.159279999999995</v>
      </c>
      <c r="AG585" t="s">
        <v>40</v>
      </c>
      <c r="AH585" t="s">
        <v>41</v>
      </c>
      <c r="AI585">
        <v>49.76061</v>
      </c>
      <c r="AJ585">
        <v>-99.159279999999995</v>
      </c>
      <c r="AK585">
        <v>0</v>
      </c>
      <c r="AL585">
        <v>0</v>
      </c>
      <c r="AM585" t="str">
        <f>_xlfn.IFNA(VLOOKUP(Sheet1!$C585,ADMIX_ALL!A:B,2,FALSE),"none")</f>
        <v>K6-18</v>
      </c>
      <c r="AN585" t="str">
        <f>_xlfn.IFNA(VLOOKUP(Sheet1!C585,ADMIX_SS!A:B,2,FALSE),"none")</f>
        <v>SubSample</v>
      </c>
      <c r="AO585" t="str">
        <f>_xlfn.IFNA(VLOOKUP(Sheet1!$C585,MONG_PHYLO!A:C,3,FALSE),"-")</f>
        <v>-</v>
      </c>
      <c r="AP585" t="str">
        <f>_xlfn.IFNA(VLOOKUP(Sheet1!$C585,MAC_PHYLO!A:C,3,FALSE),"-")</f>
        <v>-</v>
      </c>
      <c r="AQ585" t="str">
        <f>_xlfn.IFNA(VLOOKUP(Sheet1!$C585,ConStruct!A:C,3,FALSE),"-")</f>
        <v>ConStruct</v>
      </c>
      <c r="AR585" t="str">
        <f>_xlfn.IFNA(VLOOKUP(Sheet1!$C585,GEA!A:C,3,FALSE),"-")</f>
        <v>GEA</v>
      </c>
      <c r="AS585" t="str">
        <f>_xlfn.IFNA(VLOOKUP(Sheet1!$C585,MAC_DSUITE!A:D,3,FALSE),"-")</f>
        <v>mac_MB_SWP</v>
      </c>
      <c r="AT585" t="str">
        <f>_xlfn.IFNA(VLOOKUP(Sheet1!$C585,MONG_DSUITE!A:E,2,FALSE),"-")</f>
        <v>macrocarpa_SWP</v>
      </c>
      <c r="AU585" t="str">
        <f>_xlfn.IFNA(VLOOKUP(Sheet1!$C585,MAC_PAINT2!A:D,4,FALSE),"-")</f>
        <v>macpaint</v>
      </c>
      <c r="AV585" t="s">
        <v>9193</v>
      </c>
      <c r="AW585" t="s">
        <v>9193</v>
      </c>
    </row>
    <row r="586" spans="1:49" customFormat="1" x14ac:dyDescent="0.4">
      <c r="A586">
        <v>1963</v>
      </c>
      <c r="B586" t="s">
        <v>1015</v>
      </c>
      <c r="C586" t="s">
        <v>1016</v>
      </c>
      <c r="D586" t="str">
        <f>_xlfn.CONCAT(C586,".bam")</f>
        <v>SYST-MOR-0007370.bam</v>
      </c>
      <c r="E586" t="s">
        <v>1017</v>
      </c>
      <c r="F586" t="s">
        <v>2476</v>
      </c>
      <c r="G586" t="s">
        <v>2477</v>
      </c>
      <c r="H586" t="s">
        <v>2520</v>
      </c>
      <c r="I586" t="s">
        <v>1007</v>
      </c>
      <c r="K586" t="s">
        <v>45</v>
      </c>
      <c r="L586" t="s">
        <v>45</v>
      </c>
      <c r="N586" t="s">
        <v>45</v>
      </c>
      <c r="P586" t="s">
        <v>31</v>
      </c>
      <c r="Q586" t="s">
        <v>114</v>
      </c>
      <c r="R586" t="s">
        <v>2597</v>
      </c>
      <c r="S586" s="1">
        <v>42923</v>
      </c>
      <c r="T586" t="s">
        <v>526</v>
      </c>
      <c r="U586" t="s">
        <v>34</v>
      </c>
      <c r="W586" t="s">
        <v>972</v>
      </c>
      <c r="X586" t="s">
        <v>973</v>
      </c>
      <c r="AA586" t="s">
        <v>1007</v>
      </c>
      <c r="AB586" t="s">
        <v>1018</v>
      </c>
      <c r="AD586" t="s">
        <v>45</v>
      </c>
      <c r="AE586">
        <v>49.761369999999999</v>
      </c>
      <c r="AF586">
        <v>-99.160399999999996</v>
      </c>
      <c r="AG586" t="s">
        <v>40</v>
      </c>
      <c r="AH586" t="s">
        <v>41</v>
      </c>
      <c r="AI586">
        <v>49.761369999999999</v>
      </c>
      <c r="AJ586">
        <v>-99.160399999999996</v>
      </c>
      <c r="AK586">
        <v>0</v>
      </c>
      <c r="AL586">
        <v>0</v>
      </c>
      <c r="AM586" t="str">
        <f>_xlfn.IFNA(VLOOKUP(Sheet1!$C586,ADMIX_ALL!A:B,2,FALSE),"none")</f>
        <v>K6-18</v>
      </c>
      <c r="AN586" t="str">
        <f>_xlfn.IFNA(VLOOKUP(Sheet1!C586,ADMIX_SS!A:B,2,FALSE),"none")</f>
        <v>SubSample</v>
      </c>
      <c r="AO586" t="str">
        <f>_xlfn.IFNA(VLOOKUP(Sheet1!$C586,MONG_PHYLO!A:C,3,FALSE),"-")</f>
        <v>-</v>
      </c>
      <c r="AP586" t="str">
        <f>_xlfn.IFNA(VLOOKUP(Sheet1!$C586,MAC_PHYLO!A:C,3,FALSE),"-")</f>
        <v>-</v>
      </c>
      <c r="AQ586" t="str">
        <f>_xlfn.IFNA(VLOOKUP(Sheet1!$C586,ConStruct!A:C,3,FALSE),"-")</f>
        <v>ConStruct</v>
      </c>
      <c r="AR586" t="str">
        <f>_xlfn.IFNA(VLOOKUP(Sheet1!$C586,GEA!A:C,3,FALSE),"-")</f>
        <v>GEA</v>
      </c>
      <c r="AS586" t="str">
        <f>_xlfn.IFNA(VLOOKUP(Sheet1!$C586,MAC_DSUITE!A:D,3,FALSE),"-")</f>
        <v>mac_MB_SWP</v>
      </c>
      <c r="AT586" t="str">
        <f>_xlfn.IFNA(VLOOKUP(Sheet1!$C586,MONG_DSUITE!A:E,2,FALSE),"-")</f>
        <v>macrocarpa_SWP</v>
      </c>
      <c r="AU586" t="str">
        <f>_xlfn.IFNA(VLOOKUP(Sheet1!$C586,MAC_PAINT2!A:D,4,FALSE),"-")</f>
        <v>macpaint</v>
      </c>
      <c r="AV586" t="s">
        <v>9193</v>
      </c>
      <c r="AW586" t="s">
        <v>9193</v>
      </c>
    </row>
    <row r="587" spans="1:49" customFormat="1" x14ac:dyDescent="0.4">
      <c r="A587">
        <v>1964</v>
      </c>
      <c r="B587" t="s">
        <v>1019</v>
      </c>
      <c r="C587" t="s">
        <v>1020</v>
      </c>
      <c r="D587" t="str">
        <f>_xlfn.CONCAT(C587,".bam")</f>
        <v>SYST-MOR-0007371.bam</v>
      </c>
      <c r="E587" t="s">
        <v>1021</v>
      </c>
      <c r="F587" t="s">
        <v>2476</v>
      </c>
      <c r="G587" t="s">
        <v>2477</v>
      </c>
      <c r="H587" t="s">
        <v>2520</v>
      </c>
      <c r="I587" t="s">
        <v>1007</v>
      </c>
      <c r="K587" t="s">
        <v>45</v>
      </c>
      <c r="L587" t="s">
        <v>45</v>
      </c>
      <c r="N587" t="s">
        <v>1022</v>
      </c>
      <c r="P587" t="s">
        <v>31</v>
      </c>
      <c r="Q587" t="s">
        <v>1023</v>
      </c>
      <c r="R587" t="s">
        <v>2597</v>
      </c>
      <c r="S587" s="1">
        <v>42923</v>
      </c>
      <c r="T587" t="s">
        <v>526</v>
      </c>
      <c r="U587" t="s">
        <v>34</v>
      </c>
      <c r="W587" t="s">
        <v>972</v>
      </c>
      <c r="X587" t="s">
        <v>973</v>
      </c>
      <c r="AA587" t="s">
        <v>1007</v>
      </c>
      <c r="AB587" t="s">
        <v>1008</v>
      </c>
      <c r="AD587" t="s">
        <v>1022</v>
      </c>
      <c r="AE587">
        <v>49.76117</v>
      </c>
      <c r="AF587">
        <v>-99.161420000000007</v>
      </c>
      <c r="AG587" t="s">
        <v>40</v>
      </c>
      <c r="AH587" t="s">
        <v>41</v>
      </c>
      <c r="AI587">
        <v>49.76117</v>
      </c>
      <c r="AJ587">
        <v>-99.161420000000007</v>
      </c>
      <c r="AK587">
        <v>0</v>
      </c>
      <c r="AL587">
        <v>0</v>
      </c>
      <c r="AM587" t="str">
        <f>_xlfn.IFNA(VLOOKUP(Sheet1!$C587,ADMIX_ALL!A:B,2,FALSE),"none")</f>
        <v>K6-18</v>
      </c>
      <c r="AN587" t="str">
        <f>_xlfn.IFNA(VLOOKUP(Sheet1!C587,ADMIX_SS!A:B,2,FALSE),"none")</f>
        <v>SubSample</v>
      </c>
      <c r="AO587" t="str">
        <f>_xlfn.IFNA(VLOOKUP(Sheet1!$C587,MONG_PHYLO!A:C,3,FALSE),"-")</f>
        <v>-</v>
      </c>
      <c r="AP587" t="str">
        <f>_xlfn.IFNA(VLOOKUP(Sheet1!$C587,MAC_PHYLO!A:C,3,FALSE),"-")</f>
        <v>-</v>
      </c>
      <c r="AQ587" t="str">
        <f>_xlfn.IFNA(VLOOKUP(Sheet1!$C587,ConStruct!A:C,3,FALSE),"-")</f>
        <v>ConStruct</v>
      </c>
      <c r="AR587" t="str">
        <f>_xlfn.IFNA(VLOOKUP(Sheet1!$C587,GEA!A:C,3,FALSE),"-")</f>
        <v>GEA</v>
      </c>
      <c r="AS587" t="str">
        <f>_xlfn.IFNA(VLOOKUP(Sheet1!$C587,MAC_DSUITE!A:D,3,FALSE),"-")</f>
        <v>mac_MB_SWP</v>
      </c>
      <c r="AT587" t="str">
        <f>_xlfn.IFNA(VLOOKUP(Sheet1!$C587,MONG_DSUITE!A:E,2,FALSE),"-")</f>
        <v>macrocarpa_SWP</v>
      </c>
      <c r="AU587" t="str">
        <f>_xlfn.IFNA(VLOOKUP(Sheet1!$C587,MAC_PAINT2!A:D,4,FALSE),"-")</f>
        <v>macpaint</v>
      </c>
      <c r="AV587" t="s">
        <v>9193</v>
      </c>
      <c r="AW587" t="s">
        <v>9193</v>
      </c>
    </row>
    <row r="588" spans="1:49" customFormat="1" x14ac:dyDescent="0.4">
      <c r="A588">
        <v>1965</v>
      </c>
      <c r="B588" t="s">
        <v>1024</v>
      </c>
      <c r="C588" t="s">
        <v>1025</v>
      </c>
      <c r="D588" t="str">
        <f>_xlfn.CONCAT(C588,".bam")</f>
        <v>SYST-MOR-0007372.bam</v>
      </c>
      <c r="E588" t="s">
        <v>1026</v>
      </c>
      <c r="F588" t="s">
        <v>2476</v>
      </c>
      <c r="G588" t="s">
        <v>2477</v>
      </c>
      <c r="H588" t="s">
        <v>2520</v>
      </c>
      <c r="I588" t="s">
        <v>1007</v>
      </c>
      <c r="K588" t="s">
        <v>45</v>
      </c>
      <c r="L588" t="s">
        <v>45</v>
      </c>
      <c r="N588" t="s">
        <v>45</v>
      </c>
      <c r="P588" t="s">
        <v>31</v>
      </c>
      <c r="Q588" t="s">
        <v>114</v>
      </c>
      <c r="R588" t="s">
        <v>2597</v>
      </c>
      <c r="S588" s="1">
        <v>42923</v>
      </c>
      <c r="T588" t="s">
        <v>526</v>
      </c>
      <c r="U588" t="s">
        <v>34</v>
      </c>
      <c r="W588" t="s">
        <v>972</v>
      </c>
      <c r="X588" t="s">
        <v>973</v>
      </c>
      <c r="AA588" t="s">
        <v>1007</v>
      </c>
      <c r="AB588" t="s">
        <v>1008</v>
      </c>
      <c r="AD588" t="s">
        <v>45</v>
      </c>
      <c r="AE588">
        <v>49.761470000000003</v>
      </c>
      <c r="AF588">
        <v>-99.158860000000004</v>
      </c>
      <c r="AG588" t="s">
        <v>40</v>
      </c>
      <c r="AH588" t="s">
        <v>41</v>
      </c>
      <c r="AI588">
        <v>49.761470000000003</v>
      </c>
      <c r="AJ588">
        <v>-99.158860000000004</v>
      </c>
      <c r="AK588">
        <v>0</v>
      </c>
      <c r="AL588">
        <v>0</v>
      </c>
      <c r="AM588" t="str">
        <f>_xlfn.IFNA(VLOOKUP(Sheet1!$C588,ADMIX_ALL!A:B,2,FALSE),"none")</f>
        <v>K6-18</v>
      </c>
      <c r="AN588" t="str">
        <f>_xlfn.IFNA(VLOOKUP(Sheet1!C588,ADMIX_SS!A:B,2,FALSE),"none")</f>
        <v>SubSample</v>
      </c>
      <c r="AO588" t="str">
        <f>_xlfn.IFNA(VLOOKUP(Sheet1!$C588,MONG_PHYLO!A:C,3,FALSE),"-")</f>
        <v>-</v>
      </c>
      <c r="AP588" t="str">
        <f>_xlfn.IFNA(VLOOKUP(Sheet1!$C588,MAC_PHYLO!A:C,3,FALSE),"-")</f>
        <v>-</v>
      </c>
      <c r="AQ588" t="str">
        <f>_xlfn.IFNA(VLOOKUP(Sheet1!$C588,ConStruct!A:C,3,FALSE),"-")</f>
        <v>ConStruct</v>
      </c>
      <c r="AR588" t="str">
        <f>_xlfn.IFNA(VLOOKUP(Sheet1!$C588,GEA!A:C,3,FALSE),"-")</f>
        <v>GEA</v>
      </c>
      <c r="AS588" t="str">
        <f>_xlfn.IFNA(VLOOKUP(Sheet1!$C588,MAC_DSUITE!A:D,3,FALSE),"-")</f>
        <v>mac_MB_SWP</v>
      </c>
      <c r="AT588" t="str">
        <f>_xlfn.IFNA(VLOOKUP(Sheet1!$C588,MONG_DSUITE!A:E,2,FALSE),"-")</f>
        <v>macrocarpa_SWP</v>
      </c>
      <c r="AU588" t="str">
        <f>_xlfn.IFNA(VLOOKUP(Sheet1!$C588,MAC_PAINT2!A:D,4,FALSE),"-")</f>
        <v>macpaint</v>
      </c>
      <c r="AV588" t="s">
        <v>9193</v>
      </c>
      <c r="AW588" t="s">
        <v>9193</v>
      </c>
    </row>
    <row r="589" spans="1:49" customFormat="1" x14ac:dyDescent="0.4">
      <c r="A589">
        <v>1966</v>
      </c>
      <c r="B589" t="s">
        <v>1027</v>
      </c>
      <c r="C589" t="s">
        <v>1028</v>
      </c>
      <c r="D589" t="str">
        <f>_xlfn.CONCAT(C589,".bam")</f>
        <v>SYST-MOR-0007373.bam</v>
      </c>
      <c r="E589" t="s">
        <v>1029</v>
      </c>
      <c r="F589" t="s">
        <v>2476</v>
      </c>
      <c r="G589" t="s">
        <v>2477</v>
      </c>
      <c r="H589" t="s">
        <v>2520</v>
      </c>
      <c r="I589" t="s">
        <v>1007</v>
      </c>
      <c r="K589" t="s">
        <v>45</v>
      </c>
      <c r="L589" t="s">
        <v>45</v>
      </c>
      <c r="N589" t="s">
        <v>45</v>
      </c>
      <c r="P589" t="s">
        <v>31</v>
      </c>
      <c r="Q589" t="s">
        <v>114</v>
      </c>
      <c r="R589" t="s">
        <v>2597</v>
      </c>
      <c r="S589" s="1">
        <v>42923</v>
      </c>
      <c r="T589" t="s">
        <v>526</v>
      </c>
      <c r="U589" t="s">
        <v>34</v>
      </c>
      <c r="W589" t="s">
        <v>972</v>
      </c>
      <c r="X589" t="s">
        <v>973</v>
      </c>
      <c r="AA589" t="s">
        <v>1007</v>
      </c>
      <c r="AB589" t="s">
        <v>1008</v>
      </c>
      <c r="AD589" t="s">
        <v>45</v>
      </c>
      <c r="AE589">
        <v>49.761029999999998</v>
      </c>
      <c r="AF589">
        <v>-99.158479999999997</v>
      </c>
      <c r="AG589" t="s">
        <v>40</v>
      </c>
      <c r="AH589" t="s">
        <v>41</v>
      </c>
      <c r="AI589">
        <v>49.761029999999998</v>
      </c>
      <c r="AJ589">
        <v>-99.158479999999997</v>
      </c>
      <c r="AK589">
        <v>0</v>
      </c>
      <c r="AL589">
        <v>0</v>
      </c>
      <c r="AM589" t="str">
        <f>_xlfn.IFNA(VLOOKUP(Sheet1!$C589,ADMIX_ALL!A:B,2,FALSE),"none")</f>
        <v>K6-18</v>
      </c>
      <c r="AN589" t="str">
        <f>_xlfn.IFNA(VLOOKUP(Sheet1!C589,ADMIX_SS!A:B,2,FALSE),"none")</f>
        <v>SubSample</v>
      </c>
      <c r="AO589" t="str">
        <f>_xlfn.IFNA(VLOOKUP(Sheet1!$C589,MONG_PHYLO!A:C,3,FALSE),"-")</f>
        <v>-</v>
      </c>
      <c r="AP589" t="str">
        <f>_xlfn.IFNA(VLOOKUP(Sheet1!$C589,MAC_PHYLO!A:C,3,FALSE),"-")</f>
        <v>-</v>
      </c>
      <c r="AQ589" t="str">
        <f>_xlfn.IFNA(VLOOKUP(Sheet1!$C589,ConStruct!A:C,3,FALSE),"-")</f>
        <v>ConStruct</v>
      </c>
      <c r="AR589" t="str">
        <f>_xlfn.IFNA(VLOOKUP(Sheet1!$C589,GEA!A:C,3,FALSE),"-")</f>
        <v>GEA</v>
      </c>
      <c r="AS589" t="str">
        <f>_xlfn.IFNA(VLOOKUP(Sheet1!$C589,MAC_DSUITE!A:D,3,FALSE),"-")</f>
        <v>mac_MB_SWP</v>
      </c>
      <c r="AT589" t="str">
        <f>_xlfn.IFNA(VLOOKUP(Sheet1!$C589,MONG_DSUITE!A:E,2,FALSE),"-")</f>
        <v>macrocarpa_SWP</v>
      </c>
      <c r="AU589" t="str">
        <f>_xlfn.IFNA(VLOOKUP(Sheet1!$C589,MAC_PAINT2!A:D,4,FALSE),"-")</f>
        <v>macpaint</v>
      </c>
      <c r="AV589" t="s">
        <v>9193</v>
      </c>
      <c r="AW589" t="s">
        <v>9193</v>
      </c>
    </row>
    <row r="590" spans="1:49" customFormat="1" x14ac:dyDescent="0.4">
      <c r="A590">
        <v>1967</v>
      </c>
      <c r="B590" t="s">
        <v>1030</v>
      </c>
      <c r="C590" t="s">
        <v>1031</v>
      </c>
      <c r="D590" t="str">
        <f>_xlfn.CONCAT(C590,".bam")</f>
        <v>SYST-MOR-0007374.bam</v>
      </c>
      <c r="E590" t="s">
        <v>1032</v>
      </c>
      <c r="F590" t="s">
        <v>2476</v>
      </c>
      <c r="G590" t="s">
        <v>2477</v>
      </c>
      <c r="H590" t="s">
        <v>2520</v>
      </c>
      <c r="I590" t="s">
        <v>1007</v>
      </c>
      <c r="K590" t="s">
        <v>45</v>
      </c>
      <c r="L590" t="s">
        <v>45</v>
      </c>
      <c r="N590" t="s">
        <v>45</v>
      </c>
      <c r="P590" t="s">
        <v>31</v>
      </c>
      <c r="Q590" t="s">
        <v>114</v>
      </c>
      <c r="R590" t="s">
        <v>2597</v>
      </c>
      <c r="S590" s="1">
        <v>42923</v>
      </c>
      <c r="T590" t="s">
        <v>526</v>
      </c>
      <c r="U590" t="s">
        <v>34</v>
      </c>
      <c r="W590" t="s">
        <v>972</v>
      </c>
      <c r="X590" t="s">
        <v>973</v>
      </c>
      <c r="AA590" t="s">
        <v>1007</v>
      </c>
      <c r="AB590" t="s">
        <v>1033</v>
      </c>
      <c r="AD590" t="s">
        <v>45</v>
      </c>
      <c r="AE590">
        <v>49.760429999999999</v>
      </c>
      <c r="AF590">
        <v>-99.158580000000001</v>
      </c>
      <c r="AG590" t="s">
        <v>40</v>
      </c>
      <c r="AH590" t="s">
        <v>41</v>
      </c>
      <c r="AI590">
        <v>49.760429999999999</v>
      </c>
      <c r="AJ590">
        <v>-99.158580000000001</v>
      </c>
      <c r="AK590">
        <v>0</v>
      </c>
      <c r="AL590">
        <v>0</v>
      </c>
      <c r="AM590" t="str">
        <f>_xlfn.IFNA(VLOOKUP(Sheet1!$C590,ADMIX_ALL!A:B,2,FALSE),"none")</f>
        <v>K6-18</v>
      </c>
      <c r="AN590" t="str">
        <f>_xlfn.IFNA(VLOOKUP(Sheet1!C590,ADMIX_SS!A:B,2,FALSE),"none")</f>
        <v>SubSample</v>
      </c>
      <c r="AO590" t="str">
        <f>_xlfn.IFNA(VLOOKUP(Sheet1!$C590,MONG_PHYLO!A:C,3,FALSE),"-")</f>
        <v>-</v>
      </c>
      <c r="AP590" t="str">
        <f>_xlfn.IFNA(VLOOKUP(Sheet1!$C590,MAC_PHYLO!A:C,3,FALSE),"-")</f>
        <v>-</v>
      </c>
      <c r="AQ590" t="str">
        <f>_xlfn.IFNA(VLOOKUP(Sheet1!$C590,ConStruct!A:C,3,FALSE),"-")</f>
        <v>ConStruct</v>
      </c>
      <c r="AR590" t="str">
        <f>_xlfn.IFNA(VLOOKUP(Sheet1!$C590,GEA!A:C,3,FALSE),"-")</f>
        <v>GEA</v>
      </c>
      <c r="AS590" t="str">
        <f>_xlfn.IFNA(VLOOKUP(Sheet1!$C590,MAC_DSUITE!A:D,3,FALSE),"-")</f>
        <v>mac_MB_SWP</v>
      </c>
      <c r="AT590" t="str">
        <f>_xlfn.IFNA(VLOOKUP(Sheet1!$C590,MONG_DSUITE!A:E,2,FALSE),"-")</f>
        <v>macrocarpa_SWP</v>
      </c>
      <c r="AU590" t="str">
        <f>_xlfn.IFNA(VLOOKUP(Sheet1!$C590,MAC_PAINT2!A:D,4,FALSE),"-")</f>
        <v>macpaint</v>
      </c>
      <c r="AV590" t="s">
        <v>9193</v>
      </c>
      <c r="AW590" t="s">
        <v>9193</v>
      </c>
    </row>
    <row r="591" spans="1:49" customFormat="1" x14ac:dyDescent="0.4">
      <c r="A591">
        <v>1968</v>
      </c>
      <c r="B591" t="s">
        <v>1034</v>
      </c>
      <c r="C591" t="s">
        <v>1035</v>
      </c>
      <c r="D591" t="str">
        <f>_xlfn.CONCAT(C591,".bam")</f>
        <v>SYST-MOR-0007375.bam</v>
      </c>
      <c r="E591" t="s">
        <v>1036</v>
      </c>
      <c r="F591" t="s">
        <v>2476</v>
      </c>
      <c r="G591" t="s">
        <v>2477</v>
      </c>
      <c r="H591" t="s">
        <v>2520</v>
      </c>
      <c r="I591" t="s">
        <v>1007</v>
      </c>
      <c r="K591" t="s">
        <v>45</v>
      </c>
      <c r="L591" t="s">
        <v>45</v>
      </c>
      <c r="N591" t="s">
        <v>45</v>
      </c>
      <c r="P591" t="s">
        <v>31</v>
      </c>
      <c r="Q591" t="s">
        <v>114</v>
      </c>
      <c r="R591" t="s">
        <v>2597</v>
      </c>
      <c r="S591" s="1">
        <v>42923</v>
      </c>
      <c r="T591" t="s">
        <v>526</v>
      </c>
      <c r="U591" t="s">
        <v>34</v>
      </c>
      <c r="W591" t="s">
        <v>972</v>
      </c>
      <c r="X591" t="s">
        <v>973</v>
      </c>
      <c r="AA591" t="s">
        <v>1007</v>
      </c>
      <c r="AB591" t="s">
        <v>1008</v>
      </c>
      <c r="AD591" t="s">
        <v>45</v>
      </c>
      <c r="AE591">
        <v>49.760060000000003</v>
      </c>
      <c r="AF591">
        <v>-99.158259999999999</v>
      </c>
      <c r="AG591" t="s">
        <v>40</v>
      </c>
      <c r="AH591" t="s">
        <v>41</v>
      </c>
      <c r="AI591">
        <v>49.760060000000003</v>
      </c>
      <c r="AJ591">
        <v>-99.158259999999999</v>
      </c>
      <c r="AK591">
        <v>0</v>
      </c>
      <c r="AL591">
        <v>0</v>
      </c>
      <c r="AM591" t="str">
        <f>_xlfn.IFNA(VLOOKUP(Sheet1!$C591,ADMIX_ALL!A:B,2,FALSE),"none")</f>
        <v>K6-18</v>
      </c>
      <c r="AN591" t="str">
        <f>_xlfn.IFNA(VLOOKUP(Sheet1!C591,ADMIX_SS!A:B,2,FALSE),"none")</f>
        <v>SubSample</v>
      </c>
      <c r="AO591" t="str">
        <f>_xlfn.IFNA(VLOOKUP(Sheet1!$C591,MONG_PHYLO!A:C,3,FALSE),"-")</f>
        <v>-</v>
      </c>
      <c r="AP591" t="str">
        <f>_xlfn.IFNA(VLOOKUP(Sheet1!$C591,MAC_PHYLO!A:C,3,FALSE),"-")</f>
        <v>-</v>
      </c>
      <c r="AQ591" t="str">
        <f>_xlfn.IFNA(VLOOKUP(Sheet1!$C591,ConStruct!A:C,3,FALSE),"-")</f>
        <v>ConStruct</v>
      </c>
      <c r="AR591" t="str">
        <f>_xlfn.IFNA(VLOOKUP(Sheet1!$C591,GEA!A:C,3,FALSE),"-")</f>
        <v>GEA</v>
      </c>
      <c r="AS591" t="str">
        <f>_xlfn.IFNA(VLOOKUP(Sheet1!$C591,MAC_DSUITE!A:D,3,FALSE),"-")</f>
        <v>mac_MB_SWP</v>
      </c>
      <c r="AT591" t="str">
        <f>_xlfn.IFNA(VLOOKUP(Sheet1!$C591,MONG_DSUITE!A:E,2,FALSE),"-")</f>
        <v>macrocarpa_SWP</v>
      </c>
      <c r="AU591" t="str">
        <f>_xlfn.IFNA(VLOOKUP(Sheet1!$C591,MAC_PAINT2!A:D,4,FALSE),"-")</f>
        <v>macpaint</v>
      </c>
      <c r="AV591" t="s">
        <v>9193</v>
      </c>
      <c r="AW591" t="s">
        <v>9193</v>
      </c>
    </row>
    <row r="592" spans="1:49" customFormat="1" x14ac:dyDescent="0.4">
      <c r="A592">
        <v>1969</v>
      </c>
      <c r="B592" t="s">
        <v>1037</v>
      </c>
      <c r="C592" t="s">
        <v>1038</v>
      </c>
      <c r="D592" t="str">
        <f>_xlfn.CONCAT(C592,".bam")</f>
        <v>SYST-MOR-0007376.bam</v>
      </c>
      <c r="E592" t="s">
        <v>1039</v>
      </c>
      <c r="F592" t="s">
        <v>2476</v>
      </c>
      <c r="G592" t="s">
        <v>2477</v>
      </c>
      <c r="H592" t="s">
        <v>2520</v>
      </c>
      <c r="I592" t="s">
        <v>1007</v>
      </c>
      <c r="K592" t="s">
        <v>45</v>
      </c>
      <c r="L592" t="s">
        <v>45</v>
      </c>
      <c r="N592" t="s">
        <v>45</v>
      </c>
      <c r="P592" t="s">
        <v>31</v>
      </c>
      <c r="Q592" t="s">
        <v>114</v>
      </c>
      <c r="R592" t="s">
        <v>2597</v>
      </c>
      <c r="S592" s="1">
        <v>42923</v>
      </c>
      <c r="T592" t="s">
        <v>526</v>
      </c>
      <c r="U592" t="s">
        <v>34</v>
      </c>
      <c r="W592" t="s">
        <v>972</v>
      </c>
      <c r="X592" t="s">
        <v>973</v>
      </c>
      <c r="AA592" t="s">
        <v>1007</v>
      </c>
      <c r="AB592" t="s">
        <v>1008</v>
      </c>
      <c r="AD592" t="s">
        <v>45</v>
      </c>
      <c r="AE592">
        <v>49.760550000000002</v>
      </c>
      <c r="AF592">
        <v>-99.158439999999999</v>
      </c>
      <c r="AG592" t="s">
        <v>40</v>
      </c>
      <c r="AH592" t="s">
        <v>41</v>
      </c>
      <c r="AI592">
        <v>49.760550000000002</v>
      </c>
      <c r="AJ592">
        <v>-99.158439999999999</v>
      </c>
      <c r="AK592">
        <v>0</v>
      </c>
      <c r="AL592">
        <v>0</v>
      </c>
      <c r="AM592" t="str">
        <f>_xlfn.IFNA(VLOOKUP(Sheet1!$C592,ADMIX_ALL!A:B,2,FALSE),"none")</f>
        <v>K6-18</v>
      </c>
      <c r="AN592" t="str">
        <f>_xlfn.IFNA(VLOOKUP(Sheet1!C592,ADMIX_SS!A:B,2,FALSE),"none")</f>
        <v>SubSample</v>
      </c>
      <c r="AO592" t="str">
        <f>_xlfn.IFNA(VLOOKUP(Sheet1!$C592,MONG_PHYLO!A:C,3,FALSE),"-")</f>
        <v>-</v>
      </c>
      <c r="AP592" t="str">
        <f>_xlfn.IFNA(VLOOKUP(Sheet1!$C592,MAC_PHYLO!A:C,3,FALSE),"-")</f>
        <v>-</v>
      </c>
      <c r="AQ592" t="str">
        <f>_xlfn.IFNA(VLOOKUP(Sheet1!$C592,ConStruct!A:C,3,FALSE),"-")</f>
        <v>ConStruct</v>
      </c>
      <c r="AR592" t="str">
        <f>_xlfn.IFNA(VLOOKUP(Sheet1!$C592,GEA!A:C,3,FALSE),"-")</f>
        <v>GEA</v>
      </c>
      <c r="AS592" t="str">
        <f>_xlfn.IFNA(VLOOKUP(Sheet1!$C592,MAC_DSUITE!A:D,3,FALSE),"-")</f>
        <v>mac_MB_SWP</v>
      </c>
      <c r="AT592" t="str">
        <f>_xlfn.IFNA(VLOOKUP(Sheet1!$C592,MONG_DSUITE!A:E,2,FALSE),"-")</f>
        <v>macrocarpa_SWP</v>
      </c>
      <c r="AU592" t="str">
        <f>_xlfn.IFNA(VLOOKUP(Sheet1!$C592,MAC_PAINT2!A:D,4,FALSE),"-")</f>
        <v>macpaint</v>
      </c>
      <c r="AV592" t="s">
        <v>9193</v>
      </c>
      <c r="AW592" t="s">
        <v>9193</v>
      </c>
    </row>
    <row r="593" spans="1:49" customFormat="1" x14ac:dyDescent="0.4">
      <c r="A593">
        <v>1970</v>
      </c>
      <c r="B593" t="s">
        <v>1040</v>
      </c>
      <c r="C593" t="s">
        <v>1041</v>
      </c>
      <c r="D593" t="str">
        <f>_xlfn.CONCAT(C593,".bam")</f>
        <v>SYST-MOR-0007377.bam</v>
      </c>
      <c r="E593" t="s">
        <v>1042</v>
      </c>
      <c r="F593" t="s">
        <v>2476</v>
      </c>
      <c r="G593" t="s">
        <v>2425</v>
      </c>
      <c r="H593" t="s">
        <v>2521</v>
      </c>
      <c r="I593" t="s">
        <v>1043</v>
      </c>
      <c r="K593" t="s">
        <v>45</v>
      </c>
      <c r="L593" t="s">
        <v>45</v>
      </c>
      <c r="N593" t="s">
        <v>45</v>
      </c>
      <c r="P593" t="s">
        <v>31</v>
      </c>
      <c r="Q593" t="s">
        <v>114</v>
      </c>
      <c r="R593" t="s">
        <v>2597</v>
      </c>
      <c r="S593" s="1">
        <v>42923</v>
      </c>
      <c r="T593" t="s">
        <v>526</v>
      </c>
      <c r="U593" t="s">
        <v>34</v>
      </c>
      <c r="W593" t="s">
        <v>972</v>
      </c>
      <c r="X593" t="s">
        <v>973</v>
      </c>
      <c r="AA593" t="s">
        <v>1043</v>
      </c>
      <c r="AB593" t="s">
        <v>1044</v>
      </c>
      <c r="AD593" t="s">
        <v>45</v>
      </c>
      <c r="AE593">
        <v>49.85783</v>
      </c>
      <c r="AF593">
        <v>-97.249110000000002</v>
      </c>
      <c r="AG593" t="s">
        <v>40</v>
      </c>
      <c r="AH593" t="s">
        <v>41</v>
      </c>
      <c r="AI593">
        <v>49.85783</v>
      </c>
      <c r="AJ593">
        <v>-97.249110000000002</v>
      </c>
      <c r="AK593">
        <v>0</v>
      </c>
      <c r="AL593">
        <v>0</v>
      </c>
      <c r="AM593" t="str">
        <f>_xlfn.IFNA(VLOOKUP(Sheet1!$C593,ADMIX_ALL!A:B,2,FALSE),"none")</f>
        <v>K6-18</v>
      </c>
      <c r="AN593" t="str">
        <f>_xlfn.IFNA(VLOOKUP(Sheet1!C593,ADMIX_SS!A:B,2,FALSE),"none")</f>
        <v>SubSample</v>
      </c>
      <c r="AO593" t="str">
        <f>_xlfn.IFNA(VLOOKUP(Sheet1!$C593,MONG_PHYLO!A:C,3,FALSE),"-")</f>
        <v>-</v>
      </c>
      <c r="AP593" t="str">
        <f>_xlfn.IFNA(VLOOKUP(Sheet1!$C593,MAC_PHYLO!A:C,3,FALSE),"-")</f>
        <v>macN</v>
      </c>
      <c r="AQ593" t="str">
        <f>_xlfn.IFNA(VLOOKUP(Sheet1!$C593,ConStruct!A:C,3,FALSE),"-")</f>
        <v>ConStruct</v>
      </c>
      <c r="AR593" t="str">
        <f>_xlfn.IFNA(VLOOKUP(Sheet1!$C593,GEA!A:C,3,FALSE),"-")</f>
        <v>GEA</v>
      </c>
      <c r="AS593" t="str">
        <f>_xlfn.IFNA(VLOOKUP(Sheet1!$C593,MAC_DSUITE!A:D,3,FALSE),"-")</f>
        <v>mac_MB_ASF</v>
      </c>
      <c r="AT593" t="str">
        <f>_xlfn.IFNA(VLOOKUP(Sheet1!$C593,MONG_DSUITE!A:E,2,FALSE),"-")</f>
        <v>macrocarpa_ABF</v>
      </c>
      <c r="AU593" t="str">
        <f>_xlfn.IFNA(VLOOKUP(Sheet1!$C593,MAC_PAINT2!A:D,4,FALSE),"-")</f>
        <v>macpaint</v>
      </c>
      <c r="AV593" t="s">
        <v>9193</v>
      </c>
      <c r="AW593" t="s">
        <v>9193</v>
      </c>
    </row>
    <row r="594" spans="1:49" customFormat="1" x14ac:dyDescent="0.4">
      <c r="A594">
        <v>1971</v>
      </c>
      <c r="B594" t="s">
        <v>1045</v>
      </c>
      <c r="C594" t="s">
        <v>1046</v>
      </c>
      <c r="D594" t="str">
        <f>_xlfn.CONCAT(C594,".bam")</f>
        <v>SYST-MOR-0007378.bam</v>
      </c>
      <c r="E594" t="s">
        <v>1047</v>
      </c>
      <c r="F594" t="s">
        <v>2476</v>
      </c>
      <c r="G594" t="s">
        <v>2425</v>
      </c>
      <c r="H594" t="s">
        <v>2521</v>
      </c>
      <c r="I594" t="s">
        <v>1048</v>
      </c>
      <c r="K594" t="s">
        <v>45</v>
      </c>
      <c r="L594" t="s">
        <v>45</v>
      </c>
      <c r="N594" t="s">
        <v>45</v>
      </c>
      <c r="P594" t="s">
        <v>31</v>
      </c>
      <c r="Q594" t="s">
        <v>114</v>
      </c>
      <c r="R594" t="s">
        <v>2597</v>
      </c>
      <c r="S594" s="1">
        <v>42923</v>
      </c>
      <c r="T594" t="s">
        <v>526</v>
      </c>
      <c r="U594" t="s">
        <v>34</v>
      </c>
      <c r="W594" t="s">
        <v>972</v>
      </c>
      <c r="X594" t="s">
        <v>973</v>
      </c>
      <c r="AA594" t="s">
        <v>1048</v>
      </c>
      <c r="AB594" t="s">
        <v>1044</v>
      </c>
      <c r="AD594" t="s">
        <v>45</v>
      </c>
      <c r="AE594">
        <v>49.85783</v>
      </c>
      <c r="AF594">
        <v>-97.249110000000002</v>
      </c>
      <c r="AG594" t="s">
        <v>40</v>
      </c>
      <c r="AH594" t="s">
        <v>41</v>
      </c>
      <c r="AI594">
        <v>49.85783</v>
      </c>
      <c r="AJ594">
        <v>-97.249110000000002</v>
      </c>
      <c r="AK594">
        <v>0</v>
      </c>
      <c r="AL594">
        <v>0</v>
      </c>
      <c r="AM594" t="str">
        <f>_xlfn.IFNA(VLOOKUP(Sheet1!$C594,ADMIX_ALL!A:B,2,FALSE),"none")</f>
        <v>K6-18</v>
      </c>
      <c r="AN594" t="str">
        <f>_xlfn.IFNA(VLOOKUP(Sheet1!C594,ADMIX_SS!A:B,2,FALSE),"none")</f>
        <v>SubSample</v>
      </c>
      <c r="AO594" t="str">
        <f>_xlfn.IFNA(VLOOKUP(Sheet1!$C594,MONG_PHYLO!A:C,3,FALSE),"-")</f>
        <v>-</v>
      </c>
      <c r="AP594" t="str">
        <f>_xlfn.IFNA(VLOOKUP(Sheet1!$C594,MAC_PHYLO!A:C,3,FALSE),"-")</f>
        <v>-</v>
      </c>
      <c r="AQ594" t="str">
        <f>_xlfn.IFNA(VLOOKUP(Sheet1!$C594,ConStruct!A:C,3,FALSE),"-")</f>
        <v>ConStruct</v>
      </c>
      <c r="AR594" t="str">
        <f>_xlfn.IFNA(VLOOKUP(Sheet1!$C594,GEA!A:C,3,FALSE),"-")</f>
        <v>GEA</v>
      </c>
      <c r="AS594" t="str">
        <f>_xlfn.IFNA(VLOOKUP(Sheet1!$C594,MAC_DSUITE!A:D,3,FALSE),"-")</f>
        <v>mac_MB_ASF</v>
      </c>
      <c r="AT594" t="str">
        <f>_xlfn.IFNA(VLOOKUP(Sheet1!$C594,MONG_DSUITE!A:E,2,FALSE),"-")</f>
        <v>macrocarpa_ABF</v>
      </c>
      <c r="AU594" t="str">
        <f>_xlfn.IFNA(VLOOKUP(Sheet1!$C594,MAC_PAINT2!A:D,4,FALSE),"-")</f>
        <v>macpaint</v>
      </c>
      <c r="AV594" t="s">
        <v>9193</v>
      </c>
      <c r="AW594" t="s">
        <v>9193</v>
      </c>
    </row>
    <row r="595" spans="1:49" customFormat="1" x14ac:dyDescent="0.4">
      <c r="A595">
        <v>1972</v>
      </c>
      <c r="B595" t="s">
        <v>1049</v>
      </c>
      <c r="C595" t="s">
        <v>1050</v>
      </c>
      <c r="D595" t="str">
        <f>_xlfn.CONCAT(C595,".bam")</f>
        <v>SYST-MOR-0007379.bam</v>
      </c>
      <c r="E595" t="s">
        <v>1051</v>
      </c>
      <c r="F595" t="s">
        <v>2476</v>
      </c>
      <c r="G595" t="s">
        <v>2425</v>
      </c>
      <c r="H595" t="s">
        <v>2521</v>
      </c>
      <c r="I595" t="s">
        <v>1052</v>
      </c>
      <c r="K595" t="s">
        <v>45</v>
      </c>
      <c r="L595" t="s">
        <v>45</v>
      </c>
      <c r="N595" t="s">
        <v>45</v>
      </c>
      <c r="P595" t="s">
        <v>31</v>
      </c>
      <c r="Q595" t="s">
        <v>114</v>
      </c>
      <c r="R595" t="s">
        <v>2597</v>
      </c>
      <c r="S595" s="1">
        <v>42923</v>
      </c>
      <c r="T595" t="s">
        <v>526</v>
      </c>
      <c r="U595" t="s">
        <v>34</v>
      </c>
      <c r="W595" t="s">
        <v>972</v>
      </c>
      <c r="X595" t="s">
        <v>973</v>
      </c>
      <c r="AA595" t="s">
        <v>1052</v>
      </c>
      <c r="AB595" t="s">
        <v>1053</v>
      </c>
      <c r="AD595" t="s">
        <v>45</v>
      </c>
      <c r="AE595">
        <v>49.857779999999998</v>
      </c>
      <c r="AF595">
        <v>-97.248480000000001</v>
      </c>
      <c r="AG595" t="s">
        <v>40</v>
      </c>
      <c r="AH595" t="s">
        <v>41</v>
      </c>
      <c r="AI595">
        <v>49.857779999999998</v>
      </c>
      <c r="AJ595">
        <v>-97.248480000000001</v>
      </c>
      <c r="AK595">
        <v>0</v>
      </c>
      <c r="AL595">
        <v>0</v>
      </c>
      <c r="AM595" t="str">
        <f>_xlfn.IFNA(VLOOKUP(Sheet1!$C595,ADMIX_ALL!A:B,2,FALSE),"none")</f>
        <v>K6-18</v>
      </c>
      <c r="AN595" t="str">
        <f>_xlfn.IFNA(VLOOKUP(Sheet1!C595,ADMIX_SS!A:B,2,FALSE),"none")</f>
        <v>SubSample</v>
      </c>
      <c r="AO595" t="str">
        <f>_xlfn.IFNA(VLOOKUP(Sheet1!$C595,MONG_PHYLO!A:C,3,FALSE),"-")</f>
        <v>-</v>
      </c>
      <c r="AP595" t="str">
        <f>_xlfn.IFNA(VLOOKUP(Sheet1!$C595,MAC_PHYLO!A:C,3,FALSE),"-")</f>
        <v>-</v>
      </c>
      <c r="AQ595" t="str">
        <f>_xlfn.IFNA(VLOOKUP(Sheet1!$C595,ConStruct!A:C,3,FALSE),"-")</f>
        <v>ConStruct</v>
      </c>
      <c r="AR595" t="str">
        <f>_xlfn.IFNA(VLOOKUP(Sheet1!$C595,GEA!A:C,3,FALSE),"-")</f>
        <v>GEA</v>
      </c>
      <c r="AS595" t="str">
        <f>_xlfn.IFNA(VLOOKUP(Sheet1!$C595,MAC_DSUITE!A:D,3,FALSE),"-")</f>
        <v>mac_MB_ASF</v>
      </c>
      <c r="AT595" t="str">
        <f>_xlfn.IFNA(VLOOKUP(Sheet1!$C595,MONG_DSUITE!A:E,2,FALSE),"-")</f>
        <v>macrocarpa_ABF</v>
      </c>
      <c r="AU595" t="str">
        <f>_xlfn.IFNA(VLOOKUP(Sheet1!$C595,MAC_PAINT2!A:D,4,FALSE),"-")</f>
        <v>macpaint</v>
      </c>
      <c r="AV595" t="s">
        <v>9193</v>
      </c>
      <c r="AW595" t="s">
        <v>9193</v>
      </c>
    </row>
    <row r="596" spans="1:49" customFormat="1" x14ac:dyDescent="0.4">
      <c r="A596">
        <v>1973</v>
      </c>
      <c r="B596" t="s">
        <v>1054</v>
      </c>
      <c r="C596" t="s">
        <v>1055</v>
      </c>
      <c r="D596" t="str">
        <f>_xlfn.CONCAT(C596,".bam")</f>
        <v>SYST-MOR-0007380.bam</v>
      </c>
      <c r="E596" t="s">
        <v>1056</v>
      </c>
      <c r="F596" t="s">
        <v>2476</v>
      </c>
      <c r="G596" t="s">
        <v>2425</v>
      </c>
      <c r="H596" t="s">
        <v>2521</v>
      </c>
      <c r="I596" t="s">
        <v>1057</v>
      </c>
      <c r="K596" t="s">
        <v>45</v>
      </c>
      <c r="L596" t="s">
        <v>45</v>
      </c>
      <c r="N596" t="s">
        <v>45</v>
      </c>
      <c r="P596" t="s">
        <v>31</v>
      </c>
      <c r="Q596" t="s">
        <v>114</v>
      </c>
      <c r="R596" t="s">
        <v>2597</v>
      </c>
      <c r="S596" s="1">
        <v>42923</v>
      </c>
      <c r="T596" t="s">
        <v>526</v>
      </c>
      <c r="U596" t="s">
        <v>34</v>
      </c>
      <c r="W596" t="s">
        <v>972</v>
      </c>
      <c r="X596" t="s">
        <v>973</v>
      </c>
      <c r="AA596" t="s">
        <v>1057</v>
      </c>
      <c r="AB596" t="s">
        <v>1044</v>
      </c>
      <c r="AD596" t="s">
        <v>45</v>
      </c>
      <c r="AE596">
        <v>49.854230000000001</v>
      </c>
      <c r="AF596">
        <v>-97.248199999999997</v>
      </c>
      <c r="AG596" t="s">
        <v>40</v>
      </c>
      <c r="AH596" t="s">
        <v>41</v>
      </c>
      <c r="AI596">
        <v>49.854230000000001</v>
      </c>
      <c r="AJ596">
        <v>-97.248199999999997</v>
      </c>
      <c r="AK596">
        <v>0</v>
      </c>
      <c r="AL596">
        <v>0</v>
      </c>
      <c r="AM596" t="str">
        <f>_xlfn.IFNA(VLOOKUP(Sheet1!$C596,ADMIX_ALL!A:B,2,FALSE),"none")</f>
        <v>K6-18</v>
      </c>
      <c r="AN596" t="str">
        <f>_xlfn.IFNA(VLOOKUP(Sheet1!C596,ADMIX_SS!A:B,2,FALSE),"none")</f>
        <v>SubSample</v>
      </c>
      <c r="AO596" t="str">
        <f>_xlfn.IFNA(VLOOKUP(Sheet1!$C596,MONG_PHYLO!A:C,3,FALSE),"-")</f>
        <v>-</v>
      </c>
      <c r="AP596" t="str">
        <f>_xlfn.IFNA(VLOOKUP(Sheet1!$C596,MAC_PHYLO!A:C,3,FALSE),"-")</f>
        <v>-</v>
      </c>
      <c r="AQ596" t="str">
        <f>_xlfn.IFNA(VLOOKUP(Sheet1!$C596,ConStruct!A:C,3,FALSE),"-")</f>
        <v>ConStruct</v>
      </c>
      <c r="AR596" t="str">
        <f>_xlfn.IFNA(VLOOKUP(Sheet1!$C596,GEA!A:C,3,FALSE),"-")</f>
        <v>GEA</v>
      </c>
      <c r="AS596" t="str">
        <f>_xlfn.IFNA(VLOOKUP(Sheet1!$C596,MAC_DSUITE!A:D,3,FALSE),"-")</f>
        <v>mac_MB_ASF</v>
      </c>
      <c r="AT596" t="str">
        <f>_xlfn.IFNA(VLOOKUP(Sheet1!$C596,MONG_DSUITE!A:E,2,FALSE),"-")</f>
        <v>macrocarpa_ABF</v>
      </c>
      <c r="AU596" t="str">
        <f>_xlfn.IFNA(VLOOKUP(Sheet1!$C596,MAC_PAINT2!A:D,4,FALSE),"-")</f>
        <v>macpaint</v>
      </c>
      <c r="AV596" t="s">
        <v>9193</v>
      </c>
      <c r="AW596" t="s">
        <v>9193</v>
      </c>
    </row>
    <row r="597" spans="1:49" customFormat="1" x14ac:dyDescent="0.4">
      <c r="A597">
        <v>1974</v>
      </c>
      <c r="B597" t="s">
        <v>1058</v>
      </c>
      <c r="C597" t="s">
        <v>1059</v>
      </c>
      <c r="D597" t="str">
        <f>_xlfn.CONCAT(C597,".bam")</f>
        <v>SYST-MOR-0007381.bam</v>
      </c>
      <c r="E597" t="s">
        <v>1060</v>
      </c>
      <c r="F597" t="s">
        <v>2476</v>
      </c>
      <c r="G597" t="s">
        <v>2425</v>
      </c>
      <c r="H597" t="s">
        <v>2521</v>
      </c>
      <c r="I597" t="s">
        <v>1057</v>
      </c>
      <c r="K597" t="s">
        <v>45</v>
      </c>
      <c r="L597" t="s">
        <v>45</v>
      </c>
      <c r="N597" t="s">
        <v>45</v>
      </c>
      <c r="P597" t="s">
        <v>31</v>
      </c>
      <c r="Q597" t="s">
        <v>114</v>
      </c>
      <c r="R597" t="s">
        <v>2597</v>
      </c>
      <c r="S597" s="1">
        <v>42923</v>
      </c>
      <c r="T597" t="s">
        <v>526</v>
      </c>
      <c r="U597" t="s">
        <v>34</v>
      </c>
      <c r="W597" t="s">
        <v>972</v>
      </c>
      <c r="X597" t="s">
        <v>973</v>
      </c>
      <c r="AA597" t="s">
        <v>1057</v>
      </c>
      <c r="AB597" t="s">
        <v>1044</v>
      </c>
      <c r="AD597" t="s">
        <v>45</v>
      </c>
      <c r="AE597">
        <v>49.853920000000002</v>
      </c>
      <c r="AF597">
        <v>-97.248279999999994</v>
      </c>
      <c r="AG597" t="s">
        <v>40</v>
      </c>
      <c r="AH597" t="s">
        <v>41</v>
      </c>
      <c r="AI597">
        <v>49.853920000000002</v>
      </c>
      <c r="AJ597">
        <v>-97.248279999999994</v>
      </c>
      <c r="AK597">
        <v>0</v>
      </c>
      <c r="AL597">
        <v>0</v>
      </c>
      <c r="AM597" t="str">
        <f>_xlfn.IFNA(VLOOKUP(Sheet1!$C597,ADMIX_ALL!A:B,2,FALSE),"none")</f>
        <v>K6-18</v>
      </c>
      <c r="AN597" t="str">
        <f>_xlfn.IFNA(VLOOKUP(Sheet1!C597,ADMIX_SS!A:B,2,FALSE),"none")</f>
        <v>SubSample</v>
      </c>
      <c r="AO597" t="str">
        <f>_xlfn.IFNA(VLOOKUP(Sheet1!$C597,MONG_PHYLO!A:C,3,FALSE),"-")</f>
        <v>-</v>
      </c>
      <c r="AP597" t="str">
        <f>_xlfn.IFNA(VLOOKUP(Sheet1!$C597,MAC_PHYLO!A:C,3,FALSE),"-")</f>
        <v>-</v>
      </c>
      <c r="AQ597" t="str">
        <f>_xlfn.IFNA(VLOOKUP(Sheet1!$C597,ConStruct!A:C,3,FALSE),"-")</f>
        <v>ConStruct</v>
      </c>
      <c r="AR597" t="str">
        <f>_xlfn.IFNA(VLOOKUP(Sheet1!$C597,GEA!A:C,3,FALSE),"-")</f>
        <v>GEA</v>
      </c>
      <c r="AS597" t="str">
        <f>_xlfn.IFNA(VLOOKUP(Sheet1!$C597,MAC_DSUITE!A:D,3,FALSE),"-")</f>
        <v>mac_MB_ASF</v>
      </c>
      <c r="AT597" t="str">
        <f>_xlfn.IFNA(VLOOKUP(Sheet1!$C597,MONG_DSUITE!A:E,2,FALSE),"-")</f>
        <v>macrocarpa_ABF</v>
      </c>
      <c r="AU597" t="str">
        <f>_xlfn.IFNA(VLOOKUP(Sheet1!$C597,MAC_PAINT2!A:D,4,FALSE),"-")</f>
        <v>macpaint</v>
      </c>
      <c r="AV597" t="s">
        <v>9193</v>
      </c>
      <c r="AW597" t="s">
        <v>9193</v>
      </c>
    </row>
    <row r="598" spans="1:49" customFormat="1" x14ac:dyDescent="0.4">
      <c r="A598">
        <v>1975</v>
      </c>
      <c r="B598" t="s">
        <v>1061</v>
      </c>
      <c r="C598" t="s">
        <v>1062</v>
      </c>
      <c r="D598" t="str">
        <f>_xlfn.CONCAT(C598,".bam")</f>
        <v>SYST-MOR-0007382.bam</v>
      </c>
      <c r="E598" t="s">
        <v>1063</v>
      </c>
      <c r="F598" t="s">
        <v>2476</v>
      </c>
      <c r="G598" t="s">
        <v>2425</v>
      </c>
      <c r="H598" t="s">
        <v>2521</v>
      </c>
      <c r="I598" t="s">
        <v>1048</v>
      </c>
      <c r="K598" t="s">
        <v>45</v>
      </c>
      <c r="L598" t="s">
        <v>45</v>
      </c>
      <c r="N598" t="s">
        <v>45</v>
      </c>
      <c r="P598" t="s">
        <v>31</v>
      </c>
      <c r="Q598" t="s">
        <v>114</v>
      </c>
      <c r="R598" t="s">
        <v>2597</v>
      </c>
      <c r="S598" s="1">
        <v>42923</v>
      </c>
      <c r="T598" t="s">
        <v>526</v>
      </c>
      <c r="U598" t="s">
        <v>34</v>
      </c>
      <c r="W598" t="s">
        <v>972</v>
      </c>
      <c r="X598" t="s">
        <v>973</v>
      </c>
      <c r="AA598" t="s">
        <v>1048</v>
      </c>
      <c r="AB598" t="s">
        <v>1044</v>
      </c>
      <c r="AD598" t="s">
        <v>45</v>
      </c>
      <c r="AE598">
        <v>49.853990000000003</v>
      </c>
      <c r="AF598">
        <v>-97.247439999999997</v>
      </c>
      <c r="AG598" t="s">
        <v>40</v>
      </c>
      <c r="AH598" t="s">
        <v>41</v>
      </c>
      <c r="AI598">
        <v>49.853990000000003</v>
      </c>
      <c r="AJ598">
        <v>-97.247439999999997</v>
      </c>
      <c r="AK598">
        <v>0</v>
      </c>
      <c r="AL598">
        <v>0</v>
      </c>
      <c r="AM598" t="str">
        <f>_xlfn.IFNA(VLOOKUP(Sheet1!$C598,ADMIX_ALL!A:B,2,FALSE),"none")</f>
        <v>K6-18</v>
      </c>
      <c r="AN598" t="str">
        <f>_xlfn.IFNA(VLOOKUP(Sheet1!C598,ADMIX_SS!A:B,2,FALSE),"none")</f>
        <v>SubSample</v>
      </c>
      <c r="AO598" t="str">
        <f>_xlfn.IFNA(VLOOKUP(Sheet1!$C598,MONG_PHYLO!A:C,3,FALSE),"-")</f>
        <v>-</v>
      </c>
      <c r="AP598" t="str">
        <f>_xlfn.IFNA(VLOOKUP(Sheet1!$C598,MAC_PHYLO!A:C,3,FALSE),"-")</f>
        <v>-</v>
      </c>
      <c r="AQ598" t="str">
        <f>_xlfn.IFNA(VLOOKUP(Sheet1!$C598,ConStruct!A:C,3,FALSE),"-")</f>
        <v>ConStruct</v>
      </c>
      <c r="AR598" t="str">
        <f>_xlfn.IFNA(VLOOKUP(Sheet1!$C598,GEA!A:C,3,FALSE),"-")</f>
        <v>GEA</v>
      </c>
      <c r="AS598" t="str">
        <f>_xlfn.IFNA(VLOOKUP(Sheet1!$C598,MAC_DSUITE!A:D,3,FALSE),"-")</f>
        <v>mac_MB_ASF</v>
      </c>
      <c r="AT598" t="str">
        <f>_xlfn.IFNA(VLOOKUP(Sheet1!$C598,MONG_DSUITE!A:E,2,FALSE),"-")</f>
        <v>macrocarpa_ABF</v>
      </c>
      <c r="AU598" t="str">
        <f>_xlfn.IFNA(VLOOKUP(Sheet1!$C598,MAC_PAINT2!A:D,4,FALSE),"-")</f>
        <v>macpaint</v>
      </c>
      <c r="AV598" t="s">
        <v>9193</v>
      </c>
      <c r="AW598" t="s">
        <v>9193</v>
      </c>
    </row>
    <row r="599" spans="1:49" customFormat="1" x14ac:dyDescent="0.4">
      <c r="A599">
        <v>1976</v>
      </c>
      <c r="B599" t="s">
        <v>1064</v>
      </c>
      <c r="C599" t="s">
        <v>1065</v>
      </c>
      <c r="D599" t="str">
        <f>_xlfn.CONCAT(C599,".bam")</f>
        <v>SYST-MOR-0007383.bam</v>
      </c>
      <c r="E599" t="s">
        <v>1066</v>
      </c>
      <c r="F599" t="s">
        <v>2476</v>
      </c>
      <c r="G599" t="s">
        <v>2425</v>
      </c>
      <c r="H599" t="s">
        <v>2521</v>
      </c>
      <c r="I599" t="s">
        <v>1048</v>
      </c>
      <c r="K599" t="s">
        <v>45</v>
      </c>
      <c r="L599" t="s">
        <v>45</v>
      </c>
      <c r="N599" t="s">
        <v>45</v>
      </c>
      <c r="P599" t="s">
        <v>31</v>
      </c>
      <c r="Q599" t="s">
        <v>114</v>
      </c>
      <c r="R599" t="s">
        <v>2597</v>
      </c>
      <c r="S599" s="1">
        <v>42923</v>
      </c>
      <c r="T599" t="s">
        <v>526</v>
      </c>
      <c r="U599" t="s">
        <v>34</v>
      </c>
      <c r="W599" t="s">
        <v>972</v>
      </c>
      <c r="X599" t="s">
        <v>973</v>
      </c>
      <c r="AA599" t="s">
        <v>1048</v>
      </c>
      <c r="AB599" t="s">
        <v>1044</v>
      </c>
      <c r="AD599" t="s">
        <v>45</v>
      </c>
      <c r="AE599">
        <v>49.854170000000003</v>
      </c>
      <c r="AF599">
        <v>-97.246889999999993</v>
      </c>
      <c r="AG599" t="s">
        <v>40</v>
      </c>
      <c r="AH599" t="s">
        <v>41</v>
      </c>
      <c r="AI599">
        <v>49.854170000000003</v>
      </c>
      <c r="AJ599">
        <v>-97.246889999999993</v>
      </c>
      <c r="AK599">
        <v>0</v>
      </c>
      <c r="AL599">
        <v>0</v>
      </c>
      <c r="AM599" t="str">
        <f>_xlfn.IFNA(VLOOKUP(Sheet1!$C599,ADMIX_ALL!A:B,2,FALSE),"none")</f>
        <v>K6-18</v>
      </c>
      <c r="AN599" t="str">
        <f>_xlfn.IFNA(VLOOKUP(Sheet1!C599,ADMIX_SS!A:B,2,FALSE),"none")</f>
        <v>SubSample</v>
      </c>
      <c r="AO599" t="str">
        <f>_xlfn.IFNA(VLOOKUP(Sheet1!$C599,MONG_PHYLO!A:C,3,FALSE),"-")</f>
        <v>-</v>
      </c>
      <c r="AP599" t="str">
        <f>_xlfn.IFNA(VLOOKUP(Sheet1!$C599,MAC_PHYLO!A:C,3,FALSE),"-")</f>
        <v>-</v>
      </c>
      <c r="AQ599" t="str">
        <f>_xlfn.IFNA(VLOOKUP(Sheet1!$C599,ConStruct!A:C,3,FALSE),"-")</f>
        <v>ConStruct</v>
      </c>
      <c r="AR599" t="str">
        <f>_xlfn.IFNA(VLOOKUP(Sheet1!$C599,GEA!A:C,3,FALSE),"-")</f>
        <v>GEA</v>
      </c>
      <c r="AS599" t="str">
        <f>_xlfn.IFNA(VLOOKUP(Sheet1!$C599,MAC_DSUITE!A:D,3,FALSE),"-")</f>
        <v>mac_MB_ASF</v>
      </c>
      <c r="AT599" t="str">
        <f>_xlfn.IFNA(VLOOKUP(Sheet1!$C599,MONG_DSUITE!A:E,2,FALSE),"-")</f>
        <v>macrocarpa_ABF</v>
      </c>
      <c r="AU599" t="str">
        <f>_xlfn.IFNA(VLOOKUP(Sheet1!$C599,MAC_PAINT2!A:D,4,FALSE),"-")</f>
        <v>macpaint</v>
      </c>
      <c r="AV599" t="s">
        <v>9193</v>
      </c>
      <c r="AW599" t="s">
        <v>9193</v>
      </c>
    </row>
    <row r="600" spans="1:49" customFormat="1" x14ac:dyDescent="0.4">
      <c r="A600">
        <v>1977</v>
      </c>
      <c r="B600" t="s">
        <v>1067</v>
      </c>
      <c r="C600" t="s">
        <v>1068</v>
      </c>
      <c r="D600" t="str">
        <f>_xlfn.CONCAT(C600,".bam")</f>
        <v>SYST-MOR-0007384.bam</v>
      </c>
      <c r="E600" t="s">
        <v>1069</v>
      </c>
      <c r="F600" t="s">
        <v>2476</v>
      </c>
      <c r="G600" t="s">
        <v>2425</v>
      </c>
      <c r="H600" t="s">
        <v>2521</v>
      </c>
      <c r="I600" t="s">
        <v>1048</v>
      </c>
      <c r="K600" t="s">
        <v>45</v>
      </c>
      <c r="L600" t="s">
        <v>45</v>
      </c>
      <c r="N600" t="s">
        <v>45</v>
      </c>
      <c r="P600" t="s">
        <v>31</v>
      </c>
      <c r="Q600" t="s">
        <v>114</v>
      </c>
      <c r="R600" t="s">
        <v>2597</v>
      </c>
      <c r="S600" s="1">
        <v>42923</v>
      </c>
      <c r="T600" t="s">
        <v>526</v>
      </c>
      <c r="U600" t="s">
        <v>34</v>
      </c>
      <c r="W600" t="s">
        <v>972</v>
      </c>
      <c r="X600" t="s">
        <v>973</v>
      </c>
      <c r="AA600" t="s">
        <v>1048</v>
      </c>
      <c r="AB600" t="s">
        <v>1044</v>
      </c>
      <c r="AD600" t="s">
        <v>45</v>
      </c>
      <c r="AE600">
        <v>49.854210000000002</v>
      </c>
      <c r="AF600">
        <v>-97.246210000000005</v>
      </c>
      <c r="AG600" t="s">
        <v>40</v>
      </c>
      <c r="AH600" t="s">
        <v>41</v>
      </c>
      <c r="AI600">
        <v>49.854210000000002</v>
      </c>
      <c r="AJ600">
        <v>-97.246210000000005</v>
      </c>
      <c r="AK600">
        <v>0</v>
      </c>
      <c r="AL600">
        <v>0</v>
      </c>
      <c r="AM600" t="str">
        <f>_xlfn.IFNA(VLOOKUP(Sheet1!$C600,ADMIX_ALL!A:B,2,FALSE),"none")</f>
        <v>K6-18</v>
      </c>
      <c r="AN600" t="str">
        <f>_xlfn.IFNA(VLOOKUP(Sheet1!C600,ADMIX_SS!A:B,2,FALSE),"none")</f>
        <v>SubSample</v>
      </c>
      <c r="AO600" t="str">
        <f>_xlfn.IFNA(VLOOKUP(Sheet1!$C600,MONG_PHYLO!A:C,3,FALSE),"-")</f>
        <v>-</v>
      </c>
      <c r="AP600" t="str">
        <f>_xlfn.IFNA(VLOOKUP(Sheet1!$C600,MAC_PHYLO!A:C,3,FALSE),"-")</f>
        <v>-</v>
      </c>
      <c r="AQ600" t="str">
        <f>_xlfn.IFNA(VLOOKUP(Sheet1!$C600,ConStruct!A:C,3,FALSE),"-")</f>
        <v>ConStruct</v>
      </c>
      <c r="AR600" t="str">
        <f>_xlfn.IFNA(VLOOKUP(Sheet1!$C600,GEA!A:C,3,FALSE),"-")</f>
        <v>GEA</v>
      </c>
      <c r="AS600" t="str">
        <f>_xlfn.IFNA(VLOOKUP(Sheet1!$C600,MAC_DSUITE!A:D,3,FALSE),"-")</f>
        <v>mac_MB_ASF</v>
      </c>
      <c r="AT600" t="str">
        <f>_xlfn.IFNA(VLOOKUP(Sheet1!$C600,MONG_DSUITE!A:E,2,FALSE),"-")</f>
        <v>macrocarpa_ABF</v>
      </c>
      <c r="AU600" t="str">
        <f>_xlfn.IFNA(VLOOKUP(Sheet1!$C600,MAC_PAINT2!A:D,4,FALSE),"-")</f>
        <v>macpaint</v>
      </c>
      <c r="AV600" t="s">
        <v>9193</v>
      </c>
      <c r="AW600" t="s">
        <v>9193</v>
      </c>
    </row>
    <row r="601" spans="1:49" customFormat="1" x14ac:dyDescent="0.4">
      <c r="A601">
        <v>1978</v>
      </c>
      <c r="B601" t="s">
        <v>1070</v>
      </c>
      <c r="C601" t="s">
        <v>1071</v>
      </c>
      <c r="D601" t="str">
        <f>_xlfn.CONCAT(C601,".bam")</f>
        <v>SYST-MOR-0007385.bam</v>
      </c>
      <c r="E601" t="s">
        <v>1072</v>
      </c>
      <c r="F601" t="s">
        <v>2476</v>
      </c>
      <c r="G601" t="s">
        <v>2425</v>
      </c>
      <c r="H601" t="s">
        <v>2521</v>
      </c>
      <c r="I601" t="s">
        <v>1048</v>
      </c>
      <c r="K601" t="s">
        <v>45</v>
      </c>
      <c r="L601" t="s">
        <v>45</v>
      </c>
      <c r="N601" t="s">
        <v>45</v>
      </c>
      <c r="P601" t="s">
        <v>31</v>
      </c>
      <c r="Q601" t="s">
        <v>114</v>
      </c>
      <c r="R601" t="s">
        <v>2597</v>
      </c>
      <c r="S601" s="1">
        <v>42923</v>
      </c>
      <c r="T601" t="s">
        <v>526</v>
      </c>
      <c r="U601" t="s">
        <v>34</v>
      </c>
      <c r="W601" t="s">
        <v>972</v>
      </c>
      <c r="X601" t="s">
        <v>973</v>
      </c>
      <c r="AA601" t="s">
        <v>1048</v>
      </c>
      <c r="AB601" t="s">
        <v>1044</v>
      </c>
      <c r="AD601" t="s">
        <v>45</v>
      </c>
      <c r="AE601">
        <v>49.853740000000002</v>
      </c>
      <c r="AF601">
        <v>-97.247389999999996</v>
      </c>
      <c r="AG601" t="s">
        <v>40</v>
      </c>
      <c r="AH601" t="s">
        <v>41</v>
      </c>
      <c r="AI601">
        <v>49.853740000000002</v>
      </c>
      <c r="AJ601">
        <v>-97.247389999999996</v>
      </c>
      <c r="AK601">
        <v>0</v>
      </c>
      <c r="AL601">
        <v>0</v>
      </c>
      <c r="AM601" t="str">
        <f>_xlfn.IFNA(VLOOKUP(Sheet1!$C601,ADMIX_ALL!A:B,2,FALSE),"none")</f>
        <v>K6-18</v>
      </c>
      <c r="AN601" t="str">
        <f>_xlfn.IFNA(VLOOKUP(Sheet1!C601,ADMIX_SS!A:B,2,FALSE),"none")</f>
        <v>Constant</v>
      </c>
      <c r="AO601" t="str">
        <f>_xlfn.IFNA(VLOOKUP(Sheet1!$C601,MONG_PHYLO!A:C,3,FALSE),"-")</f>
        <v>macN</v>
      </c>
      <c r="AP601" t="str">
        <f>_xlfn.IFNA(VLOOKUP(Sheet1!$C601,MAC_PHYLO!A:C,3,FALSE),"-")</f>
        <v>-</v>
      </c>
      <c r="AQ601" t="str">
        <f>_xlfn.IFNA(VLOOKUP(Sheet1!$C601,ConStruct!A:C,3,FALSE),"-")</f>
        <v>ConStruct</v>
      </c>
      <c r="AR601" t="str">
        <f>_xlfn.IFNA(VLOOKUP(Sheet1!$C601,GEA!A:C,3,FALSE),"-")</f>
        <v>GEA</v>
      </c>
      <c r="AS601" t="str">
        <f>_xlfn.IFNA(VLOOKUP(Sheet1!$C601,MAC_DSUITE!A:D,3,FALSE),"-")</f>
        <v>mac_MB_ASF</v>
      </c>
      <c r="AT601" t="str">
        <f>_xlfn.IFNA(VLOOKUP(Sheet1!$C601,MONG_DSUITE!A:E,2,FALSE),"-")</f>
        <v>macrocarpa_ABF</v>
      </c>
      <c r="AU601" t="str">
        <f>_xlfn.IFNA(VLOOKUP(Sheet1!$C601,MAC_PAINT2!A:D,4,FALSE),"-")</f>
        <v>macpaint</v>
      </c>
      <c r="AV601" t="s">
        <v>9193</v>
      </c>
      <c r="AW601" t="s">
        <v>9193</v>
      </c>
    </row>
    <row r="602" spans="1:49" customFormat="1" x14ac:dyDescent="0.4">
      <c r="A602">
        <v>1979</v>
      </c>
      <c r="B602" t="s">
        <v>1073</v>
      </c>
      <c r="C602" t="s">
        <v>1074</v>
      </c>
      <c r="D602" t="str">
        <f>_xlfn.CONCAT(C602,".bam")</f>
        <v>SYST-MOR-0007386.bam</v>
      </c>
      <c r="E602" t="s">
        <v>1075</v>
      </c>
      <c r="F602" t="s">
        <v>2476</v>
      </c>
      <c r="G602" t="s">
        <v>2425</v>
      </c>
      <c r="H602" t="s">
        <v>2521</v>
      </c>
      <c r="I602" t="s">
        <v>1048</v>
      </c>
      <c r="K602" t="s">
        <v>45</v>
      </c>
      <c r="L602" t="s">
        <v>45</v>
      </c>
      <c r="N602" t="s">
        <v>45</v>
      </c>
      <c r="P602" t="s">
        <v>31</v>
      </c>
      <c r="Q602" t="s">
        <v>114</v>
      </c>
      <c r="R602" t="s">
        <v>2597</v>
      </c>
      <c r="S602" s="1">
        <v>42923</v>
      </c>
      <c r="T602" t="s">
        <v>526</v>
      </c>
      <c r="U602" t="s">
        <v>34</v>
      </c>
      <c r="W602" t="s">
        <v>972</v>
      </c>
      <c r="X602" t="s">
        <v>973</v>
      </c>
      <c r="AA602" t="s">
        <v>1048</v>
      </c>
      <c r="AB602" t="s">
        <v>1044</v>
      </c>
      <c r="AD602" t="s">
        <v>45</v>
      </c>
      <c r="AE602">
        <v>49.853439999999999</v>
      </c>
      <c r="AF602">
        <v>-97.246610000000004</v>
      </c>
      <c r="AG602" t="s">
        <v>40</v>
      </c>
      <c r="AH602" t="s">
        <v>41</v>
      </c>
      <c r="AI602">
        <v>49.853439999999999</v>
      </c>
      <c r="AJ602">
        <v>-97.246610000000004</v>
      </c>
      <c r="AK602">
        <v>0</v>
      </c>
      <c r="AL602">
        <v>0</v>
      </c>
      <c r="AM602" t="str">
        <f>_xlfn.IFNA(VLOOKUP(Sheet1!$C602,ADMIX_ALL!A:B,2,FALSE),"none")</f>
        <v>K6-18</v>
      </c>
      <c r="AN602" t="str">
        <f>_xlfn.IFNA(VLOOKUP(Sheet1!C602,ADMIX_SS!A:B,2,FALSE),"none")</f>
        <v>SubSample</v>
      </c>
      <c r="AO602" t="str">
        <f>_xlfn.IFNA(VLOOKUP(Sheet1!$C602,MONG_PHYLO!A:C,3,FALSE),"-")</f>
        <v>-</v>
      </c>
      <c r="AP602" t="str">
        <f>_xlfn.IFNA(VLOOKUP(Sheet1!$C602,MAC_PHYLO!A:C,3,FALSE),"-")</f>
        <v>-</v>
      </c>
      <c r="AQ602" t="str">
        <f>_xlfn.IFNA(VLOOKUP(Sheet1!$C602,ConStruct!A:C,3,FALSE),"-")</f>
        <v>ConStruct</v>
      </c>
      <c r="AR602" t="str">
        <f>_xlfn.IFNA(VLOOKUP(Sheet1!$C602,GEA!A:C,3,FALSE),"-")</f>
        <v>GEA</v>
      </c>
      <c r="AS602" t="str">
        <f>_xlfn.IFNA(VLOOKUP(Sheet1!$C602,MAC_DSUITE!A:D,3,FALSE),"-")</f>
        <v>mac_MB_ASF</v>
      </c>
      <c r="AT602" t="str">
        <f>_xlfn.IFNA(VLOOKUP(Sheet1!$C602,MONG_DSUITE!A:E,2,FALSE),"-")</f>
        <v>macrocarpa_ABF</v>
      </c>
      <c r="AU602" t="str">
        <f>_xlfn.IFNA(VLOOKUP(Sheet1!$C602,MAC_PAINT2!A:D,4,FALSE),"-")</f>
        <v>macpaint</v>
      </c>
      <c r="AV602" t="s">
        <v>9193</v>
      </c>
      <c r="AW602" t="s">
        <v>9193</v>
      </c>
    </row>
    <row r="603" spans="1:49" customFormat="1" x14ac:dyDescent="0.4">
      <c r="A603">
        <v>1980</v>
      </c>
      <c r="B603" t="s">
        <v>2376</v>
      </c>
      <c r="C603" t="s">
        <v>2377</v>
      </c>
      <c r="D603" t="str">
        <f>_xlfn.CONCAT(C603,".bam")</f>
        <v>SYST-MOR-0007387.bam</v>
      </c>
      <c r="E603" t="s">
        <v>2378</v>
      </c>
      <c r="F603" t="s">
        <v>2468</v>
      </c>
      <c r="G603" t="s">
        <v>2486</v>
      </c>
      <c r="H603" t="s">
        <v>2558</v>
      </c>
      <c r="I603" t="s">
        <v>2380</v>
      </c>
      <c r="K603" t="s">
        <v>45</v>
      </c>
      <c r="L603" t="s">
        <v>45</v>
      </c>
      <c r="N603" t="s">
        <v>45</v>
      </c>
      <c r="P603" t="s">
        <v>31</v>
      </c>
      <c r="Q603" t="s">
        <v>114</v>
      </c>
      <c r="R603" t="s">
        <v>2597</v>
      </c>
      <c r="S603" s="1">
        <v>42925</v>
      </c>
      <c r="T603" t="s">
        <v>526</v>
      </c>
      <c r="U603" t="s">
        <v>34</v>
      </c>
      <c r="W603" t="s">
        <v>35</v>
      </c>
      <c r="X603" t="s">
        <v>2298</v>
      </c>
      <c r="Y603" t="s">
        <v>2379</v>
      </c>
      <c r="Z603" t="s">
        <v>206</v>
      </c>
      <c r="AA603" t="s">
        <v>2380</v>
      </c>
      <c r="AB603" t="s">
        <v>2381</v>
      </c>
      <c r="AD603" t="s">
        <v>45</v>
      </c>
      <c r="AE603">
        <v>46.023829999999997</v>
      </c>
      <c r="AF603">
        <v>-91.145570000000006</v>
      </c>
      <c r="AG603" t="s">
        <v>40</v>
      </c>
      <c r="AH603" t="s">
        <v>41</v>
      </c>
      <c r="AI603">
        <v>46.023829999999997</v>
      </c>
      <c r="AJ603">
        <v>-91.145570000000006</v>
      </c>
      <c r="AK603">
        <v>0</v>
      </c>
      <c r="AL603">
        <v>0</v>
      </c>
      <c r="AM603" t="str">
        <f>_xlfn.IFNA(VLOOKUP(Sheet1!$C603,ADMIX_ALL!A:B,2,FALSE),"none")</f>
        <v>K6-18</v>
      </c>
      <c r="AN603" t="str">
        <f>_xlfn.IFNA(VLOOKUP(Sheet1!C603,ADMIX_SS!A:B,2,FALSE),"none")</f>
        <v>Constant</v>
      </c>
      <c r="AO603" t="str">
        <f>_xlfn.IFNA(VLOOKUP(Sheet1!$C603,MONG_PHYLO!A:C,3,FALSE),"-")</f>
        <v>macN</v>
      </c>
      <c r="AP603" t="str">
        <f>_xlfn.IFNA(VLOOKUP(Sheet1!$C603,MAC_PHYLO!A:C,3,FALSE),"-")</f>
        <v>-</v>
      </c>
      <c r="AQ603" t="str">
        <f>_xlfn.IFNA(VLOOKUP(Sheet1!$C603,ConStruct!A:C,3,FALSE),"-")</f>
        <v>ConStruct</v>
      </c>
      <c r="AR603" t="str">
        <f>_xlfn.IFNA(VLOOKUP(Sheet1!$C603,GEA!A:C,3,FALSE),"-")</f>
        <v>GEA</v>
      </c>
      <c r="AS603" t="str">
        <f>_xlfn.IFNA(VLOOKUP(Sheet1!$C603,MAC_DSUITE!A:D,3,FALSE),"-")</f>
        <v>mac_WI_RLF</v>
      </c>
      <c r="AT603" t="str">
        <f>_xlfn.IFNA(VLOOKUP(Sheet1!$C603,MONG_DSUITE!A:E,2,FALSE),"-")</f>
        <v>macrocarpa_RLF</v>
      </c>
      <c r="AU603" t="str">
        <f>_xlfn.IFNA(VLOOKUP(Sheet1!$C603,MAC_PAINT2!A:D,4,FALSE),"-")</f>
        <v>macpaint</v>
      </c>
      <c r="AV603" t="s">
        <v>9193</v>
      </c>
      <c r="AW603" t="s">
        <v>9193</v>
      </c>
    </row>
    <row r="604" spans="1:49" customFormat="1" x14ac:dyDescent="0.4">
      <c r="A604">
        <v>1981</v>
      </c>
      <c r="B604" t="s">
        <v>2382</v>
      </c>
      <c r="C604" t="s">
        <v>2383</v>
      </c>
      <c r="D604" t="str">
        <f>_xlfn.CONCAT(C604,".bam")</f>
        <v>SYST-MOR-0007388.bam</v>
      </c>
      <c r="E604" t="s">
        <v>2384</v>
      </c>
      <c r="F604" t="s">
        <v>2468</v>
      </c>
      <c r="G604" t="s">
        <v>2486</v>
      </c>
      <c r="H604" t="s">
        <v>2558</v>
      </c>
      <c r="I604" t="s">
        <v>2380</v>
      </c>
      <c r="K604" t="s">
        <v>45</v>
      </c>
      <c r="L604" t="s">
        <v>45</v>
      </c>
      <c r="N604" t="s">
        <v>45</v>
      </c>
      <c r="P604" t="s">
        <v>31</v>
      </c>
      <c r="Q604" t="s">
        <v>114</v>
      </c>
      <c r="R604" t="s">
        <v>2597</v>
      </c>
      <c r="S604" s="1">
        <v>42925</v>
      </c>
      <c r="T604" t="s">
        <v>526</v>
      </c>
      <c r="U604" t="s">
        <v>34</v>
      </c>
      <c r="W604" t="s">
        <v>35</v>
      </c>
      <c r="X604" t="s">
        <v>2298</v>
      </c>
      <c r="Y604" t="s">
        <v>2379</v>
      </c>
      <c r="Z604" t="s">
        <v>206</v>
      </c>
      <c r="AA604" t="s">
        <v>2380</v>
      </c>
      <c r="AB604" t="s">
        <v>2385</v>
      </c>
      <c r="AD604" t="s">
        <v>45</v>
      </c>
      <c r="AE604">
        <v>46.021949999999997</v>
      </c>
      <c r="AF604">
        <v>-91.145589999999999</v>
      </c>
      <c r="AG604" t="s">
        <v>40</v>
      </c>
      <c r="AH604" t="s">
        <v>41</v>
      </c>
      <c r="AI604">
        <v>46.021949999999997</v>
      </c>
      <c r="AJ604">
        <v>-91.145589999999999</v>
      </c>
      <c r="AK604">
        <v>0</v>
      </c>
      <c r="AL604">
        <v>0</v>
      </c>
      <c r="AM604" t="str">
        <f>_xlfn.IFNA(VLOOKUP(Sheet1!$C604,ADMIX_ALL!A:B,2,FALSE),"none")</f>
        <v>K6-18</v>
      </c>
      <c r="AN604" t="str">
        <f>_xlfn.IFNA(VLOOKUP(Sheet1!C604,ADMIX_SS!A:B,2,FALSE),"none")</f>
        <v>SubSample</v>
      </c>
      <c r="AO604" t="str">
        <f>_xlfn.IFNA(VLOOKUP(Sheet1!$C604,MONG_PHYLO!A:C,3,FALSE),"-")</f>
        <v>-</v>
      </c>
      <c r="AP604" t="str">
        <f>_xlfn.IFNA(VLOOKUP(Sheet1!$C604,MAC_PHYLO!A:C,3,FALSE),"-")</f>
        <v>-</v>
      </c>
      <c r="AQ604" t="str">
        <f>_xlfn.IFNA(VLOOKUP(Sheet1!$C604,ConStruct!A:C,3,FALSE),"-")</f>
        <v>ConStruct</v>
      </c>
      <c r="AR604" t="str">
        <f>_xlfn.IFNA(VLOOKUP(Sheet1!$C604,GEA!A:C,3,FALSE),"-")</f>
        <v>GEA</v>
      </c>
      <c r="AS604" t="str">
        <f>_xlfn.IFNA(VLOOKUP(Sheet1!$C604,MAC_DSUITE!A:D,3,FALSE),"-")</f>
        <v>mac_WI_RLF</v>
      </c>
      <c r="AT604" t="str">
        <f>_xlfn.IFNA(VLOOKUP(Sheet1!$C604,MONG_DSUITE!A:E,2,FALSE),"-")</f>
        <v>macrocarpa_RLF</v>
      </c>
      <c r="AU604" t="str">
        <f>_xlfn.IFNA(VLOOKUP(Sheet1!$C604,MAC_PAINT2!A:D,4,FALSE),"-")</f>
        <v>macpaint</v>
      </c>
      <c r="AV604" t="s">
        <v>9193</v>
      </c>
      <c r="AW604" t="s">
        <v>9193</v>
      </c>
    </row>
    <row r="605" spans="1:49" customFormat="1" x14ac:dyDescent="0.4">
      <c r="A605">
        <v>1982</v>
      </c>
      <c r="B605" t="s">
        <v>2386</v>
      </c>
      <c r="C605" t="s">
        <v>2387</v>
      </c>
      <c r="D605" t="str">
        <f>_xlfn.CONCAT(C605,".bam")</f>
        <v>SYST-MOR-0007389.bam</v>
      </c>
      <c r="E605" t="s">
        <v>2388</v>
      </c>
      <c r="F605" t="s">
        <v>2468</v>
      </c>
      <c r="G605" t="s">
        <v>2486</v>
      </c>
      <c r="H605" t="s">
        <v>2558</v>
      </c>
      <c r="I605" t="s">
        <v>2380</v>
      </c>
      <c r="K605" t="s">
        <v>45</v>
      </c>
      <c r="L605" t="s">
        <v>45</v>
      </c>
      <c r="N605" t="s">
        <v>45</v>
      </c>
      <c r="P605" t="s">
        <v>31</v>
      </c>
      <c r="Q605" t="s">
        <v>114</v>
      </c>
      <c r="R605" t="s">
        <v>2597</v>
      </c>
      <c r="S605" s="1">
        <v>42925</v>
      </c>
      <c r="T605" t="s">
        <v>526</v>
      </c>
      <c r="U605" t="s">
        <v>34</v>
      </c>
      <c r="W605" t="s">
        <v>35</v>
      </c>
      <c r="X605" t="s">
        <v>2298</v>
      </c>
      <c r="Y605" t="s">
        <v>2379</v>
      </c>
      <c r="Z605" t="s">
        <v>206</v>
      </c>
      <c r="AA605" t="s">
        <v>2380</v>
      </c>
      <c r="AB605" t="s">
        <v>2389</v>
      </c>
      <c r="AD605" t="s">
        <v>45</v>
      </c>
      <c r="AE605">
        <v>46.0259</v>
      </c>
      <c r="AF605">
        <v>-91.142880000000005</v>
      </c>
      <c r="AG605" t="s">
        <v>40</v>
      </c>
      <c r="AH605" t="s">
        <v>41</v>
      </c>
      <c r="AI605">
        <v>46.0259</v>
      </c>
      <c r="AJ605">
        <v>-91.142880000000005</v>
      </c>
      <c r="AK605">
        <v>0</v>
      </c>
      <c r="AL605">
        <v>0</v>
      </c>
      <c r="AM605" t="str">
        <f>_xlfn.IFNA(VLOOKUP(Sheet1!$C605,ADMIX_ALL!A:B,2,FALSE),"none")</f>
        <v>K6-18</v>
      </c>
      <c r="AN605" t="str">
        <f>_xlfn.IFNA(VLOOKUP(Sheet1!C605,ADMIX_SS!A:B,2,FALSE),"none")</f>
        <v>SubSample</v>
      </c>
      <c r="AO605" t="str">
        <f>_xlfn.IFNA(VLOOKUP(Sheet1!$C605,MONG_PHYLO!A:C,3,FALSE),"-")</f>
        <v>-</v>
      </c>
      <c r="AP605" t="str">
        <f>_xlfn.IFNA(VLOOKUP(Sheet1!$C605,MAC_PHYLO!A:C,3,FALSE),"-")</f>
        <v>-</v>
      </c>
      <c r="AQ605" t="str">
        <f>_xlfn.IFNA(VLOOKUP(Sheet1!$C605,ConStruct!A:C,3,FALSE),"-")</f>
        <v>ConStruct</v>
      </c>
      <c r="AR605" t="str">
        <f>_xlfn.IFNA(VLOOKUP(Sheet1!$C605,GEA!A:C,3,FALSE),"-")</f>
        <v>GEA</v>
      </c>
      <c r="AS605" t="str">
        <f>_xlfn.IFNA(VLOOKUP(Sheet1!$C605,MAC_DSUITE!A:D,3,FALSE),"-")</f>
        <v>mac_WI_RLF</v>
      </c>
      <c r="AT605" t="str">
        <f>_xlfn.IFNA(VLOOKUP(Sheet1!$C605,MONG_DSUITE!A:E,2,FALSE),"-")</f>
        <v>macrocarpa_RLF</v>
      </c>
      <c r="AU605" t="str">
        <f>_xlfn.IFNA(VLOOKUP(Sheet1!$C605,MAC_PAINT2!A:D,4,FALSE),"-")</f>
        <v>macpaint</v>
      </c>
      <c r="AV605" t="s">
        <v>9193</v>
      </c>
      <c r="AW605" t="s">
        <v>9193</v>
      </c>
    </row>
    <row r="606" spans="1:49" customFormat="1" x14ac:dyDescent="0.4">
      <c r="A606">
        <v>1983</v>
      </c>
      <c r="B606" t="s">
        <v>2390</v>
      </c>
      <c r="C606" t="s">
        <v>2391</v>
      </c>
      <c r="D606" t="str">
        <f>_xlfn.CONCAT(C606,".bam")</f>
        <v>SYST-MOR-0007390.bam</v>
      </c>
      <c r="E606" t="s">
        <v>2392</v>
      </c>
      <c r="F606" t="s">
        <v>2468</v>
      </c>
      <c r="G606" t="s">
        <v>2486</v>
      </c>
      <c r="H606" t="s">
        <v>2558</v>
      </c>
      <c r="I606" t="s">
        <v>2380</v>
      </c>
      <c r="K606" t="s">
        <v>45</v>
      </c>
      <c r="L606" t="s">
        <v>45</v>
      </c>
      <c r="N606" t="s">
        <v>45</v>
      </c>
      <c r="P606" t="s">
        <v>31</v>
      </c>
      <c r="Q606" t="s">
        <v>114</v>
      </c>
      <c r="R606" t="s">
        <v>2597</v>
      </c>
      <c r="S606" s="1">
        <v>42925</v>
      </c>
      <c r="T606" t="s">
        <v>526</v>
      </c>
      <c r="U606" t="s">
        <v>34</v>
      </c>
      <c r="W606" t="s">
        <v>35</v>
      </c>
      <c r="X606" t="s">
        <v>2298</v>
      </c>
      <c r="Y606" t="s">
        <v>2379</v>
      </c>
      <c r="Z606" t="s">
        <v>206</v>
      </c>
      <c r="AA606" t="s">
        <v>2380</v>
      </c>
      <c r="AB606" t="s">
        <v>2389</v>
      </c>
      <c r="AD606" t="s">
        <v>45</v>
      </c>
      <c r="AE606">
        <v>46.026310000000002</v>
      </c>
      <c r="AF606">
        <v>-91.141679999999994</v>
      </c>
      <c r="AG606" t="s">
        <v>40</v>
      </c>
      <c r="AH606" t="s">
        <v>41</v>
      </c>
      <c r="AI606">
        <v>46.026310000000002</v>
      </c>
      <c r="AJ606">
        <v>-91.141679999999994</v>
      </c>
      <c r="AK606">
        <v>0</v>
      </c>
      <c r="AL606">
        <v>0</v>
      </c>
      <c r="AM606" t="str">
        <f>_xlfn.IFNA(VLOOKUP(Sheet1!$C606,ADMIX_ALL!A:B,2,FALSE),"none")</f>
        <v>K6-18</v>
      </c>
      <c r="AN606" t="str">
        <f>_xlfn.IFNA(VLOOKUP(Sheet1!C606,ADMIX_SS!A:B,2,FALSE),"none")</f>
        <v>SubSample</v>
      </c>
      <c r="AO606" t="str">
        <f>_xlfn.IFNA(VLOOKUP(Sheet1!$C606,MONG_PHYLO!A:C,3,FALSE),"-")</f>
        <v>-</v>
      </c>
      <c r="AP606" t="str">
        <f>_xlfn.IFNA(VLOOKUP(Sheet1!$C606,MAC_PHYLO!A:C,3,FALSE),"-")</f>
        <v>-</v>
      </c>
      <c r="AQ606" t="str">
        <f>_xlfn.IFNA(VLOOKUP(Sheet1!$C606,ConStruct!A:C,3,FALSE),"-")</f>
        <v>ConStruct</v>
      </c>
      <c r="AR606" t="str">
        <f>_xlfn.IFNA(VLOOKUP(Sheet1!$C606,GEA!A:C,3,FALSE),"-")</f>
        <v>GEA</v>
      </c>
      <c r="AS606" t="str">
        <f>_xlfn.IFNA(VLOOKUP(Sheet1!$C606,MAC_DSUITE!A:D,3,FALSE),"-")</f>
        <v>mac_WI_RLF</v>
      </c>
      <c r="AT606" t="str">
        <f>_xlfn.IFNA(VLOOKUP(Sheet1!$C606,MONG_DSUITE!A:E,2,FALSE),"-")</f>
        <v>macrocarpa_RLF</v>
      </c>
      <c r="AU606" t="str">
        <f>_xlfn.IFNA(VLOOKUP(Sheet1!$C606,MAC_PAINT2!A:D,4,FALSE),"-")</f>
        <v>macpaint</v>
      </c>
      <c r="AV606" t="s">
        <v>9193</v>
      </c>
      <c r="AW606" t="s">
        <v>9193</v>
      </c>
    </row>
    <row r="607" spans="1:49" customFormat="1" x14ac:dyDescent="0.4">
      <c r="A607">
        <v>1984</v>
      </c>
      <c r="B607" t="s">
        <v>2393</v>
      </c>
      <c r="C607" t="s">
        <v>2394</v>
      </c>
      <c r="D607" t="str">
        <f>_xlfn.CONCAT(C607,".bam")</f>
        <v>SYST-MOR-0007391.bam</v>
      </c>
      <c r="E607" t="s">
        <v>2395</v>
      </c>
      <c r="F607" t="s">
        <v>2468</v>
      </c>
      <c r="G607" t="s">
        <v>2486</v>
      </c>
      <c r="H607" t="s">
        <v>2558</v>
      </c>
      <c r="I607" t="s">
        <v>2380</v>
      </c>
      <c r="K607" t="s">
        <v>45</v>
      </c>
      <c r="L607" t="s">
        <v>45</v>
      </c>
      <c r="N607" t="s">
        <v>45</v>
      </c>
      <c r="P607" t="s">
        <v>31</v>
      </c>
      <c r="Q607" t="s">
        <v>114</v>
      </c>
      <c r="R607" t="s">
        <v>2597</v>
      </c>
      <c r="S607" s="1">
        <v>42925</v>
      </c>
      <c r="T607" t="s">
        <v>526</v>
      </c>
      <c r="U607" t="s">
        <v>34</v>
      </c>
      <c r="W607" t="s">
        <v>35</v>
      </c>
      <c r="X607" t="s">
        <v>2298</v>
      </c>
      <c r="Y607" t="s">
        <v>2379</v>
      </c>
      <c r="Z607" t="s">
        <v>206</v>
      </c>
      <c r="AA607" t="s">
        <v>2380</v>
      </c>
      <c r="AB607" t="s">
        <v>2396</v>
      </c>
      <c r="AD607" t="s">
        <v>45</v>
      </c>
      <c r="AE607">
        <v>46.024509999999999</v>
      </c>
      <c r="AF607">
        <v>-91.128280000000004</v>
      </c>
      <c r="AG607" t="s">
        <v>40</v>
      </c>
      <c r="AH607" t="s">
        <v>41</v>
      </c>
      <c r="AI607">
        <v>46.024509999999999</v>
      </c>
      <c r="AJ607">
        <v>-91.128280000000004</v>
      </c>
      <c r="AK607">
        <v>0</v>
      </c>
      <c r="AL607">
        <v>0</v>
      </c>
      <c r="AM607" t="str">
        <f>_xlfn.IFNA(VLOOKUP(Sheet1!$C607,ADMIX_ALL!A:B,2,FALSE),"none")</f>
        <v>K6-18</v>
      </c>
      <c r="AN607" t="str">
        <f>_xlfn.IFNA(VLOOKUP(Sheet1!C607,ADMIX_SS!A:B,2,FALSE),"none")</f>
        <v>SubSample</v>
      </c>
      <c r="AO607" t="str">
        <f>_xlfn.IFNA(VLOOKUP(Sheet1!$C607,MONG_PHYLO!A:C,3,FALSE),"-")</f>
        <v>-</v>
      </c>
      <c r="AP607" t="str">
        <f>_xlfn.IFNA(VLOOKUP(Sheet1!$C607,MAC_PHYLO!A:C,3,FALSE),"-")</f>
        <v>-</v>
      </c>
      <c r="AQ607" t="str">
        <f>_xlfn.IFNA(VLOOKUP(Sheet1!$C607,ConStruct!A:C,3,FALSE),"-")</f>
        <v>ConStruct</v>
      </c>
      <c r="AR607" t="str">
        <f>_xlfn.IFNA(VLOOKUP(Sheet1!$C607,GEA!A:C,3,FALSE),"-")</f>
        <v>GEA</v>
      </c>
      <c r="AS607" t="str">
        <f>_xlfn.IFNA(VLOOKUP(Sheet1!$C607,MAC_DSUITE!A:D,3,FALSE),"-")</f>
        <v>mac_WI_RLF</v>
      </c>
      <c r="AT607" t="str">
        <f>_xlfn.IFNA(VLOOKUP(Sheet1!$C607,MONG_DSUITE!A:E,2,FALSE),"-")</f>
        <v>macrocarpa_RLF</v>
      </c>
      <c r="AU607" t="str">
        <f>_xlfn.IFNA(VLOOKUP(Sheet1!$C607,MAC_PAINT2!A:D,4,FALSE),"-")</f>
        <v>macpaint</v>
      </c>
      <c r="AV607" t="s">
        <v>9193</v>
      </c>
      <c r="AW607" t="s">
        <v>9193</v>
      </c>
    </row>
    <row r="608" spans="1:49" customFormat="1" x14ac:dyDescent="0.4">
      <c r="A608">
        <v>1985</v>
      </c>
      <c r="B608" t="s">
        <v>2397</v>
      </c>
      <c r="C608" t="s">
        <v>2398</v>
      </c>
      <c r="D608" t="str">
        <f>_xlfn.CONCAT(C608,".bam")</f>
        <v>SYST-MOR-0007392.bam</v>
      </c>
      <c r="E608" t="s">
        <v>2399</v>
      </c>
      <c r="F608" t="s">
        <v>2468</v>
      </c>
      <c r="G608" t="s">
        <v>2486</v>
      </c>
      <c r="H608" t="s">
        <v>2558</v>
      </c>
      <c r="I608" t="s">
        <v>2380</v>
      </c>
      <c r="K608" t="s">
        <v>45</v>
      </c>
      <c r="L608" t="s">
        <v>45</v>
      </c>
      <c r="N608" t="s">
        <v>45</v>
      </c>
      <c r="P608" t="s">
        <v>31</v>
      </c>
      <c r="Q608" t="s">
        <v>114</v>
      </c>
      <c r="R608" t="s">
        <v>2597</v>
      </c>
      <c r="S608" s="1">
        <v>42925</v>
      </c>
      <c r="T608" t="s">
        <v>526</v>
      </c>
      <c r="U608" t="s">
        <v>34</v>
      </c>
      <c r="W608" t="s">
        <v>35</v>
      </c>
      <c r="X608" t="s">
        <v>2298</v>
      </c>
      <c r="Y608" t="s">
        <v>2379</v>
      </c>
      <c r="Z608" t="s">
        <v>206</v>
      </c>
      <c r="AA608" t="s">
        <v>2380</v>
      </c>
      <c r="AB608" t="s">
        <v>2400</v>
      </c>
      <c r="AD608" t="s">
        <v>45</v>
      </c>
      <c r="AE608">
        <v>46.0244</v>
      </c>
      <c r="AF608">
        <v>-91.129450000000006</v>
      </c>
      <c r="AG608" t="s">
        <v>40</v>
      </c>
      <c r="AH608" t="s">
        <v>41</v>
      </c>
      <c r="AI608">
        <v>46.0244</v>
      </c>
      <c r="AJ608">
        <v>-91.129450000000006</v>
      </c>
      <c r="AK608">
        <v>0</v>
      </c>
      <c r="AL608">
        <v>0</v>
      </c>
      <c r="AM608" t="str">
        <f>_xlfn.IFNA(VLOOKUP(Sheet1!$C608,ADMIX_ALL!A:B,2,FALSE),"none")</f>
        <v>K6-18</v>
      </c>
      <c r="AN608" t="str">
        <f>_xlfn.IFNA(VLOOKUP(Sheet1!C608,ADMIX_SS!A:B,2,FALSE),"none")</f>
        <v>SubSample</v>
      </c>
      <c r="AO608" t="str">
        <f>_xlfn.IFNA(VLOOKUP(Sheet1!$C608,MONG_PHYLO!A:C,3,FALSE),"-")</f>
        <v>-</v>
      </c>
      <c r="AP608" t="str">
        <f>_xlfn.IFNA(VLOOKUP(Sheet1!$C608,MAC_PHYLO!A:C,3,FALSE),"-")</f>
        <v>-</v>
      </c>
      <c r="AQ608" t="str">
        <f>_xlfn.IFNA(VLOOKUP(Sheet1!$C608,ConStruct!A:C,3,FALSE),"-")</f>
        <v>ConStruct</v>
      </c>
      <c r="AR608" t="str">
        <f>_xlfn.IFNA(VLOOKUP(Sheet1!$C608,GEA!A:C,3,FALSE),"-")</f>
        <v>GEA</v>
      </c>
      <c r="AS608" t="str">
        <f>_xlfn.IFNA(VLOOKUP(Sheet1!$C608,MAC_DSUITE!A:D,3,FALSE),"-")</f>
        <v>mac_WI_RLF</v>
      </c>
      <c r="AT608" t="str">
        <f>_xlfn.IFNA(VLOOKUP(Sheet1!$C608,MONG_DSUITE!A:E,2,FALSE),"-")</f>
        <v>macrocarpa_RLF</v>
      </c>
      <c r="AU608" t="str">
        <f>_xlfn.IFNA(VLOOKUP(Sheet1!$C608,MAC_PAINT2!A:D,4,FALSE),"-")</f>
        <v>macpaint</v>
      </c>
      <c r="AV608" t="s">
        <v>9193</v>
      </c>
      <c r="AW608" t="s">
        <v>9193</v>
      </c>
    </row>
    <row r="609" spans="1:47" customFormat="1" x14ac:dyDescent="0.4">
      <c r="A609">
        <v>2056</v>
      </c>
      <c r="B609" t="s">
        <v>1222</v>
      </c>
      <c r="C609" t="s">
        <v>1223</v>
      </c>
      <c r="D609" t="str">
        <f>_xlfn.CONCAT(C609,".bam")</f>
        <v>SYST-MOR-0007393.bam</v>
      </c>
      <c r="E609" t="s">
        <v>1224</v>
      </c>
      <c r="F609" t="s">
        <v>2420</v>
      </c>
      <c r="G609" t="s">
        <v>2479</v>
      </c>
      <c r="H609" t="s">
        <v>2526</v>
      </c>
      <c r="I609" t="s">
        <v>1227</v>
      </c>
      <c r="K609" t="s">
        <v>45</v>
      </c>
      <c r="L609" t="s">
        <v>45</v>
      </c>
      <c r="N609" t="s">
        <v>45</v>
      </c>
      <c r="P609" t="s">
        <v>31</v>
      </c>
      <c r="Q609" t="s">
        <v>46</v>
      </c>
      <c r="R609" t="s">
        <v>2597</v>
      </c>
      <c r="T609" t="s">
        <v>1225</v>
      </c>
      <c r="U609" t="s">
        <v>34</v>
      </c>
      <c r="V609" s="1">
        <v>42948</v>
      </c>
      <c r="W609" t="s">
        <v>35</v>
      </c>
      <c r="X609" t="s">
        <v>634</v>
      </c>
      <c r="Y609" t="s">
        <v>1226</v>
      </c>
      <c r="Z609" t="s">
        <v>206</v>
      </c>
      <c r="AA609" t="s">
        <v>1227</v>
      </c>
      <c r="AB609" t="s">
        <v>1228</v>
      </c>
      <c r="AD609" t="s">
        <v>45</v>
      </c>
      <c r="AE609">
        <v>38.963585999999999</v>
      </c>
      <c r="AF609">
        <v>-98.589060000000003</v>
      </c>
      <c r="AG609" t="s">
        <v>40</v>
      </c>
      <c r="AH609" t="s">
        <v>41</v>
      </c>
      <c r="AI609">
        <v>38.963585999999999</v>
      </c>
      <c r="AJ609">
        <v>-98.589060000000003</v>
      </c>
      <c r="AK609">
        <v>0</v>
      </c>
      <c r="AL609">
        <v>0</v>
      </c>
      <c r="AM609" t="str">
        <f>_xlfn.IFNA(VLOOKUP(Sheet1!$C609,ADMIX_ALL!A:B,2,FALSE),"none")</f>
        <v>none</v>
      </c>
      <c r="AN609" t="str">
        <f>_xlfn.IFNA(VLOOKUP(Sheet1!C609,ADMIX_SS!A:B,2,FALSE),"none")</f>
        <v>SubSample</v>
      </c>
      <c r="AO609" t="str">
        <f>_xlfn.IFNA(VLOOKUP(Sheet1!$C609,MONG_PHYLO!A:C,3,FALSE),"-")</f>
        <v>-</v>
      </c>
      <c r="AP609" t="str">
        <f>_xlfn.IFNA(VLOOKUP(Sheet1!$C609,MAC_PHYLO!A:C,3,FALSE),"-")</f>
        <v>-</v>
      </c>
      <c r="AQ609" t="str">
        <f>_xlfn.IFNA(VLOOKUP(Sheet1!$C609,ConStruct!A:C,3,FALSE),"-")</f>
        <v>ConStruct</v>
      </c>
      <c r="AR609" t="str">
        <f>_xlfn.IFNA(VLOOKUP(Sheet1!$C609,GEA!A:C,3,FALSE),"-")</f>
        <v>-</v>
      </c>
      <c r="AS609" t="str">
        <f>_xlfn.IFNA(VLOOKUP(Sheet1!$C609,MAC_DSUITE!A:D,3,FALSE),"-")</f>
        <v>-</v>
      </c>
      <c r="AT609" t="str">
        <f>_xlfn.IFNA(VLOOKUP(Sheet1!$C609,MONG_DSUITE!A:E,2,FALSE),"-")</f>
        <v>-</v>
      </c>
      <c r="AU609" t="str">
        <f>_xlfn.IFNA(VLOOKUP(Sheet1!$C609,MAC_PAINT2!A:D,4,FALSE),"-")</f>
        <v>-</v>
      </c>
    </row>
    <row r="610" spans="1:47" customFormat="1" x14ac:dyDescent="0.4">
      <c r="A610">
        <v>2057</v>
      </c>
      <c r="B610" t="s">
        <v>1232</v>
      </c>
      <c r="C610" t="s">
        <v>1233</v>
      </c>
      <c r="D610" t="str">
        <f>_xlfn.CONCAT(C610,".bam")</f>
        <v>SYST-MOR-0007394.bam</v>
      </c>
      <c r="E610" t="s">
        <v>1234</v>
      </c>
      <c r="F610" t="s">
        <v>2420</v>
      </c>
      <c r="G610" t="s">
        <v>2479</v>
      </c>
      <c r="H610" t="s">
        <v>2526</v>
      </c>
      <c r="I610" t="s">
        <v>1227</v>
      </c>
      <c r="K610" t="s">
        <v>45</v>
      </c>
      <c r="L610" t="s">
        <v>45</v>
      </c>
      <c r="N610" t="s">
        <v>45</v>
      </c>
      <c r="P610" t="s">
        <v>31</v>
      </c>
      <c r="Q610" t="s">
        <v>46</v>
      </c>
      <c r="R610" t="s">
        <v>2597</v>
      </c>
      <c r="T610" t="s">
        <v>1225</v>
      </c>
      <c r="U610" t="s">
        <v>34</v>
      </c>
      <c r="V610" s="1">
        <v>42948</v>
      </c>
      <c r="W610" t="s">
        <v>35</v>
      </c>
      <c r="X610" t="s">
        <v>634</v>
      </c>
      <c r="Y610" t="s">
        <v>1226</v>
      </c>
      <c r="Z610" t="s">
        <v>206</v>
      </c>
      <c r="AA610" t="s">
        <v>1227</v>
      </c>
      <c r="AB610" t="s">
        <v>1228</v>
      </c>
      <c r="AD610" t="s">
        <v>45</v>
      </c>
      <c r="AE610">
        <v>38.963585999999999</v>
      </c>
      <c r="AF610">
        <v>-98.589060000000003</v>
      </c>
      <c r="AH610" t="s">
        <v>2595</v>
      </c>
      <c r="AI610">
        <v>38.963585999999999</v>
      </c>
      <c r="AJ610">
        <v>-98.589060000000003</v>
      </c>
      <c r="AK610">
        <v>0</v>
      </c>
      <c r="AL610">
        <v>0</v>
      </c>
      <c r="AM610" t="str">
        <f>_xlfn.IFNA(VLOOKUP(Sheet1!$C610,ADMIX_ALL!A:B,2,FALSE),"none")</f>
        <v>none</v>
      </c>
      <c r="AN610" t="str">
        <f>_xlfn.IFNA(VLOOKUP(Sheet1!C610,ADMIX_SS!A:B,2,FALSE),"none")</f>
        <v>SubSample</v>
      </c>
      <c r="AO610" t="str">
        <f>_xlfn.IFNA(VLOOKUP(Sheet1!$C610,MONG_PHYLO!A:C,3,FALSE),"-")</f>
        <v>-</v>
      </c>
      <c r="AP610" t="str">
        <f>_xlfn.IFNA(VLOOKUP(Sheet1!$C610,MAC_PHYLO!A:C,3,FALSE),"-")</f>
        <v>macN</v>
      </c>
      <c r="AQ610" t="str">
        <f>_xlfn.IFNA(VLOOKUP(Sheet1!$C610,ConStruct!A:C,3,FALSE),"-")</f>
        <v>ConStruct</v>
      </c>
      <c r="AR610" t="str">
        <f>_xlfn.IFNA(VLOOKUP(Sheet1!$C610,GEA!A:C,3,FALSE),"-")</f>
        <v>-</v>
      </c>
      <c r="AS610" t="str">
        <f>_xlfn.IFNA(VLOOKUP(Sheet1!$C610,MAC_DSUITE!A:D,3,FALSE),"-")</f>
        <v>-</v>
      </c>
      <c r="AT610" t="str">
        <f>_xlfn.IFNA(VLOOKUP(Sheet1!$C610,MONG_DSUITE!A:E,2,FALSE),"-")</f>
        <v>-</v>
      </c>
      <c r="AU610" t="str">
        <f>_xlfn.IFNA(VLOOKUP(Sheet1!$C610,MAC_PAINT2!A:D,4,FALSE),"-")</f>
        <v>-</v>
      </c>
    </row>
    <row r="611" spans="1:47" customFormat="1" x14ac:dyDescent="0.4">
      <c r="A611">
        <v>2058</v>
      </c>
      <c r="B611" t="s">
        <v>1235</v>
      </c>
      <c r="C611" t="s">
        <v>1236</v>
      </c>
      <c r="D611" t="str">
        <f>_xlfn.CONCAT(C611,".bam")</f>
        <v>SYST-MOR-0007395.bam</v>
      </c>
      <c r="E611" t="s">
        <v>1237</v>
      </c>
      <c r="F611" t="s">
        <v>2420</v>
      </c>
      <c r="G611" t="s">
        <v>2479</v>
      </c>
      <c r="H611" t="s">
        <v>2526</v>
      </c>
      <c r="I611" t="s">
        <v>1227</v>
      </c>
      <c r="K611" t="s">
        <v>45</v>
      </c>
      <c r="L611" t="s">
        <v>45</v>
      </c>
      <c r="N611" t="s">
        <v>45</v>
      </c>
      <c r="P611" t="s">
        <v>31</v>
      </c>
      <c r="Q611" t="s">
        <v>46</v>
      </c>
      <c r="R611" t="s">
        <v>2597</v>
      </c>
      <c r="T611" t="s">
        <v>1225</v>
      </c>
      <c r="U611" t="s">
        <v>34</v>
      </c>
      <c r="V611" s="1">
        <v>42948</v>
      </c>
      <c r="W611" t="s">
        <v>35</v>
      </c>
      <c r="X611" t="s">
        <v>634</v>
      </c>
      <c r="Y611" t="s">
        <v>1226</v>
      </c>
      <c r="Z611" t="s">
        <v>206</v>
      </c>
      <c r="AA611" t="s">
        <v>1227</v>
      </c>
      <c r="AB611" t="s">
        <v>1228</v>
      </c>
      <c r="AD611" t="s">
        <v>45</v>
      </c>
      <c r="AE611">
        <v>38.963585999999999</v>
      </c>
      <c r="AF611">
        <v>-98.589060000000003</v>
      </c>
      <c r="AH611" t="s">
        <v>2595</v>
      </c>
      <c r="AI611">
        <v>38.963585999999999</v>
      </c>
      <c r="AJ611">
        <v>-98.589060000000003</v>
      </c>
      <c r="AK611">
        <v>0</v>
      </c>
      <c r="AL611">
        <v>0</v>
      </c>
      <c r="AM611" t="str">
        <f>_xlfn.IFNA(VLOOKUP(Sheet1!$C611,ADMIX_ALL!A:B,2,FALSE),"none")</f>
        <v>none</v>
      </c>
      <c r="AN611" t="str">
        <f>_xlfn.IFNA(VLOOKUP(Sheet1!C611,ADMIX_SS!A:B,2,FALSE),"none")</f>
        <v>SubSample</v>
      </c>
      <c r="AO611" t="str">
        <f>_xlfn.IFNA(VLOOKUP(Sheet1!$C611,MONG_PHYLO!A:C,3,FALSE),"-")</f>
        <v>-</v>
      </c>
      <c r="AP611" t="str">
        <f>_xlfn.IFNA(VLOOKUP(Sheet1!$C611,MAC_PHYLO!A:C,3,FALSE),"-")</f>
        <v>-</v>
      </c>
      <c r="AQ611" t="str">
        <f>_xlfn.IFNA(VLOOKUP(Sheet1!$C611,ConStruct!A:C,3,FALSE),"-")</f>
        <v>ConStruct</v>
      </c>
      <c r="AR611" t="str">
        <f>_xlfn.IFNA(VLOOKUP(Sheet1!$C611,GEA!A:C,3,FALSE),"-")</f>
        <v>-</v>
      </c>
      <c r="AS611" t="str">
        <f>_xlfn.IFNA(VLOOKUP(Sheet1!$C611,MAC_DSUITE!A:D,3,FALSE),"-")</f>
        <v>-</v>
      </c>
      <c r="AT611" t="str">
        <f>_xlfn.IFNA(VLOOKUP(Sheet1!$C611,MONG_DSUITE!A:E,2,FALSE),"-")</f>
        <v>-</v>
      </c>
      <c r="AU611" t="str">
        <f>_xlfn.IFNA(VLOOKUP(Sheet1!$C611,MAC_PAINT2!A:D,4,FALSE),"-")</f>
        <v>-</v>
      </c>
    </row>
    <row r="612" spans="1:47" customFormat="1" x14ac:dyDescent="0.4">
      <c r="A612">
        <v>2059</v>
      </c>
      <c r="B612" t="s">
        <v>1238</v>
      </c>
      <c r="C612" t="s">
        <v>1239</v>
      </c>
      <c r="D612" t="str">
        <f>_xlfn.CONCAT(C612,".bam")</f>
        <v>SYST-MOR-0007396.bam</v>
      </c>
      <c r="E612" t="s">
        <v>1240</v>
      </c>
      <c r="F612" t="s">
        <v>2420</v>
      </c>
      <c r="G612" t="s">
        <v>2479</v>
      </c>
      <c r="H612" t="s">
        <v>2526</v>
      </c>
      <c r="I612" t="s">
        <v>1227</v>
      </c>
      <c r="K612" t="s">
        <v>45</v>
      </c>
      <c r="L612" t="s">
        <v>45</v>
      </c>
      <c r="N612" t="s">
        <v>45</v>
      </c>
      <c r="P612" t="s">
        <v>31</v>
      </c>
      <c r="Q612" t="s">
        <v>46</v>
      </c>
      <c r="R612" t="s">
        <v>2597</v>
      </c>
      <c r="T612" t="s">
        <v>1225</v>
      </c>
      <c r="U612" t="s">
        <v>34</v>
      </c>
      <c r="V612" s="1">
        <v>42948</v>
      </c>
      <c r="W612" t="s">
        <v>35</v>
      </c>
      <c r="X612" t="s">
        <v>634</v>
      </c>
      <c r="Y612" t="s">
        <v>1226</v>
      </c>
      <c r="Z612" t="s">
        <v>206</v>
      </c>
      <c r="AA612" t="s">
        <v>1227</v>
      </c>
      <c r="AB612" t="s">
        <v>1228</v>
      </c>
      <c r="AD612" t="s">
        <v>45</v>
      </c>
      <c r="AE612">
        <v>38.963585999999999</v>
      </c>
      <c r="AF612">
        <v>-98.589060000000003</v>
      </c>
      <c r="AH612" t="s">
        <v>2595</v>
      </c>
      <c r="AI612">
        <v>38.963585999999999</v>
      </c>
      <c r="AJ612">
        <v>-98.589060000000003</v>
      </c>
      <c r="AK612">
        <v>0</v>
      </c>
      <c r="AL612">
        <v>0</v>
      </c>
      <c r="AM612" t="str">
        <f>_xlfn.IFNA(VLOOKUP(Sheet1!$C612,ADMIX_ALL!A:B,2,FALSE),"none")</f>
        <v>none</v>
      </c>
      <c r="AN612" t="str">
        <f>_xlfn.IFNA(VLOOKUP(Sheet1!C612,ADMIX_SS!A:B,2,FALSE),"none")</f>
        <v>SubSample</v>
      </c>
      <c r="AO612" t="str">
        <f>_xlfn.IFNA(VLOOKUP(Sheet1!$C612,MONG_PHYLO!A:C,3,FALSE),"-")</f>
        <v>-</v>
      </c>
      <c r="AP612" t="str">
        <f>_xlfn.IFNA(VLOOKUP(Sheet1!$C612,MAC_PHYLO!A:C,3,FALSE),"-")</f>
        <v>-</v>
      </c>
      <c r="AQ612" t="str">
        <f>_xlfn.IFNA(VLOOKUP(Sheet1!$C612,ConStruct!A:C,3,FALSE),"-")</f>
        <v>ConStruct</v>
      </c>
      <c r="AR612" t="str">
        <f>_xlfn.IFNA(VLOOKUP(Sheet1!$C612,GEA!A:C,3,FALSE),"-")</f>
        <v>-</v>
      </c>
      <c r="AS612" t="str">
        <f>_xlfn.IFNA(VLOOKUP(Sheet1!$C612,MAC_DSUITE!A:D,3,FALSE),"-")</f>
        <v>-</v>
      </c>
      <c r="AT612" t="str">
        <f>_xlfn.IFNA(VLOOKUP(Sheet1!$C612,MONG_DSUITE!A:E,2,FALSE),"-")</f>
        <v>-</v>
      </c>
      <c r="AU612" t="str">
        <f>_xlfn.IFNA(VLOOKUP(Sheet1!$C612,MAC_PAINT2!A:D,4,FALSE),"-")</f>
        <v>-</v>
      </c>
    </row>
    <row r="613" spans="1:47" customFormat="1" x14ac:dyDescent="0.4">
      <c r="A613">
        <v>2060</v>
      </c>
      <c r="B613" t="s">
        <v>1241</v>
      </c>
      <c r="C613" t="s">
        <v>1242</v>
      </c>
      <c r="D613" t="str">
        <f>_xlfn.CONCAT(C613,".bam")</f>
        <v>SYST-MOR-0007397.bam</v>
      </c>
      <c r="E613" t="s">
        <v>1243</v>
      </c>
      <c r="F613" t="s">
        <v>2420</v>
      </c>
      <c r="G613" t="s">
        <v>2479</v>
      </c>
      <c r="H613" t="s">
        <v>2526</v>
      </c>
      <c r="I613" t="s">
        <v>1227</v>
      </c>
      <c r="K613" t="s">
        <v>45</v>
      </c>
      <c r="L613" t="s">
        <v>45</v>
      </c>
      <c r="N613" t="s">
        <v>45</v>
      </c>
      <c r="P613" t="s">
        <v>31</v>
      </c>
      <c r="Q613" t="s">
        <v>46</v>
      </c>
      <c r="R613" t="s">
        <v>2597</v>
      </c>
      <c r="T613" t="s">
        <v>1225</v>
      </c>
      <c r="U613" t="s">
        <v>34</v>
      </c>
      <c r="V613" s="1">
        <v>42948</v>
      </c>
      <c r="W613" t="s">
        <v>35</v>
      </c>
      <c r="X613" t="s">
        <v>634</v>
      </c>
      <c r="Y613" t="s">
        <v>1226</v>
      </c>
      <c r="Z613" t="s">
        <v>206</v>
      </c>
      <c r="AA613" t="s">
        <v>1227</v>
      </c>
      <c r="AB613" t="s">
        <v>1228</v>
      </c>
      <c r="AD613" t="s">
        <v>45</v>
      </c>
      <c r="AE613">
        <v>38.963585999999999</v>
      </c>
      <c r="AF613">
        <v>-98.589060000000003</v>
      </c>
      <c r="AH613" t="s">
        <v>2595</v>
      </c>
      <c r="AI613">
        <v>38.963585999999999</v>
      </c>
      <c r="AJ613">
        <v>-98.589060000000003</v>
      </c>
      <c r="AK613">
        <v>0</v>
      </c>
      <c r="AL613">
        <v>0</v>
      </c>
      <c r="AM613" t="str">
        <f>_xlfn.IFNA(VLOOKUP(Sheet1!$C613,ADMIX_ALL!A:B,2,FALSE),"none")</f>
        <v>none</v>
      </c>
      <c r="AN613" t="str">
        <f>_xlfn.IFNA(VLOOKUP(Sheet1!C613,ADMIX_SS!A:B,2,FALSE),"none")</f>
        <v>SubSample</v>
      </c>
      <c r="AO613" t="str">
        <f>_xlfn.IFNA(VLOOKUP(Sheet1!$C613,MONG_PHYLO!A:C,3,FALSE),"-")</f>
        <v>-</v>
      </c>
      <c r="AP613" t="str">
        <f>_xlfn.IFNA(VLOOKUP(Sheet1!$C613,MAC_PHYLO!A:C,3,FALSE),"-")</f>
        <v>-</v>
      </c>
      <c r="AQ613" t="str">
        <f>_xlfn.IFNA(VLOOKUP(Sheet1!$C613,ConStruct!A:C,3,FALSE),"-")</f>
        <v>ConStruct</v>
      </c>
      <c r="AR613" t="str">
        <f>_xlfn.IFNA(VLOOKUP(Sheet1!$C613,GEA!A:C,3,FALSE),"-")</f>
        <v>-</v>
      </c>
      <c r="AS613" t="str">
        <f>_xlfn.IFNA(VLOOKUP(Sheet1!$C613,MAC_DSUITE!A:D,3,FALSE),"-")</f>
        <v>-</v>
      </c>
      <c r="AT613" t="str">
        <f>_xlfn.IFNA(VLOOKUP(Sheet1!$C613,MONG_DSUITE!A:E,2,FALSE),"-")</f>
        <v>-</v>
      </c>
      <c r="AU613" t="str">
        <f>_xlfn.IFNA(VLOOKUP(Sheet1!$C613,MAC_PAINT2!A:D,4,FALSE),"-")</f>
        <v>-</v>
      </c>
    </row>
    <row r="614" spans="1:47" customFormat="1" x14ac:dyDescent="0.4">
      <c r="A614">
        <v>2061</v>
      </c>
      <c r="B614" t="s">
        <v>1244</v>
      </c>
      <c r="C614" t="s">
        <v>1245</v>
      </c>
      <c r="D614" t="str">
        <f>_xlfn.CONCAT(C614,".bam")</f>
        <v>SYST-MOR-0007398.bam</v>
      </c>
      <c r="E614" t="s">
        <v>1246</v>
      </c>
      <c r="F614" t="s">
        <v>2420</v>
      </c>
      <c r="G614" t="s">
        <v>2479</v>
      </c>
      <c r="H614" t="s">
        <v>2526</v>
      </c>
      <c r="I614" t="s">
        <v>1227</v>
      </c>
      <c r="K614" t="s">
        <v>45</v>
      </c>
      <c r="L614" t="s">
        <v>45</v>
      </c>
      <c r="N614" t="s">
        <v>45</v>
      </c>
      <c r="P614" t="s">
        <v>31</v>
      </c>
      <c r="Q614" t="s">
        <v>46</v>
      </c>
      <c r="R614" t="s">
        <v>2597</v>
      </c>
      <c r="T614" t="s">
        <v>1225</v>
      </c>
      <c r="U614" t="s">
        <v>34</v>
      </c>
      <c r="V614" s="1">
        <v>42948</v>
      </c>
      <c r="W614" t="s">
        <v>35</v>
      </c>
      <c r="X614" t="s">
        <v>634</v>
      </c>
      <c r="Y614" t="s">
        <v>1226</v>
      </c>
      <c r="Z614" t="s">
        <v>206</v>
      </c>
      <c r="AA614" t="s">
        <v>1227</v>
      </c>
      <c r="AB614" t="s">
        <v>1228</v>
      </c>
      <c r="AD614" t="s">
        <v>45</v>
      </c>
      <c r="AE614">
        <v>38.963585999999999</v>
      </c>
      <c r="AF614">
        <v>-98.589060000000003</v>
      </c>
      <c r="AH614" t="s">
        <v>2595</v>
      </c>
      <c r="AI614">
        <v>38.963585999999999</v>
      </c>
      <c r="AJ614">
        <v>-98.589060000000003</v>
      </c>
      <c r="AK614">
        <v>0</v>
      </c>
      <c r="AL614">
        <v>0</v>
      </c>
      <c r="AM614" t="str">
        <f>_xlfn.IFNA(VLOOKUP(Sheet1!$C614,ADMIX_ALL!A:B,2,FALSE),"none")</f>
        <v>none</v>
      </c>
      <c r="AN614" t="str">
        <f>_xlfn.IFNA(VLOOKUP(Sheet1!C614,ADMIX_SS!A:B,2,FALSE),"none")</f>
        <v>SubSample</v>
      </c>
      <c r="AO614" t="str">
        <f>_xlfn.IFNA(VLOOKUP(Sheet1!$C614,MONG_PHYLO!A:C,3,FALSE),"-")</f>
        <v>-</v>
      </c>
      <c r="AP614" t="str">
        <f>_xlfn.IFNA(VLOOKUP(Sheet1!$C614,MAC_PHYLO!A:C,3,FALSE),"-")</f>
        <v>-</v>
      </c>
      <c r="AQ614" t="str">
        <f>_xlfn.IFNA(VLOOKUP(Sheet1!$C614,ConStruct!A:C,3,FALSE),"-")</f>
        <v>ConStruct</v>
      </c>
      <c r="AR614" t="str">
        <f>_xlfn.IFNA(VLOOKUP(Sheet1!$C614,GEA!A:C,3,FALSE),"-")</f>
        <v>-</v>
      </c>
      <c r="AS614" t="str">
        <f>_xlfn.IFNA(VLOOKUP(Sheet1!$C614,MAC_DSUITE!A:D,3,FALSE),"-")</f>
        <v>-</v>
      </c>
      <c r="AT614" t="str">
        <f>_xlfn.IFNA(VLOOKUP(Sheet1!$C614,MONG_DSUITE!A:E,2,FALSE),"-")</f>
        <v>-</v>
      </c>
      <c r="AU614" t="str">
        <f>_xlfn.IFNA(VLOOKUP(Sheet1!$C614,MAC_PAINT2!A:D,4,FALSE),"-")</f>
        <v>-</v>
      </c>
    </row>
    <row r="615" spans="1:47" customFormat="1" x14ac:dyDescent="0.4">
      <c r="A615">
        <v>2062</v>
      </c>
      <c r="B615" t="s">
        <v>1247</v>
      </c>
      <c r="C615" t="s">
        <v>1248</v>
      </c>
      <c r="D615" t="str">
        <f>_xlfn.CONCAT(C615,".bam")</f>
        <v>SYST-MOR-0007399.bam</v>
      </c>
      <c r="E615" t="s">
        <v>1249</v>
      </c>
      <c r="F615" t="s">
        <v>2420</v>
      </c>
      <c r="G615" t="s">
        <v>2479</v>
      </c>
      <c r="H615" t="s">
        <v>2526</v>
      </c>
      <c r="I615" t="s">
        <v>1227</v>
      </c>
      <c r="K615" t="s">
        <v>45</v>
      </c>
      <c r="L615" t="s">
        <v>45</v>
      </c>
      <c r="N615" t="s">
        <v>45</v>
      </c>
      <c r="P615" t="s">
        <v>31</v>
      </c>
      <c r="Q615" t="s">
        <v>46</v>
      </c>
      <c r="R615" t="s">
        <v>2597</v>
      </c>
      <c r="T615" t="s">
        <v>1225</v>
      </c>
      <c r="U615" t="s">
        <v>34</v>
      </c>
      <c r="V615" s="1">
        <v>42948</v>
      </c>
      <c r="W615" t="s">
        <v>35</v>
      </c>
      <c r="X615" t="s">
        <v>634</v>
      </c>
      <c r="Y615" t="s">
        <v>1226</v>
      </c>
      <c r="Z615" t="s">
        <v>206</v>
      </c>
      <c r="AA615" t="s">
        <v>1227</v>
      </c>
      <c r="AB615" t="s">
        <v>1228</v>
      </c>
      <c r="AD615" t="s">
        <v>45</v>
      </c>
      <c r="AE615">
        <v>38.963585999999999</v>
      </c>
      <c r="AF615">
        <v>-98.589060000000003</v>
      </c>
      <c r="AH615" t="s">
        <v>2595</v>
      </c>
      <c r="AI615">
        <v>38.963585999999999</v>
      </c>
      <c r="AJ615">
        <v>-98.589060000000003</v>
      </c>
      <c r="AK615">
        <v>0</v>
      </c>
      <c r="AL615">
        <v>0</v>
      </c>
      <c r="AM615" t="str">
        <f>_xlfn.IFNA(VLOOKUP(Sheet1!$C615,ADMIX_ALL!A:B,2,FALSE),"none")</f>
        <v>none</v>
      </c>
      <c r="AN615" t="str">
        <f>_xlfn.IFNA(VLOOKUP(Sheet1!C615,ADMIX_SS!A:B,2,FALSE),"none")</f>
        <v>SubSample</v>
      </c>
      <c r="AO615" t="str">
        <f>_xlfn.IFNA(VLOOKUP(Sheet1!$C615,MONG_PHYLO!A:C,3,FALSE),"-")</f>
        <v>-</v>
      </c>
      <c r="AP615" t="str">
        <f>_xlfn.IFNA(VLOOKUP(Sheet1!$C615,MAC_PHYLO!A:C,3,FALSE),"-")</f>
        <v>-</v>
      </c>
      <c r="AQ615" t="str">
        <f>_xlfn.IFNA(VLOOKUP(Sheet1!$C615,ConStruct!A:C,3,FALSE),"-")</f>
        <v>ConStruct</v>
      </c>
      <c r="AR615" t="str">
        <f>_xlfn.IFNA(VLOOKUP(Sheet1!$C615,GEA!A:C,3,FALSE),"-")</f>
        <v>-</v>
      </c>
      <c r="AS615" t="str">
        <f>_xlfn.IFNA(VLOOKUP(Sheet1!$C615,MAC_DSUITE!A:D,3,FALSE),"-")</f>
        <v>-</v>
      </c>
      <c r="AT615" t="str">
        <f>_xlfn.IFNA(VLOOKUP(Sheet1!$C615,MONG_DSUITE!A:E,2,FALSE),"-")</f>
        <v>-</v>
      </c>
      <c r="AU615" t="str">
        <f>_xlfn.IFNA(VLOOKUP(Sheet1!$C615,MAC_PAINT2!A:D,4,FALSE),"-")</f>
        <v>-</v>
      </c>
    </row>
    <row r="616" spans="1:47" customFormat="1" x14ac:dyDescent="0.4">
      <c r="A616">
        <v>2063</v>
      </c>
      <c r="B616" t="s">
        <v>1250</v>
      </c>
      <c r="C616" t="s">
        <v>1251</v>
      </c>
      <c r="D616" t="str">
        <f>_xlfn.CONCAT(C616,".bam")</f>
        <v>SYST-MOR-0007400.bam</v>
      </c>
      <c r="E616" t="s">
        <v>1252</v>
      </c>
      <c r="F616" t="s">
        <v>2420</v>
      </c>
      <c r="G616" t="s">
        <v>2479</v>
      </c>
      <c r="H616" t="s">
        <v>2526</v>
      </c>
      <c r="I616" t="s">
        <v>1227</v>
      </c>
      <c r="K616" t="s">
        <v>45</v>
      </c>
      <c r="L616" t="s">
        <v>45</v>
      </c>
      <c r="N616" t="s">
        <v>45</v>
      </c>
      <c r="P616" t="s">
        <v>31</v>
      </c>
      <c r="Q616" t="s">
        <v>46</v>
      </c>
      <c r="R616" t="s">
        <v>2597</v>
      </c>
      <c r="T616" t="s">
        <v>1225</v>
      </c>
      <c r="U616" t="s">
        <v>34</v>
      </c>
      <c r="V616" s="1">
        <v>42948</v>
      </c>
      <c r="W616" t="s">
        <v>35</v>
      </c>
      <c r="X616" t="s">
        <v>634</v>
      </c>
      <c r="Y616" t="s">
        <v>1226</v>
      </c>
      <c r="Z616" t="s">
        <v>206</v>
      </c>
      <c r="AA616" t="s">
        <v>1227</v>
      </c>
      <c r="AB616" t="s">
        <v>1228</v>
      </c>
      <c r="AD616" t="s">
        <v>45</v>
      </c>
      <c r="AE616">
        <v>38.963585999999999</v>
      </c>
      <c r="AF616">
        <v>-98.589060000000003</v>
      </c>
      <c r="AH616" t="s">
        <v>2595</v>
      </c>
      <c r="AI616">
        <v>38.963585999999999</v>
      </c>
      <c r="AJ616">
        <v>-98.589060000000003</v>
      </c>
      <c r="AK616">
        <v>0</v>
      </c>
      <c r="AL616">
        <v>0</v>
      </c>
      <c r="AM616" t="str">
        <f>_xlfn.IFNA(VLOOKUP(Sheet1!$C616,ADMIX_ALL!A:B,2,FALSE),"none")</f>
        <v>none</v>
      </c>
      <c r="AN616" t="str">
        <f>_xlfn.IFNA(VLOOKUP(Sheet1!C616,ADMIX_SS!A:B,2,FALSE),"none")</f>
        <v>SubSample</v>
      </c>
      <c r="AO616" t="str">
        <f>_xlfn.IFNA(VLOOKUP(Sheet1!$C616,MONG_PHYLO!A:C,3,FALSE),"-")</f>
        <v>-</v>
      </c>
      <c r="AP616" t="str">
        <f>_xlfn.IFNA(VLOOKUP(Sheet1!$C616,MAC_PHYLO!A:C,3,FALSE),"-")</f>
        <v>-</v>
      </c>
      <c r="AQ616" t="str">
        <f>_xlfn.IFNA(VLOOKUP(Sheet1!$C616,ConStruct!A:C,3,FALSE),"-")</f>
        <v>ConStruct</v>
      </c>
      <c r="AR616" t="str">
        <f>_xlfn.IFNA(VLOOKUP(Sheet1!$C616,GEA!A:C,3,FALSE),"-")</f>
        <v>-</v>
      </c>
      <c r="AS616" t="str">
        <f>_xlfn.IFNA(VLOOKUP(Sheet1!$C616,MAC_DSUITE!A:D,3,FALSE),"-")</f>
        <v>-</v>
      </c>
      <c r="AT616" t="str">
        <f>_xlfn.IFNA(VLOOKUP(Sheet1!$C616,MONG_DSUITE!A:E,2,FALSE),"-")</f>
        <v>-</v>
      </c>
      <c r="AU616" t="str">
        <f>_xlfn.IFNA(VLOOKUP(Sheet1!$C616,MAC_PAINT2!A:D,4,FALSE),"-")</f>
        <v>-</v>
      </c>
    </row>
    <row r="617" spans="1:47" customFormat="1" x14ac:dyDescent="0.4">
      <c r="A617">
        <v>2064</v>
      </c>
      <c r="B617" t="s">
        <v>1253</v>
      </c>
      <c r="C617" t="s">
        <v>1254</v>
      </c>
      <c r="D617" t="str">
        <f>_xlfn.CONCAT(C617,".bam")</f>
        <v>SYST-MOR-0007401.bam</v>
      </c>
      <c r="E617" t="s">
        <v>1255</v>
      </c>
      <c r="F617" t="s">
        <v>2420</v>
      </c>
      <c r="G617" t="s">
        <v>2479</v>
      </c>
      <c r="H617" t="s">
        <v>2526</v>
      </c>
      <c r="I617" t="s">
        <v>1227</v>
      </c>
      <c r="K617" t="s">
        <v>45</v>
      </c>
      <c r="L617" t="s">
        <v>45</v>
      </c>
      <c r="N617" t="s">
        <v>45</v>
      </c>
      <c r="P617" t="s">
        <v>31</v>
      </c>
      <c r="Q617" t="s">
        <v>46</v>
      </c>
      <c r="R617" t="s">
        <v>2597</v>
      </c>
      <c r="T617" t="s">
        <v>1225</v>
      </c>
      <c r="U617" t="s">
        <v>34</v>
      </c>
      <c r="V617" s="1">
        <v>42948</v>
      </c>
      <c r="W617" t="s">
        <v>35</v>
      </c>
      <c r="X617" t="s">
        <v>634</v>
      </c>
      <c r="Y617" t="s">
        <v>1226</v>
      </c>
      <c r="Z617" t="s">
        <v>206</v>
      </c>
      <c r="AA617" t="s">
        <v>1227</v>
      </c>
      <c r="AB617" t="s">
        <v>1228</v>
      </c>
      <c r="AD617" t="s">
        <v>45</v>
      </c>
      <c r="AE617">
        <v>38.963585999999999</v>
      </c>
      <c r="AF617">
        <v>-98.589060000000003</v>
      </c>
      <c r="AH617" t="s">
        <v>2595</v>
      </c>
      <c r="AI617">
        <v>38.963585999999999</v>
      </c>
      <c r="AJ617">
        <v>-98.589060000000003</v>
      </c>
      <c r="AK617">
        <v>0</v>
      </c>
      <c r="AL617">
        <v>0</v>
      </c>
      <c r="AM617" t="str">
        <f>_xlfn.IFNA(VLOOKUP(Sheet1!$C617,ADMIX_ALL!A:B,2,FALSE),"none")</f>
        <v>none</v>
      </c>
      <c r="AN617" t="str">
        <f>_xlfn.IFNA(VLOOKUP(Sheet1!C617,ADMIX_SS!A:B,2,FALSE),"none")</f>
        <v>SubSample</v>
      </c>
      <c r="AO617" t="str">
        <f>_xlfn.IFNA(VLOOKUP(Sheet1!$C617,MONG_PHYLO!A:C,3,FALSE),"-")</f>
        <v>-</v>
      </c>
      <c r="AP617" t="str">
        <f>_xlfn.IFNA(VLOOKUP(Sheet1!$C617,MAC_PHYLO!A:C,3,FALSE),"-")</f>
        <v>-</v>
      </c>
      <c r="AQ617" t="str">
        <f>_xlfn.IFNA(VLOOKUP(Sheet1!$C617,ConStruct!A:C,3,FALSE),"-")</f>
        <v>ConStruct</v>
      </c>
      <c r="AR617" t="str">
        <f>_xlfn.IFNA(VLOOKUP(Sheet1!$C617,GEA!A:C,3,FALSE),"-")</f>
        <v>-</v>
      </c>
      <c r="AS617" t="str">
        <f>_xlfn.IFNA(VLOOKUP(Sheet1!$C617,MAC_DSUITE!A:D,3,FALSE),"-")</f>
        <v>-</v>
      </c>
      <c r="AT617" t="str">
        <f>_xlfn.IFNA(VLOOKUP(Sheet1!$C617,MONG_DSUITE!A:E,2,FALSE),"-")</f>
        <v>-</v>
      </c>
      <c r="AU617" t="str">
        <f>_xlfn.IFNA(VLOOKUP(Sheet1!$C617,MAC_PAINT2!A:D,4,FALSE),"-")</f>
        <v>-</v>
      </c>
    </row>
    <row r="618" spans="1:47" customFormat="1" x14ac:dyDescent="0.4">
      <c r="A618">
        <v>2065</v>
      </c>
      <c r="B618" t="s">
        <v>1229</v>
      </c>
      <c r="C618" t="s">
        <v>1230</v>
      </c>
      <c r="D618" t="str">
        <f>_xlfn.CONCAT(C618,".bam")</f>
        <v>SYST-MOR-0007402.bam</v>
      </c>
      <c r="E618" t="s">
        <v>1231</v>
      </c>
      <c r="F618" t="s">
        <v>2420</v>
      </c>
      <c r="G618" t="s">
        <v>2479</v>
      </c>
      <c r="H618" t="s">
        <v>2526</v>
      </c>
      <c r="I618" t="s">
        <v>1227</v>
      </c>
      <c r="K618" t="s">
        <v>45</v>
      </c>
      <c r="L618" t="s">
        <v>45</v>
      </c>
      <c r="N618" t="s">
        <v>45</v>
      </c>
      <c r="P618" t="s">
        <v>31</v>
      </c>
      <c r="Q618" t="s">
        <v>46</v>
      </c>
      <c r="R618" t="s">
        <v>2597</v>
      </c>
      <c r="T618" t="s">
        <v>1225</v>
      </c>
      <c r="U618" t="s">
        <v>34</v>
      </c>
      <c r="V618" s="1">
        <v>42948</v>
      </c>
      <c r="W618" t="s">
        <v>35</v>
      </c>
      <c r="X618" t="s">
        <v>634</v>
      </c>
      <c r="Y618" t="s">
        <v>1226</v>
      </c>
      <c r="Z618" t="s">
        <v>206</v>
      </c>
      <c r="AA618" t="s">
        <v>1227</v>
      </c>
      <c r="AB618" t="s">
        <v>1228</v>
      </c>
      <c r="AD618" t="s">
        <v>45</v>
      </c>
      <c r="AE618">
        <v>38.963585999999999</v>
      </c>
      <c r="AF618">
        <v>-98.589060000000003</v>
      </c>
      <c r="AH618" t="s">
        <v>2595</v>
      </c>
      <c r="AI618">
        <v>38.963585999999999</v>
      </c>
      <c r="AJ618">
        <v>-98.589060000000003</v>
      </c>
      <c r="AK618">
        <v>0</v>
      </c>
      <c r="AL618">
        <v>0</v>
      </c>
      <c r="AM618" t="str">
        <f>_xlfn.IFNA(VLOOKUP(Sheet1!$C618,ADMIX_ALL!A:B,2,FALSE),"none")</f>
        <v>none</v>
      </c>
      <c r="AN618" t="str">
        <f>_xlfn.IFNA(VLOOKUP(Sheet1!C618,ADMIX_SS!A:B,2,FALSE),"none")</f>
        <v>SubSample</v>
      </c>
      <c r="AO618" t="str">
        <f>_xlfn.IFNA(VLOOKUP(Sheet1!$C618,MONG_PHYLO!A:C,3,FALSE),"-")</f>
        <v>-</v>
      </c>
      <c r="AP618" t="str">
        <f>_xlfn.IFNA(VLOOKUP(Sheet1!$C618,MAC_PHYLO!A:C,3,FALSE),"-")</f>
        <v>-</v>
      </c>
      <c r="AQ618" t="str">
        <f>_xlfn.IFNA(VLOOKUP(Sheet1!$C618,ConStruct!A:C,3,FALSE),"-")</f>
        <v>ConStruct</v>
      </c>
      <c r="AR618" t="str">
        <f>_xlfn.IFNA(VLOOKUP(Sheet1!$C618,GEA!A:C,3,FALSE),"-")</f>
        <v>-</v>
      </c>
      <c r="AS618" t="str">
        <f>_xlfn.IFNA(VLOOKUP(Sheet1!$C618,MAC_DSUITE!A:D,3,FALSE),"-")</f>
        <v>-</v>
      </c>
      <c r="AT618" t="str">
        <f>_xlfn.IFNA(VLOOKUP(Sheet1!$C618,MONG_DSUITE!A:E,2,FALSE),"-")</f>
        <v>-</v>
      </c>
      <c r="AU618" t="str">
        <f>_xlfn.IFNA(VLOOKUP(Sheet1!$C618,MAC_PAINT2!A:D,4,FALSE),"-")</f>
        <v>-</v>
      </c>
    </row>
    <row r="619" spans="1:47" customFormat="1" x14ac:dyDescent="0.4">
      <c r="A619">
        <v>2066</v>
      </c>
      <c r="B619" t="s">
        <v>2079</v>
      </c>
      <c r="C619" t="s">
        <v>2080</v>
      </c>
      <c r="D619" t="str">
        <f>_xlfn.CONCAT(C619,".bam")</f>
        <v>SYST-MOR-0007403.bam</v>
      </c>
      <c r="E619" t="s">
        <v>2081</v>
      </c>
      <c r="F619" t="s">
        <v>2420</v>
      </c>
      <c r="G619" t="s">
        <v>2485</v>
      </c>
      <c r="H619" t="s">
        <v>2548</v>
      </c>
      <c r="I619" t="s">
        <v>2083</v>
      </c>
      <c r="K619" t="s">
        <v>45</v>
      </c>
      <c r="L619" t="s">
        <v>45</v>
      </c>
      <c r="N619" t="s">
        <v>45</v>
      </c>
      <c r="P619" t="s">
        <v>31</v>
      </c>
      <c r="Q619" t="s">
        <v>46</v>
      </c>
      <c r="R619" t="s">
        <v>2597</v>
      </c>
      <c r="T619" t="s">
        <v>1225</v>
      </c>
      <c r="U619" t="s">
        <v>34</v>
      </c>
      <c r="V619" s="1">
        <v>42948</v>
      </c>
      <c r="W619" t="s">
        <v>35</v>
      </c>
      <c r="X619" t="s">
        <v>634</v>
      </c>
      <c r="Y619" t="s">
        <v>2082</v>
      </c>
      <c r="Z619" t="s">
        <v>206</v>
      </c>
      <c r="AA619" t="s">
        <v>2083</v>
      </c>
      <c r="AB619" t="s">
        <v>2084</v>
      </c>
      <c r="AD619" t="s">
        <v>45</v>
      </c>
      <c r="AE619">
        <v>38.842944000000003</v>
      </c>
      <c r="AF619">
        <v>-97.588909000000001</v>
      </c>
      <c r="AG619" t="s">
        <v>40</v>
      </c>
      <c r="AH619" t="s">
        <v>2595</v>
      </c>
      <c r="AI619">
        <v>38.842944000000003</v>
      </c>
      <c r="AJ619">
        <v>-97.588909000000001</v>
      </c>
      <c r="AK619">
        <v>0</v>
      </c>
      <c r="AL619">
        <v>0</v>
      </c>
      <c r="AM619" t="str">
        <f>_xlfn.IFNA(VLOOKUP(Sheet1!$C619,ADMIX_ALL!A:B,2,FALSE),"none")</f>
        <v>none</v>
      </c>
      <c r="AN619" t="str">
        <f>_xlfn.IFNA(VLOOKUP(Sheet1!C619,ADMIX_SS!A:B,2,FALSE),"none")</f>
        <v>SubSample</v>
      </c>
      <c r="AO619" t="str">
        <f>_xlfn.IFNA(VLOOKUP(Sheet1!$C619,MONG_PHYLO!A:C,3,FALSE),"-")</f>
        <v>-</v>
      </c>
      <c r="AP619" t="str">
        <f>_xlfn.IFNA(VLOOKUP(Sheet1!$C619,MAC_PHYLO!A:C,3,FALSE),"-")</f>
        <v>-</v>
      </c>
      <c r="AQ619" t="str">
        <f>_xlfn.IFNA(VLOOKUP(Sheet1!$C619,ConStruct!A:C,3,FALSE),"-")</f>
        <v>ConStruct</v>
      </c>
      <c r="AR619" t="str">
        <f>_xlfn.IFNA(VLOOKUP(Sheet1!$C619,GEA!A:C,3,FALSE),"-")</f>
        <v>-</v>
      </c>
      <c r="AS619" t="str">
        <f>_xlfn.IFNA(VLOOKUP(Sheet1!$C619,MAC_DSUITE!A:D,3,FALSE),"-")</f>
        <v>-</v>
      </c>
      <c r="AT619" t="str">
        <f>_xlfn.IFNA(VLOOKUP(Sheet1!$C619,MONG_DSUITE!A:E,2,FALSE),"-")</f>
        <v>-</v>
      </c>
      <c r="AU619" t="str">
        <f>_xlfn.IFNA(VLOOKUP(Sheet1!$C619,MAC_PAINT2!A:D,4,FALSE),"-")</f>
        <v>-</v>
      </c>
    </row>
    <row r="620" spans="1:47" customFormat="1" x14ac:dyDescent="0.4">
      <c r="A620">
        <v>2067</v>
      </c>
      <c r="B620" t="s">
        <v>2085</v>
      </c>
      <c r="C620" t="s">
        <v>2086</v>
      </c>
      <c r="D620" t="str">
        <f>_xlfn.CONCAT(C620,".bam")</f>
        <v>SYST-MOR-0007404.bam</v>
      </c>
      <c r="E620" t="s">
        <v>2087</v>
      </c>
      <c r="F620" t="s">
        <v>2420</v>
      </c>
      <c r="G620" t="s">
        <v>2485</v>
      </c>
      <c r="H620" t="s">
        <v>2548</v>
      </c>
      <c r="I620" t="s">
        <v>2083</v>
      </c>
      <c r="K620" t="s">
        <v>45</v>
      </c>
      <c r="L620" t="s">
        <v>45</v>
      </c>
      <c r="N620" t="s">
        <v>45</v>
      </c>
      <c r="P620" t="s">
        <v>31</v>
      </c>
      <c r="Q620" t="s">
        <v>46</v>
      </c>
      <c r="R620" t="s">
        <v>2597</v>
      </c>
      <c r="T620" t="s">
        <v>1225</v>
      </c>
      <c r="U620" t="s">
        <v>34</v>
      </c>
      <c r="V620" s="1">
        <v>42948</v>
      </c>
      <c r="W620" t="s">
        <v>35</v>
      </c>
      <c r="X620" t="s">
        <v>634</v>
      </c>
      <c r="Y620" t="s">
        <v>2082</v>
      </c>
      <c r="Z620" t="s">
        <v>206</v>
      </c>
      <c r="AA620" t="s">
        <v>2083</v>
      </c>
      <c r="AB620" t="s">
        <v>2084</v>
      </c>
      <c r="AD620" t="s">
        <v>45</v>
      </c>
      <c r="AE620">
        <v>38.842944000000003</v>
      </c>
      <c r="AF620">
        <v>-97.588909000000001</v>
      </c>
      <c r="AH620" t="s">
        <v>2595</v>
      </c>
      <c r="AI620">
        <v>38.842944000000003</v>
      </c>
      <c r="AJ620">
        <v>-97.588909000000001</v>
      </c>
      <c r="AK620">
        <v>0</v>
      </c>
      <c r="AL620">
        <v>0</v>
      </c>
      <c r="AM620" t="str">
        <f>_xlfn.IFNA(VLOOKUP(Sheet1!$C620,ADMIX_ALL!A:B,2,FALSE),"none")</f>
        <v>none</v>
      </c>
      <c r="AN620" t="str">
        <f>_xlfn.IFNA(VLOOKUP(Sheet1!C620,ADMIX_SS!A:B,2,FALSE),"none")</f>
        <v>SubSample</v>
      </c>
      <c r="AO620" t="str">
        <f>_xlfn.IFNA(VLOOKUP(Sheet1!$C620,MONG_PHYLO!A:C,3,FALSE),"-")</f>
        <v>-</v>
      </c>
      <c r="AP620" t="str">
        <f>_xlfn.IFNA(VLOOKUP(Sheet1!$C620,MAC_PHYLO!A:C,3,FALSE),"-")</f>
        <v>-</v>
      </c>
      <c r="AQ620" t="str">
        <f>_xlfn.IFNA(VLOOKUP(Sheet1!$C620,ConStruct!A:C,3,FALSE),"-")</f>
        <v>ConStruct</v>
      </c>
      <c r="AR620" t="str">
        <f>_xlfn.IFNA(VLOOKUP(Sheet1!$C620,GEA!A:C,3,FALSE),"-")</f>
        <v>-</v>
      </c>
      <c r="AS620" t="str">
        <f>_xlfn.IFNA(VLOOKUP(Sheet1!$C620,MAC_DSUITE!A:D,3,FALSE),"-")</f>
        <v>-</v>
      </c>
      <c r="AT620" t="str">
        <f>_xlfn.IFNA(VLOOKUP(Sheet1!$C620,MONG_DSUITE!A:E,2,FALSE),"-")</f>
        <v>-</v>
      </c>
      <c r="AU620" t="str">
        <f>_xlfn.IFNA(VLOOKUP(Sheet1!$C620,MAC_PAINT2!A:D,4,FALSE),"-")</f>
        <v>-</v>
      </c>
    </row>
    <row r="621" spans="1:47" customFormat="1" x14ac:dyDescent="0.4">
      <c r="A621">
        <v>2068</v>
      </c>
      <c r="B621" t="s">
        <v>2088</v>
      </c>
      <c r="C621" t="s">
        <v>2089</v>
      </c>
      <c r="D621" t="str">
        <f>_xlfn.CONCAT(C621,".bam")</f>
        <v>SYST-MOR-0007405.bam</v>
      </c>
      <c r="E621" t="s">
        <v>2090</v>
      </c>
      <c r="F621" t="s">
        <v>2420</v>
      </c>
      <c r="G621" t="s">
        <v>2485</v>
      </c>
      <c r="H621" t="s">
        <v>2548</v>
      </c>
      <c r="I621" t="s">
        <v>2083</v>
      </c>
      <c r="K621" t="s">
        <v>45</v>
      </c>
      <c r="L621" t="s">
        <v>45</v>
      </c>
      <c r="N621" t="s">
        <v>45</v>
      </c>
      <c r="P621" t="s">
        <v>31</v>
      </c>
      <c r="Q621" t="s">
        <v>46</v>
      </c>
      <c r="R621" t="s">
        <v>2597</v>
      </c>
      <c r="T621" t="s">
        <v>1225</v>
      </c>
      <c r="U621" t="s">
        <v>34</v>
      </c>
      <c r="V621" s="1">
        <v>42948</v>
      </c>
      <c r="W621" t="s">
        <v>35</v>
      </c>
      <c r="X621" t="s">
        <v>634</v>
      </c>
      <c r="Y621" t="s">
        <v>2082</v>
      </c>
      <c r="Z621" t="s">
        <v>206</v>
      </c>
      <c r="AA621" t="s">
        <v>2083</v>
      </c>
      <c r="AB621" t="s">
        <v>2084</v>
      </c>
      <c r="AD621" t="s">
        <v>45</v>
      </c>
      <c r="AE621">
        <v>38.842944000000003</v>
      </c>
      <c r="AF621">
        <v>-97.588909000000001</v>
      </c>
      <c r="AH621" t="s">
        <v>2595</v>
      </c>
      <c r="AI621">
        <v>38.842944000000003</v>
      </c>
      <c r="AJ621">
        <v>-97.588909000000001</v>
      </c>
      <c r="AK621">
        <v>0</v>
      </c>
      <c r="AL621">
        <v>0</v>
      </c>
      <c r="AM621" t="str">
        <f>_xlfn.IFNA(VLOOKUP(Sheet1!$C621,ADMIX_ALL!A:B,2,FALSE),"none")</f>
        <v>none</v>
      </c>
      <c r="AN621" t="str">
        <f>_xlfn.IFNA(VLOOKUP(Sheet1!C621,ADMIX_SS!A:B,2,FALSE),"none")</f>
        <v>SubSample</v>
      </c>
      <c r="AO621" t="str">
        <f>_xlfn.IFNA(VLOOKUP(Sheet1!$C621,MONG_PHYLO!A:C,3,FALSE),"-")</f>
        <v>-</v>
      </c>
      <c r="AP621" t="str">
        <f>_xlfn.IFNA(VLOOKUP(Sheet1!$C621,MAC_PHYLO!A:C,3,FALSE),"-")</f>
        <v>-</v>
      </c>
      <c r="AQ621" t="str">
        <f>_xlfn.IFNA(VLOOKUP(Sheet1!$C621,ConStruct!A:C,3,FALSE),"-")</f>
        <v>ConStruct</v>
      </c>
      <c r="AR621" t="str">
        <f>_xlfn.IFNA(VLOOKUP(Sheet1!$C621,GEA!A:C,3,FALSE),"-")</f>
        <v>-</v>
      </c>
      <c r="AS621" t="str">
        <f>_xlfn.IFNA(VLOOKUP(Sheet1!$C621,MAC_DSUITE!A:D,3,FALSE),"-")</f>
        <v>-</v>
      </c>
      <c r="AT621" t="str">
        <f>_xlfn.IFNA(VLOOKUP(Sheet1!$C621,MONG_DSUITE!A:E,2,FALSE),"-")</f>
        <v>-</v>
      </c>
      <c r="AU621" t="str">
        <f>_xlfn.IFNA(VLOOKUP(Sheet1!$C621,MAC_PAINT2!A:D,4,FALSE),"-")</f>
        <v>-</v>
      </c>
    </row>
    <row r="622" spans="1:47" customFormat="1" x14ac:dyDescent="0.4">
      <c r="A622">
        <v>2069</v>
      </c>
      <c r="B622" t="s">
        <v>2091</v>
      </c>
      <c r="C622" t="s">
        <v>2092</v>
      </c>
      <c r="D622" t="str">
        <f>_xlfn.CONCAT(C622,".bam")</f>
        <v>SYST-MOR-0007406.bam</v>
      </c>
      <c r="E622" t="s">
        <v>2093</v>
      </c>
      <c r="F622" t="s">
        <v>2420</v>
      </c>
      <c r="G622" t="s">
        <v>2485</v>
      </c>
      <c r="H622" t="s">
        <v>2548</v>
      </c>
      <c r="I622" t="s">
        <v>2083</v>
      </c>
      <c r="K622" t="s">
        <v>45</v>
      </c>
      <c r="L622" t="s">
        <v>45</v>
      </c>
      <c r="N622" t="s">
        <v>45</v>
      </c>
      <c r="P622" t="s">
        <v>31</v>
      </c>
      <c r="Q622" t="s">
        <v>46</v>
      </c>
      <c r="R622" t="s">
        <v>2597</v>
      </c>
      <c r="T622" t="s">
        <v>1225</v>
      </c>
      <c r="U622" t="s">
        <v>34</v>
      </c>
      <c r="V622" s="1">
        <v>42948</v>
      </c>
      <c r="W622" t="s">
        <v>35</v>
      </c>
      <c r="X622" t="s">
        <v>634</v>
      </c>
      <c r="Y622" t="s">
        <v>2082</v>
      </c>
      <c r="Z622" t="s">
        <v>206</v>
      </c>
      <c r="AA622" t="s">
        <v>2083</v>
      </c>
      <c r="AB622" t="s">
        <v>2084</v>
      </c>
      <c r="AD622" t="s">
        <v>45</v>
      </c>
      <c r="AE622">
        <v>38.842944000000003</v>
      </c>
      <c r="AF622">
        <v>-97.588909000000001</v>
      </c>
      <c r="AH622" t="s">
        <v>2595</v>
      </c>
      <c r="AI622">
        <v>38.842944000000003</v>
      </c>
      <c r="AJ622">
        <v>-97.588909000000001</v>
      </c>
      <c r="AK622">
        <v>0</v>
      </c>
      <c r="AL622">
        <v>0</v>
      </c>
      <c r="AM622" t="str">
        <f>_xlfn.IFNA(VLOOKUP(Sheet1!$C622,ADMIX_ALL!A:B,2,FALSE),"none")</f>
        <v>none</v>
      </c>
      <c r="AN622" t="str">
        <f>_xlfn.IFNA(VLOOKUP(Sheet1!C622,ADMIX_SS!A:B,2,FALSE),"none")</f>
        <v>SubSample</v>
      </c>
      <c r="AO622" t="str">
        <f>_xlfn.IFNA(VLOOKUP(Sheet1!$C622,MONG_PHYLO!A:C,3,FALSE),"-")</f>
        <v>-</v>
      </c>
      <c r="AP622" t="str">
        <f>_xlfn.IFNA(VLOOKUP(Sheet1!$C622,MAC_PHYLO!A:C,3,FALSE),"-")</f>
        <v>-</v>
      </c>
      <c r="AQ622" t="str">
        <f>_xlfn.IFNA(VLOOKUP(Sheet1!$C622,ConStruct!A:C,3,FALSE),"-")</f>
        <v>ConStruct</v>
      </c>
      <c r="AR622" t="str">
        <f>_xlfn.IFNA(VLOOKUP(Sheet1!$C622,GEA!A:C,3,FALSE),"-")</f>
        <v>-</v>
      </c>
      <c r="AS622" t="str">
        <f>_xlfn.IFNA(VLOOKUP(Sheet1!$C622,MAC_DSUITE!A:D,3,FALSE),"-")</f>
        <v>-</v>
      </c>
      <c r="AT622" t="str">
        <f>_xlfn.IFNA(VLOOKUP(Sheet1!$C622,MONG_DSUITE!A:E,2,FALSE),"-")</f>
        <v>-</v>
      </c>
      <c r="AU622" t="str">
        <f>_xlfn.IFNA(VLOOKUP(Sheet1!$C622,MAC_PAINT2!A:D,4,FALSE),"-")</f>
        <v>-</v>
      </c>
    </row>
    <row r="623" spans="1:47" customFormat="1" x14ac:dyDescent="0.4">
      <c r="A623">
        <v>2070</v>
      </c>
      <c r="B623" t="s">
        <v>2094</v>
      </c>
      <c r="C623" t="s">
        <v>2095</v>
      </c>
      <c r="D623" t="str">
        <f>_xlfn.CONCAT(C623,".bam")</f>
        <v>SYST-MOR-0007407.bam</v>
      </c>
      <c r="E623" t="s">
        <v>2096</v>
      </c>
      <c r="F623" t="s">
        <v>2420</v>
      </c>
      <c r="G623" t="s">
        <v>2485</v>
      </c>
      <c r="H623" t="s">
        <v>2548</v>
      </c>
      <c r="I623" t="s">
        <v>2083</v>
      </c>
      <c r="K623" t="s">
        <v>45</v>
      </c>
      <c r="L623" t="s">
        <v>45</v>
      </c>
      <c r="N623" t="s">
        <v>45</v>
      </c>
      <c r="P623" t="s">
        <v>31</v>
      </c>
      <c r="Q623" t="s">
        <v>46</v>
      </c>
      <c r="R623" t="s">
        <v>2597</v>
      </c>
      <c r="T623" t="s">
        <v>1225</v>
      </c>
      <c r="U623" t="s">
        <v>34</v>
      </c>
      <c r="V623" s="1">
        <v>42948</v>
      </c>
      <c r="W623" t="s">
        <v>35</v>
      </c>
      <c r="X623" t="s">
        <v>634</v>
      </c>
      <c r="Y623" t="s">
        <v>2082</v>
      </c>
      <c r="Z623" t="s">
        <v>206</v>
      </c>
      <c r="AA623" t="s">
        <v>2083</v>
      </c>
      <c r="AB623" t="s">
        <v>2084</v>
      </c>
      <c r="AD623" t="s">
        <v>45</v>
      </c>
      <c r="AE623">
        <v>38.842944000000003</v>
      </c>
      <c r="AF623">
        <v>-97.588909000000001</v>
      </c>
      <c r="AH623" t="s">
        <v>2595</v>
      </c>
      <c r="AI623">
        <v>38.842944000000003</v>
      </c>
      <c r="AJ623">
        <v>-97.588909000000001</v>
      </c>
      <c r="AK623">
        <v>0</v>
      </c>
      <c r="AL623">
        <v>0</v>
      </c>
      <c r="AM623" t="str">
        <f>_xlfn.IFNA(VLOOKUP(Sheet1!$C623,ADMIX_ALL!A:B,2,FALSE),"none")</f>
        <v>none</v>
      </c>
      <c r="AN623" t="str">
        <f>_xlfn.IFNA(VLOOKUP(Sheet1!C623,ADMIX_SS!A:B,2,FALSE),"none")</f>
        <v>SubSample</v>
      </c>
      <c r="AO623" t="str">
        <f>_xlfn.IFNA(VLOOKUP(Sheet1!$C623,MONG_PHYLO!A:C,3,FALSE),"-")</f>
        <v>-</v>
      </c>
      <c r="AP623" t="str">
        <f>_xlfn.IFNA(VLOOKUP(Sheet1!$C623,MAC_PHYLO!A:C,3,FALSE),"-")</f>
        <v>-</v>
      </c>
      <c r="AQ623" t="str">
        <f>_xlfn.IFNA(VLOOKUP(Sheet1!$C623,ConStruct!A:C,3,FALSE),"-")</f>
        <v>ConStruct</v>
      </c>
      <c r="AR623" t="str">
        <f>_xlfn.IFNA(VLOOKUP(Sheet1!$C623,GEA!A:C,3,FALSE),"-")</f>
        <v>-</v>
      </c>
      <c r="AS623" t="str">
        <f>_xlfn.IFNA(VLOOKUP(Sheet1!$C623,MAC_DSUITE!A:D,3,FALSE),"-")</f>
        <v>-</v>
      </c>
      <c r="AT623" t="str">
        <f>_xlfn.IFNA(VLOOKUP(Sheet1!$C623,MONG_DSUITE!A:E,2,FALSE),"-")</f>
        <v>-</v>
      </c>
      <c r="AU623" t="str">
        <f>_xlfn.IFNA(VLOOKUP(Sheet1!$C623,MAC_PAINT2!A:D,4,FALSE),"-")</f>
        <v>-</v>
      </c>
    </row>
    <row r="624" spans="1:47" customFormat="1" x14ac:dyDescent="0.4">
      <c r="A624">
        <v>2071</v>
      </c>
      <c r="B624" t="s">
        <v>2097</v>
      </c>
      <c r="C624" t="s">
        <v>2098</v>
      </c>
      <c r="D624" t="str">
        <f>_xlfn.CONCAT(C624,".bam")</f>
        <v>SYST-MOR-0007408.bam</v>
      </c>
      <c r="E624" t="s">
        <v>2099</v>
      </c>
      <c r="F624" t="s">
        <v>2420</v>
      </c>
      <c r="G624" t="s">
        <v>2485</v>
      </c>
      <c r="H624" t="s">
        <v>2548</v>
      </c>
      <c r="I624" t="s">
        <v>2083</v>
      </c>
      <c r="K624" t="s">
        <v>45</v>
      </c>
      <c r="L624" t="s">
        <v>45</v>
      </c>
      <c r="N624" t="s">
        <v>45</v>
      </c>
      <c r="P624" t="s">
        <v>31</v>
      </c>
      <c r="Q624" t="s">
        <v>46</v>
      </c>
      <c r="R624" t="s">
        <v>2597</v>
      </c>
      <c r="T624" t="s">
        <v>1225</v>
      </c>
      <c r="U624" t="s">
        <v>34</v>
      </c>
      <c r="V624" s="1">
        <v>42948</v>
      </c>
      <c r="W624" t="s">
        <v>35</v>
      </c>
      <c r="X624" t="s">
        <v>634</v>
      </c>
      <c r="Y624" t="s">
        <v>2082</v>
      </c>
      <c r="Z624" t="s">
        <v>206</v>
      </c>
      <c r="AA624" t="s">
        <v>2083</v>
      </c>
      <c r="AB624" t="s">
        <v>2084</v>
      </c>
      <c r="AD624" t="s">
        <v>45</v>
      </c>
      <c r="AE624">
        <v>38.842944000000003</v>
      </c>
      <c r="AF624">
        <v>-97.588909000000001</v>
      </c>
      <c r="AH624" t="s">
        <v>2595</v>
      </c>
      <c r="AI624">
        <v>38.842944000000003</v>
      </c>
      <c r="AJ624">
        <v>-97.588909000000001</v>
      </c>
      <c r="AK624">
        <v>0</v>
      </c>
      <c r="AL624">
        <v>0</v>
      </c>
      <c r="AM624" t="str">
        <f>_xlfn.IFNA(VLOOKUP(Sheet1!$C624,ADMIX_ALL!A:B,2,FALSE),"none")</f>
        <v>none</v>
      </c>
      <c r="AN624" t="str">
        <f>_xlfn.IFNA(VLOOKUP(Sheet1!C624,ADMIX_SS!A:B,2,FALSE),"none")</f>
        <v>SubSample</v>
      </c>
      <c r="AO624" t="str">
        <f>_xlfn.IFNA(VLOOKUP(Sheet1!$C624,MONG_PHYLO!A:C,3,FALSE),"-")</f>
        <v>-</v>
      </c>
      <c r="AP624" t="str">
        <f>_xlfn.IFNA(VLOOKUP(Sheet1!$C624,MAC_PHYLO!A:C,3,FALSE),"-")</f>
        <v>-</v>
      </c>
      <c r="AQ624" t="str">
        <f>_xlfn.IFNA(VLOOKUP(Sheet1!$C624,ConStruct!A:C,3,FALSE),"-")</f>
        <v>ConStruct</v>
      </c>
      <c r="AR624" t="str">
        <f>_xlfn.IFNA(VLOOKUP(Sheet1!$C624,GEA!A:C,3,FALSE),"-")</f>
        <v>-</v>
      </c>
      <c r="AS624" t="str">
        <f>_xlfn.IFNA(VLOOKUP(Sheet1!$C624,MAC_DSUITE!A:D,3,FALSE),"-")</f>
        <v>-</v>
      </c>
      <c r="AT624" t="str">
        <f>_xlfn.IFNA(VLOOKUP(Sheet1!$C624,MONG_DSUITE!A:E,2,FALSE),"-")</f>
        <v>-</v>
      </c>
      <c r="AU624" t="str">
        <f>_xlfn.IFNA(VLOOKUP(Sheet1!$C624,MAC_PAINT2!A:D,4,FALSE),"-")</f>
        <v>-</v>
      </c>
    </row>
    <row r="625" spans="1:49" customFormat="1" x14ac:dyDescent="0.4">
      <c r="A625">
        <v>1903</v>
      </c>
      <c r="B625" t="s">
        <v>2044</v>
      </c>
      <c r="C625" t="s">
        <v>2045</v>
      </c>
      <c r="D625" t="str">
        <f>_xlfn.CONCAT(C625,".bam")</f>
        <v>SYST-MOR-0007409.bam</v>
      </c>
      <c r="E625" t="s">
        <v>2046</v>
      </c>
      <c r="F625" t="s">
        <v>2457</v>
      </c>
      <c r="G625" t="s">
        <v>2484</v>
      </c>
      <c r="H625" t="s">
        <v>2547</v>
      </c>
      <c r="I625" t="s">
        <v>2049</v>
      </c>
      <c r="K625" t="s">
        <v>45</v>
      </c>
      <c r="L625" t="s">
        <v>45</v>
      </c>
      <c r="N625" t="s">
        <v>45</v>
      </c>
      <c r="P625" t="s">
        <v>31</v>
      </c>
      <c r="Q625" t="s">
        <v>46</v>
      </c>
      <c r="R625" t="s">
        <v>2597</v>
      </c>
      <c r="S625" s="1">
        <v>42907</v>
      </c>
      <c r="T625" t="s">
        <v>2047</v>
      </c>
      <c r="U625" t="s">
        <v>34</v>
      </c>
      <c r="W625" t="s">
        <v>35</v>
      </c>
      <c r="X625" t="s">
        <v>1082</v>
      </c>
      <c r="Y625" t="s">
        <v>2048</v>
      </c>
      <c r="Z625" t="s">
        <v>206</v>
      </c>
      <c r="AA625" t="s">
        <v>2049</v>
      </c>
      <c r="AB625" t="s">
        <v>2050</v>
      </c>
      <c r="AD625" t="s">
        <v>45</v>
      </c>
      <c r="AE625">
        <v>35.177030000000002</v>
      </c>
      <c r="AF625">
        <v>-97.450190000000006</v>
      </c>
      <c r="AG625" t="s">
        <v>40</v>
      </c>
      <c r="AH625" t="s">
        <v>41</v>
      </c>
      <c r="AI625">
        <v>35.177030000000002</v>
      </c>
      <c r="AJ625">
        <v>-97.450190000000006</v>
      </c>
      <c r="AK625">
        <v>0</v>
      </c>
      <c r="AL625">
        <v>0</v>
      </c>
      <c r="AM625" t="str">
        <f>_xlfn.IFNA(VLOOKUP(Sheet1!$C625,ADMIX_ALL!A:B,2,FALSE),"none")</f>
        <v>K6-18</v>
      </c>
      <c r="AN625" t="str">
        <f>_xlfn.IFNA(VLOOKUP(Sheet1!C625,ADMIX_SS!A:B,2,FALSE),"none")</f>
        <v>SubSample</v>
      </c>
      <c r="AO625" t="str">
        <f>_xlfn.IFNA(VLOOKUP(Sheet1!$C625,MONG_PHYLO!A:C,3,FALSE),"-")</f>
        <v>-</v>
      </c>
      <c r="AP625" t="str">
        <f>_xlfn.IFNA(VLOOKUP(Sheet1!$C625,MAC_PHYLO!A:C,3,FALSE),"-")</f>
        <v>-</v>
      </c>
      <c r="AQ625" t="str">
        <f>_xlfn.IFNA(VLOOKUP(Sheet1!$C625,ConStruct!A:C,3,FALSE),"-")</f>
        <v>ConStruct</v>
      </c>
      <c r="AR625" t="str">
        <f>_xlfn.IFNA(VLOOKUP(Sheet1!$C625,GEA!A:C,3,FALSE),"-")</f>
        <v>GEA</v>
      </c>
      <c r="AS625" t="str">
        <f>_xlfn.IFNA(VLOOKUP(Sheet1!$C625,MAC_DSUITE!A:D,3,FALSE),"-")</f>
        <v>mac_OK_NOW</v>
      </c>
      <c r="AT625" t="str">
        <f>_xlfn.IFNA(VLOOKUP(Sheet1!$C625,MONG_DSUITE!A:E,2,FALSE),"-")</f>
        <v>macrocarpa_NOW</v>
      </c>
      <c r="AU625" t="str">
        <f>_xlfn.IFNA(VLOOKUP(Sheet1!$C625,MAC_PAINT2!A:D,4,FALSE),"-")</f>
        <v>macpaint</v>
      </c>
      <c r="AV625" t="s">
        <v>9193</v>
      </c>
      <c r="AW625" t="s">
        <v>9193</v>
      </c>
    </row>
    <row r="626" spans="1:49" customFormat="1" x14ac:dyDescent="0.4">
      <c r="A626">
        <v>1904</v>
      </c>
      <c r="B626" t="s">
        <v>2051</v>
      </c>
      <c r="C626" t="s">
        <v>2052</v>
      </c>
      <c r="D626" t="str">
        <f>_xlfn.CONCAT(C626,".bam")</f>
        <v>SYST-MOR-0007410.bam</v>
      </c>
      <c r="E626" t="s">
        <v>2053</v>
      </c>
      <c r="F626" t="s">
        <v>2457</v>
      </c>
      <c r="G626" t="s">
        <v>2484</v>
      </c>
      <c r="H626" t="s">
        <v>2547</v>
      </c>
      <c r="I626" t="s">
        <v>2049</v>
      </c>
      <c r="K626" t="s">
        <v>45</v>
      </c>
      <c r="L626" t="s">
        <v>45</v>
      </c>
      <c r="N626" t="s">
        <v>45</v>
      </c>
      <c r="P626" t="s">
        <v>31</v>
      </c>
      <c r="Q626" t="s">
        <v>46</v>
      </c>
      <c r="R626" t="s">
        <v>2597</v>
      </c>
      <c r="S626" s="1">
        <v>42907</v>
      </c>
      <c r="T626" t="s">
        <v>2047</v>
      </c>
      <c r="U626" t="s">
        <v>34</v>
      </c>
      <c r="W626" t="s">
        <v>35</v>
      </c>
      <c r="X626" t="s">
        <v>1082</v>
      </c>
      <c r="Y626" t="s">
        <v>2048</v>
      </c>
      <c r="Z626" t="s">
        <v>206</v>
      </c>
      <c r="AA626" t="s">
        <v>2049</v>
      </c>
      <c r="AB626" t="s">
        <v>2054</v>
      </c>
      <c r="AD626" t="s">
        <v>45</v>
      </c>
      <c r="AE626">
        <v>35.177050000000001</v>
      </c>
      <c r="AF626">
        <v>-97.449209999999994</v>
      </c>
      <c r="AG626" t="s">
        <v>40</v>
      </c>
      <c r="AH626" t="s">
        <v>41</v>
      </c>
      <c r="AI626">
        <v>35.177050000000001</v>
      </c>
      <c r="AJ626">
        <v>-97.449209999999994</v>
      </c>
      <c r="AK626">
        <v>0</v>
      </c>
      <c r="AL626">
        <v>0</v>
      </c>
      <c r="AM626" t="str">
        <f>_xlfn.IFNA(VLOOKUP(Sheet1!$C626,ADMIX_ALL!A:B,2,FALSE),"none")</f>
        <v>K6-18</v>
      </c>
      <c r="AN626" t="str">
        <f>_xlfn.IFNA(VLOOKUP(Sheet1!C626,ADMIX_SS!A:B,2,FALSE),"none")</f>
        <v>SubSample</v>
      </c>
      <c r="AO626" t="str">
        <f>_xlfn.IFNA(VLOOKUP(Sheet1!$C626,MONG_PHYLO!A:C,3,FALSE),"-")</f>
        <v>-</v>
      </c>
      <c r="AP626" t="str">
        <f>_xlfn.IFNA(VLOOKUP(Sheet1!$C626,MAC_PHYLO!A:C,3,FALSE),"-")</f>
        <v>-</v>
      </c>
      <c r="AQ626" t="str">
        <f>_xlfn.IFNA(VLOOKUP(Sheet1!$C626,ConStruct!A:C,3,FALSE),"-")</f>
        <v>ConStruct</v>
      </c>
      <c r="AR626" t="str">
        <f>_xlfn.IFNA(VLOOKUP(Sheet1!$C626,GEA!A:C,3,FALSE),"-")</f>
        <v>GEA</v>
      </c>
      <c r="AS626" t="str">
        <f>_xlfn.IFNA(VLOOKUP(Sheet1!$C626,MAC_DSUITE!A:D,3,FALSE),"-")</f>
        <v>mac_OK_NOW</v>
      </c>
      <c r="AT626" t="str">
        <f>_xlfn.IFNA(VLOOKUP(Sheet1!$C626,MONG_DSUITE!A:E,2,FALSE),"-")</f>
        <v>macrocarpa_NOW</v>
      </c>
      <c r="AU626" t="str">
        <f>_xlfn.IFNA(VLOOKUP(Sheet1!$C626,MAC_PAINT2!A:D,4,FALSE),"-")</f>
        <v>macpaint</v>
      </c>
      <c r="AV626" t="s">
        <v>9193</v>
      </c>
      <c r="AW626" t="s">
        <v>9193</v>
      </c>
    </row>
    <row r="627" spans="1:49" customFormat="1" x14ac:dyDescent="0.4">
      <c r="A627">
        <v>1905</v>
      </c>
      <c r="B627" t="s">
        <v>2055</v>
      </c>
      <c r="C627" t="s">
        <v>2056</v>
      </c>
      <c r="D627" t="str">
        <f>_xlfn.CONCAT(C627,".bam")</f>
        <v>SYST-MOR-0007411.bam</v>
      </c>
      <c r="E627" t="s">
        <v>2057</v>
      </c>
      <c r="F627" t="s">
        <v>2457</v>
      </c>
      <c r="G627" t="s">
        <v>2484</v>
      </c>
      <c r="H627" t="s">
        <v>2547</v>
      </c>
      <c r="I627" t="s">
        <v>2049</v>
      </c>
      <c r="K627" t="s">
        <v>45</v>
      </c>
      <c r="L627" t="s">
        <v>45</v>
      </c>
      <c r="N627" t="s">
        <v>45</v>
      </c>
      <c r="P627" t="s">
        <v>31</v>
      </c>
      <c r="Q627" t="s">
        <v>46</v>
      </c>
      <c r="R627" t="s">
        <v>2597</v>
      </c>
      <c r="S627" s="1">
        <v>42907</v>
      </c>
      <c r="T627" t="s">
        <v>2047</v>
      </c>
      <c r="U627" t="s">
        <v>34</v>
      </c>
      <c r="W627" t="s">
        <v>35</v>
      </c>
      <c r="X627" t="s">
        <v>1082</v>
      </c>
      <c r="Y627" t="s">
        <v>2048</v>
      </c>
      <c r="Z627" t="s">
        <v>206</v>
      </c>
      <c r="AA627" t="s">
        <v>2049</v>
      </c>
      <c r="AB627" t="s">
        <v>2054</v>
      </c>
      <c r="AD627" t="s">
        <v>45</v>
      </c>
      <c r="AE627">
        <v>35.177219999999998</v>
      </c>
      <c r="AF627">
        <v>-97.449669999999998</v>
      </c>
      <c r="AG627" t="s">
        <v>40</v>
      </c>
      <c r="AH627" t="s">
        <v>41</v>
      </c>
      <c r="AI627">
        <v>35.177219999999998</v>
      </c>
      <c r="AJ627">
        <v>-97.449669999999998</v>
      </c>
      <c r="AK627">
        <v>0</v>
      </c>
      <c r="AL627">
        <v>0</v>
      </c>
      <c r="AM627" t="str">
        <f>_xlfn.IFNA(VLOOKUP(Sheet1!$C627,ADMIX_ALL!A:B,2,FALSE),"none")</f>
        <v>K6-18</v>
      </c>
      <c r="AN627" t="str">
        <f>_xlfn.IFNA(VLOOKUP(Sheet1!C627,ADMIX_SS!A:B,2,FALSE),"none")</f>
        <v>Constant</v>
      </c>
      <c r="AO627" t="str">
        <f>_xlfn.IFNA(VLOOKUP(Sheet1!$C627,MONG_PHYLO!A:C,3,FALSE),"-")</f>
        <v>macS</v>
      </c>
      <c r="AP627" t="str">
        <f>_xlfn.IFNA(VLOOKUP(Sheet1!$C627,MAC_PHYLO!A:C,3,FALSE),"-")</f>
        <v>-</v>
      </c>
      <c r="AQ627" t="str">
        <f>_xlfn.IFNA(VLOOKUP(Sheet1!$C627,ConStruct!A:C,3,FALSE),"-")</f>
        <v>ConStruct</v>
      </c>
      <c r="AR627" t="str">
        <f>_xlfn.IFNA(VLOOKUP(Sheet1!$C627,GEA!A:C,3,FALSE),"-")</f>
        <v>GEA</v>
      </c>
      <c r="AS627" t="str">
        <f>_xlfn.IFNA(VLOOKUP(Sheet1!$C627,MAC_DSUITE!A:D,3,FALSE),"-")</f>
        <v>mac_OK_NOW</v>
      </c>
      <c r="AT627" t="str">
        <f>_xlfn.IFNA(VLOOKUP(Sheet1!$C627,MONG_DSUITE!A:E,2,FALSE),"-")</f>
        <v>macrocarpa_NOW</v>
      </c>
      <c r="AU627" t="str">
        <f>_xlfn.IFNA(VLOOKUP(Sheet1!$C627,MAC_PAINT2!A:D,4,FALSE),"-")</f>
        <v>macpaint</v>
      </c>
      <c r="AV627" t="s">
        <v>9193</v>
      </c>
      <c r="AW627" t="s">
        <v>9193</v>
      </c>
    </row>
    <row r="628" spans="1:49" customFormat="1" x14ac:dyDescent="0.4">
      <c r="A628">
        <v>1906</v>
      </c>
      <c r="B628" t="s">
        <v>2058</v>
      </c>
      <c r="C628" t="s">
        <v>2059</v>
      </c>
      <c r="D628" t="str">
        <f>_xlfn.CONCAT(C628,".bam")</f>
        <v>SYST-MOR-0007412.bam</v>
      </c>
      <c r="E628" t="s">
        <v>2060</v>
      </c>
      <c r="F628" t="s">
        <v>2457</v>
      </c>
      <c r="G628" t="s">
        <v>2484</v>
      </c>
      <c r="H628" t="s">
        <v>2547</v>
      </c>
      <c r="I628" t="s">
        <v>2049</v>
      </c>
      <c r="K628" t="s">
        <v>45</v>
      </c>
      <c r="L628" t="s">
        <v>45</v>
      </c>
      <c r="N628" t="s">
        <v>45</v>
      </c>
      <c r="P628" t="s">
        <v>31</v>
      </c>
      <c r="Q628" t="s">
        <v>46</v>
      </c>
      <c r="R628" t="s">
        <v>2597</v>
      </c>
      <c r="S628" s="1">
        <v>42907</v>
      </c>
      <c r="T628" t="s">
        <v>2047</v>
      </c>
      <c r="U628" t="s">
        <v>34</v>
      </c>
      <c r="W628" t="s">
        <v>35</v>
      </c>
      <c r="X628" t="s">
        <v>1082</v>
      </c>
      <c r="Y628" t="s">
        <v>2048</v>
      </c>
      <c r="Z628" t="s">
        <v>206</v>
      </c>
      <c r="AA628" t="s">
        <v>2049</v>
      </c>
      <c r="AB628" t="s">
        <v>2054</v>
      </c>
      <c r="AD628" t="s">
        <v>45</v>
      </c>
      <c r="AE628">
        <v>35.177039999999998</v>
      </c>
      <c r="AF628">
        <v>-97.449770000000001</v>
      </c>
      <c r="AG628" t="s">
        <v>40</v>
      </c>
      <c r="AH628" t="s">
        <v>41</v>
      </c>
      <c r="AI628">
        <v>35.177039999999998</v>
      </c>
      <c r="AJ628">
        <v>-97.449770000000001</v>
      </c>
      <c r="AK628">
        <v>0</v>
      </c>
      <c r="AL628">
        <v>0</v>
      </c>
      <c r="AM628" t="str">
        <f>_xlfn.IFNA(VLOOKUP(Sheet1!$C628,ADMIX_ALL!A:B,2,FALSE),"none")</f>
        <v>K6-18</v>
      </c>
      <c r="AN628" t="str">
        <f>_xlfn.IFNA(VLOOKUP(Sheet1!C628,ADMIX_SS!A:B,2,FALSE),"none")</f>
        <v>SubSample</v>
      </c>
      <c r="AO628" t="str">
        <f>_xlfn.IFNA(VLOOKUP(Sheet1!$C628,MONG_PHYLO!A:C,3,FALSE),"-")</f>
        <v>-</v>
      </c>
      <c r="AP628" t="str">
        <f>_xlfn.IFNA(VLOOKUP(Sheet1!$C628,MAC_PHYLO!A:C,3,FALSE),"-")</f>
        <v>-</v>
      </c>
      <c r="AQ628" t="str">
        <f>_xlfn.IFNA(VLOOKUP(Sheet1!$C628,ConStruct!A:C,3,FALSE),"-")</f>
        <v>ConStruct</v>
      </c>
      <c r="AR628" t="str">
        <f>_xlfn.IFNA(VLOOKUP(Sheet1!$C628,GEA!A:C,3,FALSE),"-")</f>
        <v>GEA</v>
      </c>
      <c r="AS628" t="str">
        <f>_xlfn.IFNA(VLOOKUP(Sheet1!$C628,MAC_DSUITE!A:D,3,FALSE),"-")</f>
        <v>mac_OK_NOW</v>
      </c>
      <c r="AT628" t="str">
        <f>_xlfn.IFNA(VLOOKUP(Sheet1!$C628,MONG_DSUITE!A:E,2,FALSE),"-")</f>
        <v>macrocarpa_NOW</v>
      </c>
      <c r="AU628" t="str">
        <f>_xlfn.IFNA(VLOOKUP(Sheet1!$C628,MAC_PAINT2!A:D,4,FALSE),"-")</f>
        <v>macpaint</v>
      </c>
      <c r="AV628" t="s">
        <v>9193</v>
      </c>
      <c r="AW628" t="s">
        <v>9193</v>
      </c>
    </row>
    <row r="629" spans="1:49" customFormat="1" x14ac:dyDescent="0.4">
      <c r="A629">
        <v>1907</v>
      </c>
      <c r="B629" t="s">
        <v>2061</v>
      </c>
      <c r="C629" t="s">
        <v>2062</v>
      </c>
      <c r="D629" t="str">
        <f>_xlfn.CONCAT(C629,".bam")</f>
        <v>SYST-MOR-0007413.bam</v>
      </c>
      <c r="E629" t="s">
        <v>2063</v>
      </c>
      <c r="F629" t="s">
        <v>2457</v>
      </c>
      <c r="G629" t="s">
        <v>2484</v>
      </c>
      <c r="H629" t="s">
        <v>2547</v>
      </c>
      <c r="I629" t="s">
        <v>2049</v>
      </c>
      <c r="K629" t="s">
        <v>45</v>
      </c>
      <c r="L629" t="s">
        <v>45</v>
      </c>
      <c r="N629" t="s">
        <v>45</v>
      </c>
      <c r="P629" t="s">
        <v>31</v>
      </c>
      <c r="Q629" t="s">
        <v>46</v>
      </c>
      <c r="R629" t="s">
        <v>2597</v>
      </c>
      <c r="S629" s="1">
        <v>42907</v>
      </c>
      <c r="T629" t="s">
        <v>2047</v>
      </c>
      <c r="U629" t="s">
        <v>34</v>
      </c>
      <c r="W629" t="s">
        <v>35</v>
      </c>
      <c r="X629" t="s">
        <v>1082</v>
      </c>
      <c r="Y629" t="s">
        <v>2048</v>
      </c>
      <c r="Z629" t="s">
        <v>206</v>
      </c>
      <c r="AA629" t="s">
        <v>2049</v>
      </c>
      <c r="AB629" t="s">
        <v>2054</v>
      </c>
      <c r="AD629" t="s">
        <v>45</v>
      </c>
      <c r="AE629">
        <v>35.176879999999997</v>
      </c>
      <c r="AF629">
        <v>-97.449700000000007</v>
      </c>
      <c r="AG629" t="s">
        <v>40</v>
      </c>
      <c r="AH629" t="s">
        <v>41</v>
      </c>
      <c r="AI629">
        <v>35.176879999999997</v>
      </c>
      <c r="AJ629">
        <v>-97.449700000000007</v>
      </c>
      <c r="AK629">
        <v>0</v>
      </c>
      <c r="AL629">
        <v>0</v>
      </c>
      <c r="AM629" t="str">
        <f>_xlfn.IFNA(VLOOKUP(Sheet1!$C629,ADMIX_ALL!A:B,2,FALSE),"none")</f>
        <v>K6-18</v>
      </c>
      <c r="AN629" t="str">
        <f>_xlfn.IFNA(VLOOKUP(Sheet1!C629,ADMIX_SS!A:B,2,FALSE),"none")</f>
        <v>Constant</v>
      </c>
      <c r="AO629" t="str">
        <f>_xlfn.IFNA(VLOOKUP(Sheet1!$C629,MONG_PHYLO!A:C,3,FALSE),"-")</f>
        <v>macS</v>
      </c>
      <c r="AP629" t="str">
        <f>_xlfn.IFNA(VLOOKUP(Sheet1!$C629,MAC_PHYLO!A:C,3,FALSE),"-")</f>
        <v>-</v>
      </c>
      <c r="AQ629" t="str">
        <f>_xlfn.IFNA(VLOOKUP(Sheet1!$C629,ConStruct!A:C,3,FALSE),"-")</f>
        <v>ConStruct</v>
      </c>
      <c r="AR629" t="str">
        <f>_xlfn.IFNA(VLOOKUP(Sheet1!$C629,GEA!A:C,3,FALSE),"-")</f>
        <v>GEA</v>
      </c>
      <c r="AS629" t="str">
        <f>_xlfn.IFNA(VLOOKUP(Sheet1!$C629,MAC_DSUITE!A:D,3,FALSE),"-")</f>
        <v>mac_OK_NOW</v>
      </c>
      <c r="AT629" t="str">
        <f>_xlfn.IFNA(VLOOKUP(Sheet1!$C629,MONG_DSUITE!A:E,2,FALSE),"-")</f>
        <v>macrocarpa_NOW</v>
      </c>
      <c r="AU629" t="str">
        <f>_xlfn.IFNA(VLOOKUP(Sheet1!$C629,MAC_PAINT2!A:D,4,FALSE),"-")</f>
        <v>macpaint</v>
      </c>
      <c r="AV629" t="s">
        <v>9193</v>
      </c>
      <c r="AW629" t="s">
        <v>9193</v>
      </c>
    </row>
    <row r="630" spans="1:49" customFormat="1" x14ac:dyDescent="0.4">
      <c r="A630">
        <v>1908</v>
      </c>
      <c r="B630" t="s">
        <v>2064</v>
      </c>
      <c r="C630" t="s">
        <v>2065</v>
      </c>
      <c r="D630" t="str">
        <f>_xlfn.CONCAT(C630,".bam")</f>
        <v>SYST-MOR-0007414.bam</v>
      </c>
      <c r="E630" t="s">
        <v>2066</v>
      </c>
      <c r="F630" t="s">
        <v>2457</v>
      </c>
      <c r="G630" t="s">
        <v>2484</v>
      </c>
      <c r="H630" t="s">
        <v>2547</v>
      </c>
      <c r="I630" t="s">
        <v>2049</v>
      </c>
      <c r="K630" t="s">
        <v>45</v>
      </c>
      <c r="L630" t="s">
        <v>45</v>
      </c>
      <c r="N630" t="s">
        <v>45</v>
      </c>
      <c r="P630" t="s">
        <v>31</v>
      </c>
      <c r="Q630" t="s">
        <v>46</v>
      </c>
      <c r="R630" t="s">
        <v>2597</v>
      </c>
      <c r="S630" s="1">
        <v>42907</v>
      </c>
      <c r="T630" t="s">
        <v>2047</v>
      </c>
      <c r="U630" t="s">
        <v>34</v>
      </c>
      <c r="W630" t="s">
        <v>35</v>
      </c>
      <c r="X630" t="s">
        <v>1082</v>
      </c>
      <c r="Y630" t="s">
        <v>2048</v>
      </c>
      <c r="Z630" t="s">
        <v>206</v>
      </c>
      <c r="AA630" t="s">
        <v>2049</v>
      </c>
      <c r="AB630" t="s">
        <v>2054</v>
      </c>
      <c r="AD630" t="s">
        <v>45</v>
      </c>
      <c r="AE630">
        <v>35.176690000000001</v>
      </c>
      <c r="AF630">
        <v>-97.449879999999993</v>
      </c>
      <c r="AG630" t="s">
        <v>40</v>
      </c>
      <c r="AH630" t="s">
        <v>41</v>
      </c>
      <c r="AI630">
        <v>35.176690000000001</v>
      </c>
      <c r="AJ630">
        <v>-97.449879999999993</v>
      </c>
      <c r="AK630">
        <v>0</v>
      </c>
      <c r="AL630">
        <v>0</v>
      </c>
      <c r="AM630" t="str">
        <f>_xlfn.IFNA(VLOOKUP(Sheet1!$C630,ADMIX_ALL!A:B,2,FALSE),"none")</f>
        <v>K6-18</v>
      </c>
      <c r="AN630" t="str">
        <f>_xlfn.IFNA(VLOOKUP(Sheet1!C630,ADMIX_SS!A:B,2,FALSE),"none")</f>
        <v>SubSample</v>
      </c>
      <c r="AO630" t="str">
        <f>_xlfn.IFNA(VLOOKUP(Sheet1!$C630,MONG_PHYLO!A:C,3,FALSE),"-")</f>
        <v>-</v>
      </c>
      <c r="AP630" t="str">
        <f>_xlfn.IFNA(VLOOKUP(Sheet1!$C630,MAC_PHYLO!A:C,3,FALSE),"-")</f>
        <v>-</v>
      </c>
      <c r="AQ630" t="str">
        <f>_xlfn.IFNA(VLOOKUP(Sheet1!$C630,ConStruct!A:C,3,FALSE),"-")</f>
        <v>ConStruct</v>
      </c>
      <c r="AR630" t="str">
        <f>_xlfn.IFNA(VLOOKUP(Sheet1!$C630,GEA!A:C,3,FALSE),"-")</f>
        <v>GEA</v>
      </c>
      <c r="AS630" t="str">
        <f>_xlfn.IFNA(VLOOKUP(Sheet1!$C630,MAC_DSUITE!A:D,3,FALSE),"-")</f>
        <v>mac_OK_NOW</v>
      </c>
      <c r="AT630" t="str">
        <f>_xlfn.IFNA(VLOOKUP(Sheet1!$C630,MONG_DSUITE!A:E,2,FALSE),"-")</f>
        <v>macrocarpa_NOW</v>
      </c>
      <c r="AU630" t="str">
        <f>_xlfn.IFNA(VLOOKUP(Sheet1!$C630,MAC_PAINT2!A:D,4,FALSE),"-")</f>
        <v>macpaint</v>
      </c>
      <c r="AV630" t="s">
        <v>9193</v>
      </c>
      <c r="AW630" t="s">
        <v>9193</v>
      </c>
    </row>
    <row r="631" spans="1:49" customFormat="1" x14ac:dyDescent="0.4">
      <c r="A631">
        <v>1909</v>
      </c>
      <c r="B631" t="s">
        <v>2067</v>
      </c>
      <c r="C631" t="s">
        <v>2068</v>
      </c>
      <c r="D631" t="str">
        <f>_xlfn.CONCAT(C631,".bam")</f>
        <v>SYST-MOR-0007415.bam</v>
      </c>
      <c r="E631" t="s">
        <v>2069</v>
      </c>
      <c r="F631" t="s">
        <v>2457</v>
      </c>
      <c r="G631" t="s">
        <v>2484</v>
      </c>
      <c r="H631" t="s">
        <v>2547</v>
      </c>
      <c r="I631" t="s">
        <v>2049</v>
      </c>
      <c r="K631" t="s">
        <v>45</v>
      </c>
      <c r="L631" t="s">
        <v>45</v>
      </c>
      <c r="N631" t="s">
        <v>45</v>
      </c>
      <c r="P631" t="s">
        <v>31</v>
      </c>
      <c r="Q631" t="s">
        <v>46</v>
      </c>
      <c r="R631" t="s">
        <v>2597</v>
      </c>
      <c r="S631" s="1">
        <v>42907</v>
      </c>
      <c r="T631" t="s">
        <v>2047</v>
      </c>
      <c r="U631" t="s">
        <v>34</v>
      </c>
      <c r="W631" t="s">
        <v>35</v>
      </c>
      <c r="X631" t="s">
        <v>1082</v>
      </c>
      <c r="Y631" t="s">
        <v>2048</v>
      </c>
      <c r="Z631" t="s">
        <v>206</v>
      </c>
      <c r="AA631" t="s">
        <v>2049</v>
      </c>
      <c r="AB631" t="s">
        <v>2054</v>
      </c>
      <c r="AD631" t="s">
        <v>45</v>
      </c>
      <c r="AE631">
        <v>35.176349999999999</v>
      </c>
      <c r="AF631">
        <v>-97.450090000000003</v>
      </c>
      <c r="AG631" t="s">
        <v>40</v>
      </c>
      <c r="AH631" t="s">
        <v>41</v>
      </c>
      <c r="AI631">
        <v>35.176349999999999</v>
      </c>
      <c r="AJ631">
        <v>-97.450090000000003</v>
      </c>
      <c r="AK631">
        <v>0</v>
      </c>
      <c r="AL631">
        <v>0</v>
      </c>
      <c r="AM631" t="str">
        <f>_xlfn.IFNA(VLOOKUP(Sheet1!$C631,ADMIX_ALL!A:B,2,FALSE),"none")</f>
        <v>K6-18</v>
      </c>
      <c r="AN631" t="str">
        <f>_xlfn.IFNA(VLOOKUP(Sheet1!C631,ADMIX_SS!A:B,2,FALSE),"none")</f>
        <v>SubSample</v>
      </c>
      <c r="AO631" t="str">
        <f>_xlfn.IFNA(VLOOKUP(Sheet1!$C631,MONG_PHYLO!A:C,3,FALSE),"-")</f>
        <v>-</v>
      </c>
      <c r="AP631" t="str">
        <f>_xlfn.IFNA(VLOOKUP(Sheet1!$C631,MAC_PHYLO!A:C,3,FALSE),"-")</f>
        <v>-</v>
      </c>
      <c r="AQ631" t="str">
        <f>_xlfn.IFNA(VLOOKUP(Sheet1!$C631,ConStruct!A:C,3,FALSE),"-")</f>
        <v>ConStruct</v>
      </c>
      <c r="AR631" t="str">
        <f>_xlfn.IFNA(VLOOKUP(Sheet1!$C631,GEA!A:C,3,FALSE),"-")</f>
        <v>GEA</v>
      </c>
      <c r="AS631" t="str">
        <f>_xlfn.IFNA(VLOOKUP(Sheet1!$C631,MAC_DSUITE!A:D,3,FALSE),"-")</f>
        <v>mac_OK_NOW</v>
      </c>
      <c r="AT631" t="str">
        <f>_xlfn.IFNA(VLOOKUP(Sheet1!$C631,MONG_DSUITE!A:E,2,FALSE),"-")</f>
        <v>macrocarpa_NOW</v>
      </c>
      <c r="AU631" t="str">
        <f>_xlfn.IFNA(VLOOKUP(Sheet1!$C631,MAC_PAINT2!A:D,4,FALSE),"-")</f>
        <v>macpaint</v>
      </c>
      <c r="AV631" t="s">
        <v>9193</v>
      </c>
      <c r="AW631" t="s">
        <v>9193</v>
      </c>
    </row>
    <row r="632" spans="1:49" customFormat="1" x14ac:dyDescent="0.4">
      <c r="A632">
        <v>1910</v>
      </c>
      <c r="B632" t="s">
        <v>2070</v>
      </c>
      <c r="C632" t="s">
        <v>2071</v>
      </c>
      <c r="D632" t="str">
        <f>_xlfn.CONCAT(C632,".bam")</f>
        <v>SYST-MOR-0007416.bam</v>
      </c>
      <c r="E632" t="s">
        <v>2072</v>
      </c>
      <c r="F632" t="s">
        <v>2457</v>
      </c>
      <c r="G632" t="s">
        <v>2484</v>
      </c>
      <c r="H632" t="s">
        <v>2547</v>
      </c>
      <c r="I632" t="s">
        <v>2049</v>
      </c>
      <c r="K632" t="s">
        <v>45</v>
      </c>
      <c r="L632" t="s">
        <v>45</v>
      </c>
      <c r="N632" t="s">
        <v>45</v>
      </c>
      <c r="P632" t="s">
        <v>31</v>
      </c>
      <c r="Q632" t="s">
        <v>46</v>
      </c>
      <c r="R632" t="s">
        <v>2597</v>
      </c>
      <c r="S632" s="1">
        <v>42907</v>
      </c>
      <c r="T632" t="s">
        <v>2047</v>
      </c>
      <c r="U632" t="s">
        <v>34</v>
      </c>
      <c r="W632" t="s">
        <v>35</v>
      </c>
      <c r="X632" t="s">
        <v>1082</v>
      </c>
      <c r="Y632" t="s">
        <v>2048</v>
      </c>
      <c r="Z632" t="s">
        <v>206</v>
      </c>
      <c r="AA632" t="s">
        <v>2049</v>
      </c>
      <c r="AB632" t="s">
        <v>2054</v>
      </c>
      <c r="AD632" t="s">
        <v>45</v>
      </c>
      <c r="AE632">
        <v>35.176949999999998</v>
      </c>
      <c r="AF632">
        <v>-97.449960000000004</v>
      </c>
      <c r="AG632" t="s">
        <v>40</v>
      </c>
      <c r="AH632" t="s">
        <v>41</v>
      </c>
      <c r="AI632">
        <v>35.176949999999998</v>
      </c>
      <c r="AJ632">
        <v>-97.449960000000004</v>
      </c>
      <c r="AK632">
        <v>0</v>
      </c>
      <c r="AL632">
        <v>0</v>
      </c>
      <c r="AM632" t="str">
        <f>_xlfn.IFNA(VLOOKUP(Sheet1!$C632,ADMIX_ALL!A:B,2,FALSE),"none")</f>
        <v>K6-18</v>
      </c>
      <c r="AN632" t="str">
        <f>_xlfn.IFNA(VLOOKUP(Sheet1!C632,ADMIX_SS!A:B,2,FALSE),"none")</f>
        <v>SubSample</v>
      </c>
      <c r="AO632" t="str">
        <f>_xlfn.IFNA(VLOOKUP(Sheet1!$C632,MONG_PHYLO!A:C,3,FALSE),"-")</f>
        <v>-</v>
      </c>
      <c r="AP632" t="str">
        <f>_xlfn.IFNA(VLOOKUP(Sheet1!$C632,MAC_PHYLO!A:C,3,FALSE),"-")</f>
        <v>-</v>
      </c>
      <c r="AQ632" t="str">
        <f>_xlfn.IFNA(VLOOKUP(Sheet1!$C632,ConStruct!A:C,3,FALSE),"-")</f>
        <v>ConStruct</v>
      </c>
      <c r="AR632" t="str">
        <f>_xlfn.IFNA(VLOOKUP(Sheet1!$C632,GEA!A:C,3,FALSE),"-")</f>
        <v>GEA</v>
      </c>
      <c r="AS632" t="str">
        <f>_xlfn.IFNA(VLOOKUP(Sheet1!$C632,MAC_DSUITE!A:D,3,FALSE),"-")</f>
        <v>mac_OK_NOW</v>
      </c>
      <c r="AT632" t="str">
        <f>_xlfn.IFNA(VLOOKUP(Sheet1!$C632,MONG_DSUITE!A:E,2,FALSE),"-")</f>
        <v>macrocarpa_NOW</v>
      </c>
      <c r="AU632" t="str">
        <f>_xlfn.IFNA(VLOOKUP(Sheet1!$C632,MAC_PAINT2!A:D,4,FALSE),"-")</f>
        <v>macpaint</v>
      </c>
      <c r="AV632" t="s">
        <v>9193</v>
      </c>
      <c r="AW632" t="s">
        <v>9193</v>
      </c>
    </row>
    <row r="633" spans="1:49" customFormat="1" x14ac:dyDescent="0.4">
      <c r="A633">
        <v>1911</v>
      </c>
      <c r="B633" t="s">
        <v>2073</v>
      </c>
      <c r="C633" t="s">
        <v>2074</v>
      </c>
      <c r="D633" t="str">
        <f>_xlfn.CONCAT(C633,".bam")</f>
        <v>SYST-MOR-0007417.bam</v>
      </c>
      <c r="E633" t="s">
        <v>2075</v>
      </c>
      <c r="F633" t="s">
        <v>2457</v>
      </c>
      <c r="G633" t="s">
        <v>2484</v>
      </c>
      <c r="H633" t="s">
        <v>2547</v>
      </c>
      <c r="I633" t="s">
        <v>2049</v>
      </c>
      <c r="K633" t="s">
        <v>45</v>
      </c>
      <c r="L633" t="s">
        <v>45</v>
      </c>
      <c r="N633" t="s">
        <v>45</v>
      </c>
      <c r="P633" t="s">
        <v>31</v>
      </c>
      <c r="Q633" t="s">
        <v>46</v>
      </c>
      <c r="R633" t="s">
        <v>2597</v>
      </c>
      <c r="S633" s="1">
        <v>42907</v>
      </c>
      <c r="T633" t="s">
        <v>2047</v>
      </c>
      <c r="U633" t="s">
        <v>34</v>
      </c>
      <c r="W633" t="s">
        <v>35</v>
      </c>
      <c r="X633" t="s">
        <v>1082</v>
      </c>
      <c r="Y633" t="s">
        <v>2048</v>
      </c>
      <c r="Z633" t="s">
        <v>206</v>
      </c>
      <c r="AA633" t="s">
        <v>2049</v>
      </c>
      <c r="AB633" t="s">
        <v>2054</v>
      </c>
      <c r="AD633" t="s">
        <v>45</v>
      </c>
      <c r="AE633">
        <v>35.177140000000001</v>
      </c>
      <c r="AF633">
        <v>-97.450050000000005</v>
      </c>
      <c r="AG633" t="s">
        <v>40</v>
      </c>
      <c r="AH633" t="s">
        <v>41</v>
      </c>
      <c r="AI633">
        <v>35.177140000000001</v>
      </c>
      <c r="AJ633">
        <v>-97.450050000000005</v>
      </c>
      <c r="AK633">
        <v>0</v>
      </c>
      <c r="AL633">
        <v>0</v>
      </c>
      <c r="AM633" t="str">
        <f>_xlfn.IFNA(VLOOKUP(Sheet1!$C633,ADMIX_ALL!A:B,2,FALSE),"none")</f>
        <v>K6-18</v>
      </c>
      <c r="AN633" t="str">
        <f>_xlfn.IFNA(VLOOKUP(Sheet1!C633,ADMIX_SS!A:B,2,FALSE),"none")</f>
        <v>SubSample</v>
      </c>
      <c r="AO633" t="str">
        <f>_xlfn.IFNA(VLOOKUP(Sheet1!$C633,MONG_PHYLO!A:C,3,FALSE),"-")</f>
        <v>-</v>
      </c>
      <c r="AP633" t="str">
        <f>_xlfn.IFNA(VLOOKUP(Sheet1!$C633,MAC_PHYLO!A:C,3,FALSE),"-")</f>
        <v>-</v>
      </c>
      <c r="AQ633" t="str">
        <f>_xlfn.IFNA(VLOOKUP(Sheet1!$C633,ConStruct!A:C,3,FALSE),"-")</f>
        <v>ConStruct</v>
      </c>
      <c r="AR633" t="str">
        <f>_xlfn.IFNA(VLOOKUP(Sheet1!$C633,GEA!A:C,3,FALSE),"-")</f>
        <v>GEA</v>
      </c>
      <c r="AS633" t="str">
        <f>_xlfn.IFNA(VLOOKUP(Sheet1!$C633,MAC_DSUITE!A:D,3,FALSE),"-")</f>
        <v>mac_OK_NOW</v>
      </c>
      <c r="AT633" t="str">
        <f>_xlfn.IFNA(VLOOKUP(Sheet1!$C633,MONG_DSUITE!A:E,2,FALSE),"-")</f>
        <v>macrocarpa_NOW</v>
      </c>
      <c r="AU633" t="str">
        <f>_xlfn.IFNA(VLOOKUP(Sheet1!$C633,MAC_PAINT2!A:D,4,FALSE),"-")</f>
        <v>macpaint</v>
      </c>
      <c r="AV633" t="s">
        <v>9193</v>
      </c>
      <c r="AW633" t="s">
        <v>9193</v>
      </c>
    </row>
    <row r="634" spans="1:49" customFormat="1" x14ac:dyDescent="0.4">
      <c r="A634">
        <v>1912</v>
      </c>
      <c r="B634" t="s">
        <v>2076</v>
      </c>
      <c r="C634" t="s">
        <v>2077</v>
      </c>
      <c r="D634" t="str">
        <f>_xlfn.CONCAT(C634,".bam")</f>
        <v>SYST-MOR-0007418.bam</v>
      </c>
      <c r="E634" t="s">
        <v>2078</v>
      </c>
      <c r="F634" t="s">
        <v>2457</v>
      </c>
      <c r="G634" t="s">
        <v>2484</v>
      </c>
      <c r="H634" t="s">
        <v>2547</v>
      </c>
      <c r="I634" t="s">
        <v>2049</v>
      </c>
      <c r="K634" t="s">
        <v>45</v>
      </c>
      <c r="L634" t="s">
        <v>45</v>
      </c>
      <c r="N634" t="s">
        <v>45</v>
      </c>
      <c r="P634" t="s">
        <v>31</v>
      </c>
      <c r="Q634" t="s">
        <v>46</v>
      </c>
      <c r="R634" t="s">
        <v>2597</v>
      </c>
      <c r="S634" s="1">
        <v>42907</v>
      </c>
      <c r="T634" t="s">
        <v>2047</v>
      </c>
      <c r="U634" t="s">
        <v>34</v>
      </c>
      <c r="W634" t="s">
        <v>35</v>
      </c>
      <c r="X634" t="s">
        <v>1082</v>
      </c>
      <c r="Y634" t="s">
        <v>2048</v>
      </c>
      <c r="Z634" t="s">
        <v>206</v>
      </c>
      <c r="AA634" t="s">
        <v>2049</v>
      </c>
      <c r="AB634" t="s">
        <v>2054</v>
      </c>
      <c r="AD634" t="s">
        <v>45</v>
      </c>
      <c r="AE634">
        <v>35.177219999999998</v>
      </c>
      <c r="AF634">
        <v>-97.450029999999998</v>
      </c>
      <c r="AG634" t="s">
        <v>40</v>
      </c>
      <c r="AH634" t="s">
        <v>41</v>
      </c>
      <c r="AI634">
        <v>35.177219999999998</v>
      </c>
      <c r="AJ634">
        <v>-97.450029999999998</v>
      </c>
      <c r="AK634">
        <v>0</v>
      </c>
      <c r="AL634">
        <v>0</v>
      </c>
      <c r="AM634" t="str">
        <f>_xlfn.IFNA(VLOOKUP(Sheet1!$C634,ADMIX_ALL!A:B,2,FALSE),"none")</f>
        <v>K6-18</v>
      </c>
      <c r="AN634" t="str">
        <f>_xlfn.IFNA(VLOOKUP(Sheet1!C634,ADMIX_SS!A:B,2,FALSE),"none")</f>
        <v>SubSample</v>
      </c>
      <c r="AO634" t="str">
        <f>_xlfn.IFNA(VLOOKUP(Sheet1!$C634,MONG_PHYLO!A:C,3,FALSE),"-")</f>
        <v>-</v>
      </c>
      <c r="AP634" t="str">
        <f>_xlfn.IFNA(VLOOKUP(Sheet1!$C634,MAC_PHYLO!A:C,3,FALSE),"-")</f>
        <v>-</v>
      </c>
      <c r="AQ634" t="str">
        <f>_xlfn.IFNA(VLOOKUP(Sheet1!$C634,ConStruct!A:C,3,FALSE),"-")</f>
        <v>ConStruct</v>
      </c>
      <c r="AR634" t="str">
        <f>_xlfn.IFNA(VLOOKUP(Sheet1!$C634,GEA!A:C,3,FALSE),"-")</f>
        <v>GEA</v>
      </c>
      <c r="AS634" t="str">
        <f>_xlfn.IFNA(VLOOKUP(Sheet1!$C634,MAC_DSUITE!A:D,3,FALSE),"-")</f>
        <v>mac_OK_NOW</v>
      </c>
      <c r="AT634" t="str">
        <f>_xlfn.IFNA(VLOOKUP(Sheet1!$C634,MONG_DSUITE!A:E,2,FALSE),"-")</f>
        <v>macrocarpa_NOW</v>
      </c>
      <c r="AU634" t="str">
        <f>_xlfn.IFNA(VLOOKUP(Sheet1!$C634,MAC_PAINT2!A:D,4,FALSE),"-")</f>
        <v>macpaint</v>
      </c>
      <c r="AV634" t="s">
        <v>9193</v>
      </c>
      <c r="AW634" t="s">
        <v>9193</v>
      </c>
    </row>
    <row r="635" spans="1:49" customFormat="1" x14ac:dyDescent="0.4">
      <c r="A635">
        <v>1929</v>
      </c>
      <c r="B635" t="s">
        <v>1628</v>
      </c>
      <c r="C635" t="s">
        <v>1629</v>
      </c>
      <c r="D635" t="str">
        <f>_xlfn.CONCAT(C635,".bam")</f>
        <v>SYST-MOR-0007419.bam</v>
      </c>
      <c r="E635" t="s">
        <v>1630</v>
      </c>
      <c r="F635" t="s">
        <v>2442</v>
      </c>
      <c r="G635" t="s">
        <v>2481</v>
      </c>
      <c r="H635" t="s">
        <v>2536</v>
      </c>
      <c r="I635" t="s">
        <v>1632</v>
      </c>
      <c r="K635" t="s">
        <v>45</v>
      </c>
      <c r="L635" t="s">
        <v>45</v>
      </c>
      <c r="N635" t="s">
        <v>45</v>
      </c>
      <c r="P635" t="s">
        <v>31</v>
      </c>
      <c r="Q635" t="s">
        <v>46</v>
      </c>
      <c r="R635" t="s">
        <v>2597</v>
      </c>
      <c r="S635" s="1">
        <v>42909</v>
      </c>
      <c r="T635" t="s">
        <v>526</v>
      </c>
      <c r="U635" t="s">
        <v>34</v>
      </c>
      <c r="W635" t="s">
        <v>35</v>
      </c>
      <c r="X635" t="s">
        <v>1387</v>
      </c>
      <c r="Y635" t="s">
        <v>1631</v>
      </c>
      <c r="Z635" t="s">
        <v>206</v>
      </c>
      <c r="AA635" t="s">
        <v>1632</v>
      </c>
      <c r="AB635" t="s">
        <v>1633</v>
      </c>
      <c r="AD635" t="s">
        <v>45</v>
      </c>
      <c r="AE635">
        <v>37.157670000000003</v>
      </c>
      <c r="AF635">
        <v>-91.364739999999998</v>
      </c>
      <c r="AG635" t="s">
        <v>40</v>
      </c>
      <c r="AH635" t="s">
        <v>41</v>
      </c>
      <c r="AI635">
        <v>37.157670000000003</v>
      </c>
      <c r="AJ635">
        <v>-91.364739999999998</v>
      </c>
      <c r="AK635">
        <v>0</v>
      </c>
      <c r="AL635">
        <v>0</v>
      </c>
      <c r="AM635" t="str">
        <f>_xlfn.IFNA(VLOOKUP(Sheet1!$C635,ADMIX_ALL!A:B,2,FALSE),"none")</f>
        <v>K6-18</v>
      </c>
      <c r="AN635" t="str">
        <f>_xlfn.IFNA(VLOOKUP(Sheet1!C635,ADMIX_SS!A:B,2,FALSE),"none")</f>
        <v>SubSample</v>
      </c>
      <c r="AO635" t="str">
        <f>_xlfn.IFNA(VLOOKUP(Sheet1!$C635,MONG_PHYLO!A:C,3,FALSE),"-")</f>
        <v>-</v>
      </c>
      <c r="AP635" t="str">
        <f>_xlfn.IFNA(VLOOKUP(Sheet1!$C635,MAC_PHYLO!A:C,3,FALSE),"-")</f>
        <v>-</v>
      </c>
      <c r="AQ635" t="str">
        <f>_xlfn.IFNA(VLOOKUP(Sheet1!$C635,ConStruct!A:C,3,FALSE),"-")</f>
        <v>ConStruct</v>
      </c>
      <c r="AR635" t="str">
        <f>_xlfn.IFNA(VLOOKUP(Sheet1!$C635,GEA!A:C,3,FALSE),"-")</f>
        <v>GEA</v>
      </c>
      <c r="AS635" t="str">
        <f>_xlfn.IFNA(VLOOKUP(Sheet1!$C635,MAC_DSUITE!A:D,3,FALSE),"-")</f>
        <v>mac_MO_BRA</v>
      </c>
      <c r="AT635" t="str">
        <f>_xlfn.IFNA(VLOOKUP(Sheet1!$C635,MONG_DSUITE!A:E,2,FALSE),"-")</f>
        <v>macrocarpa_BRA</v>
      </c>
      <c r="AU635" t="str">
        <f>_xlfn.IFNA(VLOOKUP(Sheet1!$C635,MAC_PAINT2!A:D,4,FALSE),"-")</f>
        <v>macpaint</v>
      </c>
      <c r="AV635" t="s">
        <v>9193</v>
      </c>
      <c r="AW635" t="s">
        <v>9193</v>
      </c>
    </row>
    <row r="636" spans="1:49" customFormat="1" x14ac:dyDescent="0.4">
      <c r="A636">
        <v>1931</v>
      </c>
      <c r="B636" t="s">
        <v>1634</v>
      </c>
      <c r="C636" t="s">
        <v>1635</v>
      </c>
      <c r="D636" t="str">
        <f>_xlfn.CONCAT(C636,".bam")</f>
        <v>SYST-MOR-0007420.bam</v>
      </c>
      <c r="E636" t="s">
        <v>1636</v>
      </c>
      <c r="F636" t="s">
        <v>2442</v>
      </c>
      <c r="G636" t="s">
        <v>2481</v>
      </c>
      <c r="H636" t="s">
        <v>2536</v>
      </c>
      <c r="I636" t="s">
        <v>1632</v>
      </c>
      <c r="K636" t="s">
        <v>45</v>
      </c>
      <c r="L636" t="s">
        <v>45</v>
      </c>
      <c r="N636" t="s">
        <v>1022</v>
      </c>
      <c r="P636" t="s">
        <v>31</v>
      </c>
      <c r="Q636" t="s">
        <v>1637</v>
      </c>
      <c r="R636" t="s">
        <v>2597</v>
      </c>
      <c r="S636" s="1">
        <v>42909</v>
      </c>
      <c r="T636" t="s">
        <v>526</v>
      </c>
      <c r="U636" t="s">
        <v>34</v>
      </c>
      <c r="W636" t="s">
        <v>35</v>
      </c>
      <c r="X636" t="s">
        <v>1387</v>
      </c>
      <c r="Y636" t="s">
        <v>1631</v>
      </c>
      <c r="Z636" t="s">
        <v>206</v>
      </c>
      <c r="AA636" t="s">
        <v>1632</v>
      </c>
      <c r="AB636" t="s">
        <v>1633</v>
      </c>
      <c r="AD636" t="s">
        <v>1022</v>
      </c>
      <c r="AE636">
        <v>37.157670000000003</v>
      </c>
      <c r="AF636">
        <v>-91.364739999999998</v>
      </c>
      <c r="AG636" t="s">
        <v>40</v>
      </c>
      <c r="AH636" t="s">
        <v>41</v>
      </c>
      <c r="AI636">
        <v>37.157670000000003</v>
      </c>
      <c r="AJ636">
        <v>-91.364739999999998</v>
      </c>
      <c r="AK636">
        <v>0</v>
      </c>
      <c r="AL636">
        <v>0</v>
      </c>
      <c r="AM636" t="str">
        <f>_xlfn.IFNA(VLOOKUP(Sheet1!$C636,ADMIX_ALL!A:B,2,FALSE),"none")</f>
        <v>K6-18</v>
      </c>
      <c r="AN636" t="str">
        <f>_xlfn.IFNA(VLOOKUP(Sheet1!C636,ADMIX_SS!A:B,2,FALSE),"none")</f>
        <v>SubSample</v>
      </c>
      <c r="AO636" t="str">
        <f>_xlfn.IFNA(VLOOKUP(Sheet1!$C636,MONG_PHYLO!A:C,3,FALSE),"-")</f>
        <v>-</v>
      </c>
      <c r="AP636" t="str">
        <f>_xlfn.IFNA(VLOOKUP(Sheet1!$C636,MAC_PHYLO!A:C,3,FALSE),"-")</f>
        <v>-</v>
      </c>
      <c r="AQ636" t="str">
        <f>_xlfn.IFNA(VLOOKUP(Sheet1!$C636,ConStruct!A:C,3,FALSE),"-")</f>
        <v>ConStruct</v>
      </c>
      <c r="AR636" t="str">
        <f>_xlfn.IFNA(VLOOKUP(Sheet1!$C636,GEA!A:C,3,FALSE),"-")</f>
        <v>GEA</v>
      </c>
      <c r="AS636" t="str">
        <f>_xlfn.IFNA(VLOOKUP(Sheet1!$C636,MAC_DSUITE!A:D,3,FALSE),"-")</f>
        <v>mac_MO_BRA</v>
      </c>
      <c r="AT636" t="str">
        <f>_xlfn.IFNA(VLOOKUP(Sheet1!$C636,MONG_DSUITE!A:E,2,FALSE),"-")</f>
        <v>macrocarpa_BRA</v>
      </c>
      <c r="AU636" t="str">
        <f>_xlfn.IFNA(VLOOKUP(Sheet1!$C636,MAC_PAINT2!A:D,4,FALSE),"-")</f>
        <v>macpaint</v>
      </c>
      <c r="AV636" t="s">
        <v>9193</v>
      </c>
      <c r="AW636" t="s">
        <v>9193</v>
      </c>
    </row>
    <row r="637" spans="1:49" customFormat="1" x14ac:dyDescent="0.4">
      <c r="A637">
        <v>1933</v>
      </c>
      <c r="B637" t="s">
        <v>1638</v>
      </c>
      <c r="C637" t="s">
        <v>1639</v>
      </c>
      <c r="D637" t="str">
        <f>_xlfn.CONCAT(C637,".bam")</f>
        <v>SYST-MOR-0007421.bam</v>
      </c>
      <c r="E637" t="s">
        <v>1640</v>
      </c>
      <c r="F637" t="s">
        <v>2442</v>
      </c>
      <c r="G637" t="s">
        <v>2481</v>
      </c>
      <c r="H637" t="s">
        <v>2536</v>
      </c>
      <c r="I637" t="s">
        <v>1632</v>
      </c>
      <c r="K637" t="s">
        <v>45</v>
      </c>
      <c r="L637" t="s">
        <v>45</v>
      </c>
      <c r="N637" t="s">
        <v>45</v>
      </c>
      <c r="P637" t="s">
        <v>31</v>
      </c>
      <c r="Q637" t="s">
        <v>46</v>
      </c>
      <c r="R637" t="s">
        <v>2597</v>
      </c>
      <c r="S637" s="1">
        <v>42909</v>
      </c>
      <c r="T637" t="s">
        <v>526</v>
      </c>
      <c r="U637" t="s">
        <v>34</v>
      </c>
      <c r="W637" t="s">
        <v>35</v>
      </c>
      <c r="X637" t="s">
        <v>1387</v>
      </c>
      <c r="Y637" t="s">
        <v>1631</v>
      </c>
      <c r="Z637" t="s">
        <v>206</v>
      </c>
      <c r="AA637" t="s">
        <v>1632</v>
      </c>
      <c r="AB637" t="s">
        <v>1633</v>
      </c>
      <c r="AD637" t="s">
        <v>45</v>
      </c>
      <c r="AE637">
        <v>37.156869999999998</v>
      </c>
      <c r="AF637">
        <v>-91.364710000000002</v>
      </c>
      <c r="AG637" t="s">
        <v>40</v>
      </c>
      <c r="AH637" t="s">
        <v>41</v>
      </c>
      <c r="AI637">
        <v>37.156869999999998</v>
      </c>
      <c r="AJ637">
        <v>-91.364710000000002</v>
      </c>
      <c r="AK637">
        <v>0</v>
      </c>
      <c r="AL637">
        <v>0</v>
      </c>
      <c r="AM637" t="str">
        <f>_xlfn.IFNA(VLOOKUP(Sheet1!$C637,ADMIX_ALL!A:B,2,FALSE),"none")</f>
        <v>K6-18</v>
      </c>
      <c r="AN637" t="str">
        <f>_xlfn.IFNA(VLOOKUP(Sheet1!C637,ADMIX_SS!A:B,2,FALSE),"none")</f>
        <v>SubSample</v>
      </c>
      <c r="AO637" t="str">
        <f>_xlfn.IFNA(VLOOKUP(Sheet1!$C637,MONG_PHYLO!A:C,3,FALSE),"-")</f>
        <v>-</v>
      </c>
      <c r="AP637" t="str">
        <f>_xlfn.IFNA(VLOOKUP(Sheet1!$C637,MAC_PHYLO!A:C,3,FALSE),"-")</f>
        <v>-</v>
      </c>
      <c r="AQ637" t="str">
        <f>_xlfn.IFNA(VLOOKUP(Sheet1!$C637,ConStruct!A:C,3,FALSE),"-")</f>
        <v>ConStruct</v>
      </c>
      <c r="AR637" t="str">
        <f>_xlfn.IFNA(VLOOKUP(Sheet1!$C637,GEA!A:C,3,FALSE),"-")</f>
        <v>GEA</v>
      </c>
      <c r="AS637" t="str">
        <f>_xlfn.IFNA(VLOOKUP(Sheet1!$C637,MAC_DSUITE!A:D,3,FALSE),"-")</f>
        <v>mac_MO_BRA</v>
      </c>
      <c r="AT637" t="str">
        <f>_xlfn.IFNA(VLOOKUP(Sheet1!$C637,MONG_DSUITE!A:E,2,FALSE),"-")</f>
        <v>macrocarpa_BRA</v>
      </c>
      <c r="AU637" t="str">
        <f>_xlfn.IFNA(VLOOKUP(Sheet1!$C637,MAC_PAINT2!A:D,4,FALSE),"-")</f>
        <v>macpaint</v>
      </c>
      <c r="AV637" t="s">
        <v>9193</v>
      </c>
      <c r="AW637" t="s">
        <v>9193</v>
      </c>
    </row>
    <row r="638" spans="1:49" customFormat="1" x14ac:dyDescent="0.4">
      <c r="A638">
        <v>1934</v>
      </c>
      <c r="B638" t="s">
        <v>1641</v>
      </c>
      <c r="C638" t="s">
        <v>1642</v>
      </c>
      <c r="D638" t="str">
        <f>_xlfn.CONCAT(C638,".bam")</f>
        <v>SYST-MOR-0007422.bam</v>
      </c>
      <c r="E638" t="s">
        <v>1643</v>
      </c>
      <c r="F638" t="s">
        <v>2442</v>
      </c>
      <c r="G638" t="s">
        <v>2481</v>
      </c>
      <c r="H638" t="s">
        <v>2536</v>
      </c>
      <c r="I638" t="s">
        <v>1644</v>
      </c>
      <c r="K638" t="s">
        <v>45</v>
      </c>
      <c r="L638" t="s">
        <v>45</v>
      </c>
      <c r="N638" t="s">
        <v>45</v>
      </c>
      <c r="P638" t="s">
        <v>31</v>
      </c>
      <c r="Q638" t="s">
        <v>46</v>
      </c>
      <c r="R638" t="s">
        <v>2597</v>
      </c>
      <c r="S638" s="1">
        <v>42909</v>
      </c>
      <c r="T638" t="s">
        <v>526</v>
      </c>
      <c r="U638" t="s">
        <v>34</v>
      </c>
      <c r="W638" t="s">
        <v>35</v>
      </c>
      <c r="X638" t="s">
        <v>1387</v>
      </c>
      <c r="Y638" t="s">
        <v>1631</v>
      </c>
      <c r="Z638" t="s">
        <v>206</v>
      </c>
      <c r="AA638" t="s">
        <v>1644</v>
      </c>
      <c r="AB638" t="s">
        <v>1633</v>
      </c>
      <c r="AD638" t="s">
        <v>45</v>
      </c>
      <c r="AE638">
        <v>37.156860000000002</v>
      </c>
      <c r="AF638">
        <v>-91.365009999999998</v>
      </c>
      <c r="AG638" t="s">
        <v>40</v>
      </c>
      <c r="AH638" t="s">
        <v>41</v>
      </c>
      <c r="AI638">
        <v>37.156860000000002</v>
      </c>
      <c r="AJ638">
        <v>-91.365009999999998</v>
      </c>
      <c r="AK638">
        <v>0</v>
      </c>
      <c r="AL638">
        <v>0</v>
      </c>
      <c r="AM638" t="str">
        <f>_xlfn.IFNA(VLOOKUP(Sheet1!$C638,ADMIX_ALL!A:B,2,FALSE),"none")</f>
        <v>K6-18</v>
      </c>
      <c r="AN638" t="str">
        <f>_xlfn.IFNA(VLOOKUP(Sheet1!C638,ADMIX_SS!A:B,2,FALSE),"none")</f>
        <v>SubSample</v>
      </c>
      <c r="AO638" t="str">
        <f>_xlfn.IFNA(VLOOKUP(Sheet1!$C638,MONG_PHYLO!A:C,3,FALSE),"-")</f>
        <v>-</v>
      </c>
      <c r="AP638" t="str">
        <f>_xlfn.IFNA(VLOOKUP(Sheet1!$C638,MAC_PHYLO!A:C,3,FALSE),"-")</f>
        <v>-</v>
      </c>
      <c r="AQ638" t="str">
        <f>_xlfn.IFNA(VLOOKUP(Sheet1!$C638,ConStruct!A:C,3,FALSE),"-")</f>
        <v>ConStruct</v>
      </c>
      <c r="AR638" t="str">
        <f>_xlfn.IFNA(VLOOKUP(Sheet1!$C638,GEA!A:C,3,FALSE),"-")</f>
        <v>GEA</v>
      </c>
      <c r="AS638" t="str">
        <f>_xlfn.IFNA(VLOOKUP(Sheet1!$C638,MAC_DSUITE!A:D,3,FALSE),"-")</f>
        <v>mac_MO_BRA</v>
      </c>
      <c r="AT638" t="str">
        <f>_xlfn.IFNA(VLOOKUP(Sheet1!$C638,MONG_DSUITE!A:E,2,FALSE),"-")</f>
        <v>macrocarpa_BRA</v>
      </c>
      <c r="AU638" t="str">
        <f>_xlfn.IFNA(VLOOKUP(Sheet1!$C638,MAC_PAINT2!A:D,4,FALSE),"-")</f>
        <v>macpaint</v>
      </c>
      <c r="AV638" t="s">
        <v>9193</v>
      </c>
      <c r="AW638" t="s">
        <v>9193</v>
      </c>
    </row>
    <row r="639" spans="1:49" customFormat="1" x14ac:dyDescent="0.4">
      <c r="A639">
        <v>1935</v>
      </c>
      <c r="B639" t="s">
        <v>1645</v>
      </c>
      <c r="C639" t="s">
        <v>1646</v>
      </c>
      <c r="D639" t="str">
        <f>_xlfn.CONCAT(C639,".bam")</f>
        <v>SYST-MOR-0007423.bam</v>
      </c>
      <c r="E639" t="s">
        <v>1647</v>
      </c>
      <c r="F639" t="s">
        <v>2442</v>
      </c>
      <c r="G639" t="s">
        <v>2481</v>
      </c>
      <c r="H639" t="s">
        <v>2536</v>
      </c>
      <c r="I639" t="s">
        <v>1644</v>
      </c>
      <c r="K639" t="s">
        <v>45</v>
      </c>
      <c r="L639" t="s">
        <v>45</v>
      </c>
      <c r="N639" t="s">
        <v>45</v>
      </c>
      <c r="P639" t="s">
        <v>31</v>
      </c>
      <c r="Q639" t="s">
        <v>46</v>
      </c>
      <c r="R639" t="s">
        <v>2597</v>
      </c>
      <c r="S639" s="1">
        <v>42909</v>
      </c>
      <c r="T639" t="s">
        <v>526</v>
      </c>
      <c r="U639" t="s">
        <v>34</v>
      </c>
      <c r="W639" t="s">
        <v>35</v>
      </c>
      <c r="X639" t="s">
        <v>1387</v>
      </c>
      <c r="Y639" t="s">
        <v>1631</v>
      </c>
      <c r="Z639" t="s">
        <v>206</v>
      </c>
      <c r="AA639" t="s">
        <v>1644</v>
      </c>
      <c r="AB639" t="s">
        <v>1633</v>
      </c>
      <c r="AD639" t="s">
        <v>45</v>
      </c>
      <c r="AE639">
        <v>37.157260000000001</v>
      </c>
      <c r="AF639">
        <v>-91.365179999999995</v>
      </c>
      <c r="AG639" t="s">
        <v>40</v>
      </c>
      <c r="AH639" t="s">
        <v>41</v>
      </c>
      <c r="AI639">
        <v>37.157260000000001</v>
      </c>
      <c r="AJ639">
        <v>-91.365179999999995</v>
      </c>
      <c r="AK639">
        <v>0</v>
      </c>
      <c r="AL639">
        <v>0</v>
      </c>
      <c r="AM639" t="str">
        <f>_xlfn.IFNA(VLOOKUP(Sheet1!$C639,ADMIX_ALL!A:B,2,FALSE),"none")</f>
        <v>K6-18</v>
      </c>
      <c r="AN639" t="str">
        <f>_xlfn.IFNA(VLOOKUP(Sheet1!C639,ADMIX_SS!A:B,2,FALSE),"none")</f>
        <v>SubSample</v>
      </c>
      <c r="AO639" t="str">
        <f>_xlfn.IFNA(VLOOKUP(Sheet1!$C639,MONG_PHYLO!A:C,3,FALSE),"-")</f>
        <v>-</v>
      </c>
      <c r="AP639" t="str">
        <f>_xlfn.IFNA(VLOOKUP(Sheet1!$C639,MAC_PHYLO!A:C,3,FALSE),"-")</f>
        <v>-</v>
      </c>
      <c r="AQ639" t="str">
        <f>_xlfn.IFNA(VLOOKUP(Sheet1!$C639,ConStruct!A:C,3,FALSE),"-")</f>
        <v>ConStruct</v>
      </c>
      <c r="AR639" t="str">
        <f>_xlfn.IFNA(VLOOKUP(Sheet1!$C639,GEA!A:C,3,FALSE),"-")</f>
        <v>GEA</v>
      </c>
      <c r="AS639" t="str">
        <f>_xlfn.IFNA(VLOOKUP(Sheet1!$C639,MAC_DSUITE!A:D,3,FALSE),"-")</f>
        <v>mac_MO_BRA</v>
      </c>
      <c r="AT639" t="str">
        <f>_xlfn.IFNA(VLOOKUP(Sheet1!$C639,MONG_DSUITE!A:E,2,FALSE),"-")</f>
        <v>macrocarpa_BRA</v>
      </c>
      <c r="AU639" t="str">
        <f>_xlfn.IFNA(VLOOKUP(Sheet1!$C639,MAC_PAINT2!A:D,4,FALSE),"-")</f>
        <v>macpaint</v>
      </c>
      <c r="AV639" t="s">
        <v>9193</v>
      </c>
      <c r="AW639" t="s">
        <v>9193</v>
      </c>
    </row>
    <row r="640" spans="1:49" customFormat="1" x14ac:dyDescent="0.4">
      <c r="A640">
        <v>1936</v>
      </c>
      <c r="B640" t="s">
        <v>1648</v>
      </c>
      <c r="C640" t="s">
        <v>1649</v>
      </c>
      <c r="D640" t="str">
        <f>_xlfn.CONCAT(C640,".bam")</f>
        <v>SYST-MOR-0007424.bam</v>
      </c>
      <c r="E640" t="s">
        <v>1650</v>
      </c>
      <c r="F640" t="s">
        <v>2442</v>
      </c>
      <c r="G640" t="s">
        <v>2481</v>
      </c>
      <c r="H640" t="s">
        <v>2536</v>
      </c>
      <c r="I640" t="s">
        <v>1632</v>
      </c>
      <c r="K640" t="s">
        <v>45</v>
      </c>
      <c r="L640" t="s">
        <v>45</v>
      </c>
      <c r="N640" t="s">
        <v>45</v>
      </c>
      <c r="P640" t="s">
        <v>31</v>
      </c>
      <c r="Q640" t="s">
        <v>46</v>
      </c>
      <c r="R640" t="s">
        <v>2597</v>
      </c>
      <c r="S640" s="1">
        <v>42909</v>
      </c>
      <c r="T640" t="s">
        <v>526</v>
      </c>
      <c r="U640" t="s">
        <v>34</v>
      </c>
      <c r="W640" t="s">
        <v>35</v>
      </c>
      <c r="X640" t="s">
        <v>1387</v>
      </c>
      <c r="Y640" t="s">
        <v>1631</v>
      </c>
      <c r="Z640" t="s">
        <v>206</v>
      </c>
      <c r="AA640" t="s">
        <v>1632</v>
      </c>
      <c r="AB640" t="s">
        <v>1633</v>
      </c>
      <c r="AD640" t="s">
        <v>45</v>
      </c>
      <c r="AE640">
        <v>37.157580000000003</v>
      </c>
      <c r="AF640">
        <v>-91.365129999999994</v>
      </c>
      <c r="AG640" t="s">
        <v>40</v>
      </c>
      <c r="AH640" t="s">
        <v>41</v>
      </c>
      <c r="AI640">
        <v>37.157580000000003</v>
      </c>
      <c r="AJ640">
        <v>-91.365129999999994</v>
      </c>
      <c r="AK640">
        <v>0</v>
      </c>
      <c r="AL640">
        <v>0</v>
      </c>
      <c r="AM640" t="str">
        <f>_xlfn.IFNA(VLOOKUP(Sheet1!$C640,ADMIX_ALL!A:B,2,FALSE),"none")</f>
        <v>K6-18</v>
      </c>
      <c r="AN640" t="str">
        <f>_xlfn.IFNA(VLOOKUP(Sheet1!C640,ADMIX_SS!A:B,2,FALSE),"none")</f>
        <v>SubSample</v>
      </c>
      <c r="AO640" t="str">
        <f>_xlfn.IFNA(VLOOKUP(Sheet1!$C640,MONG_PHYLO!A:C,3,FALSE),"-")</f>
        <v>-</v>
      </c>
      <c r="AP640" t="str">
        <f>_xlfn.IFNA(VLOOKUP(Sheet1!$C640,MAC_PHYLO!A:C,3,FALSE),"-")</f>
        <v>-</v>
      </c>
      <c r="AQ640" t="str">
        <f>_xlfn.IFNA(VLOOKUP(Sheet1!$C640,ConStruct!A:C,3,FALSE),"-")</f>
        <v>ConStruct</v>
      </c>
      <c r="AR640" t="str">
        <f>_xlfn.IFNA(VLOOKUP(Sheet1!$C640,GEA!A:C,3,FALSE),"-")</f>
        <v>GEA</v>
      </c>
      <c r="AS640" t="str">
        <f>_xlfn.IFNA(VLOOKUP(Sheet1!$C640,MAC_DSUITE!A:D,3,FALSE),"-")</f>
        <v>mac_MO_BRA</v>
      </c>
      <c r="AT640" t="str">
        <f>_xlfn.IFNA(VLOOKUP(Sheet1!$C640,MONG_DSUITE!A:E,2,FALSE),"-")</f>
        <v>macrocarpa_BRA</v>
      </c>
      <c r="AU640" t="str">
        <f>_xlfn.IFNA(VLOOKUP(Sheet1!$C640,MAC_PAINT2!A:D,4,FALSE),"-")</f>
        <v>macpaint</v>
      </c>
      <c r="AV640" t="s">
        <v>9193</v>
      </c>
      <c r="AW640" t="s">
        <v>9193</v>
      </c>
    </row>
    <row r="641" spans="1:49" customFormat="1" x14ac:dyDescent="0.4">
      <c r="A641">
        <v>2110</v>
      </c>
      <c r="B641" t="s">
        <v>523</v>
      </c>
      <c r="C641" t="s">
        <v>524</v>
      </c>
      <c r="D641" t="str">
        <f>_xlfn.CONCAT(C641,".bam")</f>
        <v>SYST-MOR-0007425.bam</v>
      </c>
      <c r="E641" t="s">
        <v>525</v>
      </c>
      <c r="F641" t="s">
        <v>2413</v>
      </c>
      <c r="G641" t="s">
        <v>2487</v>
      </c>
      <c r="H641" t="s">
        <v>2503</v>
      </c>
      <c r="I641" t="s">
        <v>527</v>
      </c>
      <c r="K641" t="s">
        <v>45</v>
      </c>
      <c r="L641" t="s">
        <v>45</v>
      </c>
      <c r="N641" t="s">
        <v>45</v>
      </c>
      <c r="P641" t="s">
        <v>31</v>
      </c>
      <c r="Q641" t="s">
        <v>46</v>
      </c>
      <c r="R641" t="s">
        <v>2597</v>
      </c>
      <c r="S641" s="1">
        <v>42949</v>
      </c>
      <c r="T641" t="s">
        <v>526</v>
      </c>
      <c r="U641" t="s">
        <v>34</v>
      </c>
      <c r="V641" s="1">
        <v>42949</v>
      </c>
      <c r="W641" t="s">
        <v>35</v>
      </c>
      <c r="X641" t="s">
        <v>399</v>
      </c>
      <c r="Y641" t="s">
        <v>350</v>
      </c>
      <c r="Z641" t="s">
        <v>206</v>
      </c>
      <c r="AA641" t="s">
        <v>527</v>
      </c>
      <c r="AB641" t="s">
        <v>528</v>
      </c>
      <c r="AD641" t="s">
        <v>45</v>
      </c>
      <c r="AE641">
        <v>41.532730000000001</v>
      </c>
      <c r="AF641">
        <v>-87.294799999999995</v>
      </c>
      <c r="AG641" t="s">
        <v>40</v>
      </c>
      <c r="AH641" t="s">
        <v>41</v>
      </c>
      <c r="AI641">
        <v>41.532730000000001</v>
      </c>
      <c r="AJ641">
        <v>-87.294799999999995</v>
      </c>
      <c r="AK641">
        <v>0</v>
      </c>
      <c r="AL641">
        <v>0</v>
      </c>
      <c r="AM641" t="str">
        <f>_xlfn.IFNA(VLOOKUP(Sheet1!$C641,ADMIX_ALL!A:B,2,FALSE),"none")</f>
        <v>K6-18</v>
      </c>
      <c r="AN641" t="str">
        <f>_xlfn.IFNA(VLOOKUP(Sheet1!C641,ADMIX_SS!A:B,2,FALSE),"none")</f>
        <v>SubSample</v>
      </c>
      <c r="AO641" t="str">
        <f>_xlfn.IFNA(VLOOKUP(Sheet1!$C641,MONG_PHYLO!A:C,3,FALSE),"-")</f>
        <v>-</v>
      </c>
      <c r="AP641" t="str">
        <f>_xlfn.IFNA(VLOOKUP(Sheet1!$C641,MAC_PHYLO!A:C,3,FALSE),"-")</f>
        <v>-</v>
      </c>
      <c r="AQ641" t="str">
        <f>_xlfn.IFNA(VLOOKUP(Sheet1!$C641,ConStruct!A:C,3,FALSE),"-")</f>
        <v>ConStruct</v>
      </c>
      <c r="AR641" t="str">
        <f>_xlfn.IFNA(VLOOKUP(Sheet1!$C641,GEA!A:C,3,FALSE),"-")</f>
        <v>GEA</v>
      </c>
      <c r="AS641" t="str">
        <f>_xlfn.IFNA(VLOOKUP(Sheet1!$C641,MAC_DSUITE!A:D,3,FALSE),"-")</f>
        <v>mac_IN_BOW</v>
      </c>
      <c r="AT641" t="str">
        <f>_xlfn.IFNA(VLOOKUP(Sheet1!$C641,MONG_DSUITE!A:E,2,FALSE),"-")</f>
        <v>macrocarpa_BOW</v>
      </c>
      <c r="AU641" t="str">
        <f>_xlfn.IFNA(VLOOKUP(Sheet1!$C641,MAC_PAINT2!A:D,4,FALSE),"-")</f>
        <v>macpaint</v>
      </c>
      <c r="AV641" t="s">
        <v>9193</v>
      </c>
      <c r="AW641" t="s">
        <v>9193</v>
      </c>
    </row>
    <row r="642" spans="1:49" s="16" customFormat="1" x14ac:dyDescent="0.4">
      <c r="A642" s="16">
        <v>2111</v>
      </c>
      <c r="B642" s="16" t="s">
        <v>529</v>
      </c>
      <c r="C642" s="16" t="s">
        <v>530</v>
      </c>
      <c r="D642" s="16" t="str">
        <f>_xlfn.CONCAT(C642,".bam")</f>
        <v>SYST-MOR-0007426.bam</v>
      </c>
      <c r="E642" s="16" t="s">
        <v>531</v>
      </c>
      <c r="F642" s="16" t="s">
        <v>2413</v>
      </c>
      <c r="G642" s="16" t="s">
        <v>2487</v>
      </c>
      <c r="H642" s="16" t="s">
        <v>2503</v>
      </c>
      <c r="I642" s="16" t="s">
        <v>527</v>
      </c>
      <c r="K642" s="16" t="s">
        <v>45</v>
      </c>
      <c r="L642" s="16" t="s">
        <v>45</v>
      </c>
      <c r="N642" s="16" t="s">
        <v>45</v>
      </c>
      <c r="P642" s="16" t="s">
        <v>31</v>
      </c>
      <c r="Q642" s="16" t="s">
        <v>46</v>
      </c>
      <c r="R642" s="16" t="s">
        <v>2597</v>
      </c>
      <c r="S642" s="17">
        <v>42949</v>
      </c>
      <c r="T642" s="16" t="s">
        <v>526</v>
      </c>
      <c r="U642" s="16" t="s">
        <v>34</v>
      </c>
      <c r="V642" s="17">
        <v>42949</v>
      </c>
      <c r="W642" s="16" t="s">
        <v>35</v>
      </c>
      <c r="X642" s="16" t="s">
        <v>399</v>
      </c>
      <c r="Y642" s="16" t="s">
        <v>350</v>
      </c>
      <c r="Z642" s="16" t="s">
        <v>206</v>
      </c>
      <c r="AA642" s="16" t="s">
        <v>527</v>
      </c>
      <c r="AB642" s="16" t="s">
        <v>528</v>
      </c>
      <c r="AD642" s="16" t="s">
        <v>45</v>
      </c>
      <c r="AE642" s="16">
        <v>41.532809999999998</v>
      </c>
      <c r="AF642" s="16">
        <v>-87.293769999999995</v>
      </c>
      <c r="AG642" s="16" t="s">
        <v>40</v>
      </c>
      <c r="AH642" s="16" t="s">
        <v>41</v>
      </c>
      <c r="AI642" s="16">
        <v>41.532809999999998</v>
      </c>
      <c r="AJ642" s="16">
        <v>-87.293769999999995</v>
      </c>
      <c r="AK642" s="16">
        <v>0</v>
      </c>
      <c r="AL642" s="16">
        <v>0</v>
      </c>
      <c r="AM642" s="16" t="str">
        <f>_xlfn.IFNA(VLOOKUP(Sheet1!$C642,ADMIX_ALL!A:B,2,FALSE),"none")</f>
        <v>K6-18</v>
      </c>
      <c r="AN642" s="16" t="str">
        <f>_xlfn.IFNA(VLOOKUP(Sheet1!C642,ADMIX_SS!A:B,2,FALSE),"none")</f>
        <v>SubSample</v>
      </c>
      <c r="AO642" s="16" t="str">
        <f>_xlfn.IFNA(VLOOKUP(Sheet1!$C642,MONG_PHYLO!A:C,3,FALSE),"-")</f>
        <v>-</v>
      </c>
      <c r="AP642" s="16" t="str">
        <f>_xlfn.IFNA(VLOOKUP(Sheet1!$C642,MAC_PHYLO!A:C,3,FALSE),"-")</f>
        <v>-</v>
      </c>
      <c r="AQ642" s="16" t="str">
        <f>_xlfn.IFNA(VLOOKUP(Sheet1!$C642,ConStruct!A:C,3,FALSE),"-")</f>
        <v>ConStruct</v>
      </c>
      <c r="AR642" s="16" t="str">
        <f>_xlfn.IFNA(VLOOKUP(Sheet1!$C642,GEA!A:C,3,FALSE),"-")</f>
        <v>GEA</v>
      </c>
      <c r="AS642" s="16" t="str">
        <f>_xlfn.IFNA(VLOOKUP(Sheet1!$C642,MAC_DSUITE!A:D,3,FALSE),"-")</f>
        <v>mac_IN_BOW</v>
      </c>
      <c r="AT642" s="16" t="str">
        <f>_xlfn.IFNA(VLOOKUP(Sheet1!$C642,MONG_DSUITE!A:E,2,FALSE),"-")</f>
        <v>macrocarpa_BOW</v>
      </c>
      <c r="AU642" s="16" t="str">
        <f>_xlfn.IFNA(VLOOKUP(Sheet1!$C642,MAC_PAINT2!A:D,4,FALSE),"-")</f>
        <v>-</v>
      </c>
      <c r="AV642" s="16" t="s">
        <v>9195</v>
      </c>
      <c r="AW642" s="16" t="s">
        <v>9193</v>
      </c>
    </row>
    <row r="643" spans="1:49" customFormat="1" x14ac:dyDescent="0.4">
      <c r="A643">
        <v>2112</v>
      </c>
      <c r="B643" t="s">
        <v>532</v>
      </c>
      <c r="C643" t="s">
        <v>533</v>
      </c>
      <c r="D643" t="str">
        <f>_xlfn.CONCAT(C643,".bam")</f>
        <v>SYST-MOR-0007427.bam</v>
      </c>
      <c r="E643" t="s">
        <v>534</v>
      </c>
      <c r="F643" t="s">
        <v>2413</v>
      </c>
      <c r="G643" t="s">
        <v>2487</v>
      </c>
      <c r="H643" t="s">
        <v>2503</v>
      </c>
      <c r="I643" t="s">
        <v>527</v>
      </c>
      <c r="K643" t="s">
        <v>45</v>
      </c>
      <c r="L643" t="s">
        <v>45</v>
      </c>
      <c r="N643" t="s">
        <v>45</v>
      </c>
      <c r="P643" t="s">
        <v>31</v>
      </c>
      <c r="Q643" t="s">
        <v>46</v>
      </c>
      <c r="R643" t="s">
        <v>2597</v>
      </c>
      <c r="S643" s="1">
        <v>42949</v>
      </c>
      <c r="T643" t="s">
        <v>526</v>
      </c>
      <c r="U643" t="s">
        <v>34</v>
      </c>
      <c r="V643" s="1">
        <v>42949</v>
      </c>
      <c r="W643" t="s">
        <v>35</v>
      </c>
      <c r="X643" t="s">
        <v>399</v>
      </c>
      <c r="Y643" t="s">
        <v>350</v>
      </c>
      <c r="Z643" t="s">
        <v>206</v>
      </c>
      <c r="AA643" t="s">
        <v>527</v>
      </c>
      <c r="AB643" t="s">
        <v>528</v>
      </c>
      <c r="AD643" t="s">
        <v>45</v>
      </c>
      <c r="AE643">
        <v>41.533209999999997</v>
      </c>
      <c r="AF643">
        <v>-87.293360000000007</v>
      </c>
      <c r="AG643" t="s">
        <v>40</v>
      </c>
      <c r="AH643" t="s">
        <v>41</v>
      </c>
      <c r="AI643">
        <v>41.533209999999997</v>
      </c>
      <c r="AJ643">
        <v>-87.293360000000007</v>
      </c>
      <c r="AK643">
        <v>0</v>
      </c>
      <c r="AL643">
        <v>0</v>
      </c>
      <c r="AM643" t="str">
        <f>_xlfn.IFNA(VLOOKUP(Sheet1!$C643,ADMIX_ALL!A:B,2,FALSE),"none")</f>
        <v>K6-18</v>
      </c>
      <c r="AN643" t="str">
        <f>_xlfn.IFNA(VLOOKUP(Sheet1!C643,ADMIX_SS!A:B,2,FALSE),"none")</f>
        <v>SubSample</v>
      </c>
      <c r="AO643" t="str">
        <f>_xlfn.IFNA(VLOOKUP(Sheet1!$C643,MONG_PHYLO!A:C,3,FALSE),"-")</f>
        <v>-</v>
      </c>
      <c r="AP643" t="str">
        <f>_xlfn.IFNA(VLOOKUP(Sheet1!$C643,MAC_PHYLO!A:C,3,FALSE),"-")</f>
        <v>-</v>
      </c>
      <c r="AQ643" t="str">
        <f>_xlfn.IFNA(VLOOKUP(Sheet1!$C643,ConStruct!A:C,3,FALSE),"-")</f>
        <v>ConStruct</v>
      </c>
      <c r="AR643" t="str">
        <f>_xlfn.IFNA(VLOOKUP(Sheet1!$C643,GEA!A:C,3,FALSE),"-")</f>
        <v>GEA</v>
      </c>
      <c r="AS643" t="str">
        <f>_xlfn.IFNA(VLOOKUP(Sheet1!$C643,MAC_DSUITE!A:D,3,FALSE),"-")</f>
        <v>mac_IN_BOW</v>
      </c>
      <c r="AT643" t="str">
        <f>_xlfn.IFNA(VLOOKUP(Sheet1!$C643,MONG_DSUITE!A:E,2,FALSE),"-")</f>
        <v>macrocarpa_BOW</v>
      </c>
      <c r="AU643" t="str">
        <f>_xlfn.IFNA(VLOOKUP(Sheet1!$C643,MAC_PAINT2!A:D,4,FALSE),"-")</f>
        <v>macpaint</v>
      </c>
      <c r="AV643" t="s">
        <v>9193</v>
      </c>
      <c r="AW643" t="s">
        <v>9193</v>
      </c>
    </row>
    <row r="644" spans="1:49" s="16" customFormat="1" x14ac:dyDescent="0.4">
      <c r="A644" s="16">
        <v>2113</v>
      </c>
      <c r="B644" s="16" t="s">
        <v>535</v>
      </c>
      <c r="C644" s="16" t="s">
        <v>536</v>
      </c>
      <c r="D644" s="16" t="str">
        <f>_xlfn.CONCAT(C644,".bam")</f>
        <v>SYST-MOR-0007428.bam</v>
      </c>
      <c r="E644" s="16" t="s">
        <v>537</v>
      </c>
      <c r="F644" s="16" t="s">
        <v>2413</v>
      </c>
      <c r="G644" s="16" t="s">
        <v>2487</v>
      </c>
      <c r="H644" s="16" t="s">
        <v>2503</v>
      </c>
      <c r="I644" s="16" t="s">
        <v>527</v>
      </c>
      <c r="K644" s="16" t="s">
        <v>45</v>
      </c>
      <c r="L644" s="16" t="s">
        <v>45</v>
      </c>
      <c r="N644" s="16" t="s">
        <v>45</v>
      </c>
      <c r="P644" s="16" t="s">
        <v>31</v>
      </c>
      <c r="Q644" s="16" t="s">
        <v>46</v>
      </c>
      <c r="R644" s="16" t="s">
        <v>2597</v>
      </c>
      <c r="S644" s="17">
        <v>42949</v>
      </c>
      <c r="T644" s="16" t="s">
        <v>526</v>
      </c>
      <c r="U644" s="16" t="s">
        <v>34</v>
      </c>
      <c r="V644" s="17">
        <v>42949</v>
      </c>
      <c r="W644" s="16" t="s">
        <v>35</v>
      </c>
      <c r="X644" s="16" t="s">
        <v>399</v>
      </c>
      <c r="Y644" s="16" t="s">
        <v>350</v>
      </c>
      <c r="Z644" s="16" t="s">
        <v>206</v>
      </c>
      <c r="AA644" s="16" t="s">
        <v>527</v>
      </c>
      <c r="AB644" s="16" t="s">
        <v>528</v>
      </c>
      <c r="AD644" s="16" t="s">
        <v>45</v>
      </c>
      <c r="AE644" s="16">
        <v>41.533479999999997</v>
      </c>
      <c r="AF644" s="16">
        <v>-87.292310000000001</v>
      </c>
      <c r="AG644" s="16" t="s">
        <v>40</v>
      </c>
      <c r="AH644" s="16" t="s">
        <v>41</v>
      </c>
      <c r="AI644" s="16">
        <v>41.533479999999997</v>
      </c>
      <c r="AJ644" s="16">
        <v>-87.292310000000001</v>
      </c>
      <c r="AK644" s="16">
        <v>0</v>
      </c>
      <c r="AL644" s="16">
        <v>0</v>
      </c>
      <c r="AM644" s="16" t="str">
        <f>_xlfn.IFNA(VLOOKUP(Sheet1!$C644,ADMIX_ALL!A:B,2,FALSE),"none")</f>
        <v>K6-18</v>
      </c>
      <c r="AN644" s="16" t="str">
        <f>_xlfn.IFNA(VLOOKUP(Sheet1!C644,ADMIX_SS!A:B,2,FALSE),"none")</f>
        <v>SubSample</v>
      </c>
      <c r="AO644" s="16" t="str">
        <f>_xlfn.IFNA(VLOOKUP(Sheet1!$C644,MONG_PHYLO!A:C,3,FALSE),"-")</f>
        <v>-</v>
      </c>
      <c r="AP644" s="16" t="str">
        <f>_xlfn.IFNA(VLOOKUP(Sheet1!$C644,MAC_PHYLO!A:C,3,FALSE),"-")</f>
        <v>-</v>
      </c>
      <c r="AQ644" s="16" t="str">
        <f>_xlfn.IFNA(VLOOKUP(Sheet1!$C644,ConStruct!A:C,3,FALSE),"-")</f>
        <v>ConStruct</v>
      </c>
      <c r="AR644" s="16" t="str">
        <f>_xlfn.IFNA(VLOOKUP(Sheet1!$C644,GEA!A:C,3,FALSE),"-")</f>
        <v>GEA</v>
      </c>
      <c r="AS644" s="16" t="str">
        <f>_xlfn.IFNA(VLOOKUP(Sheet1!$C644,MAC_DSUITE!A:D,3,FALSE),"-")</f>
        <v>mac_IN_BOW</v>
      </c>
      <c r="AT644" s="16" t="str">
        <f>_xlfn.IFNA(VLOOKUP(Sheet1!$C644,MONG_DSUITE!A:E,2,FALSE),"-")</f>
        <v>macrocarpa_BOW</v>
      </c>
      <c r="AU644" s="16" t="str">
        <f>_xlfn.IFNA(VLOOKUP(Sheet1!$C644,MAC_PAINT2!A:D,4,FALSE),"-")</f>
        <v>-</v>
      </c>
      <c r="AV644" s="16" t="s">
        <v>9195</v>
      </c>
      <c r="AW644" s="16" t="s">
        <v>9193</v>
      </c>
    </row>
    <row r="645" spans="1:49" customFormat="1" x14ac:dyDescent="0.4">
      <c r="A645">
        <v>2114</v>
      </c>
      <c r="B645" t="s">
        <v>538</v>
      </c>
      <c r="C645" t="s">
        <v>539</v>
      </c>
      <c r="D645" t="str">
        <f>_xlfn.CONCAT(C645,".bam")</f>
        <v>SYST-MOR-0007429.bam</v>
      </c>
      <c r="E645" t="s">
        <v>540</v>
      </c>
      <c r="F645" t="s">
        <v>2413</v>
      </c>
      <c r="G645" t="s">
        <v>2487</v>
      </c>
      <c r="H645" t="s">
        <v>2503</v>
      </c>
      <c r="I645" t="s">
        <v>527</v>
      </c>
      <c r="K645" t="s">
        <v>45</v>
      </c>
      <c r="L645" t="s">
        <v>45</v>
      </c>
      <c r="N645" t="s">
        <v>45</v>
      </c>
      <c r="P645" t="s">
        <v>31</v>
      </c>
      <c r="Q645" t="s">
        <v>46</v>
      </c>
      <c r="R645" t="s">
        <v>2597</v>
      </c>
      <c r="S645" s="1">
        <v>42949</v>
      </c>
      <c r="T645" t="s">
        <v>526</v>
      </c>
      <c r="U645" t="s">
        <v>34</v>
      </c>
      <c r="V645" s="1">
        <v>42949</v>
      </c>
      <c r="W645" t="s">
        <v>35</v>
      </c>
      <c r="X645" t="s">
        <v>399</v>
      </c>
      <c r="Y645" t="s">
        <v>350</v>
      </c>
      <c r="Z645" t="s">
        <v>206</v>
      </c>
      <c r="AA645" t="s">
        <v>527</v>
      </c>
      <c r="AB645" t="s">
        <v>528</v>
      </c>
      <c r="AD645" t="s">
        <v>45</v>
      </c>
      <c r="AE645">
        <v>41.534030000000001</v>
      </c>
      <c r="AF645">
        <v>-87.291460000000001</v>
      </c>
      <c r="AG645" t="s">
        <v>40</v>
      </c>
      <c r="AH645" t="s">
        <v>41</v>
      </c>
      <c r="AI645">
        <v>41.534030000000001</v>
      </c>
      <c r="AJ645">
        <v>-87.291460000000001</v>
      </c>
      <c r="AK645">
        <v>0</v>
      </c>
      <c r="AL645">
        <v>0</v>
      </c>
      <c r="AM645" t="str">
        <f>_xlfn.IFNA(VLOOKUP(Sheet1!$C645,ADMIX_ALL!A:B,2,FALSE),"none")</f>
        <v>K6-18</v>
      </c>
      <c r="AN645" t="str">
        <f>_xlfn.IFNA(VLOOKUP(Sheet1!C645,ADMIX_SS!A:B,2,FALSE),"none")</f>
        <v>SubSample</v>
      </c>
      <c r="AO645" t="str">
        <f>_xlfn.IFNA(VLOOKUP(Sheet1!$C645,MONG_PHYLO!A:C,3,FALSE),"-")</f>
        <v>-</v>
      </c>
      <c r="AP645" t="str">
        <f>_xlfn.IFNA(VLOOKUP(Sheet1!$C645,MAC_PHYLO!A:C,3,FALSE),"-")</f>
        <v>-</v>
      </c>
      <c r="AQ645" t="str">
        <f>_xlfn.IFNA(VLOOKUP(Sheet1!$C645,ConStruct!A:C,3,FALSE),"-")</f>
        <v>ConStruct</v>
      </c>
      <c r="AR645" t="str">
        <f>_xlfn.IFNA(VLOOKUP(Sheet1!$C645,GEA!A:C,3,FALSE),"-")</f>
        <v>GEA</v>
      </c>
      <c r="AS645" t="str">
        <f>_xlfn.IFNA(VLOOKUP(Sheet1!$C645,MAC_DSUITE!A:D,3,FALSE),"-")</f>
        <v>mac_IN_BOW</v>
      </c>
      <c r="AT645" t="str">
        <f>_xlfn.IFNA(VLOOKUP(Sheet1!$C645,MONG_DSUITE!A:E,2,FALSE),"-")</f>
        <v>macrocarpa_BOW</v>
      </c>
      <c r="AU645" t="str">
        <f>_xlfn.IFNA(VLOOKUP(Sheet1!$C645,MAC_PAINT2!A:D,4,FALSE),"-")</f>
        <v>macpaint</v>
      </c>
      <c r="AV645" t="s">
        <v>9193</v>
      </c>
      <c r="AW645" t="s">
        <v>9193</v>
      </c>
    </row>
    <row r="646" spans="1:49" customFormat="1" x14ac:dyDescent="0.4">
      <c r="A646">
        <v>2115</v>
      </c>
      <c r="B646" t="s">
        <v>541</v>
      </c>
      <c r="C646" t="s">
        <v>542</v>
      </c>
      <c r="D646" t="str">
        <f>_xlfn.CONCAT(C646,".bam")</f>
        <v>SYST-MOR-0007430.bam</v>
      </c>
      <c r="E646" t="s">
        <v>543</v>
      </c>
      <c r="F646" t="s">
        <v>2413</v>
      </c>
      <c r="G646" t="s">
        <v>2487</v>
      </c>
      <c r="H646" t="s">
        <v>2503</v>
      </c>
      <c r="I646" t="s">
        <v>527</v>
      </c>
      <c r="K646" t="s">
        <v>45</v>
      </c>
      <c r="L646" t="s">
        <v>45</v>
      </c>
      <c r="N646" t="s">
        <v>45</v>
      </c>
      <c r="P646" t="s">
        <v>31</v>
      </c>
      <c r="Q646" t="s">
        <v>46</v>
      </c>
      <c r="R646" t="s">
        <v>2597</v>
      </c>
      <c r="S646" s="1">
        <v>42949</v>
      </c>
      <c r="T646" t="s">
        <v>526</v>
      </c>
      <c r="U646" t="s">
        <v>34</v>
      </c>
      <c r="V646" s="1">
        <v>42949</v>
      </c>
      <c r="W646" t="s">
        <v>35</v>
      </c>
      <c r="X646" t="s">
        <v>399</v>
      </c>
      <c r="Y646" t="s">
        <v>350</v>
      </c>
      <c r="Z646" t="s">
        <v>206</v>
      </c>
      <c r="AA646" t="s">
        <v>527</v>
      </c>
      <c r="AB646" t="s">
        <v>528</v>
      </c>
      <c r="AD646" t="s">
        <v>45</v>
      </c>
      <c r="AE646">
        <v>41.534500000000001</v>
      </c>
      <c r="AF646">
        <v>-87.292789999999997</v>
      </c>
      <c r="AG646" t="s">
        <v>40</v>
      </c>
      <c r="AH646" t="s">
        <v>41</v>
      </c>
      <c r="AI646">
        <v>41.534500000000001</v>
      </c>
      <c r="AJ646">
        <v>-87.292789999999997</v>
      </c>
      <c r="AK646">
        <v>0</v>
      </c>
      <c r="AL646">
        <v>0</v>
      </c>
      <c r="AM646" t="str">
        <f>_xlfn.IFNA(VLOOKUP(Sheet1!$C646,ADMIX_ALL!A:B,2,FALSE),"none")</f>
        <v>K6-18</v>
      </c>
      <c r="AN646" t="str">
        <f>_xlfn.IFNA(VLOOKUP(Sheet1!C646,ADMIX_SS!A:B,2,FALSE),"none")</f>
        <v>SubSample</v>
      </c>
      <c r="AO646" t="str">
        <f>_xlfn.IFNA(VLOOKUP(Sheet1!$C646,MONG_PHYLO!A:C,3,FALSE),"-")</f>
        <v>-</v>
      </c>
      <c r="AP646" t="str">
        <f>_xlfn.IFNA(VLOOKUP(Sheet1!$C646,MAC_PHYLO!A:C,3,FALSE),"-")</f>
        <v>-</v>
      </c>
      <c r="AQ646" t="str">
        <f>_xlfn.IFNA(VLOOKUP(Sheet1!$C646,ConStruct!A:C,3,FALSE),"-")</f>
        <v>ConStruct</v>
      </c>
      <c r="AR646" t="str">
        <f>_xlfn.IFNA(VLOOKUP(Sheet1!$C646,GEA!A:C,3,FALSE),"-")</f>
        <v>GEA</v>
      </c>
      <c r="AS646" t="str">
        <f>_xlfn.IFNA(VLOOKUP(Sheet1!$C646,MAC_DSUITE!A:D,3,FALSE),"-")</f>
        <v>mac_IN_BOW</v>
      </c>
      <c r="AT646" t="str">
        <f>_xlfn.IFNA(VLOOKUP(Sheet1!$C646,MONG_DSUITE!A:E,2,FALSE),"-")</f>
        <v>macrocarpa_BOW</v>
      </c>
      <c r="AU646" t="str">
        <f>_xlfn.IFNA(VLOOKUP(Sheet1!$C646,MAC_PAINT2!A:D,4,FALSE),"-")</f>
        <v>macpaint</v>
      </c>
      <c r="AV646" t="s">
        <v>9193</v>
      </c>
      <c r="AW646" t="s">
        <v>9193</v>
      </c>
    </row>
    <row r="647" spans="1:49" customFormat="1" x14ac:dyDescent="0.4">
      <c r="A647">
        <v>2116</v>
      </c>
      <c r="B647" t="s">
        <v>544</v>
      </c>
      <c r="C647" t="s">
        <v>545</v>
      </c>
      <c r="D647" t="str">
        <f>_xlfn.CONCAT(C647,".bam")</f>
        <v>SYST-MOR-0007431.bam</v>
      </c>
      <c r="E647" t="s">
        <v>546</v>
      </c>
      <c r="F647" t="s">
        <v>2413</v>
      </c>
      <c r="G647" t="s">
        <v>2487</v>
      </c>
      <c r="H647" t="s">
        <v>2503</v>
      </c>
      <c r="I647" t="s">
        <v>527</v>
      </c>
      <c r="K647" t="s">
        <v>45</v>
      </c>
      <c r="L647" t="s">
        <v>45</v>
      </c>
      <c r="N647" t="s">
        <v>45</v>
      </c>
      <c r="P647" t="s">
        <v>31</v>
      </c>
      <c r="Q647" t="s">
        <v>46</v>
      </c>
      <c r="R647" t="s">
        <v>2597</v>
      </c>
      <c r="S647" s="1">
        <v>42949</v>
      </c>
      <c r="T647" t="s">
        <v>526</v>
      </c>
      <c r="U647" t="s">
        <v>34</v>
      </c>
      <c r="V647" s="1">
        <v>42949</v>
      </c>
      <c r="W647" t="s">
        <v>35</v>
      </c>
      <c r="X647" t="s">
        <v>399</v>
      </c>
      <c r="Y647" t="s">
        <v>350</v>
      </c>
      <c r="Z647" t="s">
        <v>206</v>
      </c>
      <c r="AA647" t="s">
        <v>527</v>
      </c>
      <c r="AB647" t="s">
        <v>528</v>
      </c>
      <c r="AD647" t="s">
        <v>45</v>
      </c>
      <c r="AE647">
        <v>41.534570000000002</v>
      </c>
      <c r="AF647">
        <v>-87.294030000000006</v>
      </c>
      <c r="AG647" t="s">
        <v>40</v>
      </c>
      <c r="AH647" t="s">
        <v>41</v>
      </c>
      <c r="AI647">
        <v>41.534570000000002</v>
      </c>
      <c r="AJ647">
        <v>-87.294030000000006</v>
      </c>
      <c r="AK647">
        <v>0</v>
      </c>
      <c r="AL647">
        <v>0</v>
      </c>
      <c r="AM647" t="str">
        <f>_xlfn.IFNA(VLOOKUP(Sheet1!$C647,ADMIX_ALL!A:B,2,FALSE),"none")</f>
        <v>K6-18</v>
      </c>
      <c r="AN647" t="str">
        <f>_xlfn.IFNA(VLOOKUP(Sheet1!C647,ADMIX_SS!A:B,2,FALSE),"none")</f>
        <v>SubSample</v>
      </c>
      <c r="AO647" t="str">
        <f>_xlfn.IFNA(VLOOKUP(Sheet1!$C647,MONG_PHYLO!A:C,3,FALSE),"-")</f>
        <v>-</v>
      </c>
      <c r="AP647" t="str">
        <f>_xlfn.IFNA(VLOOKUP(Sheet1!$C647,MAC_PHYLO!A:C,3,FALSE),"-")</f>
        <v>-</v>
      </c>
      <c r="AQ647" t="str">
        <f>_xlfn.IFNA(VLOOKUP(Sheet1!$C647,ConStruct!A:C,3,FALSE),"-")</f>
        <v>ConStruct</v>
      </c>
      <c r="AR647" t="str">
        <f>_xlfn.IFNA(VLOOKUP(Sheet1!$C647,GEA!A:C,3,FALSE),"-")</f>
        <v>GEA</v>
      </c>
      <c r="AS647" t="str">
        <f>_xlfn.IFNA(VLOOKUP(Sheet1!$C647,MAC_DSUITE!A:D,3,FALSE),"-")</f>
        <v>mac_IN_BOW</v>
      </c>
      <c r="AT647" t="str">
        <f>_xlfn.IFNA(VLOOKUP(Sheet1!$C647,MONG_DSUITE!A:E,2,FALSE),"-")</f>
        <v>macrocarpa_BOW</v>
      </c>
      <c r="AU647" t="str">
        <f>_xlfn.IFNA(VLOOKUP(Sheet1!$C647,MAC_PAINT2!A:D,4,FALSE),"-")</f>
        <v>macpaint</v>
      </c>
      <c r="AV647" t="s">
        <v>9193</v>
      </c>
      <c r="AW647" t="s">
        <v>9193</v>
      </c>
    </row>
    <row r="648" spans="1:49" customFormat="1" x14ac:dyDescent="0.4">
      <c r="A648">
        <v>2117</v>
      </c>
      <c r="B648" t="s">
        <v>547</v>
      </c>
      <c r="C648" t="s">
        <v>548</v>
      </c>
      <c r="D648" t="str">
        <f>_xlfn.CONCAT(C648,".bam")</f>
        <v>SYST-MOR-0007432.bam</v>
      </c>
      <c r="E648" t="s">
        <v>549</v>
      </c>
      <c r="F648" t="s">
        <v>2413</v>
      </c>
      <c r="G648" t="s">
        <v>2487</v>
      </c>
      <c r="H648" t="s">
        <v>2503</v>
      </c>
      <c r="I648" t="s">
        <v>527</v>
      </c>
      <c r="K648" t="s">
        <v>45</v>
      </c>
      <c r="L648" t="s">
        <v>45</v>
      </c>
      <c r="N648" t="s">
        <v>45</v>
      </c>
      <c r="P648" t="s">
        <v>31</v>
      </c>
      <c r="Q648" t="s">
        <v>46</v>
      </c>
      <c r="R648" t="s">
        <v>2597</v>
      </c>
      <c r="S648" s="1">
        <v>42949</v>
      </c>
      <c r="T648" t="s">
        <v>526</v>
      </c>
      <c r="U648" t="s">
        <v>34</v>
      </c>
      <c r="V648" s="1">
        <v>42949</v>
      </c>
      <c r="W648" t="s">
        <v>35</v>
      </c>
      <c r="X648" t="s">
        <v>399</v>
      </c>
      <c r="Y648" t="s">
        <v>350</v>
      </c>
      <c r="Z648" t="s">
        <v>206</v>
      </c>
      <c r="AA648" t="s">
        <v>527</v>
      </c>
      <c r="AB648" t="s">
        <v>528</v>
      </c>
      <c r="AD648" t="s">
        <v>45</v>
      </c>
      <c r="AE648">
        <v>41.532530000000001</v>
      </c>
      <c r="AF648">
        <v>-87.296610000000001</v>
      </c>
      <c r="AG648" t="s">
        <v>40</v>
      </c>
      <c r="AH648" t="s">
        <v>41</v>
      </c>
      <c r="AI648">
        <v>41.532530000000001</v>
      </c>
      <c r="AJ648">
        <v>-87.296610000000001</v>
      </c>
      <c r="AK648">
        <v>0</v>
      </c>
      <c r="AL648">
        <v>0</v>
      </c>
      <c r="AM648" t="str">
        <f>_xlfn.IFNA(VLOOKUP(Sheet1!$C648,ADMIX_ALL!A:B,2,FALSE),"none")</f>
        <v>K6-18</v>
      </c>
      <c r="AN648" t="str">
        <f>_xlfn.IFNA(VLOOKUP(Sheet1!C648,ADMIX_SS!A:B,2,FALSE),"none")</f>
        <v>SubSample</v>
      </c>
      <c r="AO648" t="str">
        <f>_xlfn.IFNA(VLOOKUP(Sheet1!$C648,MONG_PHYLO!A:C,3,FALSE),"-")</f>
        <v>-</v>
      </c>
      <c r="AP648" t="str">
        <f>_xlfn.IFNA(VLOOKUP(Sheet1!$C648,MAC_PHYLO!A:C,3,FALSE),"-")</f>
        <v>-</v>
      </c>
      <c r="AQ648" t="str">
        <f>_xlfn.IFNA(VLOOKUP(Sheet1!$C648,ConStruct!A:C,3,FALSE),"-")</f>
        <v>ConStruct</v>
      </c>
      <c r="AR648" t="str">
        <f>_xlfn.IFNA(VLOOKUP(Sheet1!$C648,GEA!A:C,3,FALSE),"-")</f>
        <v>GEA</v>
      </c>
      <c r="AS648" t="str">
        <f>_xlfn.IFNA(VLOOKUP(Sheet1!$C648,MAC_DSUITE!A:D,3,FALSE),"-")</f>
        <v>mac_IN_BOW</v>
      </c>
      <c r="AT648" t="str">
        <f>_xlfn.IFNA(VLOOKUP(Sheet1!$C648,MONG_DSUITE!A:E,2,FALSE),"-")</f>
        <v>macrocarpa_BOW</v>
      </c>
      <c r="AU648" t="str">
        <f>_xlfn.IFNA(VLOOKUP(Sheet1!$C648,MAC_PAINT2!A:D,4,FALSE),"-")</f>
        <v>macpaint</v>
      </c>
      <c r="AV648" t="s">
        <v>9193</v>
      </c>
      <c r="AW648" t="s">
        <v>9193</v>
      </c>
    </row>
    <row r="649" spans="1:49" customFormat="1" x14ac:dyDescent="0.4">
      <c r="A649">
        <v>2118</v>
      </c>
      <c r="B649" t="s">
        <v>550</v>
      </c>
      <c r="C649" t="s">
        <v>551</v>
      </c>
      <c r="D649" t="str">
        <f>_xlfn.CONCAT(C649,".bam")</f>
        <v>SYST-MOR-0007433.bam</v>
      </c>
      <c r="E649" t="s">
        <v>552</v>
      </c>
      <c r="F649" t="s">
        <v>2413</v>
      </c>
      <c r="G649" t="s">
        <v>2487</v>
      </c>
      <c r="H649" t="s">
        <v>2503</v>
      </c>
      <c r="I649" t="s">
        <v>527</v>
      </c>
      <c r="K649" t="s">
        <v>45</v>
      </c>
      <c r="L649" t="s">
        <v>45</v>
      </c>
      <c r="N649" t="s">
        <v>45</v>
      </c>
      <c r="P649" t="s">
        <v>31</v>
      </c>
      <c r="Q649" t="s">
        <v>46</v>
      </c>
      <c r="R649" t="s">
        <v>2597</v>
      </c>
      <c r="S649" s="1">
        <v>42949</v>
      </c>
      <c r="T649" t="s">
        <v>526</v>
      </c>
      <c r="U649" t="s">
        <v>34</v>
      </c>
      <c r="V649" s="1">
        <v>42949</v>
      </c>
      <c r="W649" t="s">
        <v>35</v>
      </c>
      <c r="X649" t="s">
        <v>399</v>
      </c>
      <c r="Y649" t="s">
        <v>350</v>
      </c>
      <c r="Z649" t="s">
        <v>206</v>
      </c>
      <c r="AA649" t="s">
        <v>527</v>
      </c>
      <c r="AB649" t="s">
        <v>528</v>
      </c>
      <c r="AD649" t="s">
        <v>45</v>
      </c>
      <c r="AE649">
        <v>41.53246</v>
      </c>
      <c r="AF649">
        <v>-87.296840000000003</v>
      </c>
      <c r="AG649" t="s">
        <v>40</v>
      </c>
      <c r="AH649" t="s">
        <v>41</v>
      </c>
      <c r="AI649">
        <v>41.53246</v>
      </c>
      <c r="AJ649">
        <v>-87.296840000000003</v>
      </c>
      <c r="AK649">
        <v>0</v>
      </c>
      <c r="AL649">
        <v>0</v>
      </c>
      <c r="AM649" t="str">
        <f>_xlfn.IFNA(VLOOKUP(Sheet1!$C649,ADMIX_ALL!A:B,2,FALSE),"none")</f>
        <v>K6-18</v>
      </c>
      <c r="AN649" t="str">
        <f>_xlfn.IFNA(VLOOKUP(Sheet1!C649,ADMIX_SS!A:B,2,FALSE),"none")</f>
        <v>SubSample</v>
      </c>
      <c r="AO649" t="str">
        <f>_xlfn.IFNA(VLOOKUP(Sheet1!$C649,MONG_PHYLO!A:C,3,FALSE),"-")</f>
        <v>-</v>
      </c>
      <c r="AP649" t="str">
        <f>_xlfn.IFNA(VLOOKUP(Sheet1!$C649,MAC_PHYLO!A:C,3,FALSE),"-")</f>
        <v>-</v>
      </c>
      <c r="AQ649" t="str">
        <f>_xlfn.IFNA(VLOOKUP(Sheet1!$C649,ConStruct!A:C,3,FALSE),"-")</f>
        <v>ConStruct</v>
      </c>
      <c r="AR649" t="str">
        <f>_xlfn.IFNA(VLOOKUP(Sheet1!$C649,GEA!A:C,3,FALSE),"-")</f>
        <v>GEA</v>
      </c>
      <c r="AS649" t="str">
        <f>_xlfn.IFNA(VLOOKUP(Sheet1!$C649,MAC_DSUITE!A:D,3,FALSE),"-")</f>
        <v>mac_IN_BOW</v>
      </c>
      <c r="AT649" t="str">
        <f>_xlfn.IFNA(VLOOKUP(Sheet1!$C649,MONG_DSUITE!A:E,2,FALSE),"-")</f>
        <v>macrocarpa_BOW</v>
      </c>
      <c r="AU649" t="str">
        <f>_xlfn.IFNA(VLOOKUP(Sheet1!$C649,MAC_PAINT2!A:D,4,FALSE),"-")</f>
        <v>macpaint</v>
      </c>
      <c r="AV649" t="s">
        <v>9193</v>
      </c>
      <c r="AW649" t="s">
        <v>9193</v>
      </c>
    </row>
    <row r="650" spans="1:49" customFormat="1" x14ac:dyDescent="0.4">
      <c r="A650">
        <v>2119</v>
      </c>
      <c r="B650" t="s">
        <v>553</v>
      </c>
      <c r="C650" t="s">
        <v>554</v>
      </c>
      <c r="D650" t="str">
        <f>_xlfn.CONCAT(C650,".bam")</f>
        <v>SYST-MOR-0007434.bam</v>
      </c>
      <c r="E650" t="s">
        <v>555</v>
      </c>
      <c r="F650" t="s">
        <v>2413</v>
      </c>
      <c r="G650" t="s">
        <v>2487</v>
      </c>
      <c r="H650" t="s">
        <v>2503</v>
      </c>
      <c r="I650" t="s">
        <v>527</v>
      </c>
      <c r="K650" t="s">
        <v>45</v>
      </c>
      <c r="L650" t="s">
        <v>45</v>
      </c>
      <c r="N650" t="s">
        <v>45</v>
      </c>
      <c r="P650" t="s">
        <v>31</v>
      </c>
      <c r="Q650" t="s">
        <v>46</v>
      </c>
      <c r="R650" t="s">
        <v>2597</v>
      </c>
      <c r="S650" s="1">
        <v>42949</v>
      </c>
      <c r="T650" t="s">
        <v>526</v>
      </c>
      <c r="U650" t="s">
        <v>34</v>
      </c>
      <c r="V650" s="1">
        <v>42949</v>
      </c>
      <c r="W650" t="s">
        <v>35</v>
      </c>
      <c r="X650" t="s">
        <v>399</v>
      </c>
      <c r="Y650" t="s">
        <v>350</v>
      </c>
      <c r="Z650" t="s">
        <v>206</v>
      </c>
      <c r="AA650" t="s">
        <v>527</v>
      </c>
      <c r="AB650" t="s">
        <v>528</v>
      </c>
      <c r="AD650" t="s">
        <v>45</v>
      </c>
      <c r="AE650">
        <v>41.532389999999999</v>
      </c>
      <c r="AF650">
        <v>-87.297079999999994</v>
      </c>
      <c r="AG650" t="s">
        <v>40</v>
      </c>
      <c r="AH650" t="s">
        <v>41</v>
      </c>
      <c r="AI650">
        <v>41.532389999999999</v>
      </c>
      <c r="AJ650">
        <v>-87.297079999999994</v>
      </c>
      <c r="AK650">
        <v>0</v>
      </c>
      <c r="AL650">
        <v>0</v>
      </c>
      <c r="AM650" t="str">
        <f>_xlfn.IFNA(VLOOKUP(Sheet1!$C650,ADMIX_ALL!A:B,2,FALSE),"none")</f>
        <v>K6-18</v>
      </c>
      <c r="AN650" t="str">
        <f>_xlfn.IFNA(VLOOKUP(Sheet1!C650,ADMIX_SS!A:B,2,FALSE),"none")</f>
        <v>SubSample</v>
      </c>
      <c r="AO650" t="str">
        <f>_xlfn.IFNA(VLOOKUP(Sheet1!$C650,MONG_PHYLO!A:C,3,FALSE),"-")</f>
        <v>-</v>
      </c>
      <c r="AP650" t="str">
        <f>_xlfn.IFNA(VLOOKUP(Sheet1!$C650,MAC_PHYLO!A:C,3,FALSE),"-")</f>
        <v>-</v>
      </c>
      <c r="AQ650" t="str">
        <f>_xlfn.IFNA(VLOOKUP(Sheet1!$C650,ConStruct!A:C,3,FALSE),"-")</f>
        <v>ConStruct</v>
      </c>
      <c r="AR650" t="str">
        <f>_xlfn.IFNA(VLOOKUP(Sheet1!$C650,GEA!A:C,3,FALSE),"-")</f>
        <v>GEA</v>
      </c>
      <c r="AS650" t="str">
        <f>_xlfn.IFNA(VLOOKUP(Sheet1!$C650,MAC_DSUITE!A:D,3,FALSE),"-")</f>
        <v>mac_IN_BOW</v>
      </c>
      <c r="AT650" t="str">
        <f>_xlfn.IFNA(VLOOKUP(Sheet1!$C650,MONG_DSUITE!A:E,2,FALSE),"-")</f>
        <v>macrocarpa_BOW</v>
      </c>
      <c r="AU650" t="str">
        <f>_xlfn.IFNA(VLOOKUP(Sheet1!$C650,MAC_PAINT2!A:D,4,FALSE),"-")</f>
        <v>macpaint</v>
      </c>
      <c r="AV650" t="s">
        <v>9193</v>
      </c>
      <c r="AW650" t="s">
        <v>9193</v>
      </c>
    </row>
    <row r="651" spans="1:49" customFormat="1" x14ac:dyDescent="0.4">
      <c r="A651">
        <v>2325</v>
      </c>
      <c r="B651" t="s">
        <v>1182</v>
      </c>
      <c r="C651" t="s">
        <v>1183</v>
      </c>
      <c r="D651" t="str">
        <f>_xlfn.CONCAT(C651,".bam")</f>
        <v>SYST-MOR-0007435.bam</v>
      </c>
      <c r="E651" t="s">
        <v>1184</v>
      </c>
      <c r="F651" t="s">
        <v>2436</v>
      </c>
      <c r="G651" t="s">
        <v>2478</v>
      </c>
      <c r="H651" t="s">
        <v>2525</v>
      </c>
      <c r="I651" t="s">
        <v>1187</v>
      </c>
      <c r="K651" t="s">
        <v>45</v>
      </c>
      <c r="L651" t="s">
        <v>45</v>
      </c>
      <c r="N651" t="s">
        <v>45</v>
      </c>
      <c r="P651" t="s">
        <v>31</v>
      </c>
      <c r="Q651" t="s">
        <v>46</v>
      </c>
      <c r="R651" t="s">
        <v>2597</v>
      </c>
      <c r="S651" s="1">
        <v>42963</v>
      </c>
      <c r="T651" t="s">
        <v>1185</v>
      </c>
      <c r="U651" t="s">
        <v>34</v>
      </c>
      <c r="V651" s="1">
        <v>42965</v>
      </c>
      <c r="W651" t="s">
        <v>35</v>
      </c>
      <c r="X651" t="s">
        <v>1089</v>
      </c>
      <c r="Y651" t="s">
        <v>1186</v>
      </c>
      <c r="Z651" t="s">
        <v>206</v>
      </c>
      <c r="AA651" t="s">
        <v>1187</v>
      </c>
      <c r="AB651" t="s">
        <v>1188</v>
      </c>
      <c r="AD651" t="s">
        <v>45</v>
      </c>
      <c r="AE651">
        <v>43.85351</v>
      </c>
      <c r="AF651">
        <v>-83.924679999999995</v>
      </c>
      <c r="AG651" t="s">
        <v>40</v>
      </c>
      <c r="AH651" t="s">
        <v>41</v>
      </c>
      <c r="AI651">
        <v>43.85351</v>
      </c>
      <c r="AJ651">
        <v>-83.924679999999995</v>
      </c>
      <c r="AK651">
        <v>0</v>
      </c>
      <c r="AL651">
        <v>0</v>
      </c>
      <c r="AM651" t="str">
        <f>_xlfn.IFNA(VLOOKUP(Sheet1!$C651,ADMIX_ALL!A:B,2,FALSE),"none")</f>
        <v>K6-18</v>
      </c>
      <c r="AN651" t="str">
        <f>_xlfn.IFNA(VLOOKUP(Sheet1!C651,ADMIX_SS!A:B,2,FALSE),"none")</f>
        <v>SubSample</v>
      </c>
      <c r="AO651" t="str">
        <f>_xlfn.IFNA(VLOOKUP(Sheet1!$C651,MONG_PHYLO!A:C,3,FALSE),"-")</f>
        <v>-</v>
      </c>
      <c r="AP651" t="str">
        <f>_xlfn.IFNA(VLOOKUP(Sheet1!$C651,MAC_PHYLO!A:C,3,FALSE),"-")</f>
        <v>-</v>
      </c>
      <c r="AQ651" t="str">
        <f>_xlfn.IFNA(VLOOKUP(Sheet1!$C651,ConStruct!A:C,3,FALSE),"-")</f>
        <v>ConStruct</v>
      </c>
      <c r="AR651" t="str">
        <f>_xlfn.IFNA(VLOOKUP(Sheet1!$C651,GEA!A:C,3,FALSE),"-")</f>
        <v>-</v>
      </c>
      <c r="AS651" t="str">
        <f>_xlfn.IFNA(VLOOKUP(Sheet1!$C651,MAC_DSUITE!A:D,3,FALSE),"-")</f>
        <v>-</v>
      </c>
      <c r="AT651" t="str">
        <f>_xlfn.IFNA(VLOOKUP(Sheet1!$C651,MONG_DSUITE!A:E,2,FALSE),"-")</f>
        <v>xxx</v>
      </c>
      <c r="AU651" t="str">
        <f>_xlfn.IFNA(VLOOKUP(Sheet1!$C651,MAC_PAINT2!A:D,4,FALSE),"-")</f>
        <v>-</v>
      </c>
    </row>
    <row r="652" spans="1:49" customFormat="1" x14ac:dyDescent="0.4">
      <c r="A652">
        <v>2326</v>
      </c>
      <c r="B652" t="s">
        <v>1189</v>
      </c>
      <c r="C652" t="s">
        <v>1190</v>
      </c>
      <c r="D652" t="str">
        <f>_xlfn.CONCAT(C652,".bam")</f>
        <v>SYST-MOR-0007436.bam</v>
      </c>
      <c r="E652" t="s">
        <v>1191</v>
      </c>
      <c r="F652" t="s">
        <v>2436</v>
      </c>
      <c r="G652" t="s">
        <v>2478</v>
      </c>
      <c r="H652" t="s">
        <v>2525</v>
      </c>
      <c r="I652" t="s">
        <v>1187</v>
      </c>
      <c r="K652" t="s">
        <v>8558</v>
      </c>
      <c r="L652" t="s">
        <v>45</v>
      </c>
      <c r="N652" t="s">
        <v>45</v>
      </c>
      <c r="P652" t="s">
        <v>31</v>
      </c>
      <c r="Q652" t="s">
        <v>46</v>
      </c>
      <c r="R652" t="s">
        <v>2597</v>
      </c>
      <c r="S652" s="1">
        <v>42963</v>
      </c>
      <c r="T652" t="s">
        <v>1185</v>
      </c>
      <c r="U652" t="s">
        <v>34</v>
      </c>
      <c r="V652" s="1">
        <v>42965</v>
      </c>
      <c r="W652" t="s">
        <v>35</v>
      </c>
      <c r="X652" t="s">
        <v>1089</v>
      </c>
      <c r="Y652" t="s">
        <v>1186</v>
      </c>
      <c r="Z652" t="s">
        <v>206</v>
      </c>
      <c r="AA652" t="s">
        <v>1187</v>
      </c>
      <c r="AB652" t="s">
        <v>1188</v>
      </c>
      <c r="AD652" t="s">
        <v>45</v>
      </c>
      <c r="AE652">
        <v>43.853230000000003</v>
      </c>
      <c r="AF652">
        <v>-83.923000000000002</v>
      </c>
      <c r="AG652" t="s">
        <v>40</v>
      </c>
      <c r="AH652" t="s">
        <v>41</v>
      </c>
      <c r="AI652">
        <v>43.853230000000003</v>
      </c>
      <c r="AJ652">
        <v>-83.923000000000002</v>
      </c>
      <c r="AK652">
        <v>0</v>
      </c>
      <c r="AL652">
        <v>0</v>
      </c>
      <c r="AM652" t="str">
        <f>_xlfn.IFNA(VLOOKUP(Sheet1!$C652,ADMIX_ALL!A:B,2,FALSE),"none")</f>
        <v>K6-18</v>
      </c>
      <c r="AN652" t="str">
        <f>_xlfn.IFNA(VLOOKUP(Sheet1!C652,ADMIX_SS!A:B,2,FALSE),"none")</f>
        <v>SubSample</v>
      </c>
      <c r="AO652" t="str">
        <f>_xlfn.IFNA(VLOOKUP(Sheet1!$C652,MONG_PHYLO!A:C,3,FALSE),"-")</f>
        <v>-</v>
      </c>
      <c r="AP652" t="str">
        <f>_xlfn.IFNA(VLOOKUP(Sheet1!$C652,MAC_PHYLO!A:C,3,FALSE),"-")</f>
        <v>-</v>
      </c>
      <c r="AQ652" t="str">
        <f>_xlfn.IFNA(VLOOKUP(Sheet1!$C652,ConStruct!A:C,3,FALSE),"-")</f>
        <v>ConStruct</v>
      </c>
      <c r="AR652" t="str">
        <f>_xlfn.IFNA(VLOOKUP(Sheet1!$C652,GEA!A:C,3,FALSE),"-")</f>
        <v>-</v>
      </c>
      <c r="AS652" t="str">
        <f>_xlfn.IFNA(VLOOKUP(Sheet1!$C652,MAC_DSUITE!A:D,3,FALSE),"-")</f>
        <v>-</v>
      </c>
      <c r="AT652" t="str">
        <f>_xlfn.IFNA(VLOOKUP(Sheet1!$C652,MONG_DSUITE!A:E,2,FALSE),"-")</f>
        <v>xxx</v>
      </c>
      <c r="AU652" t="str">
        <f>_xlfn.IFNA(VLOOKUP(Sheet1!$C652,MAC_PAINT2!A:D,4,FALSE),"-")</f>
        <v>-</v>
      </c>
    </row>
    <row r="653" spans="1:49" s="16" customFormat="1" x14ac:dyDescent="0.4">
      <c r="A653" s="16">
        <v>2327</v>
      </c>
      <c r="B653" s="16" t="s">
        <v>1192</v>
      </c>
      <c r="C653" s="16" t="s">
        <v>1193</v>
      </c>
      <c r="D653" s="16" t="str">
        <f>_xlfn.CONCAT(C653,".bam")</f>
        <v>SYST-MOR-0007437.bam</v>
      </c>
      <c r="E653" s="16" t="s">
        <v>1194</v>
      </c>
      <c r="F653" s="16" t="s">
        <v>2436</v>
      </c>
      <c r="G653" s="16" t="s">
        <v>2478</v>
      </c>
      <c r="H653" s="16" t="s">
        <v>2525</v>
      </c>
      <c r="I653" s="16" t="s">
        <v>1187</v>
      </c>
      <c r="K653" s="16" t="s">
        <v>45</v>
      </c>
      <c r="L653" s="16" t="s">
        <v>45</v>
      </c>
      <c r="N653" s="16" t="s">
        <v>45</v>
      </c>
      <c r="P653" s="16" t="s">
        <v>31</v>
      </c>
      <c r="Q653" s="16" t="s">
        <v>46</v>
      </c>
      <c r="R653" s="16" t="s">
        <v>2597</v>
      </c>
      <c r="S653" s="17">
        <v>42963</v>
      </c>
      <c r="T653" s="16" t="s">
        <v>1185</v>
      </c>
      <c r="U653" s="16" t="s">
        <v>34</v>
      </c>
      <c r="V653" s="17">
        <v>42965</v>
      </c>
      <c r="W653" s="16" t="s">
        <v>35</v>
      </c>
      <c r="X653" s="16" t="s">
        <v>1089</v>
      </c>
      <c r="Y653" s="16" t="s">
        <v>1186</v>
      </c>
      <c r="Z653" s="16" t="s">
        <v>206</v>
      </c>
      <c r="AA653" s="16" t="s">
        <v>1187</v>
      </c>
      <c r="AB653" s="16" t="s">
        <v>1188</v>
      </c>
      <c r="AD653" s="16" t="s">
        <v>45</v>
      </c>
      <c r="AE653" s="16">
        <v>43.853259999999999</v>
      </c>
      <c r="AF653" s="16">
        <v>-83.924940000000007</v>
      </c>
      <c r="AG653" s="16" t="s">
        <v>40</v>
      </c>
      <c r="AH653" s="16" t="s">
        <v>41</v>
      </c>
      <c r="AI653" s="16">
        <v>43.853259999999999</v>
      </c>
      <c r="AJ653" s="16">
        <v>-83.924940000000007</v>
      </c>
      <c r="AK653" s="16">
        <v>0</v>
      </c>
      <c r="AL653" s="16">
        <v>0</v>
      </c>
      <c r="AM653" s="16" t="str">
        <f>_xlfn.IFNA(VLOOKUP(Sheet1!$C653,ADMIX_ALL!A:B,2,FALSE),"none")</f>
        <v>K6-18</v>
      </c>
      <c r="AN653" s="16" t="str">
        <f>_xlfn.IFNA(VLOOKUP(Sheet1!C653,ADMIX_SS!A:B,2,FALSE),"none")</f>
        <v>SubSample</v>
      </c>
      <c r="AO653" s="16" t="str">
        <f>_xlfn.IFNA(VLOOKUP(Sheet1!$C653,MONG_PHYLO!A:C,3,FALSE),"-")</f>
        <v>-</v>
      </c>
      <c r="AP653" s="16" t="str">
        <f>_xlfn.IFNA(VLOOKUP(Sheet1!$C653,MAC_PHYLO!A:C,3,FALSE),"-")</f>
        <v>-</v>
      </c>
      <c r="AQ653" s="16" t="str">
        <f>_xlfn.IFNA(VLOOKUP(Sheet1!$C653,ConStruct!A:C,3,FALSE),"-")</f>
        <v>ConStruct</v>
      </c>
      <c r="AR653" s="16" t="str">
        <f>_xlfn.IFNA(VLOOKUP(Sheet1!$C653,GEA!A:C,3,FALSE),"-")</f>
        <v>GEA</v>
      </c>
      <c r="AS653" s="16" t="str">
        <f>_xlfn.IFNA(VLOOKUP(Sheet1!$C653,MAC_DSUITE!A:D,3,FALSE),"-")</f>
        <v>mac_MI_PCP</v>
      </c>
      <c r="AT653" s="16" t="str">
        <f>_xlfn.IFNA(VLOOKUP(Sheet1!$C653,MONG_DSUITE!A:E,2,FALSE),"-")</f>
        <v>macrocarpa_PCP</v>
      </c>
      <c r="AU653" s="16" t="str">
        <f>_xlfn.IFNA(VLOOKUP(Sheet1!$C653,MAC_PAINT2!A:D,4,FALSE),"-")</f>
        <v>-</v>
      </c>
      <c r="AV653" s="16" t="s">
        <v>9195</v>
      </c>
      <c r="AW653" s="16" t="s">
        <v>9193</v>
      </c>
    </row>
    <row r="654" spans="1:49" x14ac:dyDescent="0.4">
      <c r="A654" s="18">
        <v>2328</v>
      </c>
      <c r="B654" s="18" t="s">
        <v>1195</v>
      </c>
      <c r="C654" s="18" t="s">
        <v>1196</v>
      </c>
      <c r="D654" s="18" t="str">
        <f>_xlfn.CONCAT(C654,".bam")</f>
        <v>SYST-MOR-0007438.bam</v>
      </c>
      <c r="E654" s="18" t="s">
        <v>1197</v>
      </c>
      <c r="F654" s="18" t="s">
        <v>2436</v>
      </c>
      <c r="G654" s="18" t="s">
        <v>2478</v>
      </c>
      <c r="H654" s="18" t="s">
        <v>2525</v>
      </c>
      <c r="I654" s="18" t="s">
        <v>1198</v>
      </c>
      <c r="K654" s="18" t="s">
        <v>45</v>
      </c>
      <c r="L654" s="18" t="s">
        <v>45</v>
      </c>
      <c r="N654" s="18" t="s">
        <v>45</v>
      </c>
      <c r="P654" s="18" t="s">
        <v>31</v>
      </c>
      <c r="Q654" s="18" t="s">
        <v>46</v>
      </c>
      <c r="R654" s="18" t="s">
        <v>2597</v>
      </c>
      <c r="S654" s="18">
        <v>42963</v>
      </c>
      <c r="T654" s="18" t="s">
        <v>1185</v>
      </c>
      <c r="U654" s="18" t="s">
        <v>34</v>
      </c>
      <c r="V654" s="18">
        <v>42965</v>
      </c>
      <c r="W654" s="18" t="s">
        <v>35</v>
      </c>
      <c r="X654" s="18" t="s">
        <v>1089</v>
      </c>
      <c r="Y654" s="18" t="s">
        <v>1186</v>
      </c>
      <c r="Z654" s="18" t="s">
        <v>206</v>
      </c>
      <c r="AA654" s="18" t="s">
        <v>1198</v>
      </c>
      <c r="AB654" s="18" t="s">
        <v>1188</v>
      </c>
      <c r="AD654" s="18" t="s">
        <v>45</v>
      </c>
      <c r="AE654" s="18">
        <v>43.852580000000003</v>
      </c>
      <c r="AF654" s="18">
        <v>-83.924629999999993</v>
      </c>
      <c r="AG654" s="18" t="s">
        <v>40</v>
      </c>
      <c r="AH654" s="18" t="s">
        <v>41</v>
      </c>
      <c r="AI654" s="18">
        <v>43.852580000000003</v>
      </c>
      <c r="AJ654" s="18">
        <v>-83.924629999999993</v>
      </c>
      <c r="AK654" s="18">
        <v>0</v>
      </c>
      <c r="AL654" s="18">
        <v>0</v>
      </c>
      <c r="AM654" s="18" t="str">
        <f>_xlfn.IFNA(VLOOKUP(Sheet1!$C654,ADMIX_ALL!A:B,2,FALSE),"none")</f>
        <v>K6-18</v>
      </c>
      <c r="AN654" s="18" t="str">
        <f>_xlfn.IFNA(VLOOKUP(Sheet1!C654,ADMIX_SS!A:B,2,FALSE),"none")</f>
        <v>SubSample</v>
      </c>
      <c r="AO654" s="18" t="str">
        <f>_xlfn.IFNA(VLOOKUP(Sheet1!$C654,MONG_PHYLO!A:C,3,FALSE),"-")</f>
        <v>-</v>
      </c>
      <c r="AP654" s="18" t="str">
        <f>_xlfn.IFNA(VLOOKUP(Sheet1!$C654,MAC_PHYLO!A:C,3,FALSE),"-")</f>
        <v>-</v>
      </c>
      <c r="AQ654" s="18" t="str">
        <f>_xlfn.IFNA(VLOOKUP(Sheet1!$C654,ConStruct!A:C,3,FALSE),"-")</f>
        <v>ConStruct</v>
      </c>
      <c r="AR654" s="18" t="str">
        <f>_xlfn.IFNA(VLOOKUP(Sheet1!$C654,GEA!A:C,3,FALSE),"-")</f>
        <v>-</v>
      </c>
      <c r="AS654" s="18" t="str">
        <f>_xlfn.IFNA(VLOOKUP(Sheet1!$C654,MAC_DSUITE!A:D,3,FALSE),"-")</f>
        <v>-</v>
      </c>
      <c r="AT654" s="18" t="str">
        <f>_xlfn.IFNA(VLOOKUP(Sheet1!$C654,MONG_DSUITE!A:E,2,FALSE),"-")</f>
        <v>macrocarpa_PCP</v>
      </c>
      <c r="AU654" s="18" t="str">
        <f>_xlfn.IFNA(VLOOKUP(Sheet1!$C654,MAC_PAINT2!A:D,4,FALSE),"-")</f>
        <v>-</v>
      </c>
      <c r="AV654" s="18" t="s">
        <v>9195</v>
      </c>
      <c r="AW654" s="18" t="s">
        <v>9196</v>
      </c>
    </row>
    <row r="655" spans="1:49" customFormat="1" x14ac:dyDescent="0.4">
      <c r="A655">
        <v>2329</v>
      </c>
      <c r="B655" t="s">
        <v>1199</v>
      </c>
      <c r="C655" t="s">
        <v>1200</v>
      </c>
      <c r="D655" t="str">
        <f>_xlfn.CONCAT(C655,".bam")</f>
        <v>SYST-MOR-0007439.bam</v>
      </c>
      <c r="E655" t="s">
        <v>1201</v>
      </c>
      <c r="F655" t="s">
        <v>2436</v>
      </c>
      <c r="G655" t="s">
        <v>2478</v>
      </c>
      <c r="H655" t="s">
        <v>2525</v>
      </c>
      <c r="I655" t="s">
        <v>1202</v>
      </c>
      <c r="K655" t="s">
        <v>8558</v>
      </c>
      <c r="L655" t="s">
        <v>45</v>
      </c>
      <c r="N655" t="s">
        <v>45</v>
      </c>
      <c r="P655" t="s">
        <v>31</v>
      </c>
      <c r="Q655" t="s">
        <v>46</v>
      </c>
      <c r="R655" t="s">
        <v>2597</v>
      </c>
      <c r="S655" s="1">
        <v>42963</v>
      </c>
      <c r="T655" t="s">
        <v>1185</v>
      </c>
      <c r="U655" t="s">
        <v>34</v>
      </c>
      <c r="V655" s="1">
        <v>42965</v>
      </c>
      <c r="W655" t="s">
        <v>35</v>
      </c>
      <c r="X655" t="s">
        <v>1089</v>
      </c>
      <c r="Y655" t="s">
        <v>1186</v>
      </c>
      <c r="Z655" t="s">
        <v>206</v>
      </c>
      <c r="AA655" t="s">
        <v>1202</v>
      </c>
      <c r="AB655" t="s">
        <v>1188</v>
      </c>
      <c r="AD655" t="s">
        <v>45</v>
      </c>
      <c r="AE655">
        <v>43.850090000000002</v>
      </c>
      <c r="AF655">
        <v>-83.923749999999998</v>
      </c>
      <c r="AG655" t="s">
        <v>40</v>
      </c>
      <c r="AH655" t="s">
        <v>41</v>
      </c>
      <c r="AI655">
        <v>43.850090000000002</v>
      </c>
      <c r="AJ655">
        <v>-83.923749999999998</v>
      </c>
      <c r="AK655">
        <v>0</v>
      </c>
      <c r="AL655">
        <v>0</v>
      </c>
      <c r="AM655" t="str">
        <f>_xlfn.IFNA(VLOOKUP(Sheet1!$C655,ADMIX_ALL!A:B,2,FALSE),"none")</f>
        <v>K6-18</v>
      </c>
      <c r="AN655" t="str">
        <f>_xlfn.IFNA(VLOOKUP(Sheet1!C655,ADMIX_SS!A:B,2,FALSE),"none")</f>
        <v>SubSample</v>
      </c>
      <c r="AO655" t="str">
        <f>_xlfn.IFNA(VLOOKUP(Sheet1!$C655,MONG_PHYLO!A:C,3,FALSE),"-")</f>
        <v>-</v>
      </c>
      <c r="AP655" t="str">
        <f>_xlfn.IFNA(VLOOKUP(Sheet1!$C655,MAC_PHYLO!A:C,3,FALSE),"-")</f>
        <v>-</v>
      </c>
      <c r="AQ655" t="str">
        <f>_xlfn.IFNA(VLOOKUP(Sheet1!$C655,ConStruct!A:C,3,FALSE),"-")</f>
        <v>ConStruct</v>
      </c>
      <c r="AR655" t="str">
        <f>_xlfn.IFNA(VLOOKUP(Sheet1!$C655,GEA!A:C,3,FALSE),"-")</f>
        <v>-</v>
      </c>
      <c r="AS655" t="str">
        <f>_xlfn.IFNA(VLOOKUP(Sheet1!$C655,MAC_DSUITE!A:D,3,FALSE),"-")</f>
        <v>-</v>
      </c>
      <c r="AT655" t="str">
        <f>_xlfn.IFNA(VLOOKUP(Sheet1!$C655,MONG_DSUITE!A:E,2,FALSE),"-")</f>
        <v>xxx</v>
      </c>
      <c r="AU655" t="str">
        <f>_xlfn.IFNA(VLOOKUP(Sheet1!$C655,MAC_PAINT2!A:D,4,FALSE),"-")</f>
        <v>-</v>
      </c>
    </row>
    <row r="656" spans="1:49" s="16" customFormat="1" x14ac:dyDescent="0.4">
      <c r="A656" s="16">
        <v>2330</v>
      </c>
      <c r="B656" s="16" t="s">
        <v>1203</v>
      </c>
      <c r="C656" s="16" t="s">
        <v>1204</v>
      </c>
      <c r="D656" s="16" t="str">
        <f>_xlfn.CONCAT(C656,".bam")</f>
        <v>SYST-MOR-0007440.bam</v>
      </c>
      <c r="E656" s="16" t="s">
        <v>1205</v>
      </c>
      <c r="F656" s="16" t="s">
        <v>2436</v>
      </c>
      <c r="G656" s="16" t="s">
        <v>2478</v>
      </c>
      <c r="H656" s="16" t="s">
        <v>2525</v>
      </c>
      <c r="I656" s="16" t="s">
        <v>1202</v>
      </c>
      <c r="K656" s="16" t="s">
        <v>45</v>
      </c>
      <c r="L656" s="16" t="s">
        <v>45</v>
      </c>
      <c r="N656" s="16" t="s">
        <v>45</v>
      </c>
      <c r="P656" s="16" t="s">
        <v>31</v>
      </c>
      <c r="Q656" s="16" t="s">
        <v>46</v>
      </c>
      <c r="R656" s="16" t="s">
        <v>2597</v>
      </c>
      <c r="S656" s="17">
        <v>42963</v>
      </c>
      <c r="T656" s="16" t="s">
        <v>1185</v>
      </c>
      <c r="U656" s="16" t="s">
        <v>34</v>
      </c>
      <c r="V656" s="17">
        <v>42965</v>
      </c>
      <c r="W656" s="16" t="s">
        <v>35</v>
      </c>
      <c r="X656" s="16" t="s">
        <v>1089</v>
      </c>
      <c r="Y656" s="16" t="s">
        <v>1186</v>
      </c>
      <c r="Z656" s="16" t="s">
        <v>206</v>
      </c>
      <c r="AA656" s="16" t="s">
        <v>1202</v>
      </c>
      <c r="AB656" s="16" t="s">
        <v>1188</v>
      </c>
      <c r="AD656" s="16" t="s">
        <v>45</v>
      </c>
      <c r="AE656" s="16">
        <v>43.849609999999998</v>
      </c>
      <c r="AF656" s="16">
        <v>-83.923469999999995</v>
      </c>
      <c r="AG656" s="16" t="s">
        <v>40</v>
      </c>
      <c r="AH656" s="16" t="s">
        <v>41</v>
      </c>
      <c r="AI656" s="16">
        <v>43.849609999999998</v>
      </c>
      <c r="AJ656" s="16">
        <v>-83.923469999999995</v>
      </c>
      <c r="AK656" s="16">
        <v>0</v>
      </c>
      <c r="AL656" s="16">
        <v>0</v>
      </c>
      <c r="AM656" s="16" t="str">
        <f>_xlfn.IFNA(VLOOKUP(Sheet1!$C656,ADMIX_ALL!A:B,2,FALSE),"none")</f>
        <v>K6-18</v>
      </c>
      <c r="AN656" s="16" t="str">
        <f>_xlfn.IFNA(VLOOKUP(Sheet1!C656,ADMIX_SS!A:B,2,FALSE),"none")</f>
        <v>SubSample</v>
      </c>
      <c r="AO656" s="16" t="str">
        <f>_xlfn.IFNA(VLOOKUP(Sheet1!$C656,MONG_PHYLO!A:C,3,FALSE),"-")</f>
        <v>-</v>
      </c>
      <c r="AP656" s="16" t="str">
        <f>_xlfn.IFNA(VLOOKUP(Sheet1!$C656,MAC_PHYLO!A:C,3,FALSE),"-")</f>
        <v>-</v>
      </c>
      <c r="AQ656" s="16" t="str">
        <f>_xlfn.IFNA(VLOOKUP(Sheet1!$C656,ConStruct!A:C,3,FALSE),"-")</f>
        <v>ConStruct</v>
      </c>
      <c r="AR656" s="16" t="str">
        <f>_xlfn.IFNA(VLOOKUP(Sheet1!$C656,GEA!A:C,3,FALSE),"-")</f>
        <v>GEA</v>
      </c>
      <c r="AS656" s="16" t="str">
        <f>_xlfn.IFNA(VLOOKUP(Sheet1!$C656,MAC_DSUITE!A:D,3,FALSE),"-")</f>
        <v>mac_MI_PCP</v>
      </c>
      <c r="AT656" s="16" t="str">
        <f>_xlfn.IFNA(VLOOKUP(Sheet1!$C656,MONG_DSUITE!A:E,2,FALSE),"-")</f>
        <v>macrocarpa_PCP</v>
      </c>
      <c r="AU656" s="16" t="str">
        <f>_xlfn.IFNA(VLOOKUP(Sheet1!$C656,MAC_PAINT2!A:D,4,FALSE),"-")</f>
        <v>-</v>
      </c>
      <c r="AV656" s="16" t="s">
        <v>9195</v>
      </c>
      <c r="AW656" s="16" t="s">
        <v>9193</v>
      </c>
    </row>
    <row r="657" spans="1:49" s="16" customFormat="1" x14ac:dyDescent="0.4">
      <c r="A657" s="16">
        <v>2331</v>
      </c>
      <c r="B657" s="16" t="s">
        <v>1206</v>
      </c>
      <c r="C657" s="16" t="s">
        <v>1207</v>
      </c>
      <c r="D657" s="16" t="str">
        <f>_xlfn.CONCAT(C657,".bam")</f>
        <v>SYST-MOR-0007441.bam</v>
      </c>
      <c r="E657" s="16" t="s">
        <v>1208</v>
      </c>
      <c r="F657" s="16" t="s">
        <v>2436</v>
      </c>
      <c r="G657" s="16" t="s">
        <v>2478</v>
      </c>
      <c r="H657" s="16" t="s">
        <v>2525</v>
      </c>
      <c r="I657" s="16" t="s">
        <v>1202</v>
      </c>
      <c r="K657" s="16" t="s">
        <v>45</v>
      </c>
      <c r="L657" s="16" t="s">
        <v>45</v>
      </c>
      <c r="N657" s="16" t="s">
        <v>45</v>
      </c>
      <c r="P657" s="16" t="s">
        <v>31</v>
      </c>
      <c r="Q657" s="16" t="s">
        <v>46</v>
      </c>
      <c r="R657" s="16" t="s">
        <v>2597</v>
      </c>
      <c r="S657" s="17">
        <v>42963</v>
      </c>
      <c r="T657" s="16" t="s">
        <v>1185</v>
      </c>
      <c r="U657" s="16" t="s">
        <v>34</v>
      </c>
      <c r="V657" s="17">
        <v>42965</v>
      </c>
      <c r="W657" s="16" t="s">
        <v>35</v>
      </c>
      <c r="X657" s="16" t="s">
        <v>1089</v>
      </c>
      <c r="Y657" s="16" t="s">
        <v>1186</v>
      </c>
      <c r="Z657" s="16" t="s">
        <v>206</v>
      </c>
      <c r="AA657" s="16" t="s">
        <v>1202</v>
      </c>
      <c r="AB657" s="16" t="s">
        <v>1188</v>
      </c>
      <c r="AD657" s="16" t="s">
        <v>45</v>
      </c>
      <c r="AE657" s="16">
        <v>43.848219999999998</v>
      </c>
      <c r="AF657" s="16">
        <v>-83.923850000000002</v>
      </c>
      <c r="AG657" s="16" t="s">
        <v>40</v>
      </c>
      <c r="AH657" s="16" t="s">
        <v>41</v>
      </c>
      <c r="AI657" s="16">
        <v>43.848219999999998</v>
      </c>
      <c r="AJ657" s="16">
        <v>-83.923850000000002</v>
      </c>
      <c r="AK657" s="16">
        <v>0</v>
      </c>
      <c r="AL657" s="16">
        <v>0</v>
      </c>
      <c r="AM657" s="16" t="str">
        <f>_xlfn.IFNA(VLOOKUP(Sheet1!$C657,ADMIX_ALL!A:B,2,FALSE),"none")</f>
        <v>K6-18</v>
      </c>
      <c r="AN657" s="16" t="str">
        <f>_xlfn.IFNA(VLOOKUP(Sheet1!C657,ADMIX_SS!A:B,2,FALSE),"none")</f>
        <v>SubSample</v>
      </c>
      <c r="AO657" s="16" t="str">
        <f>_xlfn.IFNA(VLOOKUP(Sheet1!$C657,MONG_PHYLO!A:C,3,FALSE),"-")</f>
        <v>-</v>
      </c>
      <c r="AP657" s="16" t="str">
        <f>_xlfn.IFNA(VLOOKUP(Sheet1!$C657,MAC_PHYLO!A:C,3,FALSE),"-")</f>
        <v>-</v>
      </c>
      <c r="AQ657" s="16" t="str">
        <f>_xlfn.IFNA(VLOOKUP(Sheet1!$C657,ConStruct!A:C,3,FALSE),"-")</f>
        <v>ConStruct</v>
      </c>
      <c r="AR657" s="16" t="str">
        <f>_xlfn.IFNA(VLOOKUP(Sheet1!$C657,GEA!A:C,3,FALSE),"-")</f>
        <v>GEA</v>
      </c>
      <c r="AS657" s="16" t="str">
        <f>_xlfn.IFNA(VLOOKUP(Sheet1!$C657,MAC_DSUITE!A:D,3,FALSE),"-")</f>
        <v>mac_MI_PCP</v>
      </c>
      <c r="AT657" s="16" t="str">
        <f>_xlfn.IFNA(VLOOKUP(Sheet1!$C657,MONG_DSUITE!A:E,2,FALSE),"-")</f>
        <v>macrocarpa_PCP</v>
      </c>
      <c r="AU657" s="16" t="str">
        <f>_xlfn.IFNA(VLOOKUP(Sheet1!$C657,MAC_PAINT2!A:D,4,FALSE),"-")</f>
        <v>-</v>
      </c>
      <c r="AV657" s="16" t="s">
        <v>9195</v>
      </c>
      <c r="AW657" s="16" t="s">
        <v>9193</v>
      </c>
    </row>
    <row r="658" spans="1:49" customFormat="1" x14ac:dyDescent="0.4">
      <c r="A658">
        <v>2332</v>
      </c>
      <c r="B658" t="s">
        <v>1209</v>
      </c>
      <c r="C658" t="s">
        <v>1210</v>
      </c>
      <c r="D658" t="str">
        <f>_xlfn.CONCAT(C658,".bam")</f>
        <v>SYST-MOR-0007442.bam</v>
      </c>
      <c r="E658" t="s">
        <v>1211</v>
      </c>
      <c r="F658" t="s">
        <v>2436</v>
      </c>
      <c r="G658" t="s">
        <v>2478</v>
      </c>
      <c r="H658" t="s">
        <v>2525</v>
      </c>
      <c r="I658" t="s">
        <v>1187</v>
      </c>
      <c r="K658" t="s">
        <v>45</v>
      </c>
      <c r="L658" t="s">
        <v>45</v>
      </c>
      <c r="N658" t="s">
        <v>45</v>
      </c>
      <c r="P658" t="s">
        <v>31</v>
      </c>
      <c r="Q658" t="s">
        <v>46</v>
      </c>
      <c r="R658" t="s">
        <v>2597</v>
      </c>
      <c r="S658" s="1">
        <v>42963</v>
      </c>
      <c r="T658" t="s">
        <v>1185</v>
      </c>
      <c r="U658" t="s">
        <v>34</v>
      </c>
      <c r="V658" s="1">
        <v>42965</v>
      </c>
      <c r="W658" t="s">
        <v>35</v>
      </c>
      <c r="X658" t="s">
        <v>1089</v>
      </c>
      <c r="Y658" t="s">
        <v>1186</v>
      </c>
      <c r="Z658" t="s">
        <v>206</v>
      </c>
      <c r="AA658" t="s">
        <v>1187</v>
      </c>
      <c r="AB658" t="s">
        <v>1188</v>
      </c>
      <c r="AD658" t="s">
        <v>45</v>
      </c>
      <c r="AE658">
        <v>43.854259999999996</v>
      </c>
      <c r="AF658">
        <v>-83.924679999999995</v>
      </c>
      <c r="AG658" t="s">
        <v>40</v>
      </c>
      <c r="AH658" t="s">
        <v>41</v>
      </c>
      <c r="AI658">
        <v>43.854259999999996</v>
      </c>
      <c r="AJ658">
        <v>-83.924679999999995</v>
      </c>
      <c r="AK658">
        <v>0</v>
      </c>
      <c r="AL658">
        <v>0</v>
      </c>
      <c r="AM658" t="str">
        <f>_xlfn.IFNA(VLOOKUP(Sheet1!$C658,ADMIX_ALL!A:B,2,FALSE),"none")</f>
        <v>K6-18</v>
      </c>
      <c r="AN658" t="str">
        <f>_xlfn.IFNA(VLOOKUP(Sheet1!C658,ADMIX_SS!A:B,2,FALSE),"none")</f>
        <v>SubSample</v>
      </c>
      <c r="AO658" t="str">
        <f>_xlfn.IFNA(VLOOKUP(Sheet1!$C658,MONG_PHYLO!A:C,3,FALSE),"-")</f>
        <v>-</v>
      </c>
      <c r="AP658" t="str">
        <f>_xlfn.IFNA(VLOOKUP(Sheet1!$C658,MAC_PHYLO!A:C,3,FALSE),"-")</f>
        <v>-</v>
      </c>
      <c r="AQ658" t="str">
        <f>_xlfn.IFNA(VLOOKUP(Sheet1!$C658,ConStruct!A:C,3,FALSE),"-")</f>
        <v>ConStruct</v>
      </c>
      <c r="AR658" t="str">
        <f>_xlfn.IFNA(VLOOKUP(Sheet1!$C658,GEA!A:C,3,FALSE),"-")</f>
        <v>-</v>
      </c>
      <c r="AS658" t="str">
        <f>_xlfn.IFNA(VLOOKUP(Sheet1!$C658,MAC_DSUITE!A:D,3,FALSE),"-")</f>
        <v>-</v>
      </c>
      <c r="AT658" t="str">
        <f>_xlfn.IFNA(VLOOKUP(Sheet1!$C658,MONG_DSUITE!A:E,2,FALSE),"-")</f>
        <v>xxx</v>
      </c>
      <c r="AU658" t="str">
        <f>_xlfn.IFNA(VLOOKUP(Sheet1!$C658,MAC_PAINT2!A:D,4,FALSE),"-")</f>
        <v>-</v>
      </c>
    </row>
    <row r="659" spans="1:49" customFormat="1" x14ac:dyDescent="0.4">
      <c r="A659">
        <v>2333</v>
      </c>
      <c r="B659" t="s">
        <v>1212</v>
      </c>
      <c r="C659" t="s">
        <v>1213</v>
      </c>
      <c r="D659" t="str">
        <f>_xlfn.CONCAT(C659,".bam")</f>
        <v>SYST-MOR-0007443.bam</v>
      </c>
      <c r="E659" t="s">
        <v>1214</v>
      </c>
      <c r="F659" t="s">
        <v>2436</v>
      </c>
      <c r="G659" t="s">
        <v>2478</v>
      </c>
      <c r="H659" t="s">
        <v>2525</v>
      </c>
      <c r="I659" t="s">
        <v>1215</v>
      </c>
      <c r="K659" t="s">
        <v>45</v>
      </c>
      <c r="L659" t="s">
        <v>45</v>
      </c>
      <c r="N659" t="s">
        <v>45</v>
      </c>
      <c r="P659" t="s">
        <v>31</v>
      </c>
      <c r="Q659" t="s">
        <v>46</v>
      </c>
      <c r="R659" t="s">
        <v>2597</v>
      </c>
      <c r="S659" s="1">
        <v>42963</v>
      </c>
      <c r="T659" t="s">
        <v>1185</v>
      </c>
      <c r="U659" t="s">
        <v>34</v>
      </c>
      <c r="V659" s="1">
        <v>42965</v>
      </c>
      <c r="W659" t="s">
        <v>35</v>
      </c>
      <c r="X659" t="s">
        <v>1089</v>
      </c>
      <c r="Y659" t="s">
        <v>1186</v>
      </c>
      <c r="Z659" t="s">
        <v>206</v>
      </c>
      <c r="AA659" t="s">
        <v>1215</v>
      </c>
      <c r="AB659" t="s">
        <v>1188</v>
      </c>
      <c r="AD659" t="s">
        <v>45</v>
      </c>
      <c r="AE659">
        <v>43.855049999999999</v>
      </c>
      <c r="AF659">
        <v>-83.925020000000004</v>
      </c>
      <c r="AG659" t="s">
        <v>40</v>
      </c>
      <c r="AH659" t="s">
        <v>41</v>
      </c>
      <c r="AI659">
        <v>43.855049999999999</v>
      </c>
      <c r="AJ659">
        <v>-83.925020000000004</v>
      </c>
      <c r="AK659">
        <v>0</v>
      </c>
      <c r="AL659">
        <v>0</v>
      </c>
      <c r="AM659" t="str">
        <f>_xlfn.IFNA(VLOOKUP(Sheet1!$C659,ADMIX_ALL!A:B,2,FALSE),"none")</f>
        <v>K6-18</v>
      </c>
      <c r="AN659" t="str">
        <f>_xlfn.IFNA(VLOOKUP(Sheet1!C659,ADMIX_SS!A:B,2,FALSE),"none")</f>
        <v>SubSample</v>
      </c>
      <c r="AO659" t="str">
        <f>_xlfn.IFNA(VLOOKUP(Sheet1!$C659,MONG_PHYLO!A:C,3,FALSE),"-")</f>
        <v>-</v>
      </c>
      <c r="AP659" t="str">
        <f>_xlfn.IFNA(VLOOKUP(Sheet1!$C659,MAC_PHYLO!A:C,3,FALSE),"-")</f>
        <v>-</v>
      </c>
      <c r="AQ659" t="str">
        <f>_xlfn.IFNA(VLOOKUP(Sheet1!$C659,ConStruct!A:C,3,FALSE),"-")</f>
        <v>ConStruct</v>
      </c>
      <c r="AR659" t="str">
        <f>_xlfn.IFNA(VLOOKUP(Sheet1!$C659,GEA!A:C,3,FALSE),"-")</f>
        <v>-</v>
      </c>
      <c r="AS659" t="str">
        <f>_xlfn.IFNA(VLOOKUP(Sheet1!$C659,MAC_DSUITE!A:D,3,FALSE),"-")</f>
        <v>-</v>
      </c>
      <c r="AT659" t="str">
        <f>_xlfn.IFNA(VLOOKUP(Sheet1!$C659,MONG_DSUITE!A:E,2,FALSE),"-")</f>
        <v>xxx</v>
      </c>
      <c r="AU659" t="str">
        <f>_xlfn.IFNA(VLOOKUP(Sheet1!$C659,MAC_PAINT2!A:D,4,FALSE),"-")</f>
        <v>-</v>
      </c>
    </row>
    <row r="660" spans="1:49" s="16" customFormat="1" x14ac:dyDescent="0.4">
      <c r="A660" s="16">
        <v>2334</v>
      </c>
      <c r="B660" s="16" t="s">
        <v>1216</v>
      </c>
      <c r="C660" s="16" t="s">
        <v>1217</v>
      </c>
      <c r="D660" s="16" t="str">
        <f>_xlfn.CONCAT(C660,".bam")</f>
        <v>SYST-MOR-0007444.bam</v>
      </c>
      <c r="E660" s="16" t="s">
        <v>1218</v>
      </c>
      <c r="F660" s="16" t="s">
        <v>2436</v>
      </c>
      <c r="G660" s="16" t="s">
        <v>2478</v>
      </c>
      <c r="H660" s="16" t="s">
        <v>2525</v>
      </c>
      <c r="I660" s="16" t="s">
        <v>1187</v>
      </c>
      <c r="K660" s="16" t="s">
        <v>45</v>
      </c>
      <c r="L660" s="16" t="s">
        <v>45</v>
      </c>
      <c r="N660" s="16" t="s">
        <v>45</v>
      </c>
      <c r="P660" s="16" t="s">
        <v>31</v>
      </c>
      <c r="Q660" s="16" t="s">
        <v>46</v>
      </c>
      <c r="R660" s="16" t="s">
        <v>2597</v>
      </c>
      <c r="S660" s="17">
        <v>42963</v>
      </c>
      <c r="T660" s="16" t="s">
        <v>1185</v>
      </c>
      <c r="U660" s="16" t="s">
        <v>34</v>
      </c>
      <c r="V660" s="17">
        <v>42965</v>
      </c>
      <c r="W660" s="16" t="s">
        <v>35</v>
      </c>
      <c r="X660" s="16" t="s">
        <v>1089</v>
      </c>
      <c r="Y660" s="16" t="s">
        <v>1186</v>
      </c>
      <c r="Z660" s="16" t="s">
        <v>206</v>
      </c>
      <c r="AA660" s="16" t="s">
        <v>1187</v>
      </c>
      <c r="AB660" s="16" t="s">
        <v>1188</v>
      </c>
      <c r="AD660" s="16" t="s">
        <v>45</v>
      </c>
      <c r="AE660" s="16">
        <v>43.856029999999997</v>
      </c>
      <c r="AF660" s="16">
        <v>-83.924869999999999</v>
      </c>
      <c r="AG660" s="16" t="s">
        <v>40</v>
      </c>
      <c r="AH660" s="16" t="s">
        <v>41</v>
      </c>
      <c r="AI660" s="16">
        <v>43.856029999999997</v>
      </c>
      <c r="AJ660" s="16">
        <v>-83.924869999999999</v>
      </c>
      <c r="AK660" s="16">
        <v>0</v>
      </c>
      <c r="AL660" s="16">
        <v>0</v>
      </c>
      <c r="AM660" s="16" t="str">
        <f>_xlfn.IFNA(VLOOKUP(Sheet1!$C660,ADMIX_ALL!A:B,2,FALSE),"none")</f>
        <v>K6-18</v>
      </c>
      <c r="AN660" s="16" t="str">
        <f>_xlfn.IFNA(VLOOKUP(Sheet1!C660,ADMIX_SS!A:B,2,FALSE),"none")</f>
        <v>SubSample</v>
      </c>
      <c r="AO660" s="16" t="str">
        <f>_xlfn.IFNA(VLOOKUP(Sheet1!$C660,MONG_PHYLO!A:C,3,FALSE),"-")</f>
        <v>-</v>
      </c>
      <c r="AP660" s="16" t="str">
        <f>_xlfn.IFNA(VLOOKUP(Sheet1!$C660,MAC_PHYLO!A:C,3,FALSE),"-")</f>
        <v>-</v>
      </c>
      <c r="AQ660" s="16" t="str">
        <f>_xlfn.IFNA(VLOOKUP(Sheet1!$C660,ConStruct!A:C,3,FALSE),"-")</f>
        <v>ConStruct</v>
      </c>
      <c r="AR660" s="16" t="str">
        <f>_xlfn.IFNA(VLOOKUP(Sheet1!$C660,GEA!A:C,3,FALSE),"-")</f>
        <v>GEA</v>
      </c>
      <c r="AS660" s="16" t="str">
        <f>_xlfn.IFNA(VLOOKUP(Sheet1!$C660,MAC_DSUITE!A:D,3,FALSE),"-")</f>
        <v>mac_MI_PCP</v>
      </c>
      <c r="AT660" s="16" t="str">
        <f>_xlfn.IFNA(VLOOKUP(Sheet1!$C660,MONG_DSUITE!A:E,2,FALSE),"-")</f>
        <v>macrocarpa_PCP</v>
      </c>
      <c r="AU660" s="16" t="str">
        <f>_xlfn.IFNA(VLOOKUP(Sheet1!$C660,MAC_PAINT2!A:D,4,FALSE),"-")</f>
        <v>-</v>
      </c>
      <c r="AV660" s="16" t="s">
        <v>9195</v>
      </c>
      <c r="AW660" s="16" t="s">
        <v>9193</v>
      </c>
    </row>
    <row r="661" spans="1:49" x14ac:dyDescent="0.4">
      <c r="A661" s="18">
        <v>2335</v>
      </c>
      <c r="B661" s="18" t="s">
        <v>1219</v>
      </c>
      <c r="C661" s="18" t="s">
        <v>1220</v>
      </c>
      <c r="D661" s="18" t="str">
        <f>_xlfn.CONCAT(C661,".bam")</f>
        <v>SYST-MOR-0007445.bam</v>
      </c>
      <c r="E661" s="18" t="s">
        <v>1221</v>
      </c>
      <c r="F661" s="18" t="s">
        <v>2436</v>
      </c>
      <c r="G661" s="18" t="s">
        <v>2478</v>
      </c>
      <c r="H661" s="18" t="s">
        <v>2525</v>
      </c>
      <c r="I661" s="18" t="s">
        <v>1187</v>
      </c>
      <c r="K661" s="18" t="s">
        <v>45</v>
      </c>
      <c r="L661" s="18" t="s">
        <v>45</v>
      </c>
      <c r="N661" s="18" t="s">
        <v>45</v>
      </c>
      <c r="P661" s="18" t="s">
        <v>31</v>
      </c>
      <c r="Q661" s="18" t="s">
        <v>46</v>
      </c>
      <c r="R661" s="18" t="s">
        <v>2597</v>
      </c>
      <c r="S661" s="19">
        <v>42963</v>
      </c>
      <c r="T661" s="18" t="s">
        <v>1185</v>
      </c>
      <c r="U661" s="18" t="s">
        <v>34</v>
      </c>
      <c r="V661" s="19">
        <v>42965</v>
      </c>
      <c r="W661" s="18" t="s">
        <v>35</v>
      </c>
      <c r="X661" s="18" t="s">
        <v>1089</v>
      </c>
      <c r="Y661" s="18" t="s">
        <v>1186</v>
      </c>
      <c r="Z661" s="18" t="s">
        <v>206</v>
      </c>
      <c r="AA661" s="18" t="s">
        <v>1187</v>
      </c>
      <c r="AB661" s="18" t="s">
        <v>1188</v>
      </c>
      <c r="AD661" s="18" t="s">
        <v>45</v>
      </c>
      <c r="AE661" s="18">
        <v>43.857140000000001</v>
      </c>
      <c r="AF661" s="18">
        <v>-83.925240000000002</v>
      </c>
      <c r="AG661" s="18" t="s">
        <v>40</v>
      </c>
      <c r="AH661" s="18" t="s">
        <v>41</v>
      </c>
      <c r="AI661" s="18">
        <v>43.857140000000001</v>
      </c>
      <c r="AJ661" s="18">
        <v>-83.925240000000002</v>
      </c>
      <c r="AK661" s="18">
        <v>0</v>
      </c>
      <c r="AL661" s="18">
        <v>0</v>
      </c>
      <c r="AM661" s="18" t="str">
        <f>_xlfn.IFNA(VLOOKUP(Sheet1!$C661,ADMIX_ALL!A:B,2,FALSE),"none")</f>
        <v>K6-18</v>
      </c>
      <c r="AN661" s="18" t="str">
        <f>_xlfn.IFNA(VLOOKUP(Sheet1!C661,ADMIX_SS!A:B,2,FALSE),"none")</f>
        <v>SubSample</v>
      </c>
      <c r="AO661" s="18" t="str">
        <f>_xlfn.IFNA(VLOOKUP(Sheet1!$C661,MONG_PHYLO!A:C,3,FALSE),"-")</f>
        <v>-</v>
      </c>
      <c r="AP661" s="18" t="str">
        <f>_xlfn.IFNA(VLOOKUP(Sheet1!$C661,MAC_PHYLO!A:C,3,FALSE),"-")</f>
        <v>-</v>
      </c>
      <c r="AQ661" s="18" t="str">
        <f>_xlfn.IFNA(VLOOKUP(Sheet1!$C661,ConStruct!A:C,3,FALSE),"-")</f>
        <v>ConStruct</v>
      </c>
      <c r="AR661" s="18" t="str">
        <f>_xlfn.IFNA(VLOOKUP(Sheet1!$C661,GEA!A:C,3,FALSE),"-")</f>
        <v>-</v>
      </c>
      <c r="AS661" s="18" t="str">
        <f>_xlfn.IFNA(VLOOKUP(Sheet1!$C661,MAC_DSUITE!A:D,3,FALSE),"-")</f>
        <v>-</v>
      </c>
      <c r="AT661" s="18" t="str">
        <f>_xlfn.IFNA(VLOOKUP(Sheet1!$C661,MONG_DSUITE!A:E,2,FALSE),"-")</f>
        <v>macrocarpa_PCP</v>
      </c>
      <c r="AU661" s="18" t="str">
        <f>_xlfn.IFNA(VLOOKUP(Sheet1!$C661,MAC_PAINT2!A:D,4,FALSE),"-")</f>
        <v>-</v>
      </c>
      <c r="AV661" s="18" t="s">
        <v>9195</v>
      </c>
      <c r="AW661" s="18" t="s">
        <v>9196</v>
      </c>
    </row>
    <row r="662" spans="1:49" customFormat="1" x14ac:dyDescent="0.4">
      <c r="A662">
        <v>2424</v>
      </c>
      <c r="B662" t="s">
        <v>1316</v>
      </c>
      <c r="C662" t="s">
        <v>1317</v>
      </c>
      <c r="D662" t="str">
        <f>_xlfn.CONCAT(C662,".bam")</f>
        <v>SYST-MOR-0007446.bam</v>
      </c>
      <c r="E662" t="s">
        <v>1318</v>
      </c>
      <c r="F662" t="s">
        <v>2439</v>
      </c>
      <c r="G662" t="s">
        <v>2480</v>
      </c>
      <c r="H662" t="s">
        <v>2529</v>
      </c>
      <c r="I662" t="s">
        <v>1321</v>
      </c>
      <c r="K662" t="s">
        <v>45</v>
      </c>
      <c r="L662" t="s">
        <v>45</v>
      </c>
      <c r="N662" t="s">
        <v>45</v>
      </c>
      <c r="P662" t="s">
        <v>31</v>
      </c>
      <c r="Q662" t="s">
        <v>46</v>
      </c>
      <c r="R662" t="s">
        <v>2597</v>
      </c>
      <c r="S662" s="1">
        <v>42974</v>
      </c>
      <c r="T662" t="s">
        <v>1319</v>
      </c>
      <c r="U662" t="s">
        <v>34</v>
      </c>
      <c r="V662" s="1">
        <v>42977</v>
      </c>
      <c r="W662" t="s">
        <v>35</v>
      </c>
      <c r="X662" t="s">
        <v>1260</v>
      </c>
      <c r="Y662" t="s">
        <v>1320</v>
      </c>
      <c r="Z662" t="s">
        <v>206</v>
      </c>
      <c r="AA662" t="s">
        <v>1321</v>
      </c>
      <c r="AB662" t="s">
        <v>1322</v>
      </c>
      <c r="AD662" t="s">
        <v>45</v>
      </c>
      <c r="AE662">
        <v>44.363880000000002</v>
      </c>
      <c r="AF662">
        <v>-93.935429999999997</v>
      </c>
      <c r="AG662" t="s">
        <v>40</v>
      </c>
      <c r="AH662" t="s">
        <v>41</v>
      </c>
      <c r="AI662">
        <v>44.363880000000002</v>
      </c>
      <c r="AJ662">
        <v>-93.935429999999997</v>
      </c>
      <c r="AK662">
        <v>0</v>
      </c>
      <c r="AL662">
        <v>0</v>
      </c>
      <c r="AM662" t="str">
        <f>_xlfn.IFNA(VLOOKUP(Sheet1!$C662,ADMIX_ALL!A:B,2,FALSE),"none")</f>
        <v>K6-18</v>
      </c>
      <c r="AN662" t="str">
        <f>_xlfn.IFNA(VLOOKUP(Sheet1!C662,ADMIX_SS!A:B,2,FALSE),"none")</f>
        <v>SubSample</v>
      </c>
      <c r="AO662" t="str">
        <f>_xlfn.IFNA(VLOOKUP(Sheet1!$C662,MONG_PHYLO!A:C,3,FALSE),"-")</f>
        <v>-</v>
      </c>
      <c r="AP662" t="str">
        <f>_xlfn.IFNA(VLOOKUP(Sheet1!$C662,MAC_PHYLO!A:C,3,FALSE),"-")</f>
        <v>-</v>
      </c>
      <c r="AQ662" t="str">
        <f>_xlfn.IFNA(VLOOKUP(Sheet1!$C662,ConStruct!A:C,3,FALSE),"-")</f>
        <v>ConStruct</v>
      </c>
      <c r="AR662" t="str">
        <f>_xlfn.IFNA(VLOOKUP(Sheet1!$C662,GEA!A:C,3,FALSE),"-")</f>
        <v>GEA</v>
      </c>
      <c r="AS662" t="str">
        <f>_xlfn.IFNA(VLOOKUP(Sheet1!$C662,MAC_DSUITE!A:D,3,FALSE),"-")</f>
        <v>mac_MN_OTB</v>
      </c>
      <c r="AT662" t="str">
        <f>_xlfn.IFNA(VLOOKUP(Sheet1!$C662,MONG_DSUITE!A:E,2,FALSE),"-")</f>
        <v>macrocarpa_OTB</v>
      </c>
      <c r="AU662" t="str">
        <f>_xlfn.IFNA(VLOOKUP(Sheet1!$C662,MAC_PAINT2!A:D,4,FALSE),"-")</f>
        <v>macpaint</v>
      </c>
      <c r="AV662" t="s">
        <v>9193</v>
      </c>
      <c r="AW662" t="s">
        <v>9193</v>
      </c>
    </row>
    <row r="663" spans="1:49" customFormat="1" x14ac:dyDescent="0.4">
      <c r="A663">
        <v>2425</v>
      </c>
      <c r="B663" t="s">
        <v>1323</v>
      </c>
      <c r="C663" t="s">
        <v>1324</v>
      </c>
      <c r="D663" t="str">
        <f>_xlfn.CONCAT(C663,".bam")</f>
        <v>SYST-MOR-0007447.bam</v>
      </c>
      <c r="E663" t="s">
        <v>1325</v>
      </c>
      <c r="F663" t="s">
        <v>2439</v>
      </c>
      <c r="G663" t="s">
        <v>2480</v>
      </c>
      <c r="H663" t="s">
        <v>2529</v>
      </c>
      <c r="I663" t="s">
        <v>1321</v>
      </c>
      <c r="K663" t="s">
        <v>45</v>
      </c>
      <c r="L663" t="s">
        <v>45</v>
      </c>
      <c r="N663" t="s">
        <v>45</v>
      </c>
      <c r="P663" t="s">
        <v>31</v>
      </c>
      <c r="Q663" t="s">
        <v>46</v>
      </c>
      <c r="R663" t="s">
        <v>2597</v>
      </c>
      <c r="S663" s="1">
        <v>42974</v>
      </c>
      <c r="T663" t="s">
        <v>1319</v>
      </c>
      <c r="U663" t="s">
        <v>34</v>
      </c>
      <c r="V663" s="1">
        <v>42977</v>
      </c>
      <c r="W663" t="s">
        <v>35</v>
      </c>
      <c r="X663" t="s">
        <v>1260</v>
      </c>
      <c r="Y663" t="s">
        <v>1320</v>
      </c>
      <c r="Z663" t="s">
        <v>206</v>
      </c>
      <c r="AA663" t="s">
        <v>1321</v>
      </c>
      <c r="AB663" t="s">
        <v>1322</v>
      </c>
      <c r="AD663" t="s">
        <v>45</v>
      </c>
      <c r="AE663">
        <v>44.363880000000002</v>
      </c>
      <c r="AF663">
        <v>-93.935429999999997</v>
      </c>
      <c r="AG663" t="s">
        <v>40</v>
      </c>
      <c r="AH663" t="s">
        <v>41</v>
      </c>
      <c r="AI663">
        <v>44.363880000000002</v>
      </c>
      <c r="AJ663">
        <v>-93.935429999999997</v>
      </c>
      <c r="AK663">
        <v>0</v>
      </c>
      <c r="AL663">
        <v>0</v>
      </c>
      <c r="AM663" t="str">
        <f>_xlfn.IFNA(VLOOKUP(Sheet1!$C663,ADMIX_ALL!A:B,2,FALSE),"none")</f>
        <v>K6-18</v>
      </c>
      <c r="AN663" t="str">
        <f>_xlfn.IFNA(VLOOKUP(Sheet1!C663,ADMIX_SS!A:B,2,FALSE),"none")</f>
        <v>SubSample</v>
      </c>
      <c r="AO663" t="str">
        <f>_xlfn.IFNA(VLOOKUP(Sheet1!$C663,MONG_PHYLO!A:C,3,FALSE),"-")</f>
        <v>-</v>
      </c>
      <c r="AP663" t="str">
        <f>_xlfn.IFNA(VLOOKUP(Sheet1!$C663,MAC_PHYLO!A:C,3,FALSE),"-")</f>
        <v>-</v>
      </c>
      <c r="AQ663" t="str">
        <f>_xlfn.IFNA(VLOOKUP(Sheet1!$C663,ConStruct!A:C,3,FALSE),"-")</f>
        <v>ConStruct</v>
      </c>
      <c r="AR663" t="str">
        <f>_xlfn.IFNA(VLOOKUP(Sheet1!$C663,GEA!A:C,3,FALSE),"-")</f>
        <v>GEA</v>
      </c>
      <c r="AS663" t="str">
        <f>_xlfn.IFNA(VLOOKUP(Sheet1!$C663,MAC_DSUITE!A:D,3,FALSE),"-")</f>
        <v>mac_MN_OTB</v>
      </c>
      <c r="AT663" t="str">
        <f>_xlfn.IFNA(VLOOKUP(Sheet1!$C663,MONG_DSUITE!A:E,2,FALSE),"-")</f>
        <v>macrocarpa_OTB</v>
      </c>
      <c r="AU663" t="str">
        <f>_xlfn.IFNA(VLOOKUP(Sheet1!$C663,MAC_PAINT2!A:D,4,FALSE),"-")</f>
        <v>macpaint</v>
      </c>
      <c r="AV663" t="s">
        <v>9193</v>
      </c>
      <c r="AW663" t="s">
        <v>9193</v>
      </c>
    </row>
    <row r="664" spans="1:49" customFormat="1" x14ac:dyDescent="0.4">
      <c r="A664">
        <v>2426</v>
      </c>
      <c r="B664" t="s">
        <v>1326</v>
      </c>
      <c r="C664" t="s">
        <v>1327</v>
      </c>
      <c r="D664" t="str">
        <f>_xlfn.CONCAT(C664,".bam")</f>
        <v>SYST-MOR-0007448.bam</v>
      </c>
      <c r="E664" t="s">
        <v>1328</v>
      </c>
      <c r="F664" t="s">
        <v>2439</v>
      </c>
      <c r="G664" t="s">
        <v>2480</v>
      </c>
      <c r="H664" t="s">
        <v>2529</v>
      </c>
      <c r="I664" t="s">
        <v>1321</v>
      </c>
      <c r="K664" t="s">
        <v>45</v>
      </c>
      <c r="L664" t="s">
        <v>45</v>
      </c>
      <c r="N664" t="s">
        <v>45</v>
      </c>
      <c r="P664" t="s">
        <v>31</v>
      </c>
      <c r="Q664" t="s">
        <v>46</v>
      </c>
      <c r="R664" t="s">
        <v>2597</v>
      </c>
      <c r="S664" s="1">
        <v>42974</v>
      </c>
      <c r="T664" t="s">
        <v>1319</v>
      </c>
      <c r="U664" t="s">
        <v>34</v>
      </c>
      <c r="V664" s="1">
        <v>42977</v>
      </c>
      <c r="W664" t="s">
        <v>35</v>
      </c>
      <c r="X664" t="s">
        <v>1260</v>
      </c>
      <c r="Y664" t="s">
        <v>1320</v>
      </c>
      <c r="Z664" t="s">
        <v>206</v>
      </c>
      <c r="AA664" t="s">
        <v>1321</v>
      </c>
      <c r="AB664" t="s">
        <v>1322</v>
      </c>
      <c r="AD664" t="s">
        <v>45</v>
      </c>
      <c r="AE664">
        <v>44.363880000000002</v>
      </c>
      <c r="AF664">
        <v>-93.935429999999997</v>
      </c>
      <c r="AG664" t="s">
        <v>40</v>
      </c>
      <c r="AH664" t="s">
        <v>41</v>
      </c>
      <c r="AI664">
        <v>44.363880000000002</v>
      </c>
      <c r="AJ664">
        <v>-93.935429999999997</v>
      </c>
      <c r="AK664">
        <v>0</v>
      </c>
      <c r="AL664">
        <v>0</v>
      </c>
      <c r="AM664" t="str">
        <f>_xlfn.IFNA(VLOOKUP(Sheet1!$C664,ADMIX_ALL!A:B,2,FALSE),"none")</f>
        <v>K6-18</v>
      </c>
      <c r="AN664" t="str">
        <f>_xlfn.IFNA(VLOOKUP(Sheet1!C664,ADMIX_SS!A:B,2,FALSE),"none")</f>
        <v>SubSample</v>
      </c>
      <c r="AO664" t="str">
        <f>_xlfn.IFNA(VLOOKUP(Sheet1!$C664,MONG_PHYLO!A:C,3,FALSE),"-")</f>
        <v>-</v>
      </c>
      <c r="AP664" t="str">
        <f>_xlfn.IFNA(VLOOKUP(Sheet1!$C664,MAC_PHYLO!A:C,3,FALSE),"-")</f>
        <v>-</v>
      </c>
      <c r="AQ664" t="str">
        <f>_xlfn.IFNA(VLOOKUP(Sheet1!$C664,ConStruct!A:C,3,FALSE),"-")</f>
        <v>ConStruct</v>
      </c>
      <c r="AR664" t="str">
        <f>_xlfn.IFNA(VLOOKUP(Sheet1!$C664,GEA!A:C,3,FALSE),"-")</f>
        <v>GEA</v>
      </c>
      <c r="AS664" t="str">
        <f>_xlfn.IFNA(VLOOKUP(Sheet1!$C664,MAC_DSUITE!A:D,3,FALSE),"-")</f>
        <v>mac_MN_OTB</v>
      </c>
      <c r="AT664" t="str">
        <f>_xlfn.IFNA(VLOOKUP(Sheet1!$C664,MONG_DSUITE!A:E,2,FALSE),"-")</f>
        <v>macrocarpa_OTB</v>
      </c>
      <c r="AU664" t="str">
        <f>_xlfn.IFNA(VLOOKUP(Sheet1!$C664,MAC_PAINT2!A:D,4,FALSE),"-")</f>
        <v>macpaint</v>
      </c>
      <c r="AV664" t="s">
        <v>9193</v>
      </c>
      <c r="AW664" t="s">
        <v>9193</v>
      </c>
    </row>
    <row r="665" spans="1:49" customFormat="1" x14ac:dyDescent="0.4">
      <c r="A665">
        <v>2427</v>
      </c>
      <c r="B665" t="s">
        <v>1329</v>
      </c>
      <c r="C665" t="s">
        <v>1330</v>
      </c>
      <c r="D665" t="str">
        <f>_xlfn.CONCAT(C665,".bam")</f>
        <v>SYST-MOR-0007449.bam</v>
      </c>
      <c r="E665" t="s">
        <v>1331</v>
      </c>
      <c r="F665" t="s">
        <v>2439</v>
      </c>
      <c r="G665" t="s">
        <v>2480</v>
      </c>
      <c r="H665" t="s">
        <v>2529</v>
      </c>
      <c r="I665" t="s">
        <v>1321</v>
      </c>
      <c r="K665" t="s">
        <v>45</v>
      </c>
      <c r="L665" t="s">
        <v>45</v>
      </c>
      <c r="N665" t="s">
        <v>45</v>
      </c>
      <c r="P665" t="s">
        <v>31</v>
      </c>
      <c r="Q665" t="s">
        <v>46</v>
      </c>
      <c r="R665" t="s">
        <v>2597</v>
      </c>
      <c r="S665" s="1">
        <v>42974</v>
      </c>
      <c r="T665" t="s">
        <v>1319</v>
      </c>
      <c r="U665" t="s">
        <v>34</v>
      </c>
      <c r="V665" s="1">
        <v>42977</v>
      </c>
      <c r="W665" t="s">
        <v>35</v>
      </c>
      <c r="X665" t="s">
        <v>1260</v>
      </c>
      <c r="Y665" t="s">
        <v>1320</v>
      </c>
      <c r="Z665" t="s">
        <v>206</v>
      </c>
      <c r="AA665" t="s">
        <v>1321</v>
      </c>
      <c r="AB665" t="s">
        <v>1322</v>
      </c>
      <c r="AD665" t="s">
        <v>45</v>
      </c>
      <c r="AE665">
        <v>44.363880000000002</v>
      </c>
      <c r="AF665">
        <v>-93.935429999999997</v>
      </c>
      <c r="AG665" t="s">
        <v>40</v>
      </c>
      <c r="AH665" t="s">
        <v>41</v>
      </c>
      <c r="AI665">
        <v>44.363880000000002</v>
      </c>
      <c r="AJ665">
        <v>-93.935429999999997</v>
      </c>
      <c r="AK665">
        <v>0</v>
      </c>
      <c r="AL665">
        <v>0</v>
      </c>
      <c r="AM665" t="str">
        <f>_xlfn.IFNA(VLOOKUP(Sheet1!$C665,ADMIX_ALL!A:B,2,FALSE),"none")</f>
        <v>K6-18</v>
      </c>
      <c r="AN665" t="str">
        <f>_xlfn.IFNA(VLOOKUP(Sheet1!C665,ADMIX_SS!A:B,2,FALSE),"none")</f>
        <v>SubSample</v>
      </c>
      <c r="AO665" t="str">
        <f>_xlfn.IFNA(VLOOKUP(Sheet1!$C665,MONG_PHYLO!A:C,3,FALSE),"-")</f>
        <v>-</v>
      </c>
      <c r="AP665" t="str">
        <f>_xlfn.IFNA(VLOOKUP(Sheet1!$C665,MAC_PHYLO!A:C,3,FALSE),"-")</f>
        <v>-</v>
      </c>
      <c r="AQ665" t="str">
        <f>_xlfn.IFNA(VLOOKUP(Sheet1!$C665,ConStruct!A:C,3,FALSE),"-")</f>
        <v>ConStruct</v>
      </c>
      <c r="AR665" t="str">
        <f>_xlfn.IFNA(VLOOKUP(Sheet1!$C665,GEA!A:C,3,FALSE),"-")</f>
        <v>GEA</v>
      </c>
      <c r="AS665" t="str">
        <f>_xlfn.IFNA(VLOOKUP(Sheet1!$C665,MAC_DSUITE!A:D,3,FALSE),"-")</f>
        <v>mac_MN_OTB</v>
      </c>
      <c r="AT665" t="str">
        <f>_xlfn.IFNA(VLOOKUP(Sheet1!$C665,MONG_DSUITE!A:E,2,FALSE),"-")</f>
        <v>macrocarpa_OTB</v>
      </c>
      <c r="AU665" t="str">
        <f>_xlfn.IFNA(VLOOKUP(Sheet1!$C665,MAC_PAINT2!A:D,4,FALSE),"-")</f>
        <v>macpaint</v>
      </c>
      <c r="AV665" t="s">
        <v>9193</v>
      </c>
      <c r="AW665" t="s">
        <v>9193</v>
      </c>
    </row>
    <row r="666" spans="1:49" customFormat="1" x14ac:dyDescent="0.4">
      <c r="A666">
        <v>2428</v>
      </c>
      <c r="B666" t="s">
        <v>1332</v>
      </c>
      <c r="C666" t="s">
        <v>1333</v>
      </c>
      <c r="D666" t="str">
        <f>_xlfn.CONCAT(C666,".bam")</f>
        <v>SYST-MOR-0007450.bam</v>
      </c>
      <c r="E666" t="s">
        <v>1334</v>
      </c>
      <c r="F666" t="s">
        <v>2439</v>
      </c>
      <c r="G666" t="s">
        <v>2480</v>
      </c>
      <c r="H666" t="s">
        <v>2529</v>
      </c>
      <c r="I666" t="s">
        <v>1321</v>
      </c>
      <c r="K666" t="s">
        <v>45</v>
      </c>
      <c r="L666" t="s">
        <v>45</v>
      </c>
      <c r="N666" t="s">
        <v>45</v>
      </c>
      <c r="P666" t="s">
        <v>31</v>
      </c>
      <c r="Q666" t="s">
        <v>46</v>
      </c>
      <c r="R666" t="s">
        <v>2597</v>
      </c>
      <c r="S666" s="1">
        <v>42974</v>
      </c>
      <c r="T666" t="s">
        <v>1319</v>
      </c>
      <c r="U666" t="s">
        <v>34</v>
      </c>
      <c r="V666" s="1">
        <v>42977</v>
      </c>
      <c r="W666" t="s">
        <v>35</v>
      </c>
      <c r="X666" t="s">
        <v>1260</v>
      </c>
      <c r="Y666" t="s">
        <v>1320</v>
      </c>
      <c r="Z666" t="s">
        <v>206</v>
      </c>
      <c r="AA666" t="s">
        <v>1321</v>
      </c>
      <c r="AB666" t="s">
        <v>1322</v>
      </c>
      <c r="AD666" t="s">
        <v>45</v>
      </c>
      <c r="AE666">
        <v>44.364130000000003</v>
      </c>
      <c r="AF666">
        <v>-93.935509999999994</v>
      </c>
      <c r="AG666" t="s">
        <v>40</v>
      </c>
      <c r="AH666" t="s">
        <v>41</v>
      </c>
      <c r="AI666">
        <v>44.364130000000003</v>
      </c>
      <c r="AJ666">
        <v>-93.935509999999994</v>
      </c>
      <c r="AK666">
        <v>0</v>
      </c>
      <c r="AL666">
        <v>0</v>
      </c>
      <c r="AM666" t="str">
        <f>_xlfn.IFNA(VLOOKUP(Sheet1!$C666,ADMIX_ALL!A:B,2,FALSE),"none")</f>
        <v>K6-18</v>
      </c>
      <c r="AN666" t="str">
        <f>_xlfn.IFNA(VLOOKUP(Sheet1!C666,ADMIX_SS!A:B,2,FALSE),"none")</f>
        <v>SubSample</v>
      </c>
      <c r="AO666" t="str">
        <f>_xlfn.IFNA(VLOOKUP(Sheet1!$C666,MONG_PHYLO!A:C,3,FALSE),"-")</f>
        <v>-</v>
      </c>
      <c r="AP666" t="str">
        <f>_xlfn.IFNA(VLOOKUP(Sheet1!$C666,MAC_PHYLO!A:C,3,FALSE),"-")</f>
        <v>macN</v>
      </c>
      <c r="AQ666" t="str">
        <f>_xlfn.IFNA(VLOOKUP(Sheet1!$C666,ConStruct!A:C,3,FALSE),"-")</f>
        <v>ConStruct</v>
      </c>
      <c r="AR666" t="str">
        <f>_xlfn.IFNA(VLOOKUP(Sheet1!$C666,GEA!A:C,3,FALSE),"-")</f>
        <v>GEA</v>
      </c>
      <c r="AS666" t="str">
        <f>_xlfn.IFNA(VLOOKUP(Sheet1!$C666,MAC_DSUITE!A:D,3,FALSE),"-")</f>
        <v>mac_MN_OTB</v>
      </c>
      <c r="AT666" t="str">
        <f>_xlfn.IFNA(VLOOKUP(Sheet1!$C666,MONG_DSUITE!A:E,2,FALSE),"-")</f>
        <v>macrocarpa_OTB</v>
      </c>
      <c r="AU666" t="str">
        <f>_xlfn.IFNA(VLOOKUP(Sheet1!$C666,MAC_PAINT2!A:D,4,FALSE),"-")</f>
        <v>macpaint</v>
      </c>
      <c r="AV666" t="s">
        <v>9193</v>
      </c>
      <c r="AW666" t="s">
        <v>9193</v>
      </c>
    </row>
    <row r="667" spans="1:49" customFormat="1" x14ac:dyDescent="0.4">
      <c r="A667">
        <v>2429</v>
      </c>
      <c r="B667" t="s">
        <v>1335</v>
      </c>
      <c r="C667" t="s">
        <v>1336</v>
      </c>
      <c r="D667" t="str">
        <f>_xlfn.CONCAT(C667,".bam")</f>
        <v>SYST-MOR-0007451.bam</v>
      </c>
      <c r="E667" t="s">
        <v>1337</v>
      </c>
      <c r="F667" t="s">
        <v>2439</v>
      </c>
      <c r="G667" t="s">
        <v>2480</v>
      </c>
      <c r="H667" t="s">
        <v>2529</v>
      </c>
      <c r="I667" t="s">
        <v>1321</v>
      </c>
      <c r="K667" t="s">
        <v>45</v>
      </c>
      <c r="L667" t="s">
        <v>45</v>
      </c>
      <c r="N667" t="s">
        <v>45</v>
      </c>
      <c r="P667" t="s">
        <v>31</v>
      </c>
      <c r="Q667" t="s">
        <v>46</v>
      </c>
      <c r="R667" t="s">
        <v>2597</v>
      </c>
      <c r="S667" s="1">
        <v>42974</v>
      </c>
      <c r="T667" t="s">
        <v>1319</v>
      </c>
      <c r="U667" t="s">
        <v>34</v>
      </c>
      <c r="V667" s="1">
        <v>42977</v>
      </c>
      <c r="W667" t="s">
        <v>35</v>
      </c>
      <c r="X667" t="s">
        <v>1260</v>
      </c>
      <c r="Y667" t="s">
        <v>1320</v>
      </c>
      <c r="Z667" t="s">
        <v>206</v>
      </c>
      <c r="AA667" t="s">
        <v>1321</v>
      </c>
      <c r="AB667" t="s">
        <v>1322</v>
      </c>
      <c r="AD667" t="s">
        <v>45</v>
      </c>
      <c r="AE667">
        <v>44.364130000000003</v>
      </c>
      <c r="AF667">
        <v>-93.935509999999994</v>
      </c>
      <c r="AG667" t="s">
        <v>40</v>
      </c>
      <c r="AH667" t="s">
        <v>41</v>
      </c>
      <c r="AI667">
        <v>44.364130000000003</v>
      </c>
      <c r="AJ667">
        <v>-93.935509999999994</v>
      </c>
      <c r="AK667">
        <v>0</v>
      </c>
      <c r="AL667">
        <v>0</v>
      </c>
      <c r="AM667" t="str">
        <f>_xlfn.IFNA(VLOOKUP(Sheet1!$C667,ADMIX_ALL!A:B,2,FALSE),"none")</f>
        <v>K6-18</v>
      </c>
      <c r="AN667" t="str">
        <f>_xlfn.IFNA(VLOOKUP(Sheet1!C667,ADMIX_SS!A:B,2,FALSE),"none")</f>
        <v>SubSample</v>
      </c>
      <c r="AO667" t="str">
        <f>_xlfn.IFNA(VLOOKUP(Sheet1!$C667,MONG_PHYLO!A:C,3,FALSE),"-")</f>
        <v>-</v>
      </c>
      <c r="AP667" t="str">
        <f>_xlfn.IFNA(VLOOKUP(Sheet1!$C667,MAC_PHYLO!A:C,3,FALSE),"-")</f>
        <v>-</v>
      </c>
      <c r="AQ667" t="str">
        <f>_xlfn.IFNA(VLOOKUP(Sheet1!$C667,ConStruct!A:C,3,FALSE),"-")</f>
        <v>ConStruct</v>
      </c>
      <c r="AR667" t="str">
        <f>_xlfn.IFNA(VLOOKUP(Sheet1!$C667,GEA!A:C,3,FALSE),"-")</f>
        <v>GEA</v>
      </c>
      <c r="AS667" t="str">
        <f>_xlfn.IFNA(VLOOKUP(Sheet1!$C667,MAC_DSUITE!A:D,3,FALSE),"-")</f>
        <v>mac_MN_OTB</v>
      </c>
      <c r="AT667" t="str">
        <f>_xlfn.IFNA(VLOOKUP(Sheet1!$C667,MONG_DSUITE!A:E,2,FALSE),"-")</f>
        <v>macrocarpa_OTB</v>
      </c>
      <c r="AU667" t="str">
        <f>_xlfn.IFNA(VLOOKUP(Sheet1!$C667,MAC_PAINT2!A:D,4,FALSE),"-")</f>
        <v>macpaint</v>
      </c>
      <c r="AV667" t="s">
        <v>9193</v>
      </c>
      <c r="AW667" t="s">
        <v>9193</v>
      </c>
    </row>
    <row r="668" spans="1:49" customFormat="1" x14ac:dyDescent="0.4">
      <c r="A668">
        <v>2430</v>
      </c>
      <c r="B668" t="s">
        <v>1338</v>
      </c>
      <c r="C668" t="s">
        <v>1339</v>
      </c>
      <c r="D668" t="str">
        <f>_xlfn.CONCAT(C668,".bam")</f>
        <v>SYST-MOR-0007452.bam</v>
      </c>
      <c r="E668" t="s">
        <v>1340</v>
      </c>
      <c r="F668" t="s">
        <v>2439</v>
      </c>
      <c r="G668" t="s">
        <v>2480</v>
      </c>
      <c r="H668" t="s">
        <v>2529</v>
      </c>
      <c r="I668" t="s">
        <v>1321</v>
      </c>
      <c r="K668" t="s">
        <v>45</v>
      </c>
      <c r="L668" t="s">
        <v>45</v>
      </c>
      <c r="N668" t="s">
        <v>45</v>
      </c>
      <c r="P668" t="s">
        <v>31</v>
      </c>
      <c r="Q668" t="s">
        <v>46</v>
      </c>
      <c r="R668" t="s">
        <v>2597</v>
      </c>
      <c r="S668" s="1">
        <v>42974</v>
      </c>
      <c r="T668" t="s">
        <v>1319</v>
      </c>
      <c r="U668" t="s">
        <v>34</v>
      </c>
      <c r="V668" s="1">
        <v>42977</v>
      </c>
      <c r="W668" t="s">
        <v>35</v>
      </c>
      <c r="X668" t="s">
        <v>1260</v>
      </c>
      <c r="Y668" t="s">
        <v>1320</v>
      </c>
      <c r="Z668" t="s">
        <v>206</v>
      </c>
      <c r="AA668" t="s">
        <v>1321</v>
      </c>
      <c r="AB668" t="s">
        <v>1322</v>
      </c>
      <c r="AD668" t="s">
        <v>45</v>
      </c>
      <c r="AE668">
        <v>44.364130000000003</v>
      </c>
      <c r="AF668">
        <v>-93.935509999999994</v>
      </c>
      <c r="AG668" t="s">
        <v>40</v>
      </c>
      <c r="AH668" t="s">
        <v>41</v>
      </c>
      <c r="AI668">
        <v>44.364130000000003</v>
      </c>
      <c r="AJ668">
        <v>-93.935509999999994</v>
      </c>
      <c r="AK668">
        <v>0</v>
      </c>
      <c r="AL668">
        <v>0</v>
      </c>
      <c r="AM668" t="str">
        <f>_xlfn.IFNA(VLOOKUP(Sheet1!$C668,ADMIX_ALL!A:B,2,FALSE),"none")</f>
        <v>K6-18</v>
      </c>
      <c r="AN668" t="str">
        <f>_xlfn.IFNA(VLOOKUP(Sheet1!C668,ADMIX_SS!A:B,2,FALSE),"none")</f>
        <v>SubSample</v>
      </c>
      <c r="AO668" t="str">
        <f>_xlfn.IFNA(VLOOKUP(Sheet1!$C668,MONG_PHYLO!A:C,3,FALSE),"-")</f>
        <v>-</v>
      </c>
      <c r="AP668" t="str">
        <f>_xlfn.IFNA(VLOOKUP(Sheet1!$C668,MAC_PHYLO!A:C,3,FALSE),"-")</f>
        <v>-</v>
      </c>
      <c r="AQ668" t="str">
        <f>_xlfn.IFNA(VLOOKUP(Sheet1!$C668,ConStruct!A:C,3,FALSE),"-")</f>
        <v>ConStruct</v>
      </c>
      <c r="AR668" t="str">
        <f>_xlfn.IFNA(VLOOKUP(Sheet1!$C668,GEA!A:C,3,FALSE),"-")</f>
        <v>GEA</v>
      </c>
      <c r="AS668" t="str">
        <f>_xlfn.IFNA(VLOOKUP(Sheet1!$C668,MAC_DSUITE!A:D,3,FALSE),"-")</f>
        <v>mac_MN_OTB</v>
      </c>
      <c r="AT668" t="str">
        <f>_xlfn.IFNA(VLOOKUP(Sheet1!$C668,MONG_DSUITE!A:E,2,FALSE),"-")</f>
        <v>macrocarpa_OTB</v>
      </c>
      <c r="AU668" t="str">
        <f>_xlfn.IFNA(VLOOKUP(Sheet1!$C668,MAC_PAINT2!A:D,4,FALSE),"-")</f>
        <v>macpaint</v>
      </c>
      <c r="AV668" t="s">
        <v>9193</v>
      </c>
      <c r="AW668" t="s">
        <v>9193</v>
      </c>
    </row>
    <row r="669" spans="1:49" customFormat="1" x14ac:dyDescent="0.4">
      <c r="A669">
        <v>2431</v>
      </c>
      <c r="B669" t="s">
        <v>1341</v>
      </c>
      <c r="C669" t="s">
        <v>1342</v>
      </c>
      <c r="D669" t="str">
        <f>_xlfn.CONCAT(C669,".bam")</f>
        <v>SYST-MOR-0007453.bam</v>
      </c>
      <c r="E669" t="s">
        <v>1343</v>
      </c>
      <c r="F669" t="s">
        <v>2439</v>
      </c>
      <c r="G669" t="s">
        <v>2480</v>
      </c>
      <c r="H669" t="s">
        <v>2529</v>
      </c>
      <c r="I669" t="s">
        <v>1321</v>
      </c>
      <c r="K669" t="s">
        <v>45</v>
      </c>
      <c r="L669" t="s">
        <v>45</v>
      </c>
      <c r="N669" t="s">
        <v>45</v>
      </c>
      <c r="P669" t="s">
        <v>31</v>
      </c>
      <c r="Q669" t="s">
        <v>46</v>
      </c>
      <c r="R669" t="s">
        <v>2597</v>
      </c>
      <c r="S669" s="1">
        <v>42974</v>
      </c>
      <c r="T669" t="s">
        <v>1319</v>
      </c>
      <c r="U669" t="s">
        <v>34</v>
      </c>
      <c r="V669" s="1">
        <v>42977</v>
      </c>
      <c r="W669" t="s">
        <v>35</v>
      </c>
      <c r="X669" t="s">
        <v>1260</v>
      </c>
      <c r="Y669" t="s">
        <v>1320</v>
      </c>
      <c r="Z669" t="s">
        <v>206</v>
      </c>
      <c r="AA669" t="s">
        <v>1321</v>
      </c>
      <c r="AB669" t="s">
        <v>1322</v>
      </c>
      <c r="AD669" t="s">
        <v>45</v>
      </c>
      <c r="AE669">
        <v>44.364130000000003</v>
      </c>
      <c r="AF669">
        <v>-93.935509999999994</v>
      </c>
      <c r="AG669" t="s">
        <v>40</v>
      </c>
      <c r="AH669" t="s">
        <v>41</v>
      </c>
      <c r="AI669">
        <v>44.364130000000003</v>
      </c>
      <c r="AJ669">
        <v>-93.935509999999994</v>
      </c>
      <c r="AK669">
        <v>0</v>
      </c>
      <c r="AL669">
        <v>0</v>
      </c>
      <c r="AM669" t="str">
        <f>_xlfn.IFNA(VLOOKUP(Sheet1!$C669,ADMIX_ALL!A:B,2,FALSE),"none")</f>
        <v>K6-18</v>
      </c>
      <c r="AN669" t="str">
        <f>_xlfn.IFNA(VLOOKUP(Sheet1!C669,ADMIX_SS!A:B,2,FALSE),"none")</f>
        <v>SubSample</v>
      </c>
      <c r="AO669" t="str">
        <f>_xlfn.IFNA(VLOOKUP(Sheet1!$C669,MONG_PHYLO!A:C,3,FALSE),"-")</f>
        <v>-</v>
      </c>
      <c r="AP669" t="str">
        <f>_xlfn.IFNA(VLOOKUP(Sheet1!$C669,MAC_PHYLO!A:C,3,FALSE),"-")</f>
        <v>-</v>
      </c>
      <c r="AQ669" t="str">
        <f>_xlfn.IFNA(VLOOKUP(Sheet1!$C669,ConStruct!A:C,3,FALSE),"-")</f>
        <v>ConStruct</v>
      </c>
      <c r="AR669" t="str">
        <f>_xlfn.IFNA(VLOOKUP(Sheet1!$C669,GEA!A:C,3,FALSE),"-")</f>
        <v>GEA</v>
      </c>
      <c r="AS669" t="str">
        <f>_xlfn.IFNA(VLOOKUP(Sheet1!$C669,MAC_DSUITE!A:D,3,FALSE),"-")</f>
        <v>mac_MN_OTB</v>
      </c>
      <c r="AT669" t="str">
        <f>_xlfn.IFNA(VLOOKUP(Sheet1!$C669,MONG_DSUITE!A:E,2,FALSE),"-")</f>
        <v>macrocarpa_OTB</v>
      </c>
      <c r="AU669" t="str">
        <f>_xlfn.IFNA(VLOOKUP(Sheet1!$C669,MAC_PAINT2!A:D,4,FALSE),"-")</f>
        <v>macpaint</v>
      </c>
      <c r="AV669" t="s">
        <v>9193</v>
      </c>
      <c r="AW669" t="s">
        <v>9193</v>
      </c>
    </row>
    <row r="670" spans="1:49" customFormat="1" x14ac:dyDescent="0.4">
      <c r="A670">
        <v>2432</v>
      </c>
      <c r="B670" t="s">
        <v>1344</v>
      </c>
      <c r="C670" t="s">
        <v>1345</v>
      </c>
      <c r="D670" t="str">
        <f>_xlfn.CONCAT(C670,".bam")</f>
        <v>SYST-MOR-0007454.bam</v>
      </c>
      <c r="E670" t="s">
        <v>1346</v>
      </c>
      <c r="F670" t="s">
        <v>2439</v>
      </c>
      <c r="G670" t="s">
        <v>2480</v>
      </c>
      <c r="H670" t="s">
        <v>2529</v>
      </c>
      <c r="I670" t="s">
        <v>1321</v>
      </c>
      <c r="K670" t="s">
        <v>45</v>
      </c>
      <c r="L670" t="s">
        <v>45</v>
      </c>
      <c r="N670" t="s">
        <v>45</v>
      </c>
      <c r="P670" t="s">
        <v>31</v>
      </c>
      <c r="Q670" t="s">
        <v>46</v>
      </c>
      <c r="R670" t="s">
        <v>2597</v>
      </c>
      <c r="S670" s="1">
        <v>42974</v>
      </c>
      <c r="T670" t="s">
        <v>1319</v>
      </c>
      <c r="U670" t="s">
        <v>34</v>
      </c>
      <c r="V670" s="1">
        <v>42977</v>
      </c>
      <c r="W670" t="s">
        <v>35</v>
      </c>
      <c r="X670" t="s">
        <v>1260</v>
      </c>
      <c r="Y670" t="s">
        <v>1320</v>
      </c>
      <c r="Z670" t="s">
        <v>206</v>
      </c>
      <c r="AA670" t="s">
        <v>1321</v>
      </c>
      <c r="AB670" t="s">
        <v>1322</v>
      </c>
      <c r="AD670" t="s">
        <v>45</v>
      </c>
      <c r="AE670">
        <v>44.363889999999998</v>
      </c>
      <c r="AF670">
        <v>-93.935389999999998</v>
      </c>
      <c r="AG670" t="s">
        <v>40</v>
      </c>
      <c r="AH670" t="s">
        <v>41</v>
      </c>
      <c r="AI670">
        <v>44.363889999999998</v>
      </c>
      <c r="AJ670">
        <v>-93.935389999999998</v>
      </c>
      <c r="AK670">
        <v>0</v>
      </c>
      <c r="AL670">
        <v>0</v>
      </c>
      <c r="AM670" t="str">
        <f>_xlfn.IFNA(VLOOKUP(Sheet1!$C670,ADMIX_ALL!A:B,2,FALSE),"none")</f>
        <v>K6-18</v>
      </c>
      <c r="AN670" t="str">
        <f>_xlfn.IFNA(VLOOKUP(Sheet1!C670,ADMIX_SS!A:B,2,FALSE),"none")</f>
        <v>SubSample</v>
      </c>
      <c r="AO670" t="str">
        <f>_xlfn.IFNA(VLOOKUP(Sheet1!$C670,MONG_PHYLO!A:C,3,FALSE),"-")</f>
        <v>-</v>
      </c>
      <c r="AP670" t="str">
        <f>_xlfn.IFNA(VLOOKUP(Sheet1!$C670,MAC_PHYLO!A:C,3,FALSE),"-")</f>
        <v>-</v>
      </c>
      <c r="AQ670" t="str">
        <f>_xlfn.IFNA(VLOOKUP(Sheet1!$C670,ConStruct!A:C,3,FALSE),"-")</f>
        <v>ConStruct</v>
      </c>
      <c r="AR670" t="str">
        <f>_xlfn.IFNA(VLOOKUP(Sheet1!$C670,GEA!A:C,3,FALSE),"-")</f>
        <v>GEA</v>
      </c>
      <c r="AS670" t="str">
        <f>_xlfn.IFNA(VLOOKUP(Sheet1!$C670,MAC_DSUITE!A:D,3,FALSE),"-")</f>
        <v>mac_MN_OTB</v>
      </c>
      <c r="AT670" t="str">
        <f>_xlfn.IFNA(VLOOKUP(Sheet1!$C670,MONG_DSUITE!A:E,2,FALSE),"-")</f>
        <v>macrocarpa_OTB</v>
      </c>
      <c r="AU670" t="str">
        <f>_xlfn.IFNA(VLOOKUP(Sheet1!$C670,MAC_PAINT2!A:D,4,FALSE),"-")</f>
        <v>macpaint</v>
      </c>
      <c r="AV670" t="s">
        <v>9193</v>
      </c>
      <c r="AW670" t="s">
        <v>9193</v>
      </c>
    </row>
    <row r="671" spans="1:49" customFormat="1" x14ac:dyDescent="0.4">
      <c r="A671">
        <v>2433</v>
      </c>
      <c r="B671" t="s">
        <v>1347</v>
      </c>
      <c r="C671" t="s">
        <v>1348</v>
      </c>
      <c r="D671" t="str">
        <f>_xlfn.CONCAT(C671,".bam")</f>
        <v>SYST-MOR-0007455.bam</v>
      </c>
      <c r="E671" t="s">
        <v>1349</v>
      </c>
      <c r="F671" t="s">
        <v>2439</v>
      </c>
      <c r="G671" t="s">
        <v>2609</v>
      </c>
      <c r="H671" t="s">
        <v>2610</v>
      </c>
      <c r="I671" t="s">
        <v>1351</v>
      </c>
      <c r="K671" t="s">
        <v>45</v>
      </c>
      <c r="L671" t="s">
        <v>45</v>
      </c>
      <c r="N671" t="s">
        <v>45</v>
      </c>
      <c r="P671" t="s">
        <v>31</v>
      </c>
      <c r="Q671" t="s">
        <v>46</v>
      </c>
      <c r="R671" t="s">
        <v>2597</v>
      </c>
      <c r="S671">
        <v>42975</v>
      </c>
      <c r="T671" t="s">
        <v>1319</v>
      </c>
      <c r="U671" t="s">
        <v>34</v>
      </c>
      <c r="V671">
        <v>42977</v>
      </c>
      <c r="W671" t="s">
        <v>35</v>
      </c>
      <c r="X671" t="s">
        <v>1260</v>
      </c>
      <c r="Y671" t="s">
        <v>1350</v>
      </c>
      <c r="Z671" t="s">
        <v>206</v>
      </c>
      <c r="AA671" t="s">
        <v>1351</v>
      </c>
      <c r="AB671" t="s">
        <v>1352</v>
      </c>
      <c r="AD671" t="s">
        <v>45</v>
      </c>
      <c r="AE671">
        <v>45.53</v>
      </c>
      <c r="AF671">
        <v>-94.232910000000004</v>
      </c>
      <c r="AG671" t="s">
        <v>40</v>
      </c>
      <c r="AH671" t="s">
        <v>41</v>
      </c>
      <c r="AI671">
        <v>45.53</v>
      </c>
      <c r="AJ671">
        <v>-94.232910000000004</v>
      </c>
      <c r="AK671">
        <v>0</v>
      </c>
      <c r="AL671">
        <v>0</v>
      </c>
      <c r="AM671" t="str">
        <f>_xlfn.IFNA(VLOOKUP(Sheet1!$C671,ADMIX_ALL!A:B,2,FALSE),"none")</f>
        <v>K6-18</v>
      </c>
      <c r="AN671" t="str">
        <f>_xlfn.IFNA(VLOOKUP(Sheet1!C671,ADMIX_SS!A:B,2,FALSE),"none")</f>
        <v>SubSample</v>
      </c>
      <c r="AO671" t="str">
        <f>_xlfn.IFNA(VLOOKUP(Sheet1!$C671,MONG_PHYLO!A:C,3,FALSE),"-")</f>
        <v>-</v>
      </c>
      <c r="AP671" t="str">
        <f>_xlfn.IFNA(VLOOKUP(Sheet1!$C671,MAC_PHYLO!A:C,3,FALSE),"-")</f>
        <v>-</v>
      </c>
      <c r="AQ671" t="str">
        <f>_xlfn.IFNA(VLOOKUP(Sheet1!$C671,ConStruct!A:C,3,FALSE),"-")</f>
        <v>ConStruct</v>
      </c>
      <c r="AR671" t="str">
        <f>_xlfn.IFNA(VLOOKUP(Sheet1!$C671,GEA!A:C,3,FALSE),"-")</f>
        <v>GEA</v>
      </c>
      <c r="AS671" t="str">
        <f>_xlfn.IFNA(VLOOKUP(Sheet1!$C671,MAC_DSUITE!A:D,3,FALSE),"-")</f>
        <v>mac_MN_OTB</v>
      </c>
      <c r="AT671" t="str">
        <f>_xlfn.IFNA(VLOOKUP(Sheet1!$C671,MONG_DSUITE!A:E,2,FALSE),"-")</f>
        <v>macrocarpa_QPA</v>
      </c>
      <c r="AU671" t="str">
        <f>_xlfn.IFNA(VLOOKUP(Sheet1!$C671,MAC_PAINT2!A:D,4,FALSE),"-")</f>
        <v>macpaint</v>
      </c>
      <c r="AV671" t="s">
        <v>9193</v>
      </c>
      <c r="AW671" t="s">
        <v>9193</v>
      </c>
    </row>
    <row r="672" spans="1:49" customFormat="1" x14ac:dyDescent="0.4">
      <c r="A672">
        <v>2434</v>
      </c>
      <c r="B672" t="s">
        <v>1353</v>
      </c>
      <c r="C672" t="s">
        <v>1354</v>
      </c>
      <c r="D672" t="str">
        <f>_xlfn.CONCAT(C672,".bam")</f>
        <v>SYST-MOR-0007456.bam</v>
      </c>
      <c r="E672" t="s">
        <v>1355</v>
      </c>
      <c r="F672" t="s">
        <v>2439</v>
      </c>
      <c r="G672" t="s">
        <v>2609</v>
      </c>
      <c r="H672" t="s">
        <v>2610</v>
      </c>
      <c r="I672" t="s">
        <v>1351</v>
      </c>
      <c r="K672" t="s">
        <v>45</v>
      </c>
      <c r="L672" t="s">
        <v>45</v>
      </c>
      <c r="N672" t="s">
        <v>45</v>
      </c>
      <c r="P672" t="s">
        <v>31</v>
      </c>
      <c r="Q672" t="s">
        <v>46</v>
      </c>
      <c r="R672" t="s">
        <v>2597</v>
      </c>
      <c r="S672">
        <v>42975</v>
      </c>
      <c r="T672" t="s">
        <v>1319</v>
      </c>
      <c r="U672" t="s">
        <v>34</v>
      </c>
      <c r="V672">
        <v>42977</v>
      </c>
      <c r="W672" t="s">
        <v>35</v>
      </c>
      <c r="X672" t="s">
        <v>1260</v>
      </c>
      <c r="Y672" t="s">
        <v>1350</v>
      </c>
      <c r="Z672" t="s">
        <v>206</v>
      </c>
      <c r="AA672" t="s">
        <v>1351</v>
      </c>
      <c r="AB672" t="s">
        <v>1352</v>
      </c>
      <c r="AD672" t="s">
        <v>45</v>
      </c>
      <c r="AE672">
        <v>45.529890000000002</v>
      </c>
      <c r="AF672">
        <v>-94.234070000000003</v>
      </c>
      <c r="AG672" t="s">
        <v>40</v>
      </c>
      <c r="AH672" t="s">
        <v>41</v>
      </c>
      <c r="AI672">
        <v>45.529890000000002</v>
      </c>
      <c r="AJ672">
        <v>-94.234070000000003</v>
      </c>
      <c r="AK672">
        <v>0</v>
      </c>
      <c r="AL672">
        <v>0</v>
      </c>
      <c r="AM672" t="str">
        <f>_xlfn.IFNA(VLOOKUP(Sheet1!$C672,ADMIX_ALL!A:B,2,FALSE),"none")</f>
        <v>K6-18</v>
      </c>
      <c r="AN672" t="str">
        <f>_xlfn.IFNA(VLOOKUP(Sheet1!C672,ADMIX_SS!A:B,2,FALSE),"none")</f>
        <v>SubSample</v>
      </c>
      <c r="AO672" t="str">
        <f>_xlfn.IFNA(VLOOKUP(Sheet1!$C672,MONG_PHYLO!A:C,3,FALSE),"-")</f>
        <v>-</v>
      </c>
      <c r="AP672" t="str">
        <f>_xlfn.IFNA(VLOOKUP(Sheet1!$C672,MAC_PHYLO!A:C,3,FALSE),"-")</f>
        <v>-</v>
      </c>
      <c r="AQ672" t="str">
        <f>_xlfn.IFNA(VLOOKUP(Sheet1!$C672,ConStruct!A:C,3,FALSE),"-")</f>
        <v>ConStruct</v>
      </c>
      <c r="AR672" t="str">
        <f>_xlfn.IFNA(VLOOKUP(Sheet1!$C672,GEA!A:C,3,FALSE),"-")</f>
        <v>GEA</v>
      </c>
      <c r="AS672" t="str">
        <f>_xlfn.IFNA(VLOOKUP(Sheet1!$C672,MAC_DSUITE!A:D,3,FALSE),"-")</f>
        <v>mac_MN_OTB</v>
      </c>
      <c r="AT672" t="str">
        <f>_xlfn.IFNA(VLOOKUP(Sheet1!$C672,MONG_DSUITE!A:E,2,FALSE),"-")</f>
        <v>macrocarpa_QPA</v>
      </c>
      <c r="AU672" t="str">
        <f>_xlfn.IFNA(VLOOKUP(Sheet1!$C672,MAC_PAINT2!A:D,4,FALSE),"-")</f>
        <v>macpaint</v>
      </c>
      <c r="AV672" t="s">
        <v>9193</v>
      </c>
      <c r="AW672" t="s">
        <v>9193</v>
      </c>
    </row>
    <row r="673" spans="1:49" customFormat="1" x14ac:dyDescent="0.4">
      <c r="A673">
        <v>2435</v>
      </c>
      <c r="B673" t="s">
        <v>1356</v>
      </c>
      <c r="C673" t="s">
        <v>1357</v>
      </c>
      <c r="D673" t="str">
        <f>_xlfn.CONCAT(C673,".bam")</f>
        <v>SYST-MOR-0007457.bam</v>
      </c>
      <c r="E673" t="s">
        <v>1358</v>
      </c>
      <c r="F673" t="s">
        <v>2439</v>
      </c>
      <c r="G673" t="s">
        <v>2609</v>
      </c>
      <c r="H673" t="s">
        <v>2610</v>
      </c>
      <c r="I673" t="s">
        <v>1351</v>
      </c>
      <c r="K673" t="s">
        <v>45</v>
      </c>
      <c r="L673" t="s">
        <v>45</v>
      </c>
      <c r="N673" t="s">
        <v>45</v>
      </c>
      <c r="P673" t="s">
        <v>31</v>
      </c>
      <c r="Q673" t="s">
        <v>46</v>
      </c>
      <c r="R673" t="s">
        <v>2597</v>
      </c>
      <c r="S673">
        <v>42975</v>
      </c>
      <c r="T673" t="s">
        <v>1319</v>
      </c>
      <c r="U673" t="s">
        <v>34</v>
      </c>
      <c r="V673">
        <v>42977</v>
      </c>
      <c r="W673" t="s">
        <v>35</v>
      </c>
      <c r="X673" t="s">
        <v>1260</v>
      </c>
      <c r="Y673" t="s">
        <v>1350</v>
      </c>
      <c r="Z673" t="s">
        <v>206</v>
      </c>
      <c r="AA673" t="s">
        <v>1351</v>
      </c>
      <c r="AB673" t="s">
        <v>1352</v>
      </c>
      <c r="AD673" t="s">
        <v>45</v>
      </c>
      <c r="AE673">
        <v>45.530009999999997</v>
      </c>
      <c r="AF673">
        <v>-94.235330000000005</v>
      </c>
      <c r="AG673" t="s">
        <v>40</v>
      </c>
      <c r="AH673" t="s">
        <v>41</v>
      </c>
      <c r="AI673">
        <v>45.530009999999997</v>
      </c>
      <c r="AJ673">
        <v>-94.235330000000005</v>
      </c>
      <c r="AK673">
        <v>0</v>
      </c>
      <c r="AL673">
        <v>0</v>
      </c>
      <c r="AM673" t="str">
        <f>_xlfn.IFNA(VLOOKUP(Sheet1!$C673,ADMIX_ALL!A:B,2,FALSE),"none")</f>
        <v>K6-18</v>
      </c>
      <c r="AN673" t="str">
        <f>_xlfn.IFNA(VLOOKUP(Sheet1!C673,ADMIX_SS!A:B,2,FALSE),"none")</f>
        <v>SubSample</v>
      </c>
      <c r="AO673" t="str">
        <f>_xlfn.IFNA(VLOOKUP(Sheet1!$C673,MONG_PHYLO!A:C,3,FALSE),"-")</f>
        <v>-</v>
      </c>
      <c r="AP673" t="str">
        <f>_xlfn.IFNA(VLOOKUP(Sheet1!$C673,MAC_PHYLO!A:C,3,FALSE),"-")</f>
        <v>macN</v>
      </c>
      <c r="AQ673" t="str">
        <f>_xlfn.IFNA(VLOOKUP(Sheet1!$C673,ConStruct!A:C,3,FALSE),"-")</f>
        <v>ConStruct</v>
      </c>
      <c r="AR673" t="str">
        <f>_xlfn.IFNA(VLOOKUP(Sheet1!$C673,GEA!A:C,3,FALSE),"-")</f>
        <v>GEA</v>
      </c>
      <c r="AS673" t="str">
        <f>_xlfn.IFNA(VLOOKUP(Sheet1!$C673,MAC_DSUITE!A:D,3,FALSE),"-")</f>
        <v>mac_MN_OTB</v>
      </c>
      <c r="AT673" t="str">
        <f>_xlfn.IFNA(VLOOKUP(Sheet1!$C673,MONG_DSUITE!A:E,2,FALSE),"-")</f>
        <v>macrocarpa_QPA</v>
      </c>
      <c r="AU673" t="str">
        <f>_xlfn.IFNA(VLOOKUP(Sheet1!$C673,MAC_PAINT2!A:D,4,FALSE),"-")</f>
        <v>macpaint</v>
      </c>
      <c r="AV673" t="s">
        <v>9193</v>
      </c>
      <c r="AW673" t="s">
        <v>9193</v>
      </c>
    </row>
    <row r="674" spans="1:49" customFormat="1" x14ac:dyDescent="0.4">
      <c r="A674">
        <v>2436</v>
      </c>
      <c r="B674" t="s">
        <v>1359</v>
      </c>
      <c r="C674" t="s">
        <v>1360</v>
      </c>
      <c r="D674" t="str">
        <f>_xlfn.CONCAT(C674,".bam")</f>
        <v>SYST-MOR-0007458.bam</v>
      </c>
      <c r="E674" t="s">
        <v>1361</v>
      </c>
      <c r="F674" t="s">
        <v>2439</v>
      </c>
      <c r="G674" t="s">
        <v>2609</v>
      </c>
      <c r="H674" t="s">
        <v>2610</v>
      </c>
      <c r="I674" t="s">
        <v>1351</v>
      </c>
      <c r="K674" t="s">
        <v>45</v>
      </c>
      <c r="L674" t="s">
        <v>45</v>
      </c>
      <c r="N674" t="s">
        <v>45</v>
      </c>
      <c r="P674" t="s">
        <v>31</v>
      </c>
      <c r="Q674" t="s">
        <v>46</v>
      </c>
      <c r="R674" t="s">
        <v>2597</v>
      </c>
      <c r="S674">
        <v>42975</v>
      </c>
      <c r="T674" t="s">
        <v>1319</v>
      </c>
      <c r="U674" t="s">
        <v>34</v>
      </c>
      <c r="V674">
        <v>42977</v>
      </c>
      <c r="W674" t="s">
        <v>35</v>
      </c>
      <c r="X674" t="s">
        <v>1260</v>
      </c>
      <c r="Y674" t="s">
        <v>1350</v>
      </c>
      <c r="Z674" t="s">
        <v>206</v>
      </c>
      <c r="AA674" t="s">
        <v>1351</v>
      </c>
      <c r="AB674" t="s">
        <v>1352</v>
      </c>
      <c r="AD674" t="s">
        <v>45</v>
      </c>
      <c r="AE674">
        <v>45.529969999999999</v>
      </c>
      <c r="AF674">
        <v>-94.236440000000002</v>
      </c>
      <c r="AG674" t="s">
        <v>40</v>
      </c>
      <c r="AH674" t="s">
        <v>41</v>
      </c>
      <c r="AI674">
        <v>45.529969999999999</v>
      </c>
      <c r="AJ674">
        <v>-94.236440000000002</v>
      </c>
      <c r="AK674">
        <v>0</v>
      </c>
      <c r="AL674">
        <v>0</v>
      </c>
      <c r="AM674" t="str">
        <f>_xlfn.IFNA(VLOOKUP(Sheet1!$C674,ADMIX_ALL!A:B,2,FALSE),"none")</f>
        <v>K6-18</v>
      </c>
      <c r="AN674" t="str">
        <f>_xlfn.IFNA(VLOOKUP(Sheet1!C674,ADMIX_SS!A:B,2,FALSE),"none")</f>
        <v>SubSample</v>
      </c>
      <c r="AO674" t="str">
        <f>_xlfn.IFNA(VLOOKUP(Sheet1!$C674,MONG_PHYLO!A:C,3,FALSE),"-")</f>
        <v>-</v>
      </c>
      <c r="AP674" t="str">
        <f>_xlfn.IFNA(VLOOKUP(Sheet1!$C674,MAC_PHYLO!A:C,3,FALSE),"-")</f>
        <v>-</v>
      </c>
      <c r="AQ674" t="str">
        <f>_xlfn.IFNA(VLOOKUP(Sheet1!$C674,ConStruct!A:C,3,FALSE),"-")</f>
        <v>ConStruct</v>
      </c>
      <c r="AR674" t="str">
        <f>_xlfn.IFNA(VLOOKUP(Sheet1!$C674,GEA!A:C,3,FALSE),"-")</f>
        <v>GEA</v>
      </c>
      <c r="AS674" t="str">
        <f>_xlfn.IFNA(VLOOKUP(Sheet1!$C674,MAC_DSUITE!A:D,3,FALSE),"-")</f>
        <v>mac_MN_OTB</v>
      </c>
      <c r="AT674" t="str">
        <f>_xlfn.IFNA(VLOOKUP(Sheet1!$C674,MONG_DSUITE!A:E,2,FALSE),"-")</f>
        <v>macrocarpa_QPA</v>
      </c>
      <c r="AU674" t="str">
        <f>_xlfn.IFNA(VLOOKUP(Sheet1!$C674,MAC_PAINT2!A:D,4,FALSE),"-")</f>
        <v>macpaint</v>
      </c>
      <c r="AV674" t="s">
        <v>9193</v>
      </c>
      <c r="AW674" t="s">
        <v>9193</v>
      </c>
    </row>
    <row r="675" spans="1:49" customFormat="1" x14ac:dyDescent="0.4">
      <c r="A675">
        <v>2437</v>
      </c>
      <c r="B675" t="s">
        <v>1362</v>
      </c>
      <c r="C675" t="s">
        <v>1363</v>
      </c>
      <c r="D675" t="str">
        <f>_xlfn.CONCAT(C675,".bam")</f>
        <v>SYST-MOR-0007459.bam</v>
      </c>
      <c r="E675" t="s">
        <v>1364</v>
      </c>
      <c r="F675" t="s">
        <v>2439</v>
      </c>
      <c r="G675" t="s">
        <v>2609</v>
      </c>
      <c r="H675" t="s">
        <v>2610</v>
      </c>
      <c r="I675" t="s">
        <v>1351</v>
      </c>
      <c r="K675" t="s">
        <v>45</v>
      </c>
      <c r="L675" t="s">
        <v>45</v>
      </c>
      <c r="N675" t="s">
        <v>45</v>
      </c>
      <c r="P675" t="s">
        <v>31</v>
      </c>
      <c r="Q675" t="s">
        <v>46</v>
      </c>
      <c r="R675" t="s">
        <v>2597</v>
      </c>
      <c r="S675">
        <v>42975</v>
      </c>
      <c r="T675" t="s">
        <v>1319</v>
      </c>
      <c r="U675" t="s">
        <v>34</v>
      </c>
      <c r="V675">
        <v>42977</v>
      </c>
      <c r="W675" t="s">
        <v>35</v>
      </c>
      <c r="X675" t="s">
        <v>1260</v>
      </c>
      <c r="Y675" t="s">
        <v>1350</v>
      </c>
      <c r="Z675" t="s">
        <v>206</v>
      </c>
      <c r="AA675" t="s">
        <v>1351</v>
      </c>
      <c r="AB675" t="s">
        <v>1352</v>
      </c>
      <c r="AD675" t="s">
        <v>45</v>
      </c>
      <c r="AE675">
        <v>45.530110000000001</v>
      </c>
      <c r="AF675">
        <v>-94.238169999999997</v>
      </c>
      <c r="AG675" t="s">
        <v>40</v>
      </c>
      <c r="AH675" t="s">
        <v>41</v>
      </c>
      <c r="AI675">
        <v>45.530110000000001</v>
      </c>
      <c r="AJ675">
        <v>-94.238169999999997</v>
      </c>
      <c r="AK675">
        <v>0</v>
      </c>
      <c r="AL675">
        <v>0</v>
      </c>
      <c r="AM675" t="str">
        <f>_xlfn.IFNA(VLOOKUP(Sheet1!$C675,ADMIX_ALL!A:B,2,FALSE),"none")</f>
        <v>K6-18</v>
      </c>
      <c r="AN675" t="str">
        <f>_xlfn.IFNA(VLOOKUP(Sheet1!C675,ADMIX_SS!A:B,2,FALSE),"none")</f>
        <v>Constant</v>
      </c>
      <c r="AO675" t="str">
        <f>_xlfn.IFNA(VLOOKUP(Sheet1!$C675,MONG_PHYLO!A:C,3,FALSE),"-")</f>
        <v>macN</v>
      </c>
      <c r="AP675" t="str">
        <f>_xlfn.IFNA(VLOOKUP(Sheet1!$C675,MAC_PHYLO!A:C,3,FALSE),"-")</f>
        <v>-</v>
      </c>
      <c r="AQ675" t="str">
        <f>_xlfn.IFNA(VLOOKUP(Sheet1!$C675,ConStruct!A:C,3,FALSE),"-")</f>
        <v>ConStruct</v>
      </c>
      <c r="AR675" t="str">
        <f>_xlfn.IFNA(VLOOKUP(Sheet1!$C675,GEA!A:C,3,FALSE),"-")</f>
        <v>GEA</v>
      </c>
      <c r="AS675" t="str">
        <f>_xlfn.IFNA(VLOOKUP(Sheet1!$C675,MAC_DSUITE!A:D,3,FALSE),"-")</f>
        <v>mac_MN_OTB</v>
      </c>
      <c r="AT675" t="str">
        <f>_xlfn.IFNA(VLOOKUP(Sheet1!$C675,MONG_DSUITE!A:E,2,FALSE),"-")</f>
        <v>macrocarpa_QPA</v>
      </c>
      <c r="AU675" t="str">
        <f>_xlfn.IFNA(VLOOKUP(Sheet1!$C675,MAC_PAINT2!A:D,4,FALSE),"-")</f>
        <v>macpaint</v>
      </c>
      <c r="AV675" t="s">
        <v>9193</v>
      </c>
      <c r="AW675" t="s">
        <v>9193</v>
      </c>
    </row>
    <row r="676" spans="1:49" customFormat="1" x14ac:dyDescent="0.4">
      <c r="A676">
        <v>2438</v>
      </c>
      <c r="B676" t="s">
        <v>1365</v>
      </c>
      <c r="C676" t="s">
        <v>1366</v>
      </c>
      <c r="D676" t="str">
        <f>_xlfn.CONCAT(C676,".bam")</f>
        <v>SYST-MOR-0007460.bam</v>
      </c>
      <c r="E676" t="s">
        <v>1367</v>
      </c>
      <c r="F676" t="s">
        <v>2439</v>
      </c>
      <c r="G676" t="s">
        <v>2609</v>
      </c>
      <c r="H676" t="s">
        <v>2610</v>
      </c>
      <c r="I676" t="s">
        <v>1351</v>
      </c>
      <c r="K676" t="s">
        <v>45</v>
      </c>
      <c r="L676" t="s">
        <v>45</v>
      </c>
      <c r="N676" t="s">
        <v>45</v>
      </c>
      <c r="P676" t="s">
        <v>31</v>
      </c>
      <c r="Q676" t="s">
        <v>46</v>
      </c>
      <c r="R676" t="s">
        <v>2597</v>
      </c>
      <c r="S676">
        <v>42975</v>
      </c>
      <c r="T676" t="s">
        <v>1319</v>
      </c>
      <c r="U676" t="s">
        <v>34</v>
      </c>
      <c r="V676">
        <v>42977</v>
      </c>
      <c r="W676" t="s">
        <v>35</v>
      </c>
      <c r="X676" t="s">
        <v>1260</v>
      </c>
      <c r="Y676" t="s">
        <v>1350</v>
      </c>
      <c r="Z676" t="s">
        <v>206</v>
      </c>
      <c r="AA676" t="s">
        <v>1351</v>
      </c>
      <c r="AB676" t="s">
        <v>1352</v>
      </c>
      <c r="AD676" t="s">
        <v>45</v>
      </c>
      <c r="AE676">
        <v>45.529989999999998</v>
      </c>
      <c r="AF676">
        <v>-94.239320000000006</v>
      </c>
      <c r="AG676" t="s">
        <v>40</v>
      </c>
      <c r="AH676" t="s">
        <v>41</v>
      </c>
      <c r="AI676">
        <v>45.529989999999998</v>
      </c>
      <c r="AJ676">
        <v>-94.239320000000006</v>
      </c>
      <c r="AK676">
        <v>0</v>
      </c>
      <c r="AL676">
        <v>0</v>
      </c>
      <c r="AM676" t="str">
        <f>_xlfn.IFNA(VLOOKUP(Sheet1!$C676,ADMIX_ALL!A:B,2,FALSE),"none")</f>
        <v>K6-18</v>
      </c>
      <c r="AN676" t="str">
        <f>_xlfn.IFNA(VLOOKUP(Sheet1!C676,ADMIX_SS!A:B,2,FALSE),"none")</f>
        <v>SubSample</v>
      </c>
      <c r="AO676" t="str">
        <f>_xlfn.IFNA(VLOOKUP(Sheet1!$C676,MONG_PHYLO!A:C,3,FALSE),"-")</f>
        <v>-</v>
      </c>
      <c r="AP676" t="str">
        <f>_xlfn.IFNA(VLOOKUP(Sheet1!$C676,MAC_PHYLO!A:C,3,FALSE),"-")</f>
        <v>macN</v>
      </c>
      <c r="AQ676" t="str">
        <f>_xlfn.IFNA(VLOOKUP(Sheet1!$C676,ConStruct!A:C,3,FALSE),"-")</f>
        <v>ConStruct</v>
      </c>
      <c r="AR676" t="str">
        <f>_xlfn.IFNA(VLOOKUP(Sheet1!$C676,GEA!A:C,3,FALSE),"-")</f>
        <v>GEA</v>
      </c>
      <c r="AS676" t="str">
        <f>_xlfn.IFNA(VLOOKUP(Sheet1!$C676,MAC_DSUITE!A:D,3,FALSE),"-")</f>
        <v>mac_MN_OTB</v>
      </c>
      <c r="AT676" t="str">
        <f>_xlfn.IFNA(VLOOKUP(Sheet1!$C676,MONG_DSUITE!A:E,2,FALSE),"-")</f>
        <v>macrocarpa_QPA</v>
      </c>
      <c r="AU676" t="str">
        <f>_xlfn.IFNA(VLOOKUP(Sheet1!$C676,MAC_PAINT2!A:D,4,FALSE),"-")</f>
        <v>macpaint</v>
      </c>
      <c r="AV676" t="s">
        <v>9193</v>
      </c>
      <c r="AW676" t="s">
        <v>9193</v>
      </c>
    </row>
    <row r="677" spans="1:49" customFormat="1" x14ac:dyDescent="0.4">
      <c r="A677">
        <v>2439</v>
      </c>
      <c r="B677" t="s">
        <v>1368</v>
      </c>
      <c r="C677" t="s">
        <v>1369</v>
      </c>
      <c r="D677" t="str">
        <f>_xlfn.CONCAT(C677,".bam")</f>
        <v>SYST-MOR-0007461.bam</v>
      </c>
      <c r="E677" t="s">
        <v>1370</v>
      </c>
      <c r="F677" t="s">
        <v>2439</v>
      </c>
      <c r="G677" t="s">
        <v>2609</v>
      </c>
      <c r="H677" t="s">
        <v>2610</v>
      </c>
      <c r="I677" t="s">
        <v>1351</v>
      </c>
      <c r="K677" t="s">
        <v>45</v>
      </c>
      <c r="L677" t="s">
        <v>45</v>
      </c>
      <c r="N677" t="s">
        <v>45</v>
      </c>
      <c r="P677" t="s">
        <v>31</v>
      </c>
      <c r="Q677" t="s">
        <v>46</v>
      </c>
      <c r="R677" t="s">
        <v>2597</v>
      </c>
      <c r="S677">
        <v>42975</v>
      </c>
      <c r="T677" t="s">
        <v>1319</v>
      </c>
      <c r="U677" t="s">
        <v>34</v>
      </c>
      <c r="V677">
        <v>42977</v>
      </c>
      <c r="W677" t="s">
        <v>35</v>
      </c>
      <c r="X677" t="s">
        <v>1260</v>
      </c>
      <c r="Y677" t="s">
        <v>1350</v>
      </c>
      <c r="Z677" t="s">
        <v>206</v>
      </c>
      <c r="AA677" t="s">
        <v>1351</v>
      </c>
      <c r="AB677" t="s">
        <v>1352</v>
      </c>
      <c r="AD677" t="s">
        <v>45</v>
      </c>
      <c r="AE677">
        <v>45.529899999999998</v>
      </c>
      <c r="AF677">
        <v>-94.240179999999995</v>
      </c>
      <c r="AG677" t="s">
        <v>40</v>
      </c>
      <c r="AH677" t="s">
        <v>41</v>
      </c>
      <c r="AI677">
        <v>45.529899999999998</v>
      </c>
      <c r="AJ677">
        <v>-94.240179999999995</v>
      </c>
      <c r="AK677">
        <v>0</v>
      </c>
      <c r="AL677">
        <v>0</v>
      </c>
      <c r="AM677" t="str">
        <f>_xlfn.IFNA(VLOOKUP(Sheet1!$C677,ADMIX_ALL!A:B,2,FALSE),"none")</f>
        <v>K6-18</v>
      </c>
      <c r="AN677" t="str">
        <f>_xlfn.IFNA(VLOOKUP(Sheet1!C677,ADMIX_SS!A:B,2,FALSE),"none")</f>
        <v>SubSample</v>
      </c>
      <c r="AO677" t="str">
        <f>_xlfn.IFNA(VLOOKUP(Sheet1!$C677,MONG_PHYLO!A:C,3,FALSE),"-")</f>
        <v>-</v>
      </c>
      <c r="AP677" t="str">
        <f>_xlfn.IFNA(VLOOKUP(Sheet1!$C677,MAC_PHYLO!A:C,3,FALSE),"-")</f>
        <v>-</v>
      </c>
      <c r="AQ677" t="str">
        <f>_xlfn.IFNA(VLOOKUP(Sheet1!$C677,ConStruct!A:C,3,FALSE),"-")</f>
        <v>ConStruct</v>
      </c>
      <c r="AR677" t="str">
        <f>_xlfn.IFNA(VLOOKUP(Sheet1!$C677,GEA!A:C,3,FALSE),"-")</f>
        <v>GEA</v>
      </c>
      <c r="AS677" t="str">
        <f>_xlfn.IFNA(VLOOKUP(Sheet1!$C677,MAC_DSUITE!A:D,3,FALSE),"-")</f>
        <v>mac_MN_OTB</v>
      </c>
      <c r="AT677" t="str">
        <f>_xlfn.IFNA(VLOOKUP(Sheet1!$C677,MONG_DSUITE!A:E,2,FALSE),"-")</f>
        <v>macrocarpa_QPA</v>
      </c>
      <c r="AU677" t="str">
        <f>_xlfn.IFNA(VLOOKUP(Sheet1!$C677,MAC_PAINT2!A:D,4,FALSE),"-")</f>
        <v>macpaint</v>
      </c>
      <c r="AV677" t="s">
        <v>9193</v>
      </c>
      <c r="AW677" t="s">
        <v>9193</v>
      </c>
    </row>
    <row r="678" spans="1:49" customFormat="1" x14ac:dyDescent="0.4">
      <c r="A678">
        <v>2440</v>
      </c>
      <c r="B678" t="s">
        <v>1371</v>
      </c>
      <c r="C678" t="s">
        <v>1372</v>
      </c>
      <c r="D678" t="str">
        <f>_xlfn.CONCAT(C678,".bam")</f>
        <v>SYST-MOR-0007462.bam</v>
      </c>
      <c r="E678" t="s">
        <v>1373</v>
      </c>
      <c r="F678" t="s">
        <v>2439</v>
      </c>
      <c r="G678" t="s">
        <v>2609</v>
      </c>
      <c r="H678" t="s">
        <v>2610</v>
      </c>
      <c r="I678" t="s">
        <v>1351</v>
      </c>
      <c r="K678" t="s">
        <v>45</v>
      </c>
      <c r="L678" t="s">
        <v>45</v>
      </c>
      <c r="N678" t="s">
        <v>45</v>
      </c>
      <c r="P678" t="s">
        <v>31</v>
      </c>
      <c r="Q678" t="s">
        <v>46</v>
      </c>
      <c r="R678" t="s">
        <v>2597</v>
      </c>
      <c r="S678">
        <v>42975</v>
      </c>
      <c r="T678" t="s">
        <v>1319</v>
      </c>
      <c r="U678" t="s">
        <v>34</v>
      </c>
      <c r="V678">
        <v>42977</v>
      </c>
      <c r="W678" t="s">
        <v>35</v>
      </c>
      <c r="X678" t="s">
        <v>1260</v>
      </c>
      <c r="Y678" t="s">
        <v>1350</v>
      </c>
      <c r="Z678" t="s">
        <v>206</v>
      </c>
      <c r="AA678" t="s">
        <v>1351</v>
      </c>
      <c r="AB678" t="s">
        <v>1352</v>
      </c>
      <c r="AD678" t="s">
        <v>45</v>
      </c>
      <c r="AE678">
        <v>45.529899999999998</v>
      </c>
      <c r="AF678">
        <v>-94.240179999999995</v>
      </c>
      <c r="AG678" t="s">
        <v>40</v>
      </c>
      <c r="AH678" t="s">
        <v>41</v>
      </c>
      <c r="AI678">
        <v>45.529899999999998</v>
      </c>
      <c r="AJ678">
        <v>-94.240179999999995</v>
      </c>
      <c r="AK678">
        <v>0</v>
      </c>
      <c r="AL678">
        <v>0</v>
      </c>
      <c r="AM678" t="str">
        <f>_xlfn.IFNA(VLOOKUP(Sheet1!$C678,ADMIX_ALL!A:B,2,FALSE),"none")</f>
        <v>K6-18</v>
      </c>
      <c r="AN678" t="str">
        <f>_xlfn.IFNA(VLOOKUP(Sheet1!C678,ADMIX_SS!A:B,2,FALSE),"none")</f>
        <v>SubSample</v>
      </c>
      <c r="AO678" t="str">
        <f>_xlfn.IFNA(VLOOKUP(Sheet1!$C678,MONG_PHYLO!A:C,3,FALSE),"-")</f>
        <v>-</v>
      </c>
      <c r="AP678" t="str">
        <f>_xlfn.IFNA(VLOOKUP(Sheet1!$C678,MAC_PHYLO!A:C,3,FALSE),"-")</f>
        <v>-</v>
      </c>
      <c r="AQ678" t="str">
        <f>_xlfn.IFNA(VLOOKUP(Sheet1!$C678,ConStruct!A:C,3,FALSE),"-")</f>
        <v>ConStruct</v>
      </c>
      <c r="AR678" t="str">
        <f>_xlfn.IFNA(VLOOKUP(Sheet1!$C678,GEA!A:C,3,FALSE),"-")</f>
        <v>GEA</v>
      </c>
      <c r="AS678" t="str">
        <f>_xlfn.IFNA(VLOOKUP(Sheet1!$C678,MAC_DSUITE!A:D,3,FALSE),"-")</f>
        <v>mac_MN_OTB</v>
      </c>
      <c r="AT678" t="str">
        <f>_xlfn.IFNA(VLOOKUP(Sheet1!$C678,MONG_DSUITE!A:E,2,FALSE),"-")</f>
        <v>macrocarpa_QPA</v>
      </c>
      <c r="AU678" t="str">
        <f>_xlfn.IFNA(VLOOKUP(Sheet1!$C678,MAC_PAINT2!A:D,4,FALSE),"-")</f>
        <v>macpaint</v>
      </c>
      <c r="AV678" t="s">
        <v>9193</v>
      </c>
      <c r="AW678" t="s">
        <v>9193</v>
      </c>
    </row>
    <row r="679" spans="1:49" customFormat="1" x14ac:dyDescent="0.4">
      <c r="A679">
        <v>2441</v>
      </c>
      <c r="B679" t="s">
        <v>1374</v>
      </c>
      <c r="C679" t="s">
        <v>1375</v>
      </c>
      <c r="D679" t="str">
        <f>_xlfn.CONCAT(C679,".bam")</f>
        <v>SYST-MOR-0007463.bam</v>
      </c>
      <c r="E679" t="s">
        <v>1376</v>
      </c>
      <c r="F679" t="s">
        <v>2439</v>
      </c>
      <c r="G679" t="s">
        <v>2609</v>
      </c>
      <c r="H679" t="s">
        <v>2610</v>
      </c>
      <c r="I679" t="s">
        <v>1351</v>
      </c>
      <c r="K679" t="s">
        <v>45</v>
      </c>
      <c r="L679" t="s">
        <v>45</v>
      </c>
      <c r="N679" t="s">
        <v>45</v>
      </c>
      <c r="P679" t="s">
        <v>31</v>
      </c>
      <c r="Q679" t="s">
        <v>46</v>
      </c>
      <c r="R679" t="s">
        <v>2597</v>
      </c>
      <c r="S679">
        <v>42975</v>
      </c>
      <c r="T679" t="s">
        <v>1319</v>
      </c>
      <c r="U679" t="s">
        <v>34</v>
      </c>
      <c r="V679">
        <v>42977</v>
      </c>
      <c r="W679" t="s">
        <v>35</v>
      </c>
      <c r="X679" t="s">
        <v>1260</v>
      </c>
      <c r="Y679" t="s">
        <v>1350</v>
      </c>
      <c r="Z679" t="s">
        <v>206</v>
      </c>
      <c r="AA679" t="s">
        <v>1351</v>
      </c>
      <c r="AB679" t="s">
        <v>1377</v>
      </c>
      <c r="AD679" t="s">
        <v>45</v>
      </c>
      <c r="AE679">
        <v>45.529069999999997</v>
      </c>
      <c r="AF679">
        <v>-94.241209999999995</v>
      </c>
      <c r="AG679" t="s">
        <v>40</v>
      </c>
      <c r="AH679" t="s">
        <v>41</v>
      </c>
      <c r="AI679">
        <v>45.529069999999997</v>
      </c>
      <c r="AJ679">
        <v>-94.241209999999995</v>
      </c>
      <c r="AK679">
        <v>0</v>
      </c>
      <c r="AL679">
        <v>0</v>
      </c>
      <c r="AM679" t="str">
        <f>_xlfn.IFNA(VLOOKUP(Sheet1!$C679,ADMIX_ALL!A:B,2,FALSE),"none")</f>
        <v>K6-18</v>
      </c>
      <c r="AN679" t="str">
        <f>_xlfn.IFNA(VLOOKUP(Sheet1!C679,ADMIX_SS!A:B,2,FALSE),"none")</f>
        <v>SubSample</v>
      </c>
      <c r="AO679" t="str">
        <f>_xlfn.IFNA(VLOOKUP(Sheet1!$C679,MONG_PHYLO!A:C,3,FALSE),"-")</f>
        <v>-</v>
      </c>
      <c r="AP679" t="str">
        <f>_xlfn.IFNA(VLOOKUP(Sheet1!$C679,MAC_PHYLO!A:C,3,FALSE),"-")</f>
        <v>-</v>
      </c>
      <c r="AQ679" t="str">
        <f>_xlfn.IFNA(VLOOKUP(Sheet1!$C679,ConStruct!A:C,3,FALSE),"-")</f>
        <v>ConStruct</v>
      </c>
      <c r="AR679" t="str">
        <f>_xlfn.IFNA(VLOOKUP(Sheet1!$C679,GEA!A:C,3,FALSE),"-")</f>
        <v>GEA</v>
      </c>
      <c r="AS679" t="str">
        <f>_xlfn.IFNA(VLOOKUP(Sheet1!$C679,MAC_DSUITE!A:D,3,FALSE),"-")</f>
        <v>mac_MN_OTB</v>
      </c>
      <c r="AT679" t="str">
        <f>_xlfn.IFNA(VLOOKUP(Sheet1!$C679,MONG_DSUITE!A:E,2,FALSE),"-")</f>
        <v>macrocarpa_QPA</v>
      </c>
      <c r="AU679" t="str">
        <f>_xlfn.IFNA(VLOOKUP(Sheet1!$C679,MAC_PAINT2!A:D,4,FALSE),"-")</f>
        <v>macpaint</v>
      </c>
      <c r="AV679" t="s">
        <v>9193</v>
      </c>
      <c r="AW679" t="s">
        <v>9193</v>
      </c>
    </row>
    <row r="680" spans="1:49" customFormat="1" x14ac:dyDescent="0.4">
      <c r="A680">
        <v>2442</v>
      </c>
      <c r="B680" t="s">
        <v>1378</v>
      </c>
      <c r="C680" t="s">
        <v>1379</v>
      </c>
      <c r="D680" t="str">
        <f>_xlfn.CONCAT(C680,".bam")</f>
        <v>SYST-MOR-0007464.bam</v>
      </c>
      <c r="E680" t="s">
        <v>1380</v>
      </c>
      <c r="F680" t="s">
        <v>2439</v>
      </c>
      <c r="G680" t="s">
        <v>2609</v>
      </c>
      <c r="H680" t="s">
        <v>2610</v>
      </c>
      <c r="I680" t="s">
        <v>1351</v>
      </c>
      <c r="K680" t="s">
        <v>45</v>
      </c>
      <c r="L680" t="s">
        <v>45</v>
      </c>
      <c r="N680" t="s">
        <v>45</v>
      </c>
      <c r="P680" t="s">
        <v>31</v>
      </c>
      <c r="Q680" t="s">
        <v>46</v>
      </c>
      <c r="R680" t="s">
        <v>2597</v>
      </c>
      <c r="S680">
        <v>42975</v>
      </c>
      <c r="T680" t="s">
        <v>1319</v>
      </c>
      <c r="U680" t="s">
        <v>34</v>
      </c>
      <c r="V680">
        <v>42977</v>
      </c>
      <c r="W680" t="s">
        <v>35</v>
      </c>
      <c r="X680" t="s">
        <v>1260</v>
      </c>
      <c r="Y680" t="s">
        <v>1350</v>
      </c>
      <c r="Z680" t="s">
        <v>206</v>
      </c>
      <c r="AA680" t="s">
        <v>1351</v>
      </c>
      <c r="AB680" t="s">
        <v>1377</v>
      </c>
      <c r="AD680" t="s">
        <v>45</v>
      </c>
      <c r="AE680">
        <v>45.528869999999998</v>
      </c>
      <c r="AF680">
        <v>-94.240849999999995</v>
      </c>
      <c r="AG680" t="s">
        <v>40</v>
      </c>
      <c r="AH680" t="s">
        <v>41</v>
      </c>
      <c r="AI680">
        <v>45.528869999999998</v>
      </c>
      <c r="AJ680">
        <v>-94.240849999999995</v>
      </c>
      <c r="AK680">
        <v>0</v>
      </c>
      <c r="AL680">
        <v>0</v>
      </c>
      <c r="AM680" t="str">
        <f>_xlfn.IFNA(VLOOKUP(Sheet1!$C680,ADMIX_ALL!A:B,2,FALSE),"none")</f>
        <v>K6-18</v>
      </c>
      <c r="AN680" t="str">
        <f>_xlfn.IFNA(VLOOKUP(Sheet1!C680,ADMIX_SS!A:B,2,FALSE),"none")</f>
        <v>Constant</v>
      </c>
      <c r="AO680" t="str">
        <f>_xlfn.IFNA(VLOOKUP(Sheet1!$C680,MONG_PHYLO!A:C,3,FALSE),"-")</f>
        <v>macN</v>
      </c>
      <c r="AP680" t="str">
        <f>_xlfn.IFNA(VLOOKUP(Sheet1!$C680,MAC_PHYLO!A:C,3,FALSE),"-")</f>
        <v>-</v>
      </c>
      <c r="AQ680" t="str">
        <f>_xlfn.IFNA(VLOOKUP(Sheet1!$C680,ConStruct!A:C,3,FALSE),"-")</f>
        <v>ConStruct</v>
      </c>
      <c r="AR680" t="str">
        <f>_xlfn.IFNA(VLOOKUP(Sheet1!$C680,GEA!A:C,3,FALSE),"-")</f>
        <v>GEA</v>
      </c>
      <c r="AS680" t="str">
        <f>_xlfn.IFNA(VLOOKUP(Sheet1!$C680,MAC_DSUITE!A:D,3,FALSE),"-")</f>
        <v>mac_MN_OTB</v>
      </c>
      <c r="AT680" t="str">
        <f>_xlfn.IFNA(VLOOKUP(Sheet1!$C680,MONG_DSUITE!A:E,2,FALSE),"-")</f>
        <v>macrocarpa_QPA</v>
      </c>
      <c r="AU680" t="str">
        <f>_xlfn.IFNA(VLOOKUP(Sheet1!$C680,MAC_PAINT2!A:D,4,FALSE),"-")</f>
        <v>macpaint</v>
      </c>
      <c r="AV680" t="s">
        <v>9193</v>
      </c>
      <c r="AW680" t="s">
        <v>9193</v>
      </c>
    </row>
    <row r="681" spans="1:49" customFormat="1" x14ac:dyDescent="0.4">
      <c r="A681">
        <v>2443</v>
      </c>
      <c r="B681" t="s">
        <v>1381</v>
      </c>
      <c r="C681" t="s">
        <v>1382</v>
      </c>
      <c r="D681" t="str">
        <f>_xlfn.CONCAT(C681,".bam")</f>
        <v>SYST-MOR-0007465.bam</v>
      </c>
      <c r="E681" t="s">
        <v>1383</v>
      </c>
      <c r="F681" t="s">
        <v>2439</v>
      </c>
      <c r="G681" t="s">
        <v>2609</v>
      </c>
      <c r="H681" t="s">
        <v>2610</v>
      </c>
      <c r="I681" t="s">
        <v>1351</v>
      </c>
      <c r="K681" t="s">
        <v>45</v>
      </c>
      <c r="L681" t="s">
        <v>45</v>
      </c>
      <c r="N681" t="s">
        <v>45</v>
      </c>
      <c r="P681" t="s">
        <v>31</v>
      </c>
      <c r="Q681" t="s">
        <v>46</v>
      </c>
      <c r="R681" t="s">
        <v>2597</v>
      </c>
      <c r="S681">
        <v>42975</v>
      </c>
      <c r="T681" t="s">
        <v>1319</v>
      </c>
      <c r="U681" t="s">
        <v>34</v>
      </c>
      <c r="V681">
        <v>42977</v>
      </c>
      <c r="W681" t="s">
        <v>35</v>
      </c>
      <c r="X681" t="s">
        <v>1260</v>
      </c>
      <c r="Y681" t="s">
        <v>1350</v>
      </c>
      <c r="Z681" t="s">
        <v>206</v>
      </c>
      <c r="AA681" t="s">
        <v>1351</v>
      </c>
      <c r="AB681" t="s">
        <v>1352</v>
      </c>
      <c r="AD681" t="s">
        <v>45</v>
      </c>
      <c r="AE681">
        <v>45.530880000000003</v>
      </c>
      <c r="AF681">
        <v>-94.239890000000003</v>
      </c>
      <c r="AG681" t="s">
        <v>40</v>
      </c>
      <c r="AH681" t="s">
        <v>41</v>
      </c>
      <c r="AI681">
        <v>45.530880000000003</v>
      </c>
      <c r="AJ681">
        <v>-94.239890000000003</v>
      </c>
      <c r="AK681">
        <v>0</v>
      </c>
      <c r="AL681">
        <v>0</v>
      </c>
      <c r="AM681" t="str">
        <f>_xlfn.IFNA(VLOOKUP(Sheet1!$C681,ADMIX_ALL!A:B,2,FALSE),"none")</f>
        <v>K6-18</v>
      </c>
      <c r="AN681" t="str">
        <f>_xlfn.IFNA(VLOOKUP(Sheet1!C681,ADMIX_SS!A:B,2,FALSE),"none")</f>
        <v>SubSample</v>
      </c>
      <c r="AO681" t="str">
        <f>_xlfn.IFNA(VLOOKUP(Sheet1!$C681,MONG_PHYLO!A:C,3,FALSE),"-")</f>
        <v>-</v>
      </c>
      <c r="AP681" t="str">
        <f>_xlfn.IFNA(VLOOKUP(Sheet1!$C681,MAC_PHYLO!A:C,3,FALSE),"-")</f>
        <v>-</v>
      </c>
      <c r="AQ681" t="str">
        <f>_xlfn.IFNA(VLOOKUP(Sheet1!$C681,ConStruct!A:C,3,FALSE),"-")</f>
        <v>ConStruct</v>
      </c>
      <c r="AR681" t="str">
        <f>_xlfn.IFNA(VLOOKUP(Sheet1!$C681,GEA!A:C,3,FALSE),"-")</f>
        <v>GEA</v>
      </c>
      <c r="AS681" t="str">
        <f>_xlfn.IFNA(VLOOKUP(Sheet1!$C681,MAC_DSUITE!A:D,3,FALSE),"-")</f>
        <v>mac_MN_OTB</v>
      </c>
      <c r="AT681" t="str">
        <f>_xlfn.IFNA(VLOOKUP(Sheet1!$C681,MONG_DSUITE!A:E,2,FALSE),"-")</f>
        <v>macrocarpa_QPA</v>
      </c>
      <c r="AU681" t="str">
        <f>_xlfn.IFNA(VLOOKUP(Sheet1!$C681,MAC_PAINT2!A:D,4,FALSE),"-")</f>
        <v>macpaint</v>
      </c>
      <c r="AV681" t="s">
        <v>9193</v>
      </c>
      <c r="AW681" t="s">
        <v>9193</v>
      </c>
    </row>
    <row r="682" spans="1:49" s="16" customFormat="1" x14ac:dyDescent="0.4">
      <c r="A682" s="16">
        <v>2460</v>
      </c>
      <c r="B682" s="16" t="s">
        <v>1889</v>
      </c>
      <c r="C682" s="16" t="s">
        <v>1890</v>
      </c>
      <c r="D682" s="16" t="str">
        <f>_xlfn.CONCAT(C682,".bam")</f>
        <v>SYST-MOR-0007466.bam</v>
      </c>
      <c r="E682" s="16" t="s">
        <v>1891</v>
      </c>
      <c r="F682" s="16" t="s">
        <v>2454</v>
      </c>
      <c r="G682" s="16" t="s">
        <v>2482</v>
      </c>
      <c r="H682" s="16" t="s">
        <v>2544</v>
      </c>
      <c r="I682" s="16" t="s">
        <v>1894</v>
      </c>
      <c r="K682" s="16" t="s">
        <v>45</v>
      </c>
      <c r="L682" s="16" t="s">
        <v>45</v>
      </c>
      <c r="N682" s="16" t="s">
        <v>45</v>
      </c>
      <c r="P682" s="16" t="s">
        <v>31</v>
      </c>
      <c r="Q682" s="16" t="s">
        <v>46</v>
      </c>
      <c r="R682" s="16" t="s">
        <v>2597</v>
      </c>
      <c r="S682" s="17">
        <v>42983</v>
      </c>
      <c r="T682" s="16" t="s">
        <v>1892</v>
      </c>
      <c r="U682" s="16" t="s">
        <v>34</v>
      </c>
      <c r="V682" s="17">
        <v>42985</v>
      </c>
      <c r="W682" s="16" t="s">
        <v>35</v>
      </c>
      <c r="X682" s="16" t="s">
        <v>1820</v>
      </c>
      <c r="Y682" s="16" t="s">
        <v>1893</v>
      </c>
      <c r="Z682" s="16" t="s">
        <v>206</v>
      </c>
      <c r="AA682" s="16" t="s">
        <v>1894</v>
      </c>
      <c r="AB682" s="16" t="s">
        <v>1895</v>
      </c>
      <c r="AD682" s="16" t="s">
        <v>45</v>
      </c>
      <c r="AE682" s="16">
        <v>40.043599999999998</v>
      </c>
      <c r="AF682" s="16">
        <v>-83.479870000000005</v>
      </c>
      <c r="AG682" s="16" t="s">
        <v>40</v>
      </c>
      <c r="AH682" s="16" t="s">
        <v>41</v>
      </c>
      <c r="AI682" s="16">
        <v>40.043599999999998</v>
      </c>
      <c r="AJ682" s="16">
        <v>-83.479870000000005</v>
      </c>
      <c r="AK682" s="16">
        <v>0</v>
      </c>
      <c r="AL682" s="16">
        <v>0</v>
      </c>
      <c r="AM682" s="16" t="str">
        <f>_xlfn.IFNA(VLOOKUP(Sheet1!$C682,ADMIX_ALL!A:B,2,FALSE),"none")</f>
        <v>K6-18</v>
      </c>
      <c r="AN682" s="16" t="str">
        <f>_xlfn.IFNA(VLOOKUP(Sheet1!C682,ADMIX_SS!A:B,2,FALSE),"none")</f>
        <v>SubSample</v>
      </c>
      <c r="AO682" s="16" t="str">
        <f>_xlfn.IFNA(VLOOKUP(Sheet1!$C682,MONG_PHYLO!A:C,3,FALSE),"-")</f>
        <v>-</v>
      </c>
      <c r="AP682" s="16" t="str">
        <f>_xlfn.IFNA(VLOOKUP(Sheet1!$C682,MAC_PHYLO!A:C,3,FALSE),"-")</f>
        <v>-</v>
      </c>
      <c r="AQ682" s="16" t="str">
        <f>_xlfn.IFNA(VLOOKUP(Sheet1!$C682,ConStruct!A:C,3,FALSE),"-")</f>
        <v>ConStruct</v>
      </c>
      <c r="AR682" s="16" t="str">
        <f>_xlfn.IFNA(VLOOKUP(Sheet1!$C682,GEA!A:C,3,FALSE),"-")</f>
        <v>GEA</v>
      </c>
      <c r="AS682" s="16" t="str">
        <f>_xlfn.IFNA(VLOOKUP(Sheet1!$C682,MAC_DSUITE!A:D,3,FALSE),"-")</f>
        <v>mac_OH_PKS</v>
      </c>
      <c r="AT682" s="16" t="str">
        <f>_xlfn.IFNA(VLOOKUP(Sheet1!$C682,MONG_DSUITE!A:E,2,FALSE),"-")</f>
        <v>macrocarpa_PKS</v>
      </c>
      <c r="AU682" s="16" t="str">
        <f>_xlfn.IFNA(VLOOKUP(Sheet1!$C682,MAC_PAINT2!A:D,4,FALSE),"-")</f>
        <v>-</v>
      </c>
      <c r="AV682" s="16" t="s">
        <v>9195</v>
      </c>
      <c r="AW682" s="16" t="s">
        <v>9193</v>
      </c>
    </row>
    <row r="683" spans="1:49" customFormat="1" x14ac:dyDescent="0.4">
      <c r="A683">
        <v>2461</v>
      </c>
      <c r="B683" t="s">
        <v>1896</v>
      </c>
      <c r="C683" t="s">
        <v>1897</v>
      </c>
      <c r="D683" t="str">
        <f>_xlfn.CONCAT(C683,".bam")</f>
        <v>SYST-MOR-0007467.bam</v>
      </c>
      <c r="E683" t="s">
        <v>1898</v>
      </c>
      <c r="F683" t="s">
        <v>2454</v>
      </c>
      <c r="G683" t="s">
        <v>2482</v>
      </c>
      <c r="H683" t="s">
        <v>2544</v>
      </c>
      <c r="I683" t="s">
        <v>1894</v>
      </c>
      <c r="K683" t="s">
        <v>45</v>
      </c>
      <c r="L683" t="s">
        <v>45</v>
      </c>
      <c r="N683" t="s">
        <v>45</v>
      </c>
      <c r="P683" t="s">
        <v>31</v>
      </c>
      <c r="Q683" t="s">
        <v>46</v>
      </c>
      <c r="R683" t="s">
        <v>2597</v>
      </c>
      <c r="S683" s="1">
        <v>42983</v>
      </c>
      <c r="T683" t="s">
        <v>1892</v>
      </c>
      <c r="U683" t="s">
        <v>34</v>
      </c>
      <c r="V683" s="1">
        <v>42985</v>
      </c>
      <c r="W683" t="s">
        <v>35</v>
      </c>
      <c r="X683" t="s">
        <v>1820</v>
      </c>
      <c r="Y683" t="s">
        <v>1893</v>
      </c>
      <c r="Z683" t="s">
        <v>206</v>
      </c>
      <c r="AA683" t="s">
        <v>1894</v>
      </c>
      <c r="AB683" t="s">
        <v>1895</v>
      </c>
      <c r="AD683" t="s">
        <v>45</v>
      </c>
      <c r="AE683">
        <v>40.043970000000002</v>
      </c>
      <c r="AF683">
        <v>-83.480379999999997</v>
      </c>
      <c r="AG683" t="s">
        <v>40</v>
      </c>
      <c r="AH683" t="s">
        <v>41</v>
      </c>
      <c r="AI683">
        <v>40.043970000000002</v>
      </c>
      <c r="AJ683">
        <v>-83.480379999999997</v>
      </c>
      <c r="AK683">
        <v>0</v>
      </c>
      <c r="AL683">
        <v>0</v>
      </c>
      <c r="AM683" t="str">
        <f>_xlfn.IFNA(VLOOKUP(Sheet1!$C683,ADMIX_ALL!A:B,2,FALSE),"none")</f>
        <v>K6-18</v>
      </c>
      <c r="AN683" t="str">
        <f>_xlfn.IFNA(VLOOKUP(Sheet1!C683,ADMIX_SS!A:B,2,FALSE),"none")</f>
        <v>SubSample</v>
      </c>
      <c r="AO683" t="str">
        <f>_xlfn.IFNA(VLOOKUP(Sheet1!$C683,MONG_PHYLO!A:C,3,FALSE),"-")</f>
        <v>-</v>
      </c>
      <c r="AP683" t="str">
        <f>_xlfn.IFNA(VLOOKUP(Sheet1!$C683,MAC_PHYLO!A:C,3,FALSE),"-")</f>
        <v>-</v>
      </c>
      <c r="AQ683" t="str">
        <f>_xlfn.IFNA(VLOOKUP(Sheet1!$C683,ConStruct!A:C,3,FALSE),"-")</f>
        <v>ConStruct</v>
      </c>
      <c r="AR683" t="str">
        <f>_xlfn.IFNA(VLOOKUP(Sheet1!$C683,GEA!A:C,3,FALSE),"-")</f>
        <v>GEA</v>
      </c>
      <c r="AS683" t="str">
        <f>_xlfn.IFNA(VLOOKUP(Sheet1!$C683,MAC_DSUITE!A:D,3,FALSE),"-")</f>
        <v>mac_OH_PKS</v>
      </c>
      <c r="AT683" t="str">
        <f>_xlfn.IFNA(VLOOKUP(Sheet1!$C683,MONG_DSUITE!A:E,2,FALSE),"-")</f>
        <v>macrocarpa_PKS</v>
      </c>
      <c r="AU683" t="str">
        <f>_xlfn.IFNA(VLOOKUP(Sheet1!$C683,MAC_PAINT2!A:D,4,FALSE),"-")</f>
        <v>macpaint</v>
      </c>
      <c r="AV683" t="s">
        <v>9193</v>
      </c>
      <c r="AW683" t="s">
        <v>9193</v>
      </c>
    </row>
    <row r="684" spans="1:49" customFormat="1" x14ac:dyDescent="0.4">
      <c r="A684">
        <v>2462</v>
      </c>
      <c r="B684" t="s">
        <v>1899</v>
      </c>
      <c r="C684" t="s">
        <v>1900</v>
      </c>
      <c r="D684" t="str">
        <f>_xlfn.CONCAT(C684,".bam")</f>
        <v>SYST-MOR-0007468.bam</v>
      </c>
      <c r="E684" t="s">
        <v>1901</v>
      </c>
      <c r="F684" t="s">
        <v>2454</v>
      </c>
      <c r="G684" t="s">
        <v>2482</v>
      </c>
      <c r="H684" t="s">
        <v>2544</v>
      </c>
      <c r="I684" t="s">
        <v>1894</v>
      </c>
      <c r="K684" t="s">
        <v>45</v>
      </c>
      <c r="L684" t="s">
        <v>45</v>
      </c>
      <c r="N684" t="s">
        <v>45</v>
      </c>
      <c r="P684" t="s">
        <v>31</v>
      </c>
      <c r="Q684" t="s">
        <v>46</v>
      </c>
      <c r="R684" t="s">
        <v>2597</v>
      </c>
      <c r="S684" s="1">
        <v>42983</v>
      </c>
      <c r="T684" t="s">
        <v>1892</v>
      </c>
      <c r="U684" t="s">
        <v>34</v>
      </c>
      <c r="V684" s="1">
        <v>42985</v>
      </c>
      <c r="W684" t="s">
        <v>35</v>
      </c>
      <c r="X684" t="s">
        <v>1820</v>
      </c>
      <c r="Y684" t="s">
        <v>1893</v>
      </c>
      <c r="Z684" t="s">
        <v>206</v>
      </c>
      <c r="AA684" t="s">
        <v>1894</v>
      </c>
      <c r="AB684" t="s">
        <v>1895</v>
      </c>
      <c r="AD684" t="s">
        <v>45</v>
      </c>
      <c r="AE684">
        <v>40.044330000000002</v>
      </c>
      <c r="AF684">
        <v>-83.480639999999994</v>
      </c>
      <c r="AG684" t="s">
        <v>40</v>
      </c>
      <c r="AH684" t="s">
        <v>41</v>
      </c>
      <c r="AI684">
        <v>40.044330000000002</v>
      </c>
      <c r="AJ684">
        <v>-83.480639999999994</v>
      </c>
      <c r="AK684">
        <v>0</v>
      </c>
      <c r="AL684">
        <v>0</v>
      </c>
      <c r="AM684" t="str">
        <f>_xlfn.IFNA(VLOOKUP(Sheet1!$C684,ADMIX_ALL!A:B,2,FALSE),"none")</f>
        <v>K6-18</v>
      </c>
      <c r="AN684" t="str">
        <f>_xlfn.IFNA(VLOOKUP(Sheet1!C684,ADMIX_SS!A:B,2,FALSE),"none")</f>
        <v>SubSample</v>
      </c>
      <c r="AO684" t="str">
        <f>_xlfn.IFNA(VLOOKUP(Sheet1!$C684,MONG_PHYLO!A:C,3,FALSE),"-")</f>
        <v>-</v>
      </c>
      <c r="AP684" t="str">
        <f>_xlfn.IFNA(VLOOKUP(Sheet1!$C684,MAC_PHYLO!A:C,3,FALSE),"-")</f>
        <v>-</v>
      </c>
      <c r="AQ684" t="str">
        <f>_xlfn.IFNA(VLOOKUP(Sheet1!$C684,ConStruct!A:C,3,FALSE),"-")</f>
        <v>ConStruct</v>
      </c>
      <c r="AR684" t="str">
        <f>_xlfn.IFNA(VLOOKUP(Sheet1!$C684,GEA!A:C,3,FALSE),"-")</f>
        <v>GEA</v>
      </c>
      <c r="AS684" t="str">
        <f>_xlfn.IFNA(VLOOKUP(Sheet1!$C684,MAC_DSUITE!A:D,3,FALSE),"-")</f>
        <v>mac_OH_PKS</v>
      </c>
      <c r="AT684" t="str">
        <f>_xlfn.IFNA(VLOOKUP(Sheet1!$C684,MONG_DSUITE!A:E,2,FALSE),"-")</f>
        <v>macrocarpa_PKS</v>
      </c>
      <c r="AU684" t="str">
        <f>_xlfn.IFNA(VLOOKUP(Sheet1!$C684,MAC_PAINT2!A:D,4,FALSE),"-")</f>
        <v>macpaint</v>
      </c>
      <c r="AV684" t="s">
        <v>9193</v>
      </c>
      <c r="AW684" t="s">
        <v>9193</v>
      </c>
    </row>
    <row r="685" spans="1:49" customFormat="1" x14ac:dyDescent="0.4">
      <c r="A685">
        <v>2463</v>
      </c>
      <c r="B685" t="s">
        <v>1902</v>
      </c>
      <c r="C685" t="s">
        <v>1903</v>
      </c>
      <c r="D685" t="str">
        <f>_xlfn.CONCAT(C685,".bam")</f>
        <v>SYST-MOR-0007469.bam</v>
      </c>
      <c r="E685" t="s">
        <v>1904</v>
      </c>
      <c r="F685" t="s">
        <v>2454</v>
      </c>
      <c r="G685" t="s">
        <v>2482</v>
      </c>
      <c r="H685" t="s">
        <v>2544</v>
      </c>
      <c r="I685" t="s">
        <v>1894</v>
      </c>
      <c r="K685" t="s">
        <v>45</v>
      </c>
      <c r="L685" t="s">
        <v>45</v>
      </c>
      <c r="N685" t="s">
        <v>45</v>
      </c>
      <c r="P685" t="s">
        <v>31</v>
      </c>
      <c r="Q685" t="s">
        <v>46</v>
      </c>
      <c r="R685" t="s">
        <v>2597</v>
      </c>
      <c r="S685" s="1">
        <v>42983</v>
      </c>
      <c r="T685" t="s">
        <v>1892</v>
      </c>
      <c r="U685" t="s">
        <v>34</v>
      </c>
      <c r="V685" s="1">
        <v>42985</v>
      </c>
      <c r="W685" t="s">
        <v>35</v>
      </c>
      <c r="X685" t="s">
        <v>1820</v>
      </c>
      <c r="Y685" t="s">
        <v>1893</v>
      </c>
      <c r="Z685" t="s">
        <v>206</v>
      </c>
      <c r="AA685" t="s">
        <v>1894</v>
      </c>
      <c r="AB685" t="s">
        <v>1895</v>
      </c>
      <c r="AD685" t="s">
        <v>45</v>
      </c>
      <c r="AE685">
        <v>40.045209999999997</v>
      </c>
      <c r="AF685">
        <v>-83.479240000000004</v>
      </c>
      <c r="AG685" t="s">
        <v>40</v>
      </c>
      <c r="AH685" t="s">
        <v>41</v>
      </c>
      <c r="AI685">
        <v>40.045209999999997</v>
      </c>
      <c r="AJ685">
        <v>-83.479240000000004</v>
      </c>
      <c r="AK685">
        <v>0</v>
      </c>
      <c r="AL685">
        <v>0</v>
      </c>
      <c r="AM685" t="str">
        <f>_xlfn.IFNA(VLOOKUP(Sheet1!$C685,ADMIX_ALL!A:B,2,FALSE),"none")</f>
        <v>K6-18</v>
      </c>
      <c r="AN685" t="str">
        <f>_xlfn.IFNA(VLOOKUP(Sheet1!C685,ADMIX_SS!A:B,2,FALSE),"none")</f>
        <v>SubSample</v>
      </c>
      <c r="AO685" t="str">
        <f>_xlfn.IFNA(VLOOKUP(Sheet1!$C685,MONG_PHYLO!A:C,3,FALSE),"-")</f>
        <v>-</v>
      </c>
      <c r="AP685" t="str">
        <f>_xlfn.IFNA(VLOOKUP(Sheet1!$C685,MAC_PHYLO!A:C,3,FALSE),"-")</f>
        <v>-</v>
      </c>
      <c r="AQ685" t="str">
        <f>_xlfn.IFNA(VLOOKUP(Sheet1!$C685,ConStruct!A:C,3,FALSE),"-")</f>
        <v>ConStruct</v>
      </c>
      <c r="AR685" t="str">
        <f>_xlfn.IFNA(VLOOKUP(Sheet1!$C685,GEA!A:C,3,FALSE),"-")</f>
        <v>GEA</v>
      </c>
      <c r="AS685" t="str">
        <f>_xlfn.IFNA(VLOOKUP(Sheet1!$C685,MAC_DSUITE!A:D,3,FALSE),"-")</f>
        <v>mac_OH_PKS</v>
      </c>
      <c r="AT685" t="str">
        <f>_xlfn.IFNA(VLOOKUP(Sheet1!$C685,MONG_DSUITE!A:E,2,FALSE),"-")</f>
        <v>macrocarpa_PKS</v>
      </c>
      <c r="AU685" t="str">
        <f>_xlfn.IFNA(VLOOKUP(Sheet1!$C685,MAC_PAINT2!A:D,4,FALSE),"-")</f>
        <v>macpaint</v>
      </c>
      <c r="AV685" t="s">
        <v>9193</v>
      </c>
      <c r="AW685" t="s">
        <v>9193</v>
      </c>
    </row>
    <row r="686" spans="1:49" customFormat="1" x14ac:dyDescent="0.4">
      <c r="A686">
        <v>2464</v>
      </c>
      <c r="B686" t="s">
        <v>1905</v>
      </c>
      <c r="C686" t="s">
        <v>1906</v>
      </c>
      <c r="D686" t="str">
        <f>_xlfn.CONCAT(C686,".bam")</f>
        <v>SYST-MOR-0007470.bam</v>
      </c>
      <c r="E686" t="s">
        <v>1907</v>
      </c>
      <c r="F686" t="s">
        <v>2454</v>
      </c>
      <c r="G686" t="s">
        <v>2482</v>
      </c>
      <c r="H686" t="s">
        <v>2544</v>
      </c>
      <c r="I686" t="s">
        <v>1894</v>
      </c>
      <c r="K686" t="s">
        <v>45</v>
      </c>
      <c r="L686" t="s">
        <v>45</v>
      </c>
      <c r="N686" t="s">
        <v>45</v>
      </c>
      <c r="P686" t="s">
        <v>31</v>
      </c>
      <c r="Q686" t="s">
        <v>46</v>
      </c>
      <c r="R686" t="s">
        <v>2597</v>
      </c>
      <c r="S686" s="1">
        <v>42983</v>
      </c>
      <c r="T686" t="s">
        <v>1892</v>
      </c>
      <c r="U686" t="s">
        <v>34</v>
      </c>
      <c r="V686" s="1">
        <v>42985</v>
      </c>
      <c r="W686" t="s">
        <v>35</v>
      </c>
      <c r="X686" t="s">
        <v>1820</v>
      </c>
      <c r="Y686" t="s">
        <v>1893</v>
      </c>
      <c r="Z686" t="s">
        <v>206</v>
      </c>
      <c r="AA686" t="s">
        <v>1894</v>
      </c>
      <c r="AB686" t="s">
        <v>1895</v>
      </c>
      <c r="AD686" t="s">
        <v>45</v>
      </c>
      <c r="AE686">
        <v>40.045679999999997</v>
      </c>
      <c r="AF686">
        <v>-83.479349999999997</v>
      </c>
      <c r="AG686" t="s">
        <v>40</v>
      </c>
      <c r="AH686" t="s">
        <v>41</v>
      </c>
      <c r="AI686">
        <v>40.045679999999997</v>
      </c>
      <c r="AJ686">
        <v>-83.479349999999997</v>
      </c>
      <c r="AK686">
        <v>0</v>
      </c>
      <c r="AL686">
        <v>0</v>
      </c>
      <c r="AM686" t="str">
        <f>_xlfn.IFNA(VLOOKUP(Sheet1!$C686,ADMIX_ALL!A:B,2,FALSE),"none")</f>
        <v>K6-18</v>
      </c>
      <c r="AN686" t="str">
        <f>_xlfn.IFNA(VLOOKUP(Sheet1!C686,ADMIX_SS!A:B,2,FALSE),"none")</f>
        <v>SubSample</v>
      </c>
      <c r="AO686" t="str">
        <f>_xlfn.IFNA(VLOOKUP(Sheet1!$C686,MONG_PHYLO!A:C,3,FALSE),"-")</f>
        <v>-</v>
      </c>
      <c r="AP686" t="str">
        <f>_xlfn.IFNA(VLOOKUP(Sheet1!$C686,MAC_PHYLO!A:C,3,FALSE),"-")</f>
        <v>-</v>
      </c>
      <c r="AQ686" t="str">
        <f>_xlfn.IFNA(VLOOKUP(Sheet1!$C686,ConStruct!A:C,3,FALSE),"-")</f>
        <v>ConStruct</v>
      </c>
      <c r="AR686" t="str">
        <f>_xlfn.IFNA(VLOOKUP(Sheet1!$C686,GEA!A:C,3,FALSE),"-")</f>
        <v>GEA</v>
      </c>
      <c r="AS686" t="str">
        <f>_xlfn.IFNA(VLOOKUP(Sheet1!$C686,MAC_DSUITE!A:D,3,FALSE),"-")</f>
        <v>mac_OH_PKS</v>
      </c>
      <c r="AT686" t="str">
        <f>_xlfn.IFNA(VLOOKUP(Sheet1!$C686,MONG_DSUITE!A:E,2,FALSE),"-")</f>
        <v>macrocarpa_PKS</v>
      </c>
      <c r="AU686" t="str">
        <f>_xlfn.IFNA(VLOOKUP(Sheet1!$C686,MAC_PAINT2!A:D,4,FALSE),"-")</f>
        <v>macpaint</v>
      </c>
      <c r="AV686" t="s">
        <v>9193</v>
      </c>
      <c r="AW686" t="s">
        <v>9193</v>
      </c>
    </row>
    <row r="687" spans="1:49" customFormat="1" x14ac:dyDescent="0.4">
      <c r="A687">
        <v>2465</v>
      </c>
      <c r="B687" t="s">
        <v>1908</v>
      </c>
      <c r="C687" t="s">
        <v>1909</v>
      </c>
      <c r="D687" t="str">
        <f>_xlfn.CONCAT(C687,".bam")</f>
        <v>SYST-MOR-0007471.bam</v>
      </c>
      <c r="E687" t="s">
        <v>1910</v>
      </c>
      <c r="F687" t="s">
        <v>2454</v>
      </c>
      <c r="G687" t="s">
        <v>2482</v>
      </c>
      <c r="H687" t="s">
        <v>2544</v>
      </c>
      <c r="I687" t="s">
        <v>1894</v>
      </c>
      <c r="K687" t="s">
        <v>50</v>
      </c>
      <c r="L687" t="s">
        <v>50</v>
      </c>
      <c r="M687" t="s">
        <v>50</v>
      </c>
      <c r="N687" t="s">
        <v>45</v>
      </c>
      <c r="P687" t="s">
        <v>31</v>
      </c>
      <c r="Q687" t="s">
        <v>46</v>
      </c>
      <c r="R687" t="s">
        <v>2597</v>
      </c>
      <c r="S687" s="1">
        <v>42983</v>
      </c>
      <c r="T687" t="s">
        <v>1892</v>
      </c>
      <c r="U687" t="s">
        <v>34</v>
      </c>
      <c r="V687" s="1">
        <v>42985</v>
      </c>
      <c r="W687" t="s">
        <v>35</v>
      </c>
      <c r="X687" t="s">
        <v>1820</v>
      </c>
      <c r="Y687" t="s">
        <v>1893</v>
      </c>
      <c r="Z687" t="s">
        <v>206</v>
      </c>
      <c r="AA687" t="s">
        <v>1894</v>
      </c>
      <c r="AB687" t="s">
        <v>1895</v>
      </c>
      <c r="AD687" t="s">
        <v>45</v>
      </c>
      <c r="AE687">
        <v>40.046039999999998</v>
      </c>
      <c r="AF687">
        <v>-83.478849999999994</v>
      </c>
      <c r="AG687" t="s">
        <v>40</v>
      </c>
      <c r="AH687" t="s">
        <v>41</v>
      </c>
      <c r="AI687">
        <v>40.046039999999998</v>
      </c>
      <c r="AJ687">
        <v>-83.478849999999994</v>
      </c>
      <c r="AK687">
        <v>0</v>
      </c>
      <c r="AL687">
        <v>0</v>
      </c>
      <c r="AM687" t="str">
        <f>_xlfn.IFNA(VLOOKUP(Sheet1!$C687,ADMIX_ALL!A:B,2,FALSE),"none")</f>
        <v>K6-18</v>
      </c>
      <c r="AN687" t="str">
        <f>_xlfn.IFNA(VLOOKUP(Sheet1!C687,ADMIX_SS!A:B,2,FALSE),"none")</f>
        <v>SubSample</v>
      </c>
      <c r="AO687" t="str">
        <f>_xlfn.IFNA(VLOOKUP(Sheet1!$C687,MONG_PHYLO!A:C,3,FALSE),"-")</f>
        <v>-</v>
      </c>
      <c r="AP687" t="str">
        <f>_xlfn.IFNA(VLOOKUP(Sheet1!$C687,MAC_PHYLO!A:C,3,FALSE),"-")</f>
        <v>-</v>
      </c>
      <c r="AQ687" t="str">
        <f>_xlfn.IFNA(VLOOKUP(Sheet1!$C687,ConStruct!A:C,3,FALSE),"-")</f>
        <v>-</v>
      </c>
      <c r="AR687" t="str">
        <f>_xlfn.IFNA(VLOOKUP(Sheet1!$C687,GEA!A:C,3,FALSE),"-")</f>
        <v>-</v>
      </c>
      <c r="AS687" t="str">
        <f>_xlfn.IFNA(VLOOKUP(Sheet1!$C687,MAC_DSUITE!A:D,3,FALSE),"-")</f>
        <v>-</v>
      </c>
      <c r="AT687" t="str">
        <f>_xlfn.IFNA(VLOOKUP(Sheet1!$C687,MONG_DSUITE!A:E,2,FALSE),"-")</f>
        <v>xxx</v>
      </c>
      <c r="AU687" t="str">
        <f>_xlfn.IFNA(VLOOKUP(Sheet1!$C687,MAC_PAINT2!A:D,4,FALSE),"-")</f>
        <v>-</v>
      </c>
    </row>
    <row r="688" spans="1:49" customFormat="1" x14ac:dyDescent="0.4">
      <c r="A688">
        <v>2466</v>
      </c>
      <c r="B688" t="s">
        <v>1911</v>
      </c>
      <c r="C688" t="s">
        <v>1912</v>
      </c>
      <c r="D688" t="str">
        <f>_xlfn.CONCAT(C688,".bam")</f>
        <v>SYST-MOR-0007472.bam</v>
      </c>
      <c r="E688" t="s">
        <v>1913</v>
      </c>
      <c r="F688" t="s">
        <v>2454</v>
      </c>
      <c r="G688" t="s">
        <v>2482</v>
      </c>
      <c r="H688" t="s">
        <v>2544</v>
      </c>
      <c r="I688" t="s">
        <v>1894</v>
      </c>
      <c r="K688" t="s">
        <v>45</v>
      </c>
      <c r="L688" t="s">
        <v>45</v>
      </c>
      <c r="N688" t="s">
        <v>45</v>
      </c>
      <c r="P688" t="s">
        <v>31</v>
      </c>
      <c r="Q688" t="s">
        <v>46</v>
      </c>
      <c r="R688" t="s">
        <v>2597</v>
      </c>
      <c r="S688" s="1">
        <v>42983</v>
      </c>
      <c r="T688" t="s">
        <v>1892</v>
      </c>
      <c r="U688" t="s">
        <v>34</v>
      </c>
      <c r="V688" s="1">
        <v>42985</v>
      </c>
      <c r="W688" t="s">
        <v>35</v>
      </c>
      <c r="X688" t="s">
        <v>1820</v>
      </c>
      <c r="Y688" t="s">
        <v>1893</v>
      </c>
      <c r="Z688" t="s">
        <v>206</v>
      </c>
      <c r="AA688" t="s">
        <v>1894</v>
      </c>
      <c r="AB688" t="s">
        <v>1895</v>
      </c>
      <c r="AD688" t="s">
        <v>45</v>
      </c>
      <c r="AE688">
        <v>40.044989999999999</v>
      </c>
      <c r="AF688">
        <v>-83.477350000000001</v>
      </c>
      <c r="AG688" t="s">
        <v>40</v>
      </c>
      <c r="AH688" t="s">
        <v>41</v>
      </c>
      <c r="AI688">
        <v>40.044989999999999</v>
      </c>
      <c r="AJ688">
        <v>-83.477350000000001</v>
      </c>
      <c r="AK688">
        <v>0</v>
      </c>
      <c r="AL688">
        <v>0</v>
      </c>
      <c r="AM688" t="str">
        <f>_xlfn.IFNA(VLOOKUP(Sheet1!$C688,ADMIX_ALL!A:B,2,FALSE),"none")</f>
        <v>K6-18</v>
      </c>
      <c r="AN688" t="str">
        <f>_xlfn.IFNA(VLOOKUP(Sheet1!C688,ADMIX_SS!A:B,2,FALSE),"none")</f>
        <v>SubSample</v>
      </c>
      <c r="AO688" t="str">
        <f>_xlfn.IFNA(VLOOKUP(Sheet1!$C688,MONG_PHYLO!A:C,3,FALSE),"-")</f>
        <v>-</v>
      </c>
      <c r="AP688" t="str">
        <f>_xlfn.IFNA(VLOOKUP(Sheet1!$C688,MAC_PHYLO!A:C,3,FALSE),"-")</f>
        <v>-</v>
      </c>
      <c r="AQ688" t="str">
        <f>_xlfn.IFNA(VLOOKUP(Sheet1!$C688,ConStruct!A:C,3,FALSE),"-")</f>
        <v>ConStruct</v>
      </c>
      <c r="AR688" t="str">
        <f>_xlfn.IFNA(VLOOKUP(Sheet1!$C688,GEA!A:C,3,FALSE),"-")</f>
        <v>GEA</v>
      </c>
      <c r="AS688" t="str">
        <f>_xlfn.IFNA(VLOOKUP(Sheet1!$C688,MAC_DSUITE!A:D,3,FALSE),"-")</f>
        <v>mac_OH_PKS</v>
      </c>
      <c r="AT688" t="str">
        <f>_xlfn.IFNA(VLOOKUP(Sheet1!$C688,MONG_DSUITE!A:E,2,FALSE),"-")</f>
        <v>macrocarpa_PKS</v>
      </c>
      <c r="AU688" t="str">
        <f>_xlfn.IFNA(VLOOKUP(Sheet1!$C688,MAC_PAINT2!A:D,4,FALSE),"-")</f>
        <v>macpaint</v>
      </c>
      <c r="AV688" t="s">
        <v>9193</v>
      </c>
      <c r="AW688" t="s">
        <v>9193</v>
      </c>
    </row>
    <row r="689" spans="1:49" customFormat="1" x14ac:dyDescent="0.4">
      <c r="A689">
        <v>2467</v>
      </c>
      <c r="B689" t="s">
        <v>1914</v>
      </c>
      <c r="C689" t="s">
        <v>1915</v>
      </c>
      <c r="D689" t="str">
        <f>_xlfn.CONCAT(C689,".bam")</f>
        <v>SYST-MOR-0007473.bam</v>
      </c>
      <c r="E689" t="s">
        <v>1916</v>
      </c>
      <c r="F689" t="s">
        <v>2454</v>
      </c>
      <c r="G689" t="s">
        <v>2482</v>
      </c>
      <c r="H689" t="s">
        <v>2544</v>
      </c>
      <c r="I689" t="s">
        <v>1894</v>
      </c>
      <c r="K689" t="s">
        <v>45</v>
      </c>
      <c r="L689" t="s">
        <v>45</v>
      </c>
      <c r="N689" t="s">
        <v>45</v>
      </c>
      <c r="P689" t="s">
        <v>31</v>
      </c>
      <c r="Q689" t="s">
        <v>46</v>
      </c>
      <c r="R689" t="s">
        <v>2597</v>
      </c>
      <c r="S689" s="1">
        <v>42983</v>
      </c>
      <c r="T689" t="s">
        <v>1892</v>
      </c>
      <c r="U689" t="s">
        <v>34</v>
      </c>
      <c r="V689" s="1">
        <v>42985</v>
      </c>
      <c r="W689" t="s">
        <v>35</v>
      </c>
      <c r="X689" t="s">
        <v>1820</v>
      </c>
      <c r="Y689" t="s">
        <v>1893</v>
      </c>
      <c r="Z689" t="s">
        <v>206</v>
      </c>
      <c r="AA689" t="s">
        <v>1894</v>
      </c>
      <c r="AB689" t="s">
        <v>1895</v>
      </c>
      <c r="AD689" t="s">
        <v>45</v>
      </c>
      <c r="AE689">
        <v>40.044359999999998</v>
      </c>
      <c r="AF689">
        <v>-83.478909999999999</v>
      </c>
      <c r="AG689" t="s">
        <v>40</v>
      </c>
      <c r="AH689" t="s">
        <v>41</v>
      </c>
      <c r="AI689">
        <v>40.044359999999998</v>
      </c>
      <c r="AJ689">
        <v>-83.478909999999999</v>
      </c>
      <c r="AK689">
        <v>0</v>
      </c>
      <c r="AL689">
        <v>0</v>
      </c>
      <c r="AM689" t="str">
        <f>_xlfn.IFNA(VLOOKUP(Sheet1!$C689,ADMIX_ALL!A:B,2,FALSE),"none")</f>
        <v>K6-18</v>
      </c>
      <c r="AN689" t="str">
        <f>_xlfn.IFNA(VLOOKUP(Sheet1!C689,ADMIX_SS!A:B,2,FALSE),"none")</f>
        <v>SubSample</v>
      </c>
      <c r="AO689" t="str">
        <f>_xlfn.IFNA(VLOOKUP(Sheet1!$C689,MONG_PHYLO!A:C,3,FALSE),"-")</f>
        <v>-</v>
      </c>
      <c r="AP689" t="str">
        <f>_xlfn.IFNA(VLOOKUP(Sheet1!$C689,MAC_PHYLO!A:C,3,FALSE),"-")</f>
        <v>-</v>
      </c>
      <c r="AQ689" t="str">
        <f>_xlfn.IFNA(VLOOKUP(Sheet1!$C689,ConStruct!A:C,3,FALSE),"-")</f>
        <v>ConStruct</v>
      </c>
      <c r="AR689" t="str">
        <f>_xlfn.IFNA(VLOOKUP(Sheet1!$C689,GEA!A:C,3,FALSE),"-")</f>
        <v>GEA</v>
      </c>
      <c r="AS689" t="str">
        <f>_xlfn.IFNA(VLOOKUP(Sheet1!$C689,MAC_DSUITE!A:D,3,FALSE),"-")</f>
        <v>mac_OH_PKS</v>
      </c>
      <c r="AT689" t="str">
        <f>_xlfn.IFNA(VLOOKUP(Sheet1!$C689,MONG_DSUITE!A:E,2,FALSE),"-")</f>
        <v>macrocarpa_PKS</v>
      </c>
      <c r="AU689" t="str">
        <f>_xlfn.IFNA(VLOOKUP(Sheet1!$C689,MAC_PAINT2!A:D,4,FALSE),"-")</f>
        <v>macpaint</v>
      </c>
      <c r="AV689" t="s">
        <v>9193</v>
      </c>
      <c r="AW689" t="s">
        <v>9193</v>
      </c>
    </row>
    <row r="690" spans="1:49" customFormat="1" x14ac:dyDescent="0.4">
      <c r="A690">
        <v>2468</v>
      </c>
      <c r="B690" t="s">
        <v>1917</v>
      </c>
      <c r="C690" t="s">
        <v>1918</v>
      </c>
      <c r="D690" t="str">
        <f>_xlfn.CONCAT(C690,".bam")</f>
        <v>SYST-MOR-0007474.bam</v>
      </c>
      <c r="E690" t="s">
        <v>1919</v>
      </c>
      <c r="F690" t="s">
        <v>2454</v>
      </c>
      <c r="G690" t="s">
        <v>2482</v>
      </c>
      <c r="H690" t="s">
        <v>2544</v>
      </c>
      <c r="I690" t="s">
        <v>1894</v>
      </c>
      <c r="K690" t="s">
        <v>45</v>
      </c>
      <c r="L690" t="s">
        <v>45</v>
      </c>
      <c r="N690" t="s">
        <v>45</v>
      </c>
      <c r="P690" t="s">
        <v>31</v>
      </c>
      <c r="Q690" t="s">
        <v>46</v>
      </c>
      <c r="R690" t="s">
        <v>2597</v>
      </c>
      <c r="S690" s="1">
        <v>42983</v>
      </c>
      <c r="T690" t="s">
        <v>1892</v>
      </c>
      <c r="U690" t="s">
        <v>34</v>
      </c>
      <c r="V690" s="1">
        <v>42985</v>
      </c>
      <c r="W690" t="s">
        <v>35</v>
      </c>
      <c r="X690" t="s">
        <v>1820</v>
      </c>
      <c r="Y690" t="s">
        <v>1893</v>
      </c>
      <c r="Z690" t="s">
        <v>206</v>
      </c>
      <c r="AA690" t="s">
        <v>1894</v>
      </c>
      <c r="AB690" t="s">
        <v>1895</v>
      </c>
      <c r="AD690" t="s">
        <v>45</v>
      </c>
      <c r="AE690">
        <v>40.044130000000003</v>
      </c>
      <c r="AF690">
        <v>-83.478830000000002</v>
      </c>
      <c r="AG690" t="s">
        <v>40</v>
      </c>
      <c r="AH690" t="s">
        <v>41</v>
      </c>
      <c r="AI690">
        <v>40.044130000000003</v>
      </c>
      <c r="AJ690">
        <v>-83.478830000000002</v>
      </c>
      <c r="AK690">
        <v>0</v>
      </c>
      <c r="AL690">
        <v>0</v>
      </c>
      <c r="AM690" t="str">
        <f>_xlfn.IFNA(VLOOKUP(Sheet1!$C690,ADMIX_ALL!A:B,2,FALSE),"none")</f>
        <v>K6-18</v>
      </c>
      <c r="AN690" t="str">
        <f>_xlfn.IFNA(VLOOKUP(Sheet1!C690,ADMIX_SS!A:B,2,FALSE),"none")</f>
        <v>SubSample</v>
      </c>
      <c r="AO690" t="str">
        <f>_xlfn.IFNA(VLOOKUP(Sheet1!$C690,MONG_PHYLO!A:C,3,FALSE),"-")</f>
        <v>-</v>
      </c>
      <c r="AP690" t="str">
        <f>_xlfn.IFNA(VLOOKUP(Sheet1!$C690,MAC_PHYLO!A:C,3,FALSE),"-")</f>
        <v>-</v>
      </c>
      <c r="AQ690" t="str">
        <f>_xlfn.IFNA(VLOOKUP(Sheet1!$C690,ConStruct!A:C,3,FALSE),"-")</f>
        <v>ConStruct</v>
      </c>
      <c r="AR690" t="str">
        <f>_xlfn.IFNA(VLOOKUP(Sheet1!$C690,GEA!A:C,3,FALSE),"-")</f>
        <v>GEA</v>
      </c>
      <c r="AS690" t="str">
        <f>_xlfn.IFNA(VLOOKUP(Sheet1!$C690,MAC_DSUITE!A:D,3,FALSE),"-")</f>
        <v>mac_OH_PKS</v>
      </c>
      <c r="AT690" t="str">
        <f>_xlfn.IFNA(VLOOKUP(Sheet1!$C690,MONG_DSUITE!A:E,2,FALSE),"-")</f>
        <v>macrocarpa_PKS</v>
      </c>
      <c r="AU690" t="str">
        <f>_xlfn.IFNA(VLOOKUP(Sheet1!$C690,MAC_PAINT2!A:D,4,FALSE),"-")</f>
        <v>macpaint</v>
      </c>
      <c r="AV690" t="s">
        <v>9193</v>
      </c>
      <c r="AW690" t="s">
        <v>9193</v>
      </c>
    </row>
    <row r="691" spans="1:49" customFormat="1" x14ac:dyDescent="0.4">
      <c r="A691">
        <v>2469</v>
      </c>
      <c r="B691" t="s">
        <v>1920</v>
      </c>
      <c r="C691" t="s">
        <v>1921</v>
      </c>
      <c r="D691" t="str">
        <f>_xlfn.CONCAT(C691,".bam")</f>
        <v>SYST-MOR-0007475.bam</v>
      </c>
      <c r="E691" t="s">
        <v>1922</v>
      </c>
      <c r="F691" t="s">
        <v>2454</v>
      </c>
      <c r="G691" t="s">
        <v>2482</v>
      </c>
      <c r="H691" t="s">
        <v>2544</v>
      </c>
      <c r="I691" t="s">
        <v>1894</v>
      </c>
      <c r="K691" t="s">
        <v>45</v>
      </c>
      <c r="L691" t="s">
        <v>45</v>
      </c>
      <c r="N691" t="s">
        <v>45</v>
      </c>
      <c r="P691" t="s">
        <v>31</v>
      </c>
      <c r="Q691" t="s">
        <v>46</v>
      </c>
      <c r="R691" t="s">
        <v>2597</v>
      </c>
      <c r="S691" s="1">
        <v>42983</v>
      </c>
      <c r="T691" t="s">
        <v>1892</v>
      </c>
      <c r="U691" t="s">
        <v>34</v>
      </c>
      <c r="V691" s="1">
        <v>42985</v>
      </c>
      <c r="W691" t="s">
        <v>35</v>
      </c>
      <c r="X691" t="s">
        <v>1820</v>
      </c>
      <c r="Y691" t="s">
        <v>1893</v>
      </c>
      <c r="Z691" t="s">
        <v>206</v>
      </c>
      <c r="AA691" t="s">
        <v>1894</v>
      </c>
      <c r="AB691" t="s">
        <v>1895</v>
      </c>
      <c r="AD691" t="s">
        <v>45</v>
      </c>
      <c r="AE691">
        <v>40.043669999999999</v>
      </c>
      <c r="AF691">
        <v>-83.479560000000006</v>
      </c>
      <c r="AG691" t="s">
        <v>40</v>
      </c>
      <c r="AH691" t="s">
        <v>41</v>
      </c>
      <c r="AI691">
        <v>40.043669999999999</v>
      </c>
      <c r="AJ691">
        <v>-83.479560000000006</v>
      </c>
      <c r="AK691">
        <v>0</v>
      </c>
      <c r="AL691">
        <v>0</v>
      </c>
      <c r="AM691" t="str">
        <f>_xlfn.IFNA(VLOOKUP(Sheet1!$C691,ADMIX_ALL!A:B,2,FALSE),"none")</f>
        <v>K6-18</v>
      </c>
      <c r="AN691" t="str">
        <f>_xlfn.IFNA(VLOOKUP(Sheet1!C691,ADMIX_SS!A:B,2,FALSE),"none")</f>
        <v>SubSample</v>
      </c>
      <c r="AO691" t="str">
        <f>_xlfn.IFNA(VLOOKUP(Sheet1!$C691,MONG_PHYLO!A:C,3,FALSE),"-")</f>
        <v>-</v>
      </c>
      <c r="AP691" t="str">
        <f>_xlfn.IFNA(VLOOKUP(Sheet1!$C691,MAC_PHYLO!A:C,3,FALSE),"-")</f>
        <v>-</v>
      </c>
      <c r="AQ691" t="str">
        <f>_xlfn.IFNA(VLOOKUP(Sheet1!$C691,ConStruct!A:C,3,FALSE),"-")</f>
        <v>ConStruct</v>
      </c>
      <c r="AR691" t="str">
        <f>_xlfn.IFNA(VLOOKUP(Sheet1!$C691,GEA!A:C,3,FALSE),"-")</f>
        <v>GEA</v>
      </c>
      <c r="AS691" t="str">
        <f>_xlfn.IFNA(VLOOKUP(Sheet1!$C691,MAC_DSUITE!A:D,3,FALSE),"-")</f>
        <v>mac_OH_PKS</v>
      </c>
      <c r="AT691" t="str">
        <f>_xlfn.IFNA(VLOOKUP(Sheet1!$C691,MONG_DSUITE!A:E,2,FALSE),"-")</f>
        <v>macrocarpa_PKS</v>
      </c>
      <c r="AU691" t="str">
        <f>_xlfn.IFNA(VLOOKUP(Sheet1!$C691,MAC_PAINT2!A:D,4,FALSE),"-")</f>
        <v>macpaint</v>
      </c>
      <c r="AV691" t="s">
        <v>9193</v>
      </c>
      <c r="AW691" t="s">
        <v>9193</v>
      </c>
    </row>
    <row r="692" spans="1:49" customFormat="1" x14ac:dyDescent="0.4">
      <c r="A692">
        <v>2470</v>
      </c>
      <c r="B692" t="s">
        <v>1923</v>
      </c>
      <c r="C692" t="s">
        <v>1924</v>
      </c>
      <c r="D692" t="str">
        <f>_xlfn.CONCAT(C692,".bam")</f>
        <v>SYST-MOR-0007476.bam</v>
      </c>
      <c r="E692" t="s">
        <v>1925</v>
      </c>
      <c r="F692" t="s">
        <v>2454</v>
      </c>
      <c r="G692" t="s">
        <v>2483</v>
      </c>
      <c r="H692" t="s">
        <v>2545</v>
      </c>
      <c r="I692" t="s">
        <v>1927</v>
      </c>
      <c r="K692" t="s">
        <v>45</v>
      </c>
      <c r="L692" t="s">
        <v>45</v>
      </c>
      <c r="N692" t="s">
        <v>45</v>
      </c>
      <c r="P692" t="s">
        <v>31</v>
      </c>
      <c r="Q692" t="s">
        <v>46</v>
      </c>
      <c r="R692" t="s">
        <v>2597</v>
      </c>
      <c r="S692">
        <v>42983</v>
      </c>
      <c r="T692" t="s">
        <v>1892</v>
      </c>
      <c r="U692" t="s">
        <v>34</v>
      </c>
      <c r="V692">
        <v>42985</v>
      </c>
      <c r="W692" t="s">
        <v>35</v>
      </c>
      <c r="X692" t="s">
        <v>1820</v>
      </c>
      <c r="Y692" t="s">
        <v>1926</v>
      </c>
      <c r="Z692" t="s">
        <v>206</v>
      </c>
      <c r="AA692" t="s">
        <v>1927</v>
      </c>
      <c r="AB692" t="s">
        <v>1895</v>
      </c>
      <c r="AD692" t="s">
        <v>45</v>
      </c>
      <c r="AE692">
        <v>40.730969999999999</v>
      </c>
      <c r="AF692">
        <v>-83.092569999999995</v>
      </c>
      <c r="AG692" t="s">
        <v>40</v>
      </c>
      <c r="AH692" t="s">
        <v>41</v>
      </c>
      <c r="AI692">
        <v>40.730969999999999</v>
      </c>
      <c r="AJ692">
        <v>-83.092569999999995</v>
      </c>
      <c r="AK692">
        <v>0</v>
      </c>
      <c r="AL692">
        <v>0</v>
      </c>
      <c r="AM692" t="str">
        <f>_xlfn.IFNA(VLOOKUP(Sheet1!$C692,ADMIX_ALL!A:B,2,FALSE),"none")</f>
        <v>K6-18</v>
      </c>
      <c r="AN692" t="str">
        <f>_xlfn.IFNA(VLOOKUP(Sheet1!C692,ADMIX_SS!A:B,2,FALSE),"none")</f>
        <v>SubSample</v>
      </c>
      <c r="AO692" t="str">
        <f>_xlfn.IFNA(VLOOKUP(Sheet1!$C692,MONG_PHYLO!A:C,3,FALSE),"-")</f>
        <v>-</v>
      </c>
      <c r="AP692" t="str">
        <f>_xlfn.IFNA(VLOOKUP(Sheet1!$C692,MAC_PHYLO!A:C,3,FALSE),"-")</f>
        <v>-</v>
      </c>
      <c r="AQ692" t="str">
        <f>_xlfn.IFNA(VLOOKUP(Sheet1!$C692,ConStruct!A:C,3,FALSE),"-")</f>
        <v>ConStruct</v>
      </c>
      <c r="AR692" t="str">
        <f>_xlfn.IFNA(VLOOKUP(Sheet1!$C692,GEA!A:C,3,FALSE),"-")</f>
        <v>GEA</v>
      </c>
      <c r="AS692" t="str">
        <f>_xlfn.IFNA(VLOOKUP(Sheet1!$C692,MAC_DSUITE!A:D,3,FALSE),"-")</f>
        <v>mac_OH_DPS</v>
      </c>
      <c r="AT692" t="str">
        <f>_xlfn.IFNA(VLOOKUP(Sheet1!$C692,MONG_DSUITE!A:E,2,FALSE),"-")</f>
        <v>macrocarpa_DPS</v>
      </c>
      <c r="AU692" t="str">
        <f>_xlfn.IFNA(VLOOKUP(Sheet1!$C692,MAC_PAINT2!A:D,4,FALSE),"-")</f>
        <v>macpaint</v>
      </c>
      <c r="AV692" t="s">
        <v>9193</v>
      </c>
      <c r="AW692" t="s">
        <v>9193</v>
      </c>
    </row>
    <row r="693" spans="1:49" customFormat="1" x14ac:dyDescent="0.4">
      <c r="A693">
        <v>2471</v>
      </c>
      <c r="B693" t="s">
        <v>1928</v>
      </c>
      <c r="C693" t="s">
        <v>1929</v>
      </c>
      <c r="D693" t="str">
        <f>_xlfn.CONCAT(C693,".bam")</f>
        <v>SYST-MOR-0007477.bam</v>
      </c>
      <c r="E693" t="s">
        <v>1930</v>
      </c>
      <c r="F693" t="s">
        <v>2454</v>
      </c>
      <c r="G693" t="s">
        <v>2483</v>
      </c>
      <c r="H693" t="s">
        <v>2545</v>
      </c>
      <c r="I693" t="s">
        <v>1927</v>
      </c>
      <c r="K693" t="s">
        <v>45</v>
      </c>
      <c r="L693" t="s">
        <v>45</v>
      </c>
      <c r="N693" t="s">
        <v>45</v>
      </c>
      <c r="P693" t="s">
        <v>31</v>
      </c>
      <c r="Q693" t="s">
        <v>46</v>
      </c>
      <c r="R693" t="s">
        <v>2597</v>
      </c>
      <c r="S693">
        <v>42983</v>
      </c>
      <c r="T693" t="s">
        <v>1892</v>
      </c>
      <c r="U693" t="s">
        <v>34</v>
      </c>
      <c r="V693">
        <v>42985</v>
      </c>
      <c r="W693" t="s">
        <v>35</v>
      </c>
      <c r="X693" t="s">
        <v>1820</v>
      </c>
      <c r="Y693" t="s">
        <v>1926</v>
      </c>
      <c r="Z693" t="s">
        <v>206</v>
      </c>
      <c r="AA693" t="s">
        <v>1927</v>
      </c>
      <c r="AB693" t="s">
        <v>1895</v>
      </c>
      <c r="AD693" t="s">
        <v>45</v>
      </c>
      <c r="AE693">
        <v>40.73122</v>
      </c>
      <c r="AF693">
        <v>-83.093279999999993</v>
      </c>
      <c r="AG693" t="s">
        <v>40</v>
      </c>
      <c r="AH693" t="s">
        <v>41</v>
      </c>
      <c r="AI693">
        <v>40.73122</v>
      </c>
      <c r="AJ693">
        <v>-83.093279999999993</v>
      </c>
      <c r="AK693">
        <v>0</v>
      </c>
      <c r="AL693">
        <v>0</v>
      </c>
      <c r="AM693" t="str">
        <f>_xlfn.IFNA(VLOOKUP(Sheet1!$C693,ADMIX_ALL!A:B,2,FALSE),"none")</f>
        <v>K6-18</v>
      </c>
      <c r="AN693" t="str">
        <f>_xlfn.IFNA(VLOOKUP(Sheet1!C693,ADMIX_SS!A:B,2,FALSE),"none")</f>
        <v>SubSample</v>
      </c>
      <c r="AO693" t="str">
        <f>_xlfn.IFNA(VLOOKUP(Sheet1!$C693,MONG_PHYLO!A:C,3,FALSE),"-")</f>
        <v>-</v>
      </c>
      <c r="AP693" t="str">
        <f>_xlfn.IFNA(VLOOKUP(Sheet1!$C693,MAC_PHYLO!A:C,3,FALSE),"-")</f>
        <v>-</v>
      </c>
      <c r="AQ693" t="str">
        <f>_xlfn.IFNA(VLOOKUP(Sheet1!$C693,ConStruct!A:C,3,FALSE),"-")</f>
        <v>ConStruct</v>
      </c>
      <c r="AR693" t="str">
        <f>_xlfn.IFNA(VLOOKUP(Sheet1!$C693,GEA!A:C,3,FALSE),"-")</f>
        <v>GEA</v>
      </c>
      <c r="AS693" t="str">
        <f>_xlfn.IFNA(VLOOKUP(Sheet1!$C693,MAC_DSUITE!A:D,3,FALSE),"-")</f>
        <v>mac_OH_DPS</v>
      </c>
      <c r="AT693" t="str">
        <f>_xlfn.IFNA(VLOOKUP(Sheet1!$C693,MONG_DSUITE!A:E,2,FALSE),"-")</f>
        <v>macrocarpa_DPS</v>
      </c>
      <c r="AU693" t="str">
        <f>_xlfn.IFNA(VLOOKUP(Sheet1!$C693,MAC_PAINT2!A:D,4,FALSE),"-")</f>
        <v>macpaint</v>
      </c>
      <c r="AV693" t="s">
        <v>9193</v>
      </c>
      <c r="AW693" t="s">
        <v>9193</v>
      </c>
    </row>
    <row r="694" spans="1:49" customFormat="1" x14ac:dyDescent="0.4">
      <c r="A694">
        <v>2472</v>
      </c>
      <c r="B694" t="s">
        <v>1931</v>
      </c>
      <c r="C694" t="s">
        <v>1932</v>
      </c>
      <c r="D694" t="str">
        <f>_xlfn.CONCAT(C694,".bam")</f>
        <v>SYST-MOR-0007478.bam</v>
      </c>
      <c r="E694" t="s">
        <v>1933</v>
      </c>
      <c r="F694" t="s">
        <v>2454</v>
      </c>
      <c r="G694" t="s">
        <v>2483</v>
      </c>
      <c r="H694" t="s">
        <v>2545</v>
      </c>
      <c r="I694" t="s">
        <v>1927</v>
      </c>
      <c r="K694" t="s">
        <v>45</v>
      </c>
      <c r="L694" t="s">
        <v>45</v>
      </c>
      <c r="N694" t="s">
        <v>45</v>
      </c>
      <c r="P694" t="s">
        <v>31</v>
      </c>
      <c r="Q694" t="s">
        <v>46</v>
      </c>
      <c r="R694" t="s">
        <v>2597</v>
      </c>
      <c r="S694">
        <v>42983</v>
      </c>
      <c r="T694" t="s">
        <v>1892</v>
      </c>
      <c r="U694" t="s">
        <v>34</v>
      </c>
      <c r="V694">
        <v>42985</v>
      </c>
      <c r="W694" t="s">
        <v>35</v>
      </c>
      <c r="X694" t="s">
        <v>1820</v>
      </c>
      <c r="Y694" t="s">
        <v>1926</v>
      </c>
      <c r="Z694" t="s">
        <v>206</v>
      </c>
      <c r="AA694" t="s">
        <v>1927</v>
      </c>
      <c r="AB694" t="s">
        <v>1895</v>
      </c>
      <c r="AD694" t="s">
        <v>45</v>
      </c>
      <c r="AE694">
        <v>40.731430000000003</v>
      </c>
      <c r="AF694">
        <v>-83.093999999999994</v>
      </c>
      <c r="AG694" t="s">
        <v>40</v>
      </c>
      <c r="AH694" t="s">
        <v>41</v>
      </c>
      <c r="AI694">
        <v>40.731430000000003</v>
      </c>
      <c r="AJ694">
        <v>-83.093999999999994</v>
      </c>
      <c r="AK694">
        <v>0</v>
      </c>
      <c r="AL694">
        <v>0</v>
      </c>
      <c r="AM694" t="str">
        <f>_xlfn.IFNA(VLOOKUP(Sheet1!$C694,ADMIX_ALL!A:B,2,FALSE),"none")</f>
        <v>K6-18</v>
      </c>
      <c r="AN694" t="str">
        <f>_xlfn.IFNA(VLOOKUP(Sheet1!C694,ADMIX_SS!A:B,2,FALSE),"none")</f>
        <v>SubSample</v>
      </c>
      <c r="AO694" t="str">
        <f>_xlfn.IFNA(VLOOKUP(Sheet1!$C694,MONG_PHYLO!A:C,3,FALSE),"-")</f>
        <v>-</v>
      </c>
      <c r="AP694" t="str">
        <f>_xlfn.IFNA(VLOOKUP(Sheet1!$C694,MAC_PHYLO!A:C,3,FALSE),"-")</f>
        <v>-</v>
      </c>
      <c r="AQ694" t="str">
        <f>_xlfn.IFNA(VLOOKUP(Sheet1!$C694,ConStruct!A:C,3,FALSE),"-")</f>
        <v>ConStruct</v>
      </c>
      <c r="AR694" t="str">
        <f>_xlfn.IFNA(VLOOKUP(Sheet1!$C694,GEA!A:C,3,FALSE),"-")</f>
        <v>GEA</v>
      </c>
      <c r="AS694" t="str">
        <f>_xlfn.IFNA(VLOOKUP(Sheet1!$C694,MAC_DSUITE!A:D,3,FALSE),"-")</f>
        <v>mac_OH_DPS</v>
      </c>
      <c r="AT694" t="str">
        <f>_xlfn.IFNA(VLOOKUP(Sheet1!$C694,MONG_DSUITE!A:E,2,FALSE),"-")</f>
        <v>macrocarpa_DPS</v>
      </c>
      <c r="AU694" t="str">
        <f>_xlfn.IFNA(VLOOKUP(Sheet1!$C694,MAC_PAINT2!A:D,4,FALSE),"-")</f>
        <v>macpaint</v>
      </c>
      <c r="AV694" t="s">
        <v>9193</v>
      </c>
      <c r="AW694" t="s">
        <v>9193</v>
      </c>
    </row>
    <row r="695" spans="1:49" customFormat="1" x14ac:dyDescent="0.4">
      <c r="A695">
        <v>2473</v>
      </c>
      <c r="B695" t="s">
        <v>1934</v>
      </c>
      <c r="C695" t="s">
        <v>1935</v>
      </c>
      <c r="D695" t="str">
        <f>_xlfn.CONCAT(C695,".bam")</f>
        <v>SYST-MOR-0007479.bam</v>
      </c>
      <c r="E695" t="s">
        <v>1936</v>
      </c>
      <c r="F695" t="s">
        <v>2454</v>
      </c>
      <c r="G695" t="s">
        <v>2483</v>
      </c>
      <c r="H695" t="s">
        <v>2545</v>
      </c>
      <c r="I695" t="s">
        <v>1927</v>
      </c>
      <c r="K695" t="s">
        <v>45</v>
      </c>
      <c r="L695" t="s">
        <v>45</v>
      </c>
      <c r="N695" t="s">
        <v>45</v>
      </c>
      <c r="P695" t="s">
        <v>31</v>
      </c>
      <c r="Q695" t="s">
        <v>46</v>
      </c>
      <c r="R695" t="s">
        <v>2597</v>
      </c>
      <c r="S695">
        <v>42983</v>
      </c>
      <c r="T695" t="s">
        <v>1892</v>
      </c>
      <c r="U695" t="s">
        <v>34</v>
      </c>
      <c r="V695">
        <v>42985</v>
      </c>
      <c r="W695" t="s">
        <v>35</v>
      </c>
      <c r="X695" t="s">
        <v>1820</v>
      </c>
      <c r="Y695" t="s">
        <v>1926</v>
      </c>
      <c r="Z695" t="s">
        <v>206</v>
      </c>
      <c r="AA695" t="s">
        <v>1927</v>
      </c>
      <c r="AB695" t="s">
        <v>1895</v>
      </c>
      <c r="AD695" t="s">
        <v>45</v>
      </c>
      <c r="AE695">
        <v>40.731549999999999</v>
      </c>
      <c r="AF695">
        <v>-83.094539999999995</v>
      </c>
      <c r="AG695" t="s">
        <v>40</v>
      </c>
      <c r="AH695" t="s">
        <v>41</v>
      </c>
      <c r="AI695">
        <v>40.731549999999999</v>
      </c>
      <c r="AJ695">
        <v>-83.094539999999995</v>
      </c>
      <c r="AK695">
        <v>0</v>
      </c>
      <c r="AL695">
        <v>0</v>
      </c>
      <c r="AM695" t="str">
        <f>_xlfn.IFNA(VLOOKUP(Sheet1!$C695,ADMIX_ALL!A:B,2,FALSE),"none")</f>
        <v>K6-18</v>
      </c>
      <c r="AN695" t="str">
        <f>_xlfn.IFNA(VLOOKUP(Sheet1!C695,ADMIX_SS!A:B,2,FALSE),"none")</f>
        <v>SubSample</v>
      </c>
      <c r="AO695" t="str">
        <f>_xlfn.IFNA(VLOOKUP(Sheet1!$C695,MONG_PHYLO!A:C,3,FALSE),"-")</f>
        <v>-</v>
      </c>
      <c r="AP695" t="str">
        <f>_xlfn.IFNA(VLOOKUP(Sheet1!$C695,MAC_PHYLO!A:C,3,FALSE),"-")</f>
        <v>-</v>
      </c>
      <c r="AQ695" t="str">
        <f>_xlfn.IFNA(VLOOKUP(Sheet1!$C695,ConStruct!A:C,3,FALSE),"-")</f>
        <v>ConStruct</v>
      </c>
      <c r="AR695" t="str">
        <f>_xlfn.IFNA(VLOOKUP(Sheet1!$C695,GEA!A:C,3,FALSE),"-")</f>
        <v>GEA</v>
      </c>
      <c r="AS695" t="str">
        <f>_xlfn.IFNA(VLOOKUP(Sheet1!$C695,MAC_DSUITE!A:D,3,FALSE),"-")</f>
        <v>mac_OH_DPS</v>
      </c>
      <c r="AT695" t="str">
        <f>_xlfn.IFNA(VLOOKUP(Sheet1!$C695,MONG_DSUITE!A:E,2,FALSE),"-")</f>
        <v>macrocarpa_DPS</v>
      </c>
      <c r="AU695" t="str">
        <f>_xlfn.IFNA(VLOOKUP(Sheet1!$C695,MAC_PAINT2!A:D,4,FALSE),"-")</f>
        <v>macpaint</v>
      </c>
      <c r="AV695" t="s">
        <v>9193</v>
      </c>
      <c r="AW695" t="s">
        <v>9193</v>
      </c>
    </row>
    <row r="696" spans="1:49" customFormat="1" x14ac:dyDescent="0.4">
      <c r="A696">
        <v>2474</v>
      </c>
      <c r="B696" t="s">
        <v>1937</v>
      </c>
      <c r="C696" t="s">
        <v>1938</v>
      </c>
      <c r="D696" t="str">
        <f>_xlfn.CONCAT(C696,".bam")</f>
        <v>SYST-MOR-0007480.bam</v>
      </c>
      <c r="E696" t="s">
        <v>1939</v>
      </c>
      <c r="F696" t="s">
        <v>2454</v>
      </c>
      <c r="G696" t="s">
        <v>2483</v>
      </c>
      <c r="H696" t="s">
        <v>2545</v>
      </c>
      <c r="I696" t="s">
        <v>1927</v>
      </c>
      <c r="K696" t="s">
        <v>45</v>
      </c>
      <c r="L696" t="s">
        <v>45</v>
      </c>
      <c r="N696" t="s">
        <v>45</v>
      </c>
      <c r="P696" t="s">
        <v>31</v>
      </c>
      <c r="Q696" t="s">
        <v>46</v>
      </c>
      <c r="R696" t="s">
        <v>2597</v>
      </c>
      <c r="S696">
        <v>42983</v>
      </c>
      <c r="T696" t="s">
        <v>1892</v>
      </c>
      <c r="U696" t="s">
        <v>34</v>
      </c>
      <c r="V696">
        <v>42985</v>
      </c>
      <c r="W696" t="s">
        <v>35</v>
      </c>
      <c r="X696" t="s">
        <v>1820</v>
      </c>
      <c r="Y696" t="s">
        <v>1926</v>
      </c>
      <c r="Z696" t="s">
        <v>206</v>
      </c>
      <c r="AA696" t="s">
        <v>1927</v>
      </c>
      <c r="AB696" t="s">
        <v>1895</v>
      </c>
      <c r="AD696" t="s">
        <v>45</v>
      </c>
      <c r="AE696">
        <v>40.730359999999997</v>
      </c>
      <c r="AF696">
        <v>-83.094719999999995</v>
      </c>
      <c r="AG696" t="s">
        <v>40</v>
      </c>
      <c r="AH696" t="s">
        <v>41</v>
      </c>
      <c r="AI696">
        <v>40.730359999999997</v>
      </c>
      <c r="AJ696">
        <v>-83.094719999999995</v>
      </c>
      <c r="AK696">
        <v>0</v>
      </c>
      <c r="AL696">
        <v>0</v>
      </c>
      <c r="AM696" t="str">
        <f>_xlfn.IFNA(VLOOKUP(Sheet1!$C696,ADMIX_ALL!A:B,2,FALSE),"none")</f>
        <v>K6-18</v>
      </c>
      <c r="AN696" t="str">
        <f>_xlfn.IFNA(VLOOKUP(Sheet1!C696,ADMIX_SS!A:B,2,FALSE),"none")</f>
        <v>SubSample</v>
      </c>
      <c r="AO696" t="str">
        <f>_xlfn.IFNA(VLOOKUP(Sheet1!$C696,MONG_PHYLO!A:C,3,FALSE),"-")</f>
        <v>-</v>
      </c>
      <c r="AP696" t="str">
        <f>_xlfn.IFNA(VLOOKUP(Sheet1!$C696,MAC_PHYLO!A:C,3,FALSE),"-")</f>
        <v>-</v>
      </c>
      <c r="AQ696" t="str">
        <f>_xlfn.IFNA(VLOOKUP(Sheet1!$C696,ConStruct!A:C,3,FALSE),"-")</f>
        <v>ConStruct</v>
      </c>
      <c r="AR696" t="str">
        <f>_xlfn.IFNA(VLOOKUP(Sheet1!$C696,GEA!A:C,3,FALSE),"-")</f>
        <v>GEA</v>
      </c>
      <c r="AS696" t="str">
        <f>_xlfn.IFNA(VLOOKUP(Sheet1!$C696,MAC_DSUITE!A:D,3,FALSE),"-")</f>
        <v>mac_OH_DPS</v>
      </c>
      <c r="AT696" t="str">
        <f>_xlfn.IFNA(VLOOKUP(Sheet1!$C696,MONG_DSUITE!A:E,2,FALSE),"-")</f>
        <v>macrocarpa_DPS</v>
      </c>
      <c r="AU696" t="str">
        <f>_xlfn.IFNA(VLOOKUP(Sheet1!$C696,MAC_PAINT2!A:D,4,FALSE),"-")</f>
        <v>macpaint</v>
      </c>
      <c r="AV696" t="s">
        <v>9193</v>
      </c>
      <c r="AW696" t="s">
        <v>9193</v>
      </c>
    </row>
    <row r="697" spans="1:49" customFormat="1" x14ac:dyDescent="0.4">
      <c r="A697">
        <v>2475</v>
      </c>
      <c r="B697" t="s">
        <v>1940</v>
      </c>
      <c r="C697" t="s">
        <v>1941</v>
      </c>
      <c r="D697" t="str">
        <f>_xlfn.CONCAT(C697,".bam")</f>
        <v>SYST-MOR-0007481.bam</v>
      </c>
      <c r="E697" t="s">
        <v>1942</v>
      </c>
      <c r="F697" t="s">
        <v>2454</v>
      </c>
      <c r="G697" t="s">
        <v>2483</v>
      </c>
      <c r="H697" t="s">
        <v>2545</v>
      </c>
      <c r="I697" t="s">
        <v>1927</v>
      </c>
      <c r="K697" t="s">
        <v>45</v>
      </c>
      <c r="L697" t="s">
        <v>45</v>
      </c>
      <c r="N697" t="s">
        <v>45</v>
      </c>
      <c r="P697" t="s">
        <v>31</v>
      </c>
      <c r="Q697" t="s">
        <v>46</v>
      </c>
      <c r="R697" t="s">
        <v>2597</v>
      </c>
      <c r="S697">
        <v>42983</v>
      </c>
      <c r="T697" t="s">
        <v>1892</v>
      </c>
      <c r="U697" t="s">
        <v>34</v>
      </c>
      <c r="V697">
        <v>42985</v>
      </c>
      <c r="W697" t="s">
        <v>35</v>
      </c>
      <c r="X697" t="s">
        <v>1820</v>
      </c>
      <c r="Y697" t="s">
        <v>1926</v>
      </c>
      <c r="Z697" t="s">
        <v>206</v>
      </c>
      <c r="AA697" t="s">
        <v>1927</v>
      </c>
      <c r="AB697" t="s">
        <v>1895</v>
      </c>
      <c r="AD697" t="s">
        <v>45</v>
      </c>
      <c r="AE697">
        <v>40.729460000000003</v>
      </c>
      <c r="AF697">
        <v>-83.097110000000001</v>
      </c>
      <c r="AG697" t="s">
        <v>40</v>
      </c>
      <c r="AH697" t="s">
        <v>41</v>
      </c>
      <c r="AI697">
        <v>40.729460000000003</v>
      </c>
      <c r="AJ697">
        <v>-83.097110000000001</v>
      </c>
      <c r="AK697">
        <v>0</v>
      </c>
      <c r="AL697">
        <v>0</v>
      </c>
      <c r="AM697" t="str">
        <f>_xlfn.IFNA(VLOOKUP(Sheet1!$C697,ADMIX_ALL!A:B,2,FALSE),"none")</f>
        <v>K6-18</v>
      </c>
      <c r="AN697" t="str">
        <f>_xlfn.IFNA(VLOOKUP(Sheet1!C697,ADMIX_SS!A:B,2,FALSE),"none")</f>
        <v>SubSample</v>
      </c>
      <c r="AO697" t="str">
        <f>_xlfn.IFNA(VLOOKUP(Sheet1!$C697,MONG_PHYLO!A:C,3,FALSE),"-")</f>
        <v>-</v>
      </c>
      <c r="AP697" t="str">
        <f>_xlfn.IFNA(VLOOKUP(Sheet1!$C697,MAC_PHYLO!A:C,3,FALSE),"-")</f>
        <v>-</v>
      </c>
      <c r="AQ697" t="str">
        <f>_xlfn.IFNA(VLOOKUP(Sheet1!$C697,ConStruct!A:C,3,FALSE),"-")</f>
        <v>ConStruct</v>
      </c>
      <c r="AR697" t="str">
        <f>_xlfn.IFNA(VLOOKUP(Sheet1!$C697,GEA!A:C,3,FALSE),"-")</f>
        <v>GEA</v>
      </c>
      <c r="AS697" t="str">
        <f>_xlfn.IFNA(VLOOKUP(Sheet1!$C697,MAC_DSUITE!A:D,3,FALSE),"-")</f>
        <v>mac_OH_DPS</v>
      </c>
      <c r="AT697" t="str">
        <f>_xlfn.IFNA(VLOOKUP(Sheet1!$C697,MONG_DSUITE!A:E,2,FALSE),"-")</f>
        <v>macrocarpa_DPS</v>
      </c>
      <c r="AU697" t="str">
        <f>_xlfn.IFNA(VLOOKUP(Sheet1!$C697,MAC_PAINT2!A:D,4,FALSE),"-")</f>
        <v>macpaint</v>
      </c>
      <c r="AV697" t="s">
        <v>9193</v>
      </c>
      <c r="AW697" t="s">
        <v>9193</v>
      </c>
    </row>
    <row r="698" spans="1:49" customFormat="1" x14ac:dyDescent="0.4">
      <c r="A698">
        <v>2476</v>
      </c>
      <c r="B698" t="s">
        <v>1943</v>
      </c>
      <c r="C698" t="s">
        <v>1944</v>
      </c>
      <c r="D698" t="str">
        <f>_xlfn.CONCAT(C698,".bam")</f>
        <v>SYST-MOR-0007482.bam</v>
      </c>
      <c r="E698" t="s">
        <v>1945</v>
      </c>
      <c r="F698" t="s">
        <v>2454</v>
      </c>
      <c r="G698" t="s">
        <v>2483</v>
      </c>
      <c r="H698" t="s">
        <v>2545</v>
      </c>
      <c r="I698" t="s">
        <v>1927</v>
      </c>
      <c r="K698" t="s">
        <v>45</v>
      </c>
      <c r="L698" t="s">
        <v>45</v>
      </c>
      <c r="N698" t="s">
        <v>45</v>
      </c>
      <c r="P698" t="s">
        <v>31</v>
      </c>
      <c r="Q698" t="s">
        <v>46</v>
      </c>
      <c r="R698" t="s">
        <v>2597</v>
      </c>
      <c r="S698">
        <v>42983</v>
      </c>
      <c r="T698" t="s">
        <v>1892</v>
      </c>
      <c r="U698" t="s">
        <v>34</v>
      </c>
      <c r="V698">
        <v>42985</v>
      </c>
      <c r="W698" t="s">
        <v>35</v>
      </c>
      <c r="X698" t="s">
        <v>1820</v>
      </c>
      <c r="Y698" t="s">
        <v>1926</v>
      </c>
      <c r="Z698" t="s">
        <v>206</v>
      </c>
      <c r="AA698" t="s">
        <v>1927</v>
      </c>
      <c r="AB698" t="s">
        <v>1895</v>
      </c>
      <c r="AD698" t="s">
        <v>45</v>
      </c>
      <c r="AE698">
        <v>40.728340000000003</v>
      </c>
      <c r="AF698">
        <v>-83.096249999999998</v>
      </c>
      <c r="AG698" t="s">
        <v>40</v>
      </c>
      <c r="AH698" t="s">
        <v>41</v>
      </c>
      <c r="AI698">
        <v>40.728340000000003</v>
      </c>
      <c r="AJ698">
        <v>-83.096249999999998</v>
      </c>
      <c r="AK698">
        <v>0</v>
      </c>
      <c r="AL698">
        <v>0</v>
      </c>
      <c r="AM698" t="str">
        <f>_xlfn.IFNA(VLOOKUP(Sheet1!$C698,ADMIX_ALL!A:B,2,FALSE),"none")</f>
        <v>K6-18</v>
      </c>
      <c r="AN698" t="str">
        <f>_xlfn.IFNA(VLOOKUP(Sheet1!C698,ADMIX_SS!A:B,2,FALSE),"none")</f>
        <v>SubSample</v>
      </c>
      <c r="AO698" t="str">
        <f>_xlfn.IFNA(VLOOKUP(Sheet1!$C698,MONG_PHYLO!A:C,3,FALSE),"-")</f>
        <v>-</v>
      </c>
      <c r="AP698" t="str">
        <f>_xlfn.IFNA(VLOOKUP(Sheet1!$C698,MAC_PHYLO!A:C,3,FALSE),"-")</f>
        <v>-</v>
      </c>
      <c r="AQ698" t="str">
        <f>_xlfn.IFNA(VLOOKUP(Sheet1!$C698,ConStruct!A:C,3,FALSE),"-")</f>
        <v>ConStruct</v>
      </c>
      <c r="AR698" t="str">
        <f>_xlfn.IFNA(VLOOKUP(Sheet1!$C698,GEA!A:C,3,FALSE),"-")</f>
        <v>GEA</v>
      </c>
      <c r="AS698" t="str">
        <f>_xlfn.IFNA(VLOOKUP(Sheet1!$C698,MAC_DSUITE!A:D,3,FALSE),"-")</f>
        <v>mac_OH_DPS</v>
      </c>
      <c r="AT698" t="str">
        <f>_xlfn.IFNA(VLOOKUP(Sheet1!$C698,MONG_DSUITE!A:E,2,FALSE),"-")</f>
        <v>macrocarpa_DPS</v>
      </c>
      <c r="AU698" t="str">
        <f>_xlfn.IFNA(VLOOKUP(Sheet1!$C698,MAC_PAINT2!A:D,4,FALSE),"-")</f>
        <v>macpaint</v>
      </c>
      <c r="AV698" t="s">
        <v>9193</v>
      </c>
      <c r="AW698" t="s">
        <v>9193</v>
      </c>
    </row>
    <row r="699" spans="1:49" customFormat="1" x14ac:dyDescent="0.4">
      <c r="A699">
        <v>2477</v>
      </c>
      <c r="B699" t="s">
        <v>1946</v>
      </c>
      <c r="C699" t="s">
        <v>1947</v>
      </c>
      <c r="D699" t="str">
        <f>_xlfn.CONCAT(C699,".bam")</f>
        <v>SYST-MOR-0007483.bam</v>
      </c>
      <c r="E699" t="s">
        <v>1948</v>
      </c>
      <c r="F699" t="s">
        <v>2454</v>
      </c>
      <c r="G699" t="s">
        <v>2483</v>
      </c>
      <c r="H699" t="s">
        <v>2545</v>
      </c>
      <c r="I699" t="s">
        <v>1927</v>
      </c>
      <c r="K699" t="s">
        <v>45</v>
      </c>
      <c r="L699" t="s">
        <v>45</v>
      </c>
      <c r="N699" t="s">
        <v>45</v>
      </c>
      <c r="P699" t="s">
        <v>31</v>
      </c>
      <c r="Q699" t="s">
        <v>46</v>
      </c>
      <c r="R699" t="s">
        <v>2597</v>
      </c>
      <c r="S699">
        <v>42983</v>
      </c>
      <c r="T699" t="s">
        <v>1892</v>
      </c>
      <c r="U699" t="s">
        <v>34</v>
      </c>
      <c r="V699">
        <v>42985</v>
      </c>
      <c r="W699" t="s">
        <v>35</v>
      </c>
      <c r="X699" t="s">
        <v>1820</v>
      </c>
      <c r="Y699" t="s">
        <v>1926</v>
      </c>
      <c r="Z699" t="s">
        <v>206</v>
      </c>
      <c r="AA699" t="s">
        <v>1927</v>
      </c>
      <c r="AB699" t="s">
        <v>1895</v>
      </c>
      <c r="AD699" t="s">
        <v>45</v>
      </c>
      <c r="AE699">
        <v>40.728349999999999</v>
      </c>
      <c r="AF699">
        <v>-83.095359999999999</v>
      </c>
      <c r="AG699" t="s">
        <v>40</v>
      </c>
      <c r="AH699" t="s">
        <v>41</v>
      </c>
      <c r="AI699">
        <v>40.728349999999999</v>
      </c>
      <c r="AJ699">
        <v>-83.095359999999999</v>
      </c>
      <c r="AK699">
        <v>0</v>
      </c>
      <c r="AL699">
        <v>0</v>
      </c>
      <c r="AM699" t="str">
        <f>_xlfn.IFNA(VLOOKUP(Sheet1!$C699,ADMIX_ALL!A:B,2,FALSE),"none")</f>
        <v>K6-18</v>
      </c>
      <c r="AN699" t="str">
        <f>_xlfn.IFNA(VLOOKUP(Sheet1!C699,ADMIX_SS!A:B,2,FALSE),"none")</f>
        <v>SubSample</v>
      </c>
      <c r="AO699" t="str">
        <f>_xlfn.IFNA(VLOOKUP(Sheet1!$C699,MONG_PHYLO!A:C,3,FALSE),"-")</f>
        <v>-</v>
      </c>
      <c r="AP699" t="str">
        <f>_xlfn.IFNA(VLOOKUP(Sheet1!$C699,MAC_PHYLO!A:C,3,FALSE),"-")</f>
        <v>-</v>
      </c>
      <c r="AQ699" t="str">
        <f>_xlfn.IFNA(VLOOKUP(Sheet1!$C699,ConStruct!A:C,3,FALSE),"-")</f>
        <v>ConStruct</v>
      </c>
      <c r="AR699" t="str">
        <f>_xlfn.IFNA(VLOOKUP(Sheet1!$C699,GEA!A:C,3,FALSE),"-")</f>
        <v>GEA</v>
      </c>
      <c r="AS699" t="str">
        <f>_xlfn.IFNA(VLOOKUP(Sheet1!$C699,MAC_DSUITE!A:D,3,FALSE),"-")</f>
        <v>mac_OH_DPS</v>
      </c>
      <c r="AT699" t="str">
        <f>_xlfn.IFNA(VLOOKUP(Sheet1!$C699,MONG_DSUITE!A:E,2,FALSE),"-")</f>
        <v>macrocarpa_DPS</v>
      </c>
      <c r="AU699" t="str">
        <f>_xlfn.IFNA(VLOOKUP(Sheet1!$C699,MAC_PAINT2!A:D,4,FALSE),"-")</f>
        <v>macpaint</v>
      </c>
      <c r="AV699" t="s">
        <v>9193</v>
      </c>
      <c r="AW699" t="s">
        <v>9193</v>
      </c>
    </row>
    <row r="700" spans="1:49" customFormat="1" x14ac:dyDescent="0.4">
      <c r="A700">
        <v>2478</v>
      </c>
      <c r="B700" t="s">
        <v>1949</v>
      </c>
      <c r="C700" t="s">
        <v>1950</v>
      </c>
      <c r="D700" t="str">
        <f>_xlfn.CONCAT(C700,".bam")</f>
        <v>SYST-MOR-0007484.bam</v>
      </c>
      <c r="E700" t="s">
        <v>1951</v>
      </c>
      <c r="F700" t="s">
        <v>2454</v>
      </c>
      <c r="G700" t="s">
        <v>2483</v>
      </c>
      <c r="H700" t="s">
        <v>2545</v>
      </c>
      <c r="I700" t="s">
        <v>1927</v>
      </c>
      <c r="K700" t="s">
        <v>45</v>
      </c>
      <c r="L700" t="s">
        <v>45</v>
      </c>
      <c r="N700" t="s">
        <v>45</v>
      </c>
      <c r="P700" t="s">
        <v>31</v>
      </c>
      <c r="Q700" t="s">
        <v>46</v>
      </c>
      <c r="R700" t="s">
        <v>2597</v>
      </c>
      <c r="S700">
        <v>42983</v>
      </c>
      <c r="T700" t="s">
        <v>1892</v>
      </c>
      <c r="U700" t="s">
        <v>34</v>
      </c>
      <c r="V700">
        <v>42985</v>
      </c>
      <c r="W700" t="s">
        <v>35</v>
      </c>
      <c r="X700" t="s">
        <v>1820</v>
      </c>
      <c r="Y700" t="s">
        <v>1926</v>
      </c>
      <c r="Z700" t="s">
        <v>206</v>
      </c>
      <c r="AA700" t="s">
        <v>1927</v>
      </c>
      <c r="AB700" t="s">
        <v>1895</v>
      </c>
      <c r="AD700" t="s">
        <v>45</v>
      </c>
      <c r="AE700">
        <v>40.728189999999998</v>
      </c>
      <c r="AF700">
        <v>-83.092939999999999</v>
      </c>
      <c r="AG700" t="s">
        <v>40</v>
      </c>
      <c r="AH700" t="s">
        <v>41</v>
      </c>
      <c r="AI700">
        <v>40.728189999999998</v>
      </c>
      <c r="AJ700">
        <v>-83.092939999999999</v>
      </c>
      <c r="AK700">
        <v>0</v>
      </c>
      <c r="AL700">
        <v>0</v>
      </c>
      <c r="AM700" t="str">
        <f>_xlfn.IFNA(VLOOKUP(Sheet1!$C700,ADMIX_ALL!A:B,2,FALSE),"none")</f>
        <v>K6-18</v>
      </c>
      <c r="AN700" t="str">
        <f>_xlfn.IFNA(VLOOKUP(Sheet1!C700,ADMIX_SS!A:B,2,FALSE),"none")</f>
        <v>SubSample</v>
      </c>
      <c r="AO700" t="str">
        <f>_xlfn.IFNA(VLOOKUP(Sheet1!$C700,MONG_PHYLO!A:C,3,FALSE),"-")</f>
        <v>-</v>
      </c>
      <c r="AP700" t="str">
        <f>_xlfn.IFNA(VLOOKUP(Sheet1!$C700,MAC_PHYLO!A:C,3,FALSE),"-")</f>
        <v>-</v>
      </c>
      <c r="AQ700" t="str">
        <f>_xlfn.IFNA(VLOOKUP(Sheet1!$C700,ConStruct!A:C,3,FALSE),"-")</f>
        <v>ConStruct</v>
      </c>
      <c r="AR700" t="str">
        <f>_xlfn.IFNA(VLOOKUP(Sheet1!$C700,GEA!A:C,3,FALSE),"-")</f>
        <v>GEA</v>
      </c>
      <c r="AS700" t="str">
        <f>_xlfn.IFNA(VLOOKUP(Sheet1!$C700,MAC_DSUITE!A:D,3,FALSE),"-")</f>
        <v>mac_OH_DPS</v>
      </c>
      <c r="AT700" t="str">
        <f>_xlfn.IFNA(VLOOKUP(Sheet1!$C700,MONG_DSUITE!A:E,2,FALSE),"-")</f>
        <v>macrocarpa_DPS</v>
      </c>
      <c r="AU700" t="str">
        <f>_xlfn.IFNA(VLOOKUP(Sheet1!$C700,MAC_PAINT2!A:D,4,FALSE),"-")</f>
        <v>macpaint</v>
      </c>
      <c r="AV700" t="s">
        <v>9193</v>
      </c>
      <c r="AW700" t="s">
        <v>9193</v>
      </c>
    </row>
    <row r="701" spans="1:49" customFormat="1" x14ac:dyDescent="0.4">
      <c r="A701">
        <v>2479</v>
      </c>
      <c r="B701" t="s">
        <v>1952</v>
      </c>
      <c r="C701" t="s">
        <v>1953</v>
      </c>
      <c r="D701" t="str">
        <f>_xlfn.CONCAT(C701,".bam")</f>
        <v>SYST-MOR-0007485.bam</v>
      </c>
      <c r="E701" t="s">
        <v>1954</v>
      </c>
      <c r="F701" t="s">
        <v>2454</v>
      </c>
      <c r="G701" t="s">
        <v>2483</v>
      </c>
      <c r="H701" t="s">
        <v>2545</v>
      </c>
      <c r="I701" t="s">
        <v>1927</v>
      </c>
      <c r="K701" t="s">
        <v>45</v>
      </c>
      <c r="L701" t="s">
        <v>45</v>
      </c>
      <c r="N701" t="s">
        <v>45</v>
      </c>
      <c r="P701" t="s">
        <v>31</v>
      </c>
      <c r="Q701" t="s">
        <v>46</v>
      </c>
      <c r="R701" t="s">
        <v>2597</v>
      </c>
      <c r="S701">
        <v>42983</v>
      </c>
      <c r="T701" t="s">
        <v>1892</v>
      </c>
      <c r="U701" t="s">
        <v>34</v>
      </c>
      <c r="V701">
        <v>42985</v>
      </c>
      <c r="W701" t="s">
        <v>35</v>
      </c>
      <c r="X701" t="s">
        <v>1820</v>
      </c>
      <c r="Y701" t="s">
        <v>1926</v>
      </c>
      <c r="Z701" t="s">
        <v>206</v>
      </c>
      <c r="AA701" t="s">
        <v>1927</v>
      </c>
      <c r="AB701" t="s">
        <v>1895</v>
      </c>
      <c r="AD701" t="s">
        <v>45</v>
      </c>
      <c r="AE701">
        <v>40.729439999999997</v>
      </c>
      <c r="AF701">
        <v>-83.092609999999993</v>
      </c>
      <c r="AG701" t="s">
        <v>40</v>
      </c>
      <c r="AH701" t="s">
        <v>41</v>
      </c>
      <c r="AI701">
        <v>40.729439999999997</v>
      </c>
      <c r="AJ701">
        <v>-83.092609999999993</v>
      </c>
      <c r="AK701">
        <v>0</v>
      </c>
      <c r="AL701">
        <v>0</v>
      </c>
      <c r="AM701" t="str">
        <f>_xlfn.IFNA(VLOOKUP(Sheet1!$C701,ADMIX_ALL!A:B,2,FALSE),"none")</f>
        <v>K6-18</v>
      </c>
      <c r="AN701" t="str">
        <f>_xlfn.IFNA(VLOOKUP(Sheet1!C701,ADMIX_SS!A:B,2,FALSE),"none")</f>
        <v>SubSample</v>
      </c>
      <c r="AO701" t="str">
        <f>_xlfn.IFNA(VLOOKUP(Sheet1!$C701,MONG_PHYLO!A:C,3,FALSE),"-")</f>
        <v>-</v>
      </c>
      <c r="AP701" t="str">
        <f>_xlfn.IFNA(VLOOKUP(Sheet1!$C701,MAC_PHYLO!A:C,3,FALSE),"-")</f>
        <v>-</v>
      </c>
      <c r="AQ701" t="str">
        <f>_xlfn.IFNA(VLOOKUP(Sheet1!$C701,ConStruct!A:C,3,FALSE),"-")</f>
        <v>ConStruct</v>
      </c>
      <c r="AR701" t="str">
        <f>_xlfn.IFNA(VLOOKUP(Sheet1!$C701,GEA!A:C,3,FALSE),"-")</f>
        <v>GEA</v>
      </c>
      <c r="AS701" t="str">
        <f>_xlfn.IFNA(VLOOKUP(Sheet1!$C701,MAC_DSUITE!A:D,3,FALSE),"-")</f>
        <v>mac_OH_DPS</v>
      </c>
      <c r="AT701" t="str">
        <f>_xlfn.IFNA(VLOOKUP(Sheet1!$C701,MONG_DSUITE!A:E,2,FALSE),"-")</f>
        <v>macrocarpa_DPS</v>
      </c>
      <c r="AU701" t="str">
        <f>_xlfn.IFNA(VLOOKUP(Sheet1!$C701,MAC_PAINT2!A:D,4,FALSE),"-")</f>
        <v>macpaint</v>
      </c>
      <c r="AV701" t="s">
        <v>9193</v>
      </c>
      <c r="AW701" t="s">
        <v>9193</v>
      </c>
    </row>
    <row r="702" spans="1:49" customFormat="1" x14ac:dyDescent="0.4">
      <c r="A702">
        <v>2570</v>
      </c>
      <c r="B702" t="s">
        <v>556</v>
      </c>
      <c r="C702" t="s">
        <v>557</v>
      </c>
      <c r="D702" t="str">
        <f>_xlfn.CONCAT(C702,".bam")</f>
        <v>SYST-MOR-0007486.bam</v>
      </c>
      <c r="E702" t="s">
        <v>558</v>
      </c>
      <c r="F702" t="s">
        <v>2472</v>
      </c>
      <c r="G702" t="s">
        <v>2473</v>
      </c>
      <c r="H702" t="s">
        <v>2504</v>
      </c>
      <c r="I702" t="s">
        <v>562</v>
      </c>
      <c r="K702" t="s">
        <v>45</v>
      </c>
      <c r="L702" t="s">
        <v>45</v>
      </c>
      <c r="N702" t="s">
        <v>45</v>
      </c>
      <c r="P702" t="s">
        <v>31</v>
      </c>
      <c r="Q702" t="s">
        <v>46</v>
      </c>
      <c r="R702" t="s">
        <v>2597</v>
      </c>
      <c r="S702" s="1">
        <v>42965</v>
      </c>
      <c r="T702" t="s">
        <v>559</v>
      </c>
      <c r="U702" t="s">
        <v>34</v>
      </c>
      <c r="V702" s="1">
        <v>42969</v>
      </c>
      <c r="W702" t="s">
        <v>35</v>
      </c>
      <c r="X702" t="s">
        <v>560</v>
      </c>
      <c r="Y702" t="s">
        <v>561</v>
      </c>
      <c r="Z702" t="s">
        <v>206</v>
      </c>
      <c r="AA702" t="s">
        <v>562</v>
      </c>
      <c r="AC702">
        <v>25</v>
      </c>
      <c r="AD702" t="s">
        <v>45</v>
      </c>
      <c r="AE702">
        <v>43.760489999999997</v>
      </c>
      <c r="AF702">
        <v>-103.47675</v>
      </c>
      <c r="AG702" t="s">
        <v>563</v>
      </c>
      <c r="AH702" t="s">
        <v>41</v>
      </c>
      <c r="AI702">
        <v>43.760489999999997</v>
      </c>
      <c r="AJ702">
        <v>-103.47675</v>
      </c>
      <c r="AK702">
        <v>0</v>
      </c>
      <c r="AL702">
        <v>0</v>
      </c>
      <c r="AM702" t="str">
        <f>_xlfn.IFNA(VLOOKUP(Sheet1!$C702,ADMIX_ALL!A:B,2,FALSE),"none")</f>
        <v>K6-18</v>
      </c>
      <c r="AN702" t="str">
        <f>_xlfn.IFNA(VLOOKUP(Sheet1!C702,ADMIX_SS!A:B,2,FALSE),"none")</f>
        <v>SubSample</v>
      </c>
      <c r="AO702" t="str">
        <f>_xlfn.IFNA(VLOOKUP(Sheet1!$C702,MONG_PHYLO!A:C,3,FALSE),"-")</f>
        <v>-</v>
      </c>
      <c r="AP702" t="str">
        <f>_xlfn.IFNA(VLOOKUP(Sheet1!$C702,MAC_PHYLO!A:C,3,FALSE),"-")</f>
        <v>-</v>
      </c>
      <c r="AQ702" t="str">
        <f>_xlfn.IFNA(VLOOKUP(Sheet1!$C702,ConStruct!A:C,3,FALSE),"-")</f>
        <v>ConStruct</v>
      </c>
      <c r="AR702" t="str">
        <f>_xlfn.IFNA(VLOOKUP(Sheet1!$C702,GEA!A:C,3,FALSE),"-")</f>
        <v>GEA</v>
      </c>
      <c r="AS702" t="str">
        <f>_xlfn.IFNA(VLOOKUP(Sheet1!$C702,MAC_DSUITE!A:D,3,FALSE),"-")</f>
        <v>mac_SD_CSP</v>
      </c>
      <c r="AT702" t="str">
        <f>_xlfn.IFNA(VLOOKUP(Sheet1!$C702,MONG_DSUITE!A:E,2,FALSE),"-")</f>
        <v>macrocarpa_CSP</v>
      </c>
      <c r="AU702" t="str">
        <f>_xlfn.IFNA(VLOOKUP(Sheet1!$C702,MAC_PAINT2!A:D,4,FALSE),"-")</f>
        <v>macpaint</v>
      </c>
      <c r="AV702" t="s">
        <v>9193</v>
      </c>
      <c r="AW702" t="s">
        <v>9193</v>
      </c>
    </row>
    <row r="703" spans="1:49" customFormat="1" x14ac:dyDescent="0.4">
      <c r="A703">
        <v>2571</v>
      </c>
      <c r="B703" t="s">
        <v>564</v>
      </c>
      <c r="C703" t="s">
        <v>565</v>
      </c>
      <c r="D703" t="str">
        <f>_xlfn.CONCAT(C703,".bam")</f>
        <v>SYST-MOR-0007487.bam</v>
      </c>
      <c r="E703" t="s">
        <v>566</v>
      </c>
      <c r="F703" t="s">
        <v>2472</v>
      </c>
      <c r="G703" t="s">
        <v>2473</v>
      </c>
      <c r="H703" t="s">
        <v>2504</v>
      </c>
      <c r="I703" t="s">
        <v>562</v>
      </c>
      <c r="K703" t="s">
        <v>45</v>
      </c>
      <c r="L703" t="s">
        <v>45</v>
      </c>
      <c r="N703" t="s">
        <v>45</v>
      </c>
      <c r="P703" t="s">
        <v>31</v>
      </c>
      <c r="Q703" t="s">
        <v>46</v>
      </c>
      <c r="R703" t="s">
        <v>2597</v>
      </c>
      <c r="S703" s="1">
        <v>42965</v>
      </c>
      <c r="T703" t="s">
        <v>559</v>
      </c>
      <c r="U703" t="s">
        <v>34</v>
      </c>
      <c r="V703" s="1">
        <v>42969</v>
      </c>
      <c r="W703" t="s">
        <v>35</v>
      </c>
      <c r="X703" t="s">
        <v>560</v>
      </c>
      <c r="Y703" t="s">
        <v>561</v>
      </c>
      <c r="Z703" t="s">
        <v>206</v>
      </c>
      <c r="AA703" t="s">
        <v>562</v>
      </c>
      <c r="AC703">
        <v>30</v>
      </c>
      <c r="AD703" t="s">
        <v>45</v>
      </c>
      <c r="AE703">
        <v>43.761949999999999</v>
      </c>
      <c r="AF703">
        <v>-103.47226000000001</v>
      </c>
      <c r="AG703" t="s">
        <v>40</v>
      </c>
      <c r="AH703" t="s">
        <v>41</v>
      </c>
      <c r="AI703">
        <v>43.761949999999999</v>
      </c>
      <c r="AJ703">
        <v>-103.47226000000001</v>
      </c>
      <c r="AK703">
        <v>0</v>
      </c>
      <c r="AL703">
        <v>0</v>
      </c>
      <c r="AM703" t="str">
        <f>_xlfn.IFNA(VLOOKUP(Sheet1!$C703,ADMIX_ALL!A:B,2,FALSE),"none")</f>
        <v>K6-18</v>
      </c>
      <c r="AN703" t="str">
        <f>_xlfn.IFNA(VLOOKUP(Sheet1!C703,ADMIX_SS!A:B,2,FALSE),"none")</f>
        <v>SubSample</v>
      </c>
      <c r="AO703" t="str">
        <f>_xlfn.IFNA(VLOOKUP(Sheet1!$C703,MONG_PHYLO!A:C,3,FALSE),"-")</f>
        <v>-</v>
      </c>
      <c r="AP703" t="str">
        <f>_xlfn.IFNA(VLOOKUP(Sheet1!$C703,MAC_PHYLO!A:C,3,FALSE),"-")</f>
        <v>-</v>
      </c>
      <c r="AQ703" t="str">
        <f>_xlfn.IFNA(VLOOKUP(Sheet1!$C703,ConStruct!A:C,3,FALSE),"-")</f>
        <v>ConStruct</v>
      </c>
      <c r="AR703" t="str">
        <f>_xlfn.IFNA(VLOOKUP(Sheet1!$C703,GEA!A:C,3,FALSE),"-")</f>
        <v>GEA</v>
      </c>
      <c r="AS703" t="str">
        <f>_xlfn.IFNA(VLOOKUP(Sheet1!$C703,MAC_DSUITE!A:D,3,FALSE),"-")</f>
        <v>mac_SD_CSP</v>
      </c>
      <c r="AT703" t="str">
        <f>_xlfn.IFNA(VLOOKUP(Sheet1!$C703,MONG_DSUITE!A:E,2,FALSE),"-")</f>
        <v>macrocarpa_CSP</v>
      </c>
      <c r="AU703" t="str">
        <f>_xlfn.IFNA(VLOOKUP(Sheet1!$C703,MAC_PAINT2!A:D,4,FALSE),"-")</f>
        <v>-</v>
      </c>
      <c r="AV703" t="s">
        <v>9197</v>
      </c>
      <c r="AW703" t="s">
        <v>9193</v>
      </c>
    </row>
    <row r="704" spans="1:49" customFormat="1" x14ac:dyDescent="0.4">
      <c r="A704">
        <v>2572</v>
      </c>
      <c r="B704" t="s">
        <v>567</v>
      </c>
      <c r="C704" t="s">
        <v>568</v>
      </c>
      <c r="D704" t="str">
        <f>_xlfn.CONCAT(C704,".bam")</f>
        <v>SYST-MOR-0007488.bam</v>
      </c>
      <c r="E704" t="s">
        <v>569</v>
      </c>
      <c r="F704" t="s">
        <v>2472</v>
      </c>
      <c r="G704" t="s">
        <v>2473</v>
      </c>
      <c r="H704" t="s">
        <v>2504</v>
      </c>
      <c r="I704" t="s">
        <v>562</v>
      </c>
      <c r="K704" t="s">
        <v>45</v>
      </c>
      <c r="L704" t="s">
        <v>45</v>
      </c>
      <c r="N704" t="s">
        <v>45</v>
      </c>
      <c r="P704" t="s">
        <v>31</v>
      </c>
      <c r="Q704" t="s">
        <v>46</v>
      </c>
      <c r="R704" t="s">
        <v>2597</v>
      </c>
      <c r="S704" s="1">
        <v>42965</v>
      </c>
      <c r="T704" t="s">
        <v>559</v>
      </c>
      <c r="U704" t="s">
        <v>34</v>
      </c>
      <c r="V704" s="1">
        <v>42969</v>
      </c>
      <c r="W704" t="s">
        <v>35</v>
      </c>
      <c r="X704" t="s">
        <v>560</v>
      </c>
      <c r="Y704" t="s">
        <v>561</v>
      </c>
      <c r="Z704" t="s">
        <v>206</v>
      </c>
      <c r="AA704" t="s">
        <v>562</v>
      </c>
      <c r="AC704">
        <v>30</v>
      </c>
      <c r="AD704" t="s">
        <v>45</v>
      </c>
      <c r="AE704">
        <v>43.762070000000001</v>
      </c>
      <c r="AF704">
        <v>-103.46704</v>
      </c>
      <c r="AG704" t="s">
        <v>40</v>
      </c>
      <c r="AH704" t="s">
        <v>41</v>
      </c>
      <c r="AI704">
        <v>43.762070000000001</v>
      </c>
      <c r="AJ704">
        <v>-103.46704</v>
      </c>
      <c r="AK704">
        <v>0</v>
      </c>
      <c r="AL704">
        <v>0</v>
      </c>
      <c r="AM704" t="str">
        <f>_xlfn.IFNA(VLOOKUP(Sheet1!$C704,ADMIX_ALL!A:B,2,FALSE),"none")</f>
        <v>K6-18</v>
      </c>
      <c r="AN704" t="str">
        <f>_xlfn.IFNA(VLOOKUP(Sheet1!C704,ADMIX_SS!A:B,2,FALSE),"none")</f>
        <v>SubSample</v>
      </c>
      <c r="AO704" t="str">
        <f>_xlfn.IFNA(VLOOKUP(Sheet1!$C704,MONG_PHYLO!A:C,3,FALSE),"-")</f>
        <v>-</v>
      </c>
      <c r="AP704" t="str">
        <f>_xlfn.IFNA(VLOOKUP(Sheet1!$C704,MAC_PHYLO!A:C,3,FALSE),"-")</f>
        <v>-</v>
      </c>
      <c r="AQ704" t="str">
        <f>_xlfn.IFNA(VLOOKUP(Sheet1!$C704,ConStruct!A:C,3,FALSE),"-")</f>
        <v>ConStruct</v>
      </c>
      <c r="AR704" t="str">
        <f>_xlfn.IFNA(VLOOKUP(Sheet1!$C704,GEA!A:C,3,FALSE),"-")</f>
        <v>GEA</v>
      </c>
      <c r="AS704" t="str">
        <f>_xlfn.IFNA(VLOOKUP(Sheet1!$C704,MAC_DSUITE!A:D,3,FALSE),"-")</f>
        <v>mac_SD_CSP</v>
      </c>
      <c r="AT704" t="str">
        <f>_xlfn.IFNA(VLOOKUP(Sheet1!$C704,MONG_DSUITE!A:E,2,FALSE),"-")</f>
        <v>macrocarpa_CSP</v>
      </c>
      <c r="AU704" t="str">
        <f>_xlfn.IFNA(VLOOKUP(Sheet1!$C704,MAC_PAINT2!A:D,4,FALSE),"-")</f>
        <v>macpaint</v>
      </c>
      <c r="AV704" t="s">
        <v>9193</v>
      </c>
      <c r="AW704" t="s">
        <v>9193</v>
      </c>
    </row>
    <row r="705" spans="1:49" customFormat="1" x14ac:dyDescent="0.4">
      <c r="A705">
        <v>2573</v>
      </c>
      <c r="B705" t="s">
        <v>570</v>
      </c>
      <c r="C705" t="s">
        <v>571</v>
      </c>
      <c r="D705" t="str">
        <f>_xlfn.CONCAT(C705,".bam")</f>
        <v>SYST-MOR-0007489.bam</v>
      </c>
      <c r="E705" t="s">
        <v>572</v>
      </c>
      <c r="F705" t="s">
        <v>2472</v>
      </c>
      <c r="G705" t="s">
        <v>2473</v>
      </c>
      <c r="H705" t="s">
        <v>2504</v>
      </c>
      <c r="I705" t="s">
        <v>562</v>
      </c>
      <c r="K705" t="s">
        <v>45</v>
      </c>
      <c r="L705" t="s">
        <v>45</v>
      </c>
      <c r="N705" t="s">
        <v>45</v>
      </c>
      <c r="P705" t="s">
        <v>31</v>
      </c>
      <c r="Q705" t="s">
        <v>46</v>
      </c>
      <c r="R705" t="s">
        <v>2597</v>
      </c>
      <c r="S705" s="1">
        <v>42965</v>
      </c>
      <c r="T705" t="s">
        <v>559</v>
      </c>
      <c r="U705" t="s">
        <v>34</v>
      </c>
      <c r="V705" s="1">
        <v>42969</v>
      </c>
      <c r="W705" t="s">
        <v>35</v>
      </c>
      <c r="X705" t="s">
        <v>560</v>
      </c>
      <c r="Y705" t="s">
        <v>561</v>
      </c>
      <c r="Z705" t="s">
        <v>206</v>
      </c>
      <c r="AA705" t="s">
        <v>562</v>
      </c>
      <c r="AC705">
        <v>18</v>
      </c>
      <c r="AD705" t="s">
        <v>45</v>
      </c>
      <c r="AE705">
        <v>43.76737</v>
      </c>
      <c r="AF705">
        <v>-103.45567</v>
      </c>
      <c r="AG705" t="s">
        <v>40</v>
      </c>
      <c r="AH705" t="s">
        <v>41</v>
      </c>
      <c r="AI705">
        <v>43.76737</v>
      </c>
      <c r="AJ705">
        <v>-103.45567</v>
      </c>
      <c r="AK705">
        <v>0</v>
      </c>
      <c r="AL705">
        <v>0</v>
      </c>
      <c r="AM705" t="str">
        <f>_xlfn.IFNA(VLOOKUP(Sheet1!$C705,ADMIX_ALL!A:B,2,FALSE),"none")</f>
        <v>K6-18</v>
      </c>
      <c r="AN705" t="str">
        <f>_xlfn.IFNA(VLOOKUP(Sheet1!C705,ADMIX_SS!A:B,2,FALSE),"none")</f>
        <v>SubSample</v>
      </c>
      <c r="AO705" t="str">
        <f>_xlfn.IFNA(VLOOKUP(Sheet1!$C705,MONG_PHYLO!A:C,3,FALSE),"-")</f>
        <v>-</v>
      </c>
      <c r="AP705" t="str">
        <f>_xlfn.IFNA(VLOOKUP(Sheet1!$C705,MAC_PHYLO!A:C,3,FALSE),"-")</f>
        <v>-</v>
      </c>
      <c r="AQ705" t="str">
        <f>_xlfn.IFNA(VLOOKUP(Sheet1!$C705,ConStruct!A:C,3,FALSE),"-")</f>
        <v>ConStruct</v>
      </c>
      <c r="AR705" t="str">
        <f>_xlfn.IFNA(VLOOKUP(Sheet1!$C705,GEA!A:C,3,FALSE),"-")</f>
        <v>GEA</v>
      </c>
      <c r="AS705" t="str">
        <f>_xlfn.IFNA(VLOOKUP(Sheet1!$C705,MAC_DSUITE!A:D,3,FALSE),"-")</f>
        <v>mac_SD_CSP</v>
      </c>
      <c r="AT705" t="str">
        <f>_xlfn.IFNA(VLOOKUP(Sheet1!$C705,MONG_DSUITE!A:E,2,FALSE),"-")</f>
        <v>macrocarpa_CSP</v>
      </c>
      <c r="AU705" t="str">
        <f>_xlfn.IFNA(VLOOKUP(Sheet1!$C705,MAC_PAINT2!A:D,4,FALSE),"-")</f>
        <v>-</v>
      </c>
      <c r="AV705" t="s">
        <v>9197</v>
      </c>
      <c r="AW705" t="s">
        <v>9193</v>
      </c>
    </row>
    <row r="706" spans="1:49" customFormat="1" x14ac:dyDescent="0.4">
      <c r="A706">
        <v>2574</v>
      </c>
      <c r="B706" t="s">
        <v>573</v>
      </c>
      <c r="C706" t="s">
        <v>574</v>
      </c>
      <c r="D706" t="str">
        <f>_xlfn.CONCAT(C706,".bam")</f>
        <v>SYST-MOR-0007490.bam</v>
      </c>
      <c r="E706" t="s">
        <v>575</v>
      </c>
      <c r="F706" t="s">
        <v>2472</v>
      </c>
      <c r="G706" t="s">
        <v>2473</v>
      </c>
      <c r="H706" t="s">
        <v>2504</v>
      </c>
      <c r="I706" t="s">
        <v>562</v>
      </c>
      <c r="K706" t="s">
        <v>45</v>
      </c>
      <c r="L706" t="s">
        <v>45</v>
      </c>
      <c r="N706" t="s">
        <v>45</v>
      </c>
      <c r="P706" t="s">
        <v>31</v>
      </c>
      <c r="Q706" t="s">
        <v>46</v>
      </c>
      <c r="R706" t="s">
        <v>2597</v>
      </c>
      <c r="S706" s="1">
        <v>42965</v>
      </c>
      <c r="T706" t="s">
        <v>559</v>
      </c>
      <c r="U706" t="s">
        <v>34</v>
      </c>
      <c r="V706" s="1">
        <v>42969</v>
      </c>
      <c r="W706" t="s">
        <v>35</v>
      </c>
      <c r="X706" t="s">
        <v>560</v>
      </c>
      <c r="Y706" t="s">
        <v>561</v>
      </c>
      <c r="Z706" t="s">
        <v>206</v>
      </c>
      <c r="AA706" t="s">
        <v>562</v>
      </c>
      <c r="AC706">
        <v>18</v>
      </c>
      <c r="AD706" t="s">
        <v>45</v>
      </c>
      <c r="AE706">
        <v>43.7746</v>
      </c>
      <c r="AF706">
        <v>-103.43264000000001</v>
      </c>
      <c r="AG706" t="s">
        <v>40</v>
      </c>
      <c r="AH706" t="s">
        <v>41</v>
      </c>
      <c r="AI706">
        <v>43.7746</v>
      </c>
      <c r="AJ706">
        <v>-103.43264000000001</v>
      </c>
      <c r="AK706">
        <v>0</v>
      </c>
      <c r="AL706">
        <v>0</v>
      </c>
      <c r="AM706" t="str">
        <f>_xlfn.IFNA(VLOOKUP(Sheet1!$C706,ADMIX_ALL!A:B,2,FALSE),"none")</f>
        <v>K6-18</v>
      </c>
      <c r="AN706" t="str">
        <f>_xlfn.IFNA(VLOOKUP(Sheet1!C706,ADMIX_SS!A:B,2,FALSE),"none")</f>
        <v>SubSample</v>
      </c>
      <c r="AO706" t="str">
        <f>_xlfn.IFNA(VLOOKUP(Sheet1!$C706,MONG_PHYLO!A:C,3,FALSE),"-")</f>
        <v>-</v>
      </c>
      <c r="AP706" t="str">
        <f>_xlfn.IFNA(VLOOKUP(Sheet1!$C706,MAC_PHYLO!A:C,3,FALSE),"-")</f>
        <v>-</v>
      </c>
      <c r="AQ706" t="str">
        <f>_xlfn.IFNA(VLOOKUP(Sheet1!$C706,ConStruct!A:C,3,FALSE),"-")</f>
        <v>ConStruct</v>
      </c>
      <c r="AR706" t="str">
        <f>_xlfn.IFNA(VLOOKUP(Sheet1!$C706,GEA!A:C,3,FALSE),"-")</f>
        <v>GEA</v>
      </c>
      <c r="AS706" t="str">
        <f>_xlfn.IFNA(VLOOKUP(Sheet1!$C706,MAC_DSUITE!A:D,3,FALSE),"-")</f>
        <v>mac_SD_CSP</v>
      </c>
      <c r="AT706" t="str">
        <f>_xlfn.IFNA(VLOOKUP(Sheet1!$C706,MONG_DSUITE!A:E,2,FALSE),"-")</f>
        <v>macrocarpa_CSP</v>
      </c>
      <c r="AU706" t="str">
        <f>_xlfn.IFNA(VLOOKUP(Sheet1!$C706,MAC_PAINT2!A:D,4,FALSE),"-")</f>
        <v>macpaint</v>
      </c>
      <c r="AV706" t="s">
        <v>9193</v>
      </c>
      <c r="AW706" t="s">
        <v>9193</v>
      </c>
    </row>
    <row r="707" spans="1:49" customFormat="1" x14ac:dyDescent="0.4">
      <c r="A707">
        <v>2575</v>
      </c>
      <c r="B707" t="s">
        <v>576</v>
      </c>
      <c r="C707" t="s">
        <v>577</v>
      </c>
      <c r="D707" t="str">
        <f>_xlfn.CONCAT(C707,".bam")</f>
        <v>SYST-MOR-0007491.bam</v>
      </c>
      <c r="E707" t="s">
        <v>578</v>
      </c>
      <c r="F707" t="s">
        <v>2472</v>
      </c>
      <c r="G707" t="s">
        <v>2473</v>
      </c>
      <c r="H707" t="s">
        <v>2504</v>
      </c>
      <c r="I707" t="s">
        <v>562</v>
      </c>
      <c r="K707" t="s">
        <v>45</v>
      </c>
      <c r="L707" t="s">
        <v>45</v>
      </c>
      <c r="N707" t="s">
        <v>45</v>
      </c>
      <c r="P707" t="s">
        <v>31</v>
      </c>
      <c r="Q707" t="s">
        <v>46</v>
      </c>
      <c r="R707" t="s">
        <v>2597</v>
      </c>
      <c r="S707" s="1">
        <v>42965</v>
      </c>
      <c r="T707" t="s">
        <v>559</v>
      </c>
      <c r="U707" t="s">
        <v>34</v>
      </c>
      <c r="V707" s="1">
        <v>42969</v>
      </c>
      <c r="W707" t="s">
        <v>35</v>
      </c>
      <c r="X707" t="s">
        <v>560</v>
      </c>
      <c r="Y707" t="s">
        <v>561</v>
      </c>
      <c r="Z707" t="s">
        <v>206</v>
      </c>
      <c r="AA707" t="s">
        <v>562</v>
      </c>
      <c r="AC707">
        <v>15</v>
      </c>
      <c r="AD707" t="s">
        <v>45</v>
      </c>
      <c r="AE707">
        <v>43.776240000000001</v>
      </c>
      <c r="AF707">
        <v>-103.41792</v>
      </c>
      <c r="AG707" t="s">
        <v>40</v>
      </c>
      <c r="AH707" t="s">
        <v>41</v>
      </c>
      <c r="AI707">
        <v>43.776240000000001</v>
      </c>
      <c r="AJ707">
        <v>-103.41792</v>
      </c>
      <c r="AK707">
        <v>0</v>
      </c>
      <c r="AL707">
        <v>0</v>
      </c>
      <c r="AM707" t="str">
        <f>_xlfn.IFNA(VLOOKUP(Sheet1!$C707,ADMIX_ALL!A:B,2,FALSE),"none")</f>
        <v>K6-18</v>
      </c>
      <c r="AN707" t="str">
        <f>_xlfn.IFNA(VLOOKUP(Sheet1!C707,ADMIX_SS!A:B,2,FALSE),"none")</f>
        <v>SubSample</v>
      </c>
      <c r="AO707" t="str">
        <f>_xlfn.IFNA(VLOOKUP(Sheet1!$C707,MONG_PHYLO!A:C,3,FALSE),"-")</f>
        <v>-</v>
      </c>
      <c r="AP707" t="str">
        <f>_xlfn.IFNA(VLOOKUP(Sheet1!$C707,MAC_PHYLO!A:C,3,FALSE),"-")</f>
        <v>-</v>
      </c>
      <c r="AQ707" t="str">
        <f>_xlfn.IFNA(VLOOKUP(Sheet1!$C707,ConStruct!A:C,3,FALSE),"-")</f>
        <v>ConStruct</v>
      </c>
      <c r="AR707" t="str">
        <f>_xlfn.IFNA(VLOOKUP(Sheet1!$C707,GEA!A:C,3,FALSE),"-")</f>
        <v>GEA</v>
      </c>
      <c r="AS707" t="str">
        <f>_xlfn.IFNA(VLOOKUP(Sheet1!$C707,MAC_DSUITE!A:D,3,FALSE),"-")</f>
        <v>mac_SD_CSP</v>
      </c>
      <c r="AT707" t="str">
        <f>_xlfn.IFNA(VLOOKUP(Sheet1!$C707,MONG_DSUITE!A:E,2,FALSE),"-")</f>
        <v>macrocarpa_CSP</v>
      </c>
      <c r="AU707" t="str">
        <f>_xlfn.IFNA(VLOOKUP(Sheet1!$C707,MAC_PAINT2!A:D,4,FALSE),"-")</f>
        <v>macpaint</v>
      </c>
      <c r="AV707" t="s">
        <v>9193</v>
      </c>
      <c r="AW707" t="s">
        <v>9193</v>
      </c>
    </row>
    <row r="708" spans="1:49" customFormat="1" x14ac:dyDescent="0.4">
      <c r="A708">
        <v>2576</v>
      </c>
      <c r="B708" t="s">
        <v>579</v>
      </c>
      <c r="C708" t="s">
        <v>580</v>
      </c>
      <c r="D708" t="str">
        <f>_xlfn.CONCAT(C708,".bam")</f>
        <v>SYST-MOR-0007492.bam</v>
      </c>
      <c r="E708" t="s">
        <v>581</v>
      </c>
      <c r="F708" t="s">
        <v>2472</v>
      </c>
      <c r="G708" t="s">
        <v>2473</v>
      </c>
      <c r="H708" t="s">
        <v>2504</v>
      </c>
      <c r="I708" t="s">
        <v>562</v>
      </c>
      <c r="K708" t="s">
        <v>45</v>
      </c>
      <c r="L708" t="s">
        <v>45</v>
      </c>
      <c r="N708" t="s">
        <v>45</v>
      </c>
      <c r="P708" t="s">
        <v>31</v>
      </c>
      <c r="Q708" t="s">
        <v>46</v>
      </c>
      <c r="R708" t="s">
        <v>2597</v>
      </c>
      <c r="S708" s="1">
        <v>42965</v>
      </c>
      <c r="T708" t="s">
        <v>559</v>
      </c>
      <c r="U708" t="s">
        <v>34</v>
      </c>
      <c r="V708" s="1">
        <v>42969</v>
      </c>
      <c r="W708" t="s">
        <v>35</v>
      </c>
      <c r="X708" t="s">
        <v>560</v>
      </c>
      <c r="Y708" t="s">
        <v>561</v>
      </c>
      <c r="Z708" t="s">
        <v>206</v>
      </c>
      <c r="AA708" t="s">
        <v>562</v>
      </c>
      <c r="AC708">
        <v>100</v>
      </c>
      <c r="AD708" t="s">
        <v>45</v>
      </c>
      <c r="AE708">
        <v>43.77816</v>
      </c>
      <c r="AF708">
        <v>-103.40278000000001</v>
      </c>
      <c r="AG708" t="s">
        <v>40</v>
      </c>
      <c r="AH708" t="s">
        <v>41</v>
      </c>
      <c r="AI708">
        <v>43.77816</v>
      </c>
      <c r="AJ708">
        <v>-103.40278000000001</v>
      </c>
      <c r="AK708">
        <v>0</v>
      </c>
      <c r="AL708">
        <v>0</v>
      </c>
      <c r="AM708" t="str">
        <f>_xlfn.IFNA(VLOOKUP(Sheet1!$C708,ADMIX_ALL!A:B,2,FALSE),"none")</f>
        <v>K6-18</v>
      </c>
      <c r="AN708" t="str">
        <f>_xlfn.IFNA(VLOOKUP(Sheet1!C708,ADMIX_SS!A:B,2,FALSE),"none")</f>
        <v>SubSample</v>
      </c>
      <c r="AO708" t="str">
        <f>_xlfn.IFNA(VLOOKUP(Sheet1!$C708,MONG_PHYLO!A:C,3,FALSE),"-")</f>
        <v>-</v>
      </c>
      <c r="AP708" t="str">
        <f>_xlfn.IFNA(VLOOKUP(Sheet1!$C708,MAC_PHYLO!A:C,3,FALSE),"-")</f>
        <v>-</v>
      </c>
      <c r="AQ708" t="str">
        <f>_xlfn.IFNA(VLOOKUP(Sheet1!$C708,ConStruct!A:C,3,FALSE),"-")</f>
        <v>ConStruct</v>
      </c>
      <c r="AR708" t="str">
        <f>_xlfn.IFNA(VLOOKUP(Sheet1!$C708,GEA!A:C,3,FALSE),"-")</f>
        <v>GEA</v>
      </c>
      <c r="AS708" t="str">
        <f>_xlfn.IFNA(VLOOKUP(Sheet1!$C708,MAC_DSUITE!A:D,3,FALSE),"-")</f>
        <v>mac_SD_CSP</v>
      </c>
      <c r="AT708" t="str">
        <f>_xlfn.IFNA(VLOOKUP(Sheet1!$C708,MONG_DSUITE!A:E,2,FALSE),"-")</f>
        <v>macrocarpa_CSP</v>
      </c>
      <c r="AU708" t="str">
        <f>_xlfn.IFNA(VLOOKUP(Sheet1!$C708,MAC_PAINT2!A:D,4,FALSE),"-")</f>
        <v>-</v>
      </c>
      <c r="AV708" t="s">
        <v>9197</v>
      </c>
      <c r="AW708" t="s">
        <v>9193</v>
      </c>
    </row>
    <row r="709" spans="1:49" customFormat="1" x14ac:dyDescent="0.4">
      <c r="A709">
        <v>2577</v>
      </c>
      <c r="B709" t="s">
        <v>582</v>
      </c>
      <c r="C709" t="s">
        <v>583</v>
      </c>
      <c r="D709" t="str">
        <f>_xlfn.CONCAT(C709,".bam")</f>
        <v>SYST-MOR-0007493.bam</v>
      </c>
      <c r="E709" t="s">
        <v>584</v>
      </c>
      <c r="F709" t="s">
        <v>2472</v>
      </c>
      <c r="G709" t="s">
        <v>2473</v>
      </c>
      <c r="H709" t="s">
        <v>2504</v>
      </c>
      <c r="I709" t="s">
        <v>562</v>
      </c>
      <c r="K709" t="s">
        <v>45</v>
      </c>
      <c r="L709" t="s">
        <v>45</v>
      </c>
      <c r="N709" t="s">
        <v>45</v>
      </c>
      <c r="P709" t="s">
        <v>31</v>
      </c>
      <c r="Q709" t="s">
        <v>46</v>
      </c>
      <c r="R709" t="s">
        <v>2597</v>
      </c>
      <c r="S709" s="1">
        <v>42965</v>
      </c>
      <c r="T709" t="s">
        <v>559</v>
      </c>
      <c r="U709" t="s">
        <v>34</v>
      </c>
      <c r="V709" s="1">
        <v>42969</v>
      </c>
      <c r="W709" t="s">
        <v>35</v>
      </c>
      <c r="X709" t="s">
        <v>560</v>
      </c>
      <c r="Y709" t="s">
        <v>561</v>
      </c>
      <c r="Z709" t="s">
        <v>206</v>
      </c>
      <c r="AA709" t="s">
        <v>562</v>
      </c>
      <c r="AC709">
        <v>45</v>
      </c>
      <c r="AD709" t="s">
        <v>45</v>
      </c>
      <c r="AE709">
        <v>43.765639999999998</v>
      </c>
      <c r="AF709">
        <v>-103.3884</v>
      </c>
      <c r="AG709" t="s">
        <v>40</v>
      </c>
      <c r="AH709" t="s">
        <v>41</v>
      </c>
      <c r="AI709">
        <v>43.765639999999998</v>
      </c>
      <c r="AJ709">
        <v>-103.3884</v>
      </c>
      <c r="AK709">
        <v>0</v>
      </c>
      <c r="AL709">
        <v>0</v>
      </c>
      <c r="AM709" t="str">
        <f>_xlfn.IFNA(VLOOKUP(Sheet1!$C709,ADMIX_ALL!A:B,2,FALSE),"none")</f>
        <v>K6-18</v>
      </c>
      <c r="AN709" t="str">
        <f>_xlfn.IFNA(VLOOKUP(Sheet1!C709,ADMIX_SS!A:B,2,FALSE),"none")</f>
        <v>SubSample</v>
      </c>
      <c r="AO709" t="str">
        <f>_xlfn.IFNA(VLOOKUP(Sheet1!$C709,MONG_PHYLO!A:C,3,FALSE),"-")</f>
        <v>-</v>
      </c>
      <c r="AP709" t="str">
        <f>_xlfn.IFNA(VLOOKUP(Sheet1!$C709,MAC_PHYLO!A:C,3,FALSE),"-")</f>
        <v>-</v>
      </c>
      <c r="AQ709" t="str">
        <f>_xlfn.IFNA(VLOOKUP(Sheet1!$C709,ConStruct!A:C,3,FALSE),"-")</f>
        <v>ConStruct</v>
      </c>
      <c r="AR709" t="str">
        <f>_xlfn.IFNA(VLOOKUP(Sheet1!$C709,GEA!A:C,3,FALSE),"-")</f>
        <v>GEA</v>
      </c>
      <c r="AS709" t="str">
        <f>_xlfn.IFNA(VLOOKUP(Sheet1!$C709,MAC_DSUITE!A:D,3,FALSE),"-")</f>
        <v>mac_SD_CSP</v>
      </c>
      <c r="AT709" t="str">
        <f>_xlfn.IFNA(VLOOKUP(Sheet1!$C709,MONG_DSUITE!A:E,2,FALSE),"-")</f>
        <v>macrocarpa_CSP</v>
      </c>
      <c r="AU709" t="str">
        <f>_xlfn.IFNA(VLOOKUP(Sheet1!$C709,MAC_PAINT2!A:D,4,FALSE),"-")</f>
        <v>macpaint</v>
      </c>
      <c r="AV709" t="s">
        <v>9193</v>
      </c>
      <c r="AW709" t="s">
        <v>9193</v>
      </c>
    </row>
    <row r="710" spans="1:49" customFormat="1" x14ac:dyDescent="0.4">
      <c r="A710">
        <v>2578</v>
      </c>
      <c r="B710" t="s">
        <v>585</v>
      </c>
      <c r="C710" t="s">
        <v>586</v>
      </c>
      <c r="D710" t="str">
        <f>_xlfn.CONCAT(C710,".bam")</f>
        <v>SYST-MOR-0007494.bam</v>
      </c>
      <c r="E710" t="s">
        <v>587</v>
      </c>
      <c r="F710" t="s">
        <v>2472</v>
      </c>
      <c r="G710" t="s">
        <v>2473</v>
      </c>
      <c r="H710" t="s">
        <v>2504</v>
      </c>
      <c r="I710" t="s">
        <v>588</v>
      </c>
      <c r="K710" t="s">
        <v>45</v>
      </c>
      <c r="L710" t="s">
        <v>45</v>
      </c>
      <c r="N710" t="s">
        <v>45</v>
      </c>
      <c r="P710" t="s">
        <v>31</v>
      </c>
      <c r="Q710" t="s">
        <v>46</v>
      </c>
      <c r="R710" t="s">
        <v>2597</v>
      </c>
      <c r="S710" s="1">
        <v>42965</v>
      </c>
      <c r="T710" t="s">
        <v>559</v>
      </c>
      <c r="U710" t="s">
        <v>34</v>
      </c>
      <c r="V710" s="1">
        <v>42969</v>
      </c>
      <c r="W710" t="s">
        <v>35</v>
      </c>
      <c r="X710" t="s">
        <v>560</v>
      </c>
      <c r="Y710" t="s">
        <v>561</v>
      </c>
      <c r="Z710" t="s">
        <v>206</v>
      </c>
      <c r="AA710" t="s">
        <v>588</v>
      </c>
      <c r="AC710">
        <v>25</v>
      </c>
      <c r="AD710" t="s">
        <v>45</v>
      </c>
      <c r="AE710">
        <v>43.772779999999997</v>
      </c>
      <c r="AF710">
        <v>-103.33803</v>
      </c>
      <c r="AG710" t="s">
        <v>40</v>
      </c>
      <c r="AH710" t="s">
        <v>41</v>
      </c>
      <c r="AI710">
        <v>43.772779999999997</v>
      </c>
      <c r="AJ710">
        <v>-103.33803</v>
      </c>
      <c r="AK710">
        <v>0</v>
      </c>
      <c r="AL710">
        <v>0</v>
      </c>
      <c r="AM710" t="str">
        <f>_xlfn.IFNA(VLOOKUP(Sheet1!$C710,ADMIX_ALL!A:B,2,FALSE),"none")</f>
        <v>K6-18</v>
      </c>
      <c r="AN710" t="str">
        <f>_xlfn.IFNA(VLOOKUP(Sheet1!C710,ADMIX_SS!A:B,2,FALSE),"none")</f>
        <v>SubSample</v>
      </c>
      <c r="AO710" t="str">
        <f>_xlfn.IFNA(VLOOKUP(Sheet1!$C710,MONG_PHYLO!A:C,3,FALSE),"-")</f>
        <v>-</v>
      </c>
      <c r="AP710" t="str">
        <f>_xlfn.IFNA(VLOOKUP(Sheet1!$C710,MAC_PHYLO!A:C,3,FALSE),"-")</f>
        <v>-</v>
      </c>
      <c r="AQ710" t="str">
        <f>_xlfn.IFNA(VLOOKUP(Sheet1!$C710,ConStruct!A:C,3,FALSE),"-")</f>
        <v>ConStruct</v>
      </c>
      <c r="AR710" t="str">
        <f>_xlfn.IFNA(VLOOKUP(Sheet1!$C710,GEA!A:C,3,FALSE),"-")</f>
        <v>GEA</v>
      </c>
      <c r="AS710" t="str">
        <f>_xlfn.IFNA(VLOOKUP(Sheet1!$C710,MAC_DSUITE!A:D,3,FALSE),"-")</f>
        <v>mac_SD_CSP</v>
      </c>
      <c r="AT710" t="str">
        <f>_xlfn.IFNA(VLOOKUP(Sheet1!$C710,MONG_DSUITE!A:E,2,FALSE),"-")</f>
        <v>macrocarpa_CSP</v>
      </c>
      <c r="AU710" t="str">
        <f>_xlfn.IFNA(VLOOKUP(Sheet1!$C710,MAC_PAINT2!A:D,4,FALSE),"-")</f>
        <v>-</v>
      </c>
      <c r="AV710" t="s">
        <v>9197</v>
      </c>
      <c r="AW710" t="s">
        <v>9193</v>
      </c>
    </row>
    <row r="711" spans="1:49" customFormat="1" x14ac:dyDescent="0.4">
      <c r="A711">
        <v>2579</v>
      </c>
      <c r="B711" t="s">
        <v>625</v>
      </c>
      <c r="C711" t="s">
        <v>626</v>
      </c>
      <c r="D711" t="str">
        <f>_xlfn.CONCAT(C711,".bam")</f>
        <v>SYST-MOR-0007495.bam</v>
      </c>
      <c r="E711" t="s">
        <v>627</v>
      </c>
      <c r="F711" t="s">
        <v>2472</v>
      </c>
      <c r="G711" t="s">
        <v>2473</v>
      </c>
      <c r="H711" t="s">
        <v>2504</v>
      </c>
      <c r="I711" t="s">
        <v>628</v>
      </c>
      <c r="K711" t="s">
        <v>45</v>
      </c>
      <c r="L711" t="s">
        <v>45</v>
      </c>
      <c r="N711" t="s">
        <v>45</v>
      </c>
      <c r="P711" t="s">
        <v>31</v>
      </c>
      <c r="Q711" t="s">
        <v>46</v>
      </c>
      <c r="R711" t="s">
        <v>2597</v>
      </c>
      <c r="S711" s="1">
        <v>42965</v>
      </c>
      <c r="T711" t="s">
        <v>559</v>
      </c>
      <c r="U711" t="s">
        <v>34</v>
      </c>
      <c r="V711" s="1">
        <v>42969</v>
      </c>
      <c r="W711" t="s">
        <v>35</v>
      </c>
      <c r="X711" t="s">
        <v>560</v>
      </c>
      <c r="Y711" t="s">
        <v>561</v>
      </c>
      <c r="Z711" t="s">
        <v>206</v>
      </c>
      <c r="AA711" t="s">
        <v>628</v>
      </c>
      <c r="AC711" t="s">
        <v>604</v>
      </c>
      <c r="AD711" t="s">
        <v>45</v>
      </c>
      <c r="AE711">
        <v>43.816839999999999</v>
      </c>
      <c r="AF711">
        <v>-103.25005</v>
      </c>
      <c r="AG711" t="s">
        <v>40</v>
      </c>
      <c r="AH711" t="s">
        <v>41</v>
      </c>
      <c r="AI711">
        <v>43.816839999999999</v>
      </c>
      <c r="AJ711">
        <v>-103.25005</v>
      </c>
      <c r="AK711">
        <v>0</v>
      </c>
      <c r="AL711">
        <v>0</v>
      </c>
      <c r="AM711" t="str">
        <f>_xlfn.IFNA(VLOOKUP(Sheet1!$C711,ADMIX_ALL!A:B,2,FALSE),"none")</f>
        <v>K6-18</v>
      </c>
      <c r="AN711" t="str">
        <f>_xlfn.IFNA(VLOOKUP(Sheet1!C711,ADMIX_SS!A:B,2,FALSE),"none")</f>
        <v>SubSample</v>
      </c>
      <c r="AO711" t="str">
        <f>_xlfn.IFNA(VLOOKUP(Sheet1!$C711,MONG_PHYLO!A:C,3,FALSE),"-")</f>
        <v>-</v>
      </c>
      <c r="AP711" t="str">
        <f>_xlfn.IFNA(VLOOKUP(Sheet1!$C711,MAC_PHYLO!A:C,3,FALSE),"-")</f>
        <v>-</v>
      </c>
      <c r="AQ711" t="str">
        <f>_xlfn.IFNA(VLOOKUP(Sheet1!$C711,ConStruct!A:C,3,FALSE),"-")</f>
        <v>ConStruct</v>
      </c>
      <c r="AR711" t="str">
        <f>_xlfn.IFNA(VLOOKUP(Sheet1!$C711,GEA!A:C,3,FALSE),"-")</f>
        <v>GEA</v>
      </c>
      <c r="AS711" t="str">
        <f>_xlfn.IFNA(VLOOKUP(Sheet1!$C711,MAC_DSUITE!A:D,3,FALSE),"-")</f>
        <v>mac_SD_CSP</v>
      </c>
      <c r="AT711" t="str">
        <f>_xlfn.IFNA(VLOOKUP(Sheet1!$C711,MONG_DSUITE!A:E,2,FALSE),"-")</f>
        <v>macrocarpa_CSP</v>
      </c>
      <c r="AU711" t="str">
        <f>_xlfn.IFNA(VLOOKUP(Sheet1!$C711,MAC_PAINT2!A:D,4,FALSE),"-")</f>
        <v>macpaint</v>
      </c>
      <c r="AV711" t="s">
        <v>9193</v>
      </c>
      <c r="AW711" t="s">
        <v>9193</v>
      </c>
    </row>
    <row r="712" spans="1:49" customFormat="1" x14ac:dyDescent="0.4">
      <c r="A712">
        <v>2580</v>
      </c>
      <c r="B712" t="s">
        <v>589</v>
      </c>
      <c r="C712" t="s">
        <v>590</v>
      </c>
      <c r="D712" t="str">
        <f>_xlfn.CONCAT(C712,".bam")</f>
        <v>SYST-MOR-0007496.bam</v>
      </c>
      <c r="E712" t="s">
        <v>591</v>
      </c>
      <c r="F712" t="s">
        <v>2472</v>
      </c>
      <c r="G712" t="s">
        <v>2474</v>
      </c>
      <c r="H712" t="s">
        <v>2505</v>
      </c>
      <c r="I712" t="s">
        <v>593</v>
      </c>
      <c r="K712" t="s">
        <v>45</v>
      </c>
      <c r="L712" t="s">
        <v>45</v>
      </c>
      <c r="N712" t="s">
        <v>45</v>
      </c>
      <c r="P712" t="s">
        <v>31</v>
      </c>
      <c r="Q712" t="s">
        <v>46</v>
      </c>
      <c r="R712" t="s">
        <v>2597</v>
      </c>
      <c r="S712" s="1">
        <v>42965</v>
      </c>
      <c r="T712" t="s">
        <v>559</v>
      </c>
      <c r="U712" t="s">
        <v>34</v>
      </c>
      <c r="V712" s="1">
        <v>42969</v>
      </c>
      <c r="W712" t="s">
        <v>35</v>
      </c>
      <c r="X712" t="s">
        <v>560</v>
      </c>
      <c r="Y712" t="s">
        <v>592</v>
      </c>
      <c r="Z712" t="s">
        <v>206</v>
      </c>
      <c r="AA712" t="s">
        <v>593</v>
      </c>
      <c r="AC712">
        <v>90</v>
      </c>
      <c r="AD712" t="s">
        <v>45</v>
      </c>
      <c r="AE712">
        <v>44.474130000000002</v>
      </c>
      <c r="AF712">
        <v>-103.73782</v>
      </c>
      <c r="AG712" t="s">
        <v>563</v>
      </c>
      <c r="AH712" t="s">
        <v>41</v>
      </c>
      <c r="AI712">
        <v>44.474130000000002</v>
      </c>
      <c r="AJ712">
        <v>-103.73782</v>
      </c>
      <c r="AK712">
        <v>0</v>
      </c>
      <c r="AL712">
        <v>0</v>
      </c>
      <c r="AM712" t="str">
        <f>_xlfn.IFNA(VLOOKUP(Sheet1!$C712,ADMIX_ALL!A:B,2,FALSE),"none")</f>
        <v>K6-18</v>
      </c>
      <c r="AN712" t="str">
        <f>_xlfn.IFNA(VLOOKUP(Sheet1!C712,ADMIX_SS!A:B,2,FALSE),"none")</f>
        <v>SubSample</v>
      </c>
      <c r="AO712" t="str">
        <f>_xlfn.IFNA(VLOOKUP(Sheet1!$C712,MONG_PHYLO!A:C,3,FALSE),"-")</f>
        <v>-</v>
      </c>
      <c r="AP712" t="str">
        <f>_xlfn.IFNA(VLOOKUP(Sheet1!$C712,MAC_PHYLO!A:C,3,FALSE),"-")</f>
        <v>-</v>
      </c>
      <c r="AQ712" t="str">
        <f>_xlfn.IFNA(VLOOKUP(Sheet1!$C712,ConStruct!A:C,3,FALSE),"-")</f>
        <v>ConStruct</v>
      </c>
      <c r="AR712" t="str">
        <f>_xlfn.IFNA(VLOOKUP(Sheet1!$C712,GEA!A:C,3,FALSE),"-")</f>
        <v>GEA</v>
      </c>
      <c r="AS712" t="str">
        <f>_xlfn.IFNA(VLOOKUP(Sheet1!$C712,MAC_DSUITE!A:D,3,FALSE),"-")</f>
        <v>mac_SD_SPF</v>
      </c>
      <c r="AT712" t="str">
        <f>_xlfn.IFNA(VLOOKUP(Sheet1!$C712,MONG_DSUITE!A:E,2,FALSE),"-")</f>
        <v>macrocarpa_SF</v>
      </c>
      <c r="AU712" t="str">
        <f>_xlfn.IFNA(VLOOKUP(Sheet1!$C712,MAC_PAINT2!A:D,4,FALSE),"-")</f>
        <v>-</v>
      </c>
      <c r="AV712" t="s">
        <v>9197</v>
      </c>
      <c r="AW712" t="s">
        <v>9193</v>
      </c>
    </row>
    <row r="713" spans="1:49" customFormat="1" x14ac:dyDescent="0.4">
      <c r="A713">
        <v>2581</v>
      </c>
      <c r="B713" t="s">
        <v>594</v>
      </c>
      <c r="C713" t="s">
        <v>595</v>
      </c>
      <c r="D713" t="str">
        <f>_xlfn.CONCAT(C713,".bam")</f>
        <v>SYST-MOR-0007497.bam</v>
      </c>
      <c r="E713" t="s">
        <v>596</v>
      </c>
      <c r="F713" t="s">
        <v>2472</v>
      </c>
      <c r="G713" t="s">
        <v>2474</v>
      </c>
      <c r="H713" t="s">
        <v>2505</v>
      </c>
      <c r="I713" t="s">
        <v>597</v>
      </c>
      <c r="K713" t="s">
        <v>45</v>
      </c>
      <c r="L713" t="s">
        <v>45</v>
      </c>
      <c r="N713" t="s">
        <v>45</v>
      </c>
      <c r="P713" t="s">
        <v>31</v>
      </c>
      <c r="Q713" t="s">
        <v>46</v>
      </c>
      <c r="R713" t="s">
        <v>2597</v>
      </c>
      <c r="S713" s="1">
        <v>42965</v>
      </c>
      <c r="T713" t="s">
        <v>559</v>
      </c>
      <c r="U713" t="s">
        <v>34</v>
      </c>
      <c r="V713" s="1">
        <v>42969</v>
      </c>
      <c r="W713" t="s">
        <v>35</v>
      </c>
      <c r="X713" t="s">
        <v>560</v>
      </c>
      <c r="Y713" t="s">
        <v>592</v>
      </c>
      <c r="Z713" t="s">
        <v>206</v>
      </c>
      <c r="AA713" t="s">
        <v>597</v>
      </c>
      <c r="AC713">
        <v>20</v>
      </c>
      <c r="AD713" t="s">
        <v>45</v>
      </c>
      <c r="AE713">
        <v>44.491329999999998</v>
      </c>
      <c r="AF713">
        <v>-103.80895</v>
      </c>
      <c r="AG713" t="s">
        <v>40</v>
      </c>
      <c r="AH713" t="s">
        <v>41</v>
      </c>
      <c r="AI713">
        <v>44.491329999999998</v>
      </c>
      <c r="AJ713">
        <v>-103.80895</v>
      </c>
      <c r="AK713">
        <v>0</v>
      </c>
      <c r="AL713">
        <v>0</v>
      </c>
      <c r="AM713" t="str">
        <f>_xlfn.IFNA(VLOOKUP(Sheet1!$C713,ADMIX_ALL!A:B,2,FALSE),"none")</f>
        <v>K6-18</v>
      </c>
      <c r="AN713" t="str">
        <f>_xlfn.IFNA(VLOOKUP(Sheet1!C713,ADMIX_SS!A:B,2,FALSE),"none")</f>
        <v>SubSample</v>
      </c>
      <c r="AO713" t="str">
        <f>_xlfn.IFNA(VLOOKUP(Sheet1!$C713,MONG_PHYLO!A:C,3,FALSE),"-")</f>
        <v>-</v>
      </c>
      <c r="AP713" t="str">
        <f>_xlfn.IFNA(VLOOKUP(Sheet1!$C713,MAC_PHYLO!A:C,3,FALSE),"-")</f>
        <v>-</v>
      </c>
      <c r="AQ713" t="str">
        <f>_xlfn.IFNA(VLOOKUP(Sheet1!$C713,ConStruct!A:C,3,FALSE),"-")</f>
        <v>ConStruct</v>
      </c>
      <c r="AR713" t="str">
        <f>_xlfn.IFNA(VLOOKUP(Sheet1!$C713,GEA!A:C,3,FALSE),"-")</f>
        <v>-</v>
      </c>
      <c r="AS713" t="str">
        <f>_xlfn.IFNA(VLOOKUP(Sheet1!$C713,MAC_DSUITE!A:D,3,FALSE),"-")</f>
        <v>-</v>
      </c>
      <c r="AT713" t="str">
        <f>_xlfn.IFNA(VLOOKUP(Sheet1!$C713,MONG_DSUITE!A:E,2,FALSE),"-")</f>
        <v>macrocarpa_SF</v>
      </c>
      <c r="AU713" t="str">
        <f>_xlfn.IFNA(VLOOKUP(Sheet1!$C713,MAC_PAINT2!A:D,4,FALSE),"-")</f>
        <v>-</v>
      </c>
      <c r="AV713" t="s">
        <v>9197</v>
      </c>
      <c r="AW713" t="s">
        <v>9196</v>
      </c>
    </row>
    <row r="714" spans="1:49" customFormat="1" x14ac:dyDescent="0.4">
      <c r="A714">
        <v>2582</v>
      </c>
      <c r="B714" t="s">
        <v>598</v>
      </c>
      <c r="C714" t="s">
        <v>599</v>
      </c>
      <c r="D714" t="str">
        <f>_xlfn.CONCAT(C714,".bam")</f>
        <v>SYST-MOR-0007498.bam</v>
      </c>
      <c r="E714" t="s">
        <v>600</v>
      </c>
      <c r="F714" t="s">
        <v>2472</v>
      </c>
      <c r="G714" t="s">
        <v>2474</v>
      </c>
      <c r="H714" t="s">
        <v>2505</v>
      </c>
      <c r="I714" t="s">
        <v>597</v>
      </c>
      <c r="K714" t="s">
        <v>45</v>
      </c>
      <c r="L714" t="s">
        <v>45</v>
      </c>
      <c r="N714" t="s">
        <v>45</v>
      </c>
      <c r="P714" t="s">
        <v>31</v>
      </c>
      <c r="Q714" t="s">
        <v>46</v>
      </c>
      <c r="R714" t="s">
        <v>2597</v>
      </c>
      <c r="S714" s="1">
        <v>42965</v>
      </c>
      <c r="T714" t="s">
        <v>559</v>
      </c>
      <c r="U714" t="s">
        <v>34</v>
      </c>
      <c r="V714" s="1">
        <v>42969</v>
      </c>
      <c r="W714" t="s">
        <v>35</v>
      </c>
      <c r="X714" t="s">
        <v>560</v>
      </c>
      <c r="Y714" t="s">
        <v>592</v>
      </c>
      <c r="Z714" t="s">
        <v>206</v>
      </c>
      <c r="AA714" t="s">
        <v>597</v>
      </c>
      <c r="AC714">
        <v>60</v>
      </c>
      <c r="AD714" t="s">
        <v>45</v>
      </c>
      <c r="AE714">
        <v>44.48498</v>
      </c>
      <c r="AF714">
        <v>-103.82365</v>
      </c>
      <c r="AG714" t="s">
        <v>40</v>
      </c>
      <c r="AH714" t="s">
        <v>41</v>
      </c>
      <c r="AI714">
        <v>44.48498</v>
      </c>
      <c r="AJ714">
        <v>-103.82365</v>
      </c>
      <c r="AK714">
        <v>0</v>
      </c>
      <c r="AL714">
        <v>0</v>
      </c>
      <c r="AM714" t="str">
        <f>_xlfn.IFNA(VLOOKUP(Sheet1!$C714,ADMIX_ALL!A:B,2,FALSE),"none")</f>
        <v>K6-18</v>
      </c>
      <c r="AN714" t="str">
        <f>_xlfn.IFNA(VLOOKUP(Sheet1!C714,ADMIX_SS!A:B,2,FALSE),"none")</f>
        <v>SubSample</v>
      </c>
      <c r="AO714" t="str">
        <f>_xlfn.IFNA(VLOOKUP(Sheet1!$C714,MONG_PHYLO!A:C,3,FALSE),"-")</f>
        <v>-</v>
      </c>
      <c r="AP714" t="str">
        <f>_xlfn.IFNA(VLOOKUP(Sheet1!$C714,MAC_PHYLO!A:C,3,FALSE),"-")</f>
        <v>-</v>
      </c>
      <c r="AQ714" t="str">
        <f>_xlfn.IFNA(VLOOKUP(Sheet1!$C714,ConStruct!A:C,3,FALSE),"-")</f>
        <v>ConStruct</v>
      </c>
      <c r="AR714" t="str">
        <f>_xlfn.IFNA(VLOOKUP(Sheet1!$C714,GEA!A:C,3,FALSE),"-")</f>
        <v>-</v>
      </c>
      <c r="AS714" t="str">
        <f>_xlfn.IFNA(VLOOKUP(Sheet1!$C714,MAC_DSUITE!A:D,3,FALSE),"-")</f>
        <v>-</v>
      </c>
      <c r="AT714" t="str">
        <f>_xlfn.IFNA(VLOOKUP(Sheet1!$C714,MONG_DSUITE!A:E,2,FALSE),"-")</f>
        <v>macrocarpa_SF</v>
      </c>
      <c r="AU714" t="str">
        <f>_xlfn.IFNA(VLOOKUP(Sheet1!$C714,MAC_PAINT2!A:D,4,FALSE),"-")</f>
        <v>-</v>
      </c>
      <c r="AV714" t="s">
        <v>9197</v>
      </c>
      <c r="AW714" t="s">
        <v>9196</v>
      </c>
    </row>
    <row r="715" spans="1:49" customFormat="1" x14ac:dyDescent="0.4">
      <c r="A715">
        <v>2583</v>
      </c>
      <c r="B715" t="s">
        <v>601</v>
      </c>
      <c r="C715" t="s">
        <v>602</v>
      </c>
      <c r="D715" t="str">
        <f>_xlfn.CONCAT(C715,".bam")</f>
        <v>SYST-MOR-0007499.bam</v>
      </c>
      <c r="E715" t="s">
        <v>603</v>
      </c>
      <c r="F715" t="s">
        <v>2472</v>
      </c>
      <c r="G715" t="s">
        <v>2474</v>
      </c>
      <c r="H715" t="s">
        <v>2505</v>
      </c>
      <c r="I715" t="s">
        <v>597</v>
      </c>
      <c r="K715" t="s">
        <v>45</v>
      </c>
      <c r="L715" t="s">
        <v>45</v>
      </c>
      <c r="N715" t="s">
        <v>45</v>
      </c>
      <c r="P715" t="s">
        <v>31</v>
      </c>
      <c r="Q715" t="s">
        <v>46</v>
      </c>
      <c r="R715" t="s">
        <v>2597</v>
      </c>
      <c r="S715" s="1">
        <v>42965</v>
      </c>
      <c r="T715" t="s">
        <v>559</v>
      </c>
      <c r="U715" t="s">
        <v>34</v>
      </c>
      <c r="V715" s="1">
        <v>42969</v>
      </c>
      <c r="W715" t="s">
        <v>35</v>
      </c>
      <c r="X715" t="s">
        <v>560</v>
      </c>
      <c r="Y715" t="s">
        <v>592</v>
      </c>
      <c r="Z715" t="s">
        <v>206</v>
      </c>
      <c r="AA715" t="s">
        <v>597</v>
      </c>
      <c r="AC715" t="s">
        <v>604</v>
      </c>
      <c r="AD715" t="s">
        <v>45</v>
      </c>
      <c r="AE715">
        <v>44.479900000000001</v>
      </c>
      <c r="AF715">
        <v>-103.83083999999999</v>
      </c>
      <c r="AG715" t="s">
        <v>40</v>
      </c>
      <c r="AH715" t="s">
        <v>41</v>
      </c>
      <c r="AI715">
        <v>44.479900000000001</v>
      </c>
      <c r="AJ715">
        <v>-103.83083999999999</v>
      </c>
      <c r="AK715">
        <v>0</v>
      </c>
      <c r="AL715">
        <v>0</v>
      </c>
      <c r="AM715" t="str">
        <f>_xlfn.IFNA(VLOOKUP(Sheet1!$C715,ADMIX_ALL!A:B,2,FALSE),"none")</f>
        <v>K6-18</v>
      </c>
      <c r="AN715" t="str">
        <f>_xlfn.IFNA(VLOOKUP(Sheet1!C715,ADMIX_SS!A:B,2,FALSE),"none")</f>
        <v>SubSample</v>
      </c>
      <c r="AO715" t="str">
        <f>_xlfn.IFNA(VLOOKUP(Sheet1!$C715,MONG_PHYLO!A:C,3,FALSE),"-")</f>
        <v>-</v>
      </c>
      <c r="AP715" t="str">
        <f>_xlfn.IFNA(VLOOKUP(Sheet1!$C715,MAC_PHYLO!A:C,3,FALSE),"-")</f>
        <v>-</v>
      </c>
      <c r="AQ715" t="str">
        <f>_xlfn.IFNA(VLOOKUP(Sheet1!$C715,ConStruct!A:C,3,FALSE),"-")</f>
        <v>ConStruct</v>
      </c>
      <c r="AR715" t="str">
        <f>_xlfn.IFNA(VLOOKUP(Sheet1!$C715,GEA!A:C,3,FALSE),"-")</f>
        <v>-</v>
      </c>
      <c r="AS715" t="str">
        <f>_xlfn.IFNA(VLOOKUP(Sheet1!$C715,MAC_DSUITE!A:D,3,FALSE),"-")</f>
        <v>-</v>
      </c>
      <c r="AT715" t="str">
        <f>_xlfn.IFNA(VLOOKUP(Sheet1!$C715,MONG_DSUITE!A:E,2,FALSE),"-")</f>
        <v>macrocarpa_SF</v>
      </c>
      <c r="AU715" t="str">
        <f>_xlfn.IFNA(VLOOKUP(Sheet1!$C715,MAC_PAINT2!A:D,4,FALSE),"-")</f>
        <v>-</v>
      </c>
      <c r="AV715" t="s">
        <v>9197</v>
      </c>
      <c r="AW715" t="s">
        <v>9196</v>
      </c>
    </row>
    <row r="716" spans="1:49" customFormat="1" x14ac:dyDescent="0.4">
      <c r="A716">
        <v>2584</v>
      </c>
      <c r="B716" t="s">
        <v>605</v>
      </c>
      <c r="C716" t="s">
        <v>606</v>
      </c>
      <c r="D716" t="str">
        <f>_xlfn.CONCAT(C716,".bam")</f>
        <v>SYST-MOR-0007500.bam</v>
      </c>
      <c r="E716" t="s">
        <v>607</v>
      </c>
      <c r="F716" t="s">
        <v>2472</v>
      </c>
      <c r="G716" t="s">
        <v>2474</v>
      </c>
      <c r="H716" t="s">
        <v>2505</v>
      </c>
      <c r="I716" t="s">
        <v>597</v>
      </c>
      <c r="K716" t="s">
        <v>45</v>
      </c>
      <c r="L716" t="s">
        <v>45</v>
      </c>
      <c r="N716" t="s">
        <v>45</v>
      </c>
      <c r="P716" t="s">
        <v>31</v>
      </c>
      <c r="Q716" t="s">
        <v>46</v>
      </c>
      <c r="R716" t="s">
        <v>2597</v>
      </c>
      <c r="S716" s="1">
        <v>42965</v>
      </c>
      <c r="T716" t="s">
        <v>559</v>
      </c>
      <c r="U716" t="s">
        <v>34</v>
      </c>
      <c r="V716" s="1">
        <v>42969</v>
      </c>
      <c r="W716" t="s">
        <v>35</v>
      </c>
      <c r="X716" t="s">
        <v>560</v>
      </c>
      <c r="Y716" t="s">
        <v>592</v>
      </c>
      <c r="Z716" t="s">
        <v>206</v>
      </c>
      <c r="AA716" t="s">
        <v>597</v>
      </c>
      <c r="AC716" t="s">
        <v>608</v>
      </c>
      <c r="AD716" t="s">
        <v>45</v>
      </c>
      <c r="AE716">
        <v>44.476500000000001</v>
      </c>
      <c r="AF716">
        <v>-103.84972</v>
      </c>
      <c r="AG716" t="s">
        <v>40</v>
      </c>
      <c r="AH716" t="s">
        <v>41</v>
      </c>
      <c r="AI716">
        <v>44.476500000000001</v>
      </c>
      <c r="AJ716">
        <v>-103.84972</v>
      </c>
      <c r="AK716">
        <v>0</v>
      </c>
      <c r="AL716">
        <v>0</v>
      </c>
      <c r="AM716" t="str">
        <f>_xlfn.IFNA(VLOOKUP(Sheet1!$C716,ADMIX_ALL!A:B,2,FALSE),"none")</f>
        <v>K6-18</v>
      </c>
      <c r="AN716" t="str">
        <f>_xlfn.IFNA(VLOOKUP(Sheet1!C716,ADMIX_SS!A:B,2,FALSE),"none")</f>
        <v>SubSample</v>
      </c>
      <c r="AO716" t="str">
        <f>_xlfn.IFNA(VLOOKUP(Sheet1!$C716,MONG_PHYLO!A:C,3,FALSE),"-")</f>
        <v>-</v>
      </c>
      <c r="AP716" t="str">
        <f>_xlfn.IFNA(VLOOKUP(Sheet1!$C716,MAC_PHYLO!A:C,3,FALSE),"-")</f>
        <v>-</v>
      </c>
      <c r="AQ716" t="str">
        <f>_xlfn.IFNA(VLOOKUP(Sheet1!$C716,ConStruct!A:C,3,FALSE),"-")</f>
        <v>ConStruct</v>
      </c>
      <c r="AR716" t="str">
        <f>_xlfn.IFNA(VLOOKUP(Sheet1!$C716,GEA!A:C,3,FALSE),"-")</f>
        <v>GEA</v>
      </c>
      <c r="AS716" t="str">
        <f>_xlfn.IFNA(VLOOKUP(Sheet1!$C716,MAC_DSUITE!A:D,3,FALSE),"-")</f>
        <v>mac_SD_SPF</v>
      </c>
      <c r="AT716" t="str">
        <f>_xlfn.IFNA(VLOOKUP(Sheet1!$C716,MONG_DSUITE!A:E,2,FALSE),"-")</f>
        <v>macrocarpa_SF</v>
      </c>
      <c r="AU716" t="str">
        <f>_xlfn.IFNA(VLOOKUP(Sheet1!$C716,MAC_PAINT2!A:D,4,FALSE),"-")</f>
        <v>-</v>
      </c>
      <c r="AV716" t="s">
        <v>9197</v>
      </c>
      <c r="AW716" t="s">
        <v>9193</v>
      </c>
    </row>
    <row r="717" spans="1:49" customFormat="1" x14ac:dyDescent="0.4">
      <c r="A717">
        <v>2585</v>
      </c>
      <c r="B717" t="s">
        <v>609</v>
      </c>
      <c r="C717" t="s">
        <v>610</v>
      </c>
      <c r="D717" t="str">
        <f>_xlfn.CONCAT(C717,".bam")</f>
        <v>SYST-MOR-0007501.bam</v>
      </c>
      <c r="E717" t="s">
        <v>611</v>
      </c>
      <c r="F717" t="s">
        <v>2472</v>
      </c>
      <c r="G717" t="s">
        <v>2474</v>
      </c>
      <c r="H717" t="s">
        <v>2505</v>
      </c>
      <c r="I717" t="s">
        <v>597</v>
      </c>
      <c r="K717" t="s">
        <v>45</v>
      </c>
      <c r="L717" t="s">
        <v>45</v>
      </c>
      <c r="N717" t="s">
        <v>45</v>
      </c>
      <c r="P717" t="s">
        <v>31</v>
      </c>
      <c r="Q717" t="s">
        <v>46</v>
      </c>
      <c r="R717" t="s">
        <v>2597</v>
      </c>
      <c r="S717" s="1">
        <v>42965</v>
      </c>
      <c r="T717" t="s">
        <v>559</v>
      </c>
      <c r="U717" t="s">
        <v>34</v>
      </c>
      <c r="V717" s="1">
        <v>42969</v>
      </c>
      <c r="W717" t="s">
        <v>35</v>
      </c>
      <c r="X717" t="s">
        <v>560</v>
      </c>
      <c r="Y717" t="s">
        <v>592</v>
      </c>
      <c r="Z717" t="s">
        <v>206</v>
      </c>
      <c r="AA717" t="s">
        <v>597</v>
      </c>
      <c r="AC717">
        <v>30</v>
      </c>
      <c r="AD717" t="s">
        <v>45</v>
      </c>
      <c r="AE717">
        <v>44.467329999999997</v>
      </c>
      <c r="AF717">
        <v>-103.84975</v>
      </c>
      <c r="AG717" t="s">
        <v>40</v>
      </c>
      <c r="AH717" t="s">
        <v>41</v>
      </c>
      <c r="AI717">
        <v>44.467329999999997</v>
      </c>
      <c r="AJ717">
        <v>-103.84975</v>
      </c>
      <c r="AK717">
        <v>0</v>
      </c>
      <c r="AL717">
        <v>0</v>
      </c>
      <c r="AM717" t="str">
        <f>_xlfn.IFNA(VLOOKUP(Sheet1!$C717,ADMIX_ALL!A:B,2,FALSE),"none")</f>
        <v>K6-18</v>
      </c>
      <c r="AN717" t="str">
        <f>_xlfn.IFNA(VLOOKUP(Sheet1!C717,ADMIX_SS!A:B,2,FALSE),"none")</f>
        <v>SubSample</v>
      </c>
      <c r="AO717" t="str">
        <f>_xlfn.IFNA(VLOOKUP(Sheet1!$C717,MONG_PHYLO!A:C,3,FALSE),"-")</f>
        <v>-</v>
      </c>
      <c r="AP717" t="str">
        <f>_xlfn.IFNA(VLOOKUP(Sheet1!$C717,MAC_PHYLO!A:C,3,FALSE),"-")</f>
        <v>-</v>
      </c>
      <c r="AQ717" t="str">
        <f>_xlfn.IFNA(VLOOKUP(Sheet1!$C717,ConStruct!A:C,3,FALSE),"-")</f>
        <v>ConStruct</v>
      </c>
      <c r="AR717" t="str">
        <f>_xlfn.IFNA(VLOOKUP(Sheet1!$C717,GEA!A:C,3,FALSE),"-")</f>
        <v>-</v>
      </c>
      <c r="AS717" t="str">
        <f>_xlfn.IFNA(VLOOKUP(Sheet1!$C717,MAC_DSUITE!A:D,3,FALSE),"-")</f>
        <v>-</v>
      </c>
      <c r="AT717" t="str">
        <f>_xlfn.IFNA(VLOOKUP(Sheet1!$C717,MONG_DSUITE!A:E,2,FALSE),"-")</f>
        <v>macrocarpa_SF</v>
      </c>
      <c r="AU717" t="str">
        <f>_xlfn.IFNA(VLOOKUP(Sheet1!$C717,MAC_PAINT2!A:D,4,FALSE),"-")</f>
        <v>-</v>
      </c>
      <c r="AV717" t="s">
        <v>9197</v>
      </c>
      <c r="AW717" t="s">
        <v>9196</v>
      </c>
    </row>
    <row r="718" spans="1:49" customFormat="1" x14ac:dyDescent="0.4">
      <c r="A718">
        <v>2586</v>
      </c>
      <c r="B718" t="s">
        <v>612</v>
      </c>
      <c r="C718" t="s">
        <v>613</v>
      </c>
      <c r="D718" t="str">
        <f>_xlfn.CONCAT(C718,".bam")</f>
        <v>SYST-MOR-0007502.bam</v>
      </c>
      <c r="E718" t="s">
        <v>614</v>
      </c>
      <c r="F718" t="s">
        <v>2472</v>
      </c>
      <c r="G718" t="s">
        <v>2474</v>
      </c>
      <c r="H718" t="s">
        <v>2505</v>
      </c>
      <c r="I718" t="s">
        <v>615</v>
      </c>
      <c r="K718" t="s">
        <v>45</v>
      </c>
      <c r="L718" t="s">
        <v>45</v>
      </c>
      <c r="N718" t="s">
        <v>45</v>
      </c>
      <c r="P718" t="s">
        <v>31</v>
      </c>
      <c r="Q718" t="s">
        <v>46</v>
      </c>
      <c r="R718" t="s">
        <v>2597</v>
      </c>
      <c r="S718" s="1">
        <v>42965</v>
      </c>
      <c r="T718" t="s">
        <v>559</v>
      </c>
      <c r="U718" t="s">
        <v>34</v>
      </c>
      <c r="V718" s="1">
        <v>42969</v>
      </c>
      <c r="W718" t="s">
        <v>35</v>
      </c>
      <c r="X718" t="s">
        <v>560</v>
      </c>
      <c r="Y718" t="s">
        <v>592</v>
      </c>
      <c r="Z718" t="s">
        <v>206</v>
      </c>
      <c r="AA718" t="s">
        <v>615</v>
      </c>
      <c r="AC718">
        <v>25</v>
      </c>
      <c r="AD718" t="s">
        <v>45</v>
      </c>
      <c r="AE718">
        <v>44.463079999999998</v>
      </c>
      <c r="AF718">
        <v>-103.85467</v>
      </c>
      <c r="AG718" t="s">
        <v>40</v>
      </c>
      <c r="AH718" t="s">
        <v>41</v>
      </c>
      <c r="AI718">
        <v>44.463079999999998</v>
      </c>
      <c r="AJ718">
        <v>-103.85467</v>
      </c>
      <c r="AK718">
        <v>0</v>
      </c>
      <c r="AL718">
        <v>0</v>
      </c>
      <c r="AM718" t="str">
        <f>_xlfn.IFNA(VLOOKUP(Sheet1!$C718,ADMIX_ALL!A:B,2,FALSE),"none")</f>
        <v>K6-18</v>
      </c>
      <c r="AN718" t="str">
        <f>_xlfn.IFNA(VLOOKUP(Sheet1!C718,ADMIX_SS!A:B,2,FALSE),"none")</f>
        <v>SubSample</v>
      </c>
      <c r="AO718" t="str">
        <f>_xlfn.IFNA(VLOOKUP(Sheet1!$C718,MONG_PHYLO!A:C,3,FALSE),"-")</f>
        <v>-</v>
      </c>
      <c r="AP718" t="str">
        <f>_xlfn.IFNA(VLOOKUP(Sheet1!$C718,MAC_PHYLO!A:C,3,FALSE),"-")</f>
        <v>-</v>
      </c>
      <c r="AQ718" t="str">
        <f>_xlfn.IFNA(VLOOKUP(Sheet1!$C718,ConStruct!A:C,3,FALSE),"-")</f>
        <v>ConStruct</v>
      </c>
      <c r="AR718" t="str">
        <f>_xlfn.IFNA(VLOOKUP(Sheet1!$C718,GEA!A:C,3,FALSE),"-")</f>
        <v>-</v>
      </c>
      <c r="AS718" t="str">
        <f>_xlfn.IFNA(VLOOKUP(Sheet1!$C718,MAC_DSUITE!A:D,3,FALSE),"-")</f>
        <v>-</v>
      </c>
      <c r="AT718" t="str">
        <f>_xlfn.IFNA(VLOOKUP(Sheet1!$C718,MONG_DSUITE!A:E,2,FALSE),"-")</f>
        <v>macrocarpa_SF</v>
      </c>
      <c r="AU718" t="str">
        <f>_xlfn.IFNA(VLOOKUP(Sheet1!$C718,MAC_PAINT2!A:D,4,FALSE),"-")</f>
        <v>-</v>
      </c>
      <c r="AV718" t="s">
        <v>9197</v>
      </c>
      <c r="AW718" t="s">
        <v>9196</v>
      </c>
    </row>
    <row r="719" spans="1:49" customFormat="1" x14ac:dyDescent="0.4">
      <c r="A719">
        <v>2587</v>
      </c>
      <c r="B719" t="s">
        <v>616</v>
      </c>
      <c r="C719" t="s">
        <v>617</v>
      </c>
      <c r="D719" t="str">
        <f>_xlfn.CONCAT(C719,".bam")</f>
        <v>SYST-MOR-0007503.bam</v>
      </c>
      <c r="E719" t="s">
        <v>618</v>
      </c>
      <c r="F719" t="s">
        <v>2472</v>
      </c>
      <c r="G719" t="s">
        <v>2474</v>
      </c>
      <c r="H719" t="s">
        <v>2505</v>
      </c>
      <c r="I719" t="s">
        <v>615</v>
      </c>
      <c r="K719" t="s">
        <v>45</v>
      </c>
      <c r="L719" t="s">
        <v>45</v>
      </c>
      <c r="N719" t="s">
        <v>45</v>
      </c>
      <c r="P719" t="s">
        <v>31</v>
      </c>
      <c r="Q719" t="s">
        <v>46</v>
      </c>
      <c r="R719" t="s">
        <v>2597</v>
      </c>
      <c r="S719" s="1">
        <v>42965</v>
      </c>
      <c r="T719" t="s">
        <v>559</v>
      </c>
      <c r="U719" t="s">
        <v>34</v>
      </c>
      <c r="V719" s="1">
        <v>42969</v>
      </c>
      <c r="W719" t="s">
        <v>35</v>
      </c>
      <c r="X719" t="s">
        <v>560</v>
      </c>
      <c r="Y719" t="s">
        <v>592</v>
      </c>
      <c r="Z719" t="s">
        <v>206</v>
      </c>
      <c r="AA719" t="s">
        <v>615</v>
      </c>
      <c r="AC719">
        <v>25</v>
      </c>
      <c r="AD719" t="s">
        <v>45</v>
      </c>
      <c r="AE719">
        <v>44.456159999999997</v>
      </c>
      <c r="AF719">
        <v>-103.86291</v>
      </c>
      <c r="AG719" t="s">
        <v>40</v>
      </c>
      <c r="AH719" t="s">
        <v>41</v>
      </c>
      <c r="AI719">
        <v>44.456159999999997</v>
      </c>
      <c r="AJ719">
        <v>-103.86291</v>
      </c>
      <c r="AK719">
        <v>0</v>
      </c>
      <c r="AL719">
        <v>0</v>
      </c>
      <c r="AM719" t="str">
        <f>_xlfn.IFNA(VLOOKUP(Sheet1!$C719,ADMIX_ALL!A:B,2,FALSE),"none")</f>
        <v>K6-18</v>
      </c>
      <c r="AN719" t="str">
        <f>_xlfn.IFNA(VLOOKUP(Sheet1!C719,ADMIX_SS!A:B,2,FALSE),"none")</f>
        <v>SubSample</v>
      </c>
      <c r="AO719" t="str">
        <f>_xlfn.IFNA(VLOOKUP(Sheet1!$C719,MONG_PHYLO!A:C,3,FALSE),"-")</f>
        <v>-</v>
      </c>
      <c r="AP719" t="str">
        <f>_xlfn.IFNA(VLOOKUP(Sheet1!$C719,MAC_PHYLO!A:C,3,FALSE),"-")</f>
        <v>-</v>
      </c>
      <c r="AQ719" t="str">
        <f>_xlfn.IFNA(VLOOKUP(Sheet1!$C719,ConStruct!A:C,3,FALSE),"-")</f>
        <v>ConStruct</v>
      </c>
      <c r="AR719" t="str">
        <f>_xlfn.IFNA(VLOOKUP(Sheet1!$C719,GEA!A:C,3,FALSE),"-")</f>
        <v>-</v>
      </c>
      <c r="AS719" t="str">
        <f>_xlfn.IFNA(VLOOKUP(Sheet1!$C719,MAC_DSUITE!A:D,3,FALSE),"-")</f>
        <v>-</v>
      </c>
      <c r="AT719" t="str">
        <f>_xlfn.IFNA(VLOOKUP(Sheet1!$C719,MONG_DSUITE!A:E,2,FALSE),"-")</f>
        <v>macrocarpa_SF</v>
      </c>
      <c r="AU719" t="str">
        <f>_xlfn.IFNA(VLOOKUP(Sheet1!$C719,MAC_PAINT2!A:D,4,FALSE),"-")</f>
        <v>-</v>
      </c>
      <c r="AV719" t="s">
        <v>9197</v>
      </c>
      <c r="AW719" t="s">
        <v>9196</v>
      </c>
    </row>
    <row r="720" spans="1:49" customFormat="1" x14ac:dyDescent="0.4">
      <c r="A720">
        <v>2588</v>
      </c>
      <c r="B720" t="s">
        <v>619</v>
      </c>
      <c r="C720" t="s">
        <v>620</v>
      </c>
      <c r="D720" t="str">
        <f>_xlfn.CONCAT(C720,".bam")</f>
        <v>SYST-MOR-0007504.bam</v>
      </c>
      <c r="E720" t="s">
        <v>621</v>
      </c>
      <c r="F720" t="s">
        <v>2472</v>
      </c>
      <c r="G720" t="s">
        <v>2474</v>
      </c>
      <c r="H720" t="s">
        <v>2505</v>
      </c>
      <c r="I720" t="s">
        <v>615</v>
      </c>
      <c r="K720" t="s">
        <v>45</v>
      </c>
      <c r="L720" t="s">
        <v>45</v>
      </c>
      <c r="N720" t="s">
        <v>45</v>
      </c>
      <c r="P720" t="s">
        <v>31</v>
      </c>
      <c r="Q720" t="s">
        <v>46</v>
      </c>
      <c r="R720" t="s">
        <v>2597</v>
      </c>
      <c r="S720" s="1">
        <v>42965</v>
      </c>
      <c r="T720" t="s">
        <v>559</v>
      </c>
      <c r="U720" t="s">
        <v>34</v>
      </c>
      <c r="V720" s="1">
        <v>42969</v>
      </c>
      <c r="W720" t="s">
        <v>35</v>
      </c>
      <c r="X720" t="s">
        <v>560</v>
      </c>
      <c r="Y720" t="s">
        <v>592</v>
      </c>
      <c r="Z720" t="s">
        <v>206</v>
      </c>
      <c r="AA720" t="s">
        <v>615</v>
      </c>
      <c r="AC720">
        <v>25</v>
      </c>
      <c r="AD720" t="s">
        <v>45</v>
      </c>
      <c r="AE720">
        <v>44.450530000000001</v>
      </c>
      <c r="AF720">
        <v>-103.86418999999999</v>
      </c>
      <c r="AG720" t="s">
        <v>40</v>
      </c>
      <c r="AH720" t="s">
        <v>41</v>
      </c>
      <c r="AI720">
        <v>44.450530000000001</v>
      </c>
      <c r="AJ720">
        <v>-103.86418999999999</v>
      </c>
      <c r="AK720">
        <v>0</v>
      </c>
      <c r="AL720">
        <v>0</v>
      </c>
      <c r="AM720" t="str">
        <f>_xlfn.IFNA(VLOOKUP(Sheet1!$C720,ADMIX_ALL!A:B,2,FALSE),"none")</f>
        <v>K6-18</v>
      </c>
      <c r="AN720" t="str">
        <f>_xlfn.IFNA(VLOOKUP(Sheet1!C720,ADMIX_SS!A:B,2,FALSE),"none")</f>
        <v>SubSample</v>
      </c>
      <c r="AO720" t="str">
        <f>_xlfn.IFNA(VLOOKUP(Sheet1!$C720,MONG_PHYLO!A:C,3,FALSE),"-")</f>
        <v>-</v>
      </c>
      <c r="AP720" t="str">
        <f>_xlfn.IFNA(VLOOKUP(Sheet1!$C720,MAC_PHYLO!A:C,3,FALSE),"-")</f>
        <v>-</v>
      </c>
      <c r="AQ720" t="str">
        <f>_xlfn.IFNA(VLOOKUP(Sheet1!$C720,ConStruct!A:C,3,FALSE),"-")</f>
        <v>ConStruct</v>
      </c>
      <c r="AR720" t="str">
        <f>_xlfn.IFNA(VLOOKUP(Sheet1!$C720,GEA!A:C,3,FALSE),"-")</f>
        <v>-</v>
      </c>
      <c r="AS720" t="str">
        <f>_xlfn.IFNA(VLOOKUP(Sheet1!$C720,MAC_DSUITE!A:D,3,FALSE),"-")</f>
        <v>-</v>
      </c>
      <c r="AT720" t="str">
        <f>_xlfn.IFNA(VLOOKUP(Sheet1!$C720,MONG_DSUITE!A:E,2,FALSE),"-")</f>
        <v>macrocarpa_SF</v>
      </c>
      <c r="AU720" t="str">
        <f>_xlfn.IFNA(VLOOKUP(Sheet1!$C720,MAC_PAINT2!A:D,4,FALSE),"-")</f>
        <v>-</v>
      </c>
      <c r="AV720" t="s">
        <v>9197</v>
      </c>
      <c r="AW720" t="s">
        <v>9196</v>
      </c>
    </row>
    <row r="721" spans="1:49" customFormat="1" x14ac:dyDescent="0.4">
      <c r="A721">
        <v>2589</v>
      </c>
      <c r="B721" t="s">
        <v>622</v>
      </c>
      <c r="C721" t="s">
        <v>623</v>
      </c>
      <c r="D721" t="str">
        <f>_xlfn.CONCAT(C721,".bam")</f>
        <v>SYST-MOR-0007505.bam</v>
      </c>
      <c r="E721" t="s">
        <v>624</v>
      </c>
      <c r="F721" t="s">
        <v>2472</v>
      </c>
      <c r="G721" t="s">
        <v>2474</v>
      </c>
      <c r="H721" t="s">
        <v>2505</v>
      </c>
      <c r="I721" t="s">
        <v>615</v>
      </c>
      <c r="K721" t="s">
        <v>45</v>
      </c>
      <c r="L721" t="s">
        <v>45</v>
      </c>
      <c r="N721" t="s">
        <v>45</v>
      </c>
      <c r="P721" t="s">
        <v>31</v>
      </c>
      <c r="Q721" t="s">
        <v>46</v>
      </c>
      <c r="R721" t="s">
        <v>2597</v>
      </c>
      <c r="S721" s="1">
        <v>42965</v>
      </c>
      <c r="T721" t="s">
        <v>559</v>
      </c>
      <c r="U721" t="s">
        <v>34</v>
      </c>
      <c r="V721" s="1">
        <v>42969</v>
      </c>
      <c r="W721" t="s">
        <v>35</v>
      </c>
      <c r="X721" t="s">
        <v>560</v>
      </c>
      <c r="Y721" t="s">
        <v>592</v>
      </c>
      <c r="Z721" t="s">
        <v>206</v>
      </c>
      <c r="AA721" t="s">
        <v>615</v>
      </c>
      <c r="AC721">
        <v>30</v>
      </c>
      <c r="AD721" t="s">
        <v>45</v>
      </c>
      <c r="AE721">
        <v>44.433700000000002</v>
      </c>
      <c r="AF721">
        <v>-103.87411</v>
      </c>
      <c r="AG721" t="s">
        <v>40</v>
      </c>
      <c r="AH721" t="s">
        <v>41</v>
      </c>
      <c r="AI721">
        <v>44.433700000000002</v>
      </c>
      <c r="AJ721">
        <v>-103.87411</v>
      </c>
      <c r="AK721">
        <v>0</v>
      </c>
      <c r="AL721">
        <v>0</v>
      </c>
      <c r="AM721" t="str">
        <f>_xlfn.IFNA(VLOOKUP(Sheet1!$C721,ADMIX_ALL!A:B,2,FALSE),"none")</f>
        <v>K6-18</v>
      </c>
      <c r="AN721" t="str">
        <f>_xlfn.IFNA(VLOOKUP(Sheet1!C721,ADMIX_SS!A:B,2,FALSE),"none")</f>
        <v>SubSample</v>
      </c>
      <c r="AO721" t="str">
        <f>_xlfn.IFNA(VLOOKUP(Sheet1!$C721,MONG_PHYLO!A:C,3,FALSE),"-")</f>
        <v>-</v>
      </c>
      <c r="AP721" t="str">
        <f>_xlfn.IFNA(VLOOKUP(Sheet1!$C721,MAC_PHYLO!A:C,3,FALSE),"-")</f>
        <v>-</v>
      </c>
      <c r="AQ721" t="str">
        <f>_xlfn.IFNA(VLOOKUP(Sheet1!$C721,ConStruct!A:C,3,FALSE),"-")</f>
        <v>ConStruct</v>
      </c>
      <c r="AR721" t="str">
        <f>_xlfn.IFNA(VLOOKUP(Sheet1!$C721,GEA!A:C,3,FALSE),"-")</f>
        <v>-</v>
      </c>
      <c r="AS721" t="str">
        <f>_xlfn.IFNA(VLOOKUP(Sheet1!$C721,MAC_DSUITE!A:D,3,FALSE),"-")</f>
        <v>-</v>
      </c>
      <c r="AT721" t="str">
        <f>_xlfn.IFNA(VLOOKUP(Sheet1!$C721,MONG_DSUITE!A:E,2,FALSE),"-")</f>
        <v>macrocarpa_SF</v>
      </c>
      <c r="AU721" t="str">
        <f>_xlfn.IFNA(VLOOKUP(Sheet1!$C721,MAC_PAINT2!A:D,4,FALSE),"-")</f>
        <v>-</v>
      </c>
      <c r="AV721" t="s">
        <v>9197</v>
      </c>
      <c r="AW721" t="s">
        <v>9196</v>
      </c>
    </row>
  </sheetData>
  <autoFilter ref="A1:AW721" xr:uid="{00000000-0001-0000-0100-000000000000}"/>
  <conditionalFormatting sqref="AK2:AL72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E8A0B-9E9A-4E92-A739-418BF5AB4C5C}">
  <dimension ref="A1:D283"/>
  <sheetViews>
    <sheetView workbookViewId="0">
      <selection activeCell="D1" sqref="D1:D5"/>
    </sheetView>
  </sheetViews>
  <sheetFormatPr defaultRowHeight="14.6" x14ac:dyDescent="0.4"/>
  <cols>
    <col min="1" max="1" width="17.15234375" bestFit="1" customWidth="1"/>
    <col min="2" max="2" width="4.4609375" bestFit="1" customWidth="1"/>
  </cols>
  <sheetData>
    <row r="1" spans="1:4" x14ac:dyDescent="0.4">
      <c r="A1" t="s">
        <v>1818</v>
      </c>
      <c r="B1" t="s">
        <v>8946</v>
      </c>
      <c r="C1" t="s">
        <v>8572</v>
      </c>
      <c r="D1" t="s">
        <v>9190</v>
      </c>
    </row>
    <row r="2" spans="1:4" x14ac:dyDescent="0.4">
      <c r="A2" t="s">
        <v>1102</v>
      </c>
      <c r="B2" t="s">
        <v>8946</v>
      </c>
      <c r="C2" t="s">
        <v>8745</v>
      </c>
      <c r="D2" t="s">
        <v>9190</v>
      </c>
    </row>
    <row r="3" spans="1:4" x14ac:dyDescent="0.4">
      <c r="A3" t="s">
        <v>503</v>
      </c>
      <c r="B3" t="s">
        <v>8946</v>
      </c>
      <c r="C3" t="s">
        <v>8569</v>
      </c>
      <c r="D3" t="s">
        <v>9190</v>
      </c>
    </row>
    <row r="4" spans="1:4" x14ac:dyDescent="0.4">
      <c r="A4" t="s">
        <v>453</v>
      </c>
      <c r="B4" t="s">
        <v>8946</v>
      </c>
      <c r="C4" t="s">
        <v>8573</v>
      </c>
      <c r="D4" t="s">
        <v>9190</v>
      </c>
    </row>
    <row r="5" spans="1:4" x14ac:dyDescent="0.4">
      <c r="A5" t="s">
        <v>1087</v>
      </c>
      <c r="B5" t="s">
        <v>8946</v>
      </c>
      <c r="C5" t="s">
        <v>8744</v>
      </c>
      <c r="D5" t="s">
        <v>9190</v>
      </c>
    </row>
    <row r="6" spans="1:4" x14ac:dyDescent="0.4">
      <c r="A6" t="s">
        <v>1525</v>
      </c>
      <c r="B6" t="s">
        <v>8946</v>
      </c>
      <c r="C6" t="s">
        <v>8626</v>
      </c>
      <c r="D6" t="s">
        <v>9184</v>
      </c>
    </row>
    <row r="7" spans="1:4" x14ac:dyDescent="0.4">
      <c r="A7" t="s">
        <v>1528</v>
      </c>
      <c r="B7" t="s">
        <v>8946</v>
      </c>
      <c r="C7" t="s">
        <v>8627</v>
      </c>
      <c r="D7" t="s">
        <v>9184</v>
      </c>
    </row>
    <row r="8" spans="1:4" x14ac:dyDescent="0.4">
      <c r="A8" t="s">
        <v>1531</v>
      </c>
      <c r="B8" t="s">
        <v>8946</v>
      </c>
      <c r="C8" t="s">
        <v>8628</v>
      </c>
      <c r="D8" t="s">
        <v>9184</v>
      </c>
    </row>
    <row r="9" spans="1:4" x14ac:dyDescent="0.4">
      <c r="A9" t="s">
        <v>1534</v>
      </c>
      <c r="B9" t="s">
        <v>8946</v>
      </c>
      <c r="C9" t="s">
        <v>8629</v>
      </c>
      <c r="D9" t="s">
        <v>9184</v>
      </c>
    </row>
    <row r="10" spans="1:4" x14ac:dyDescent="0.4">
      <c r="A10" t="s">
        <v>1537</v>
      </c>
      <c r="B10" t="s">
        <v>8946</v>
      </c>
      <c r="C10" t="s">
        <v>8630</v>
      </c>
      <c r="D10" t="s">
        <v>9184</v>
      </c>
    </row>
    <row r="11" spans="1:4" x14ac:dyDescent="0.4">
      <c r="A11" t="s">
        <v>254</v>
      </c>
      <c r="B11" t="s">
        <v>8946</v>
      </c>
      <c r="C11" t="s">
        <v>8631</v>
      </c>
      <c r="D11" t="s">
        <v>9184</v>
      </c>
    </row>
    <row r="12" spans="1:4" x14ac:dyDescent="0.4">
      <c r="A12" t="s">
        <v>265</v>
      </c>
      <c r="B12" t="s">
        <v>8946</v>
      </c>
      <c r="C12" t="s">
        <v>8632</v>
      </c>
      <c r="D12" t="s">
        <v>9184</v>
      </c>
    </row>
    <row r="13" spans="1:4" x14ac:dyDescent="0.4">
      <c r="A13" t="s">
        <v>287</v>
      </c>
      <c r="B13" t="s">
        <v>8946</v>
      </c>
      <c r="C13" t="s">
        <v>8633</v>
      </c>
      <c r="D13" t="s">
        <v>9184</v>
      </c>
    </row>
    <row r="14" spans="1:4" x14ac:dyDescent="0.4">
      <c r="A14" t="s">
        <v>291</v>
      </c>
      <c r="B14" t="s">
        <v>8946</v>
      </c>
      <c r="C14" t="s">
        <v>8634</v>
      </c>
      <c r="D14" t="s">
        <v>9184</v>
      </c>
    </row>
    <row r="15" spans="1:4" x14ac:dyDescent="0.4">
      <c r="A15" t="s">
        <v>299</v>
      </c>
      <c r="B15" t="s">
        <v>8946</v>
      </c>
      <c r="C15" t="s">
        <v>8635</v>
      </c>
      <c r="D15" t="s">
        <v>9184</v>
      </c>
    </row>
    <row r="16" spans="1:4" x14ac:dyDescent="0.4">
      <c r="A16" t="s">
        <v>303</v>
      </c>
      <c r="B16" t="s">
        <v>8946</v>
      </c>
      <c r="C16" t="s">
        <v>8636</v>
      </c>
      <c r="D16" t="s">
        <v>9184</v>
      </c>
    </row>
    <row r="17" spans="1:4" x14ac:dyDescent="0.4">
      <c r="A17" t="s">
        <v>311</v>
      </c>
      <c r="B17" t="s">
        <v>8946</v>
      </c>
      <c r="C17" t="s">
        <v>8638</v>
      </c>
      <c r="D17" t="s">
        <v>9184</v>
      </c>
    </row>
    <row r="18" spans="1:4" x14ac:dyDescent="0.4">
      <c r="A18" t="s">
        <v>321</v>
      </c>
      <c r="B18" t="s">
        <v>8946</v>
      </c>
      <c r="C18" t="s">
        <v>8639</v>
      </c>
      <c r="D18" t="s">
        <v>9184</v>
      </c>
    </row>
    <row r="19" spans="1:4" x14ac:dyDescent="0.4">
      <c r="A19" t="s">
        <v>330</v>
      </c>
      <c r="B19" t="s">
        <v>8946</v>
      </c>
      <c r="C19" t="s">
        <v>8641</v>
      </c>
      <c r="D19" t="s">
        <v>9184</v>
      </c>
    </row>
    <row r="20" spans="1:4" x14ac:dyDescent="0.4">
      <c r="A20" t="s">
        <v>333</v>
      </c>
      <c r="B20" t="s">
        <v>8946</v>
      </c>
      <c r="C20" t="s">
        <v>8642</v>
      </c>
      <c r="D20" t="s">
        <v>9184</v>
      </c>
    </row>
    <row r="21" spans="1:4" x14ac:dyDescent="0.4">
      <c r="A21" t="s">
        <v>339</v>
      </c>
      <c r="B21" t="s">
        <v>8946</v>
      </c>
      <c r="C21" t="s">
        <v>8643</v>
      </c>
      <c r="D21" t="s">
        <v>9184</v>
      </c>
    </row>
    <row r="22" spans="1:4" x14ac:dyDescent="0.4">
      <c r="A22" t="s">
        <v>1385</v>
      </c>
      <c r="B22" t="s">
        <v>8946</v>
      </c>
      <c r="C22" t="s">
        <v>8644</v>
      </c>
      <c r="D22" t="s">
        <v>9184</v>
      </c>
    </row>
    <row r="23" spans="1:4" x14ac:dyDescent="0.4">
      <c r="A23" t="s">
        <v>1391</v>
      </c>
      <c r="B23" t="s">
        <v>8946</v>
      </c>
      <c r="C23" t="s">
        <v>8645</v>
      </c>
      <c r="D23" t="s">
        <v>9184</v>
      </c>
    </row>
    <row r="24" spans="1:4" x14ac:dyDescent="0.4">
      <c r="A24" t="s">
        <v>1394</v>
      </c>
      <c r="B24" t="s">
        <v>8946</v>
      </c>
      <c r="C24" t="s">
        <v>8646</v>
      </c>
      <c r="D24" t="s">
        <v>9184</v>
      </c>
    </row>
    <row r="25" spans="1:4" x14ac:dyDescent="0.4">
      <c r="A25" t="s">
        <v>1400</v>
      </c>
      <c r="B25" t="s">
        <v>8946</v>
      </c>
      <c r="C25" t="s">
        <v>8648</v>
      </c>
      <c r="D25" t="s">
        <v>9184</v>
      </c>
    </row>
    <row r="26" spans="1:4" x14ac:dyDescent="0.4">
      <c r="A26" t="s">
        <v>1409</v>
      </c>
      <c r="B26" t="s">
        <v>8946</v>
      </c>
      <c r="C26" t="s">
        <v>8649</v>
      </c>
      <c r="D26" t="s">
        <v>9184</v>
      </c>
    </row>
    <row r="27" spans="1:4" x14ac:dyDescent="0.4">
      <c r="A27" t="s">
        <v>1417</v>
      </c>
      <c r="B27" t="s">
        <v>8946</v>
      </c>
      <c r="C27" t="s">
        <v>8650</v>
      </c>
      <c r="D27" t="s">
        <v>9184</v>
      </c>
    </row>
    <row r="28" spans="1:4" x14ac:dyDescent="0.4">
      <c r="A28" t="s">
        <v>1426</v>
      </c>
      <c r="B28" t="s">
        <v>8946</v>
      </c>
      <c r="C28" t="s">
        <v>8651</v>
      </c>
      <c r="D28" t="s">
        <v>9184</v>
      </c>
    </row>
    <row r="29" spans="1:4" x14ac:dyDescent="0.4">
      <c r="A29" t="s">
        <v>111</v>
      </c>
      <c r="B29" t="s">
        <v>8946</v>
      </c>
      <c r="C29" t="s">
        <v>8653</v>
      </c>
      <c r="D29" t="s">
        <v>9184</v>
      </c>
    </row>
    <row r="30" spans="1:4" x14ac:dyDescent="0.4">
      <c r="A30" t="s">
        <v>120</v>
      </c>
      <c r="B30" t="s">
        <v>8946</v>
      </c>
      <c r="C30" t="s">
        <v>8654</v>
      </c>
      <c r="D30" t="s">
        <v>9184</v>
      </c>
    </row>
    <row r="31" spans="1:4" x14ac:dyDescent="0.4">
      <c r="A31" t="s">
        <v>123</v>
      </c>
      <c r="B31" t="s">
        <v>8946</v>
      </c>
      <c r="C31" t="s">
        <v>8655</v>
      </c>
      <c r="D31" t="s">
        <v>9184</v>
      </c>
    </row>
    <row r="32" spans="1:4" x14ac:dyDescent="0.4">
      <c r="A32" t="s">
        <v>126</v>
      </c>
      <c r="B32" t="s">
        <v>8946</v>
      </c>
      <c r="C32" t="s">
        <v>8656</v>
      </c>
      <c r="D32" t="s">
        <v>9184</v>
      </c>
    </row>
    <row r="33" spans="1:4" x14ac:dyDescent="0.4">
      <c r="A33" t="s">
        <v>129</v>
      </c>
      <c r="B33" t="s">
        <v>8946</v>
      </c>
      <c r="C33" t="s">
        <v>8657</v>
      </c>
      <c r="D33" t="s">
        <v>9184</v>
      </c>
    </row>
    <row r="34" spans="1:4" x14ac:dyDescent="0.4">
      <c r="A34" t="s">
        <v>180</v>
      </c>
      <c r="B34" t="s">
        <v>8946</v>
      </c>
      <c r="C34" t="s">
        <v>8658</v>
      </c>
      <c r="D34" t="s">
        <v>9184</v>
      </c>
    </row>
    <row r="35" spans="1:4" x14ac:dyDescent="0.4">
      <c r="A35" t="s">
        <v>183</v>
      </c>
      <c r="B35" t="s">
        <v>8946</v>
      </c>
      <c r="C35" t="s">
        <v>8659</v>
      </c>
      <c r="D35" t="s">
        <v>9184</v>
      </c>
    </row>
    <row r="36" spans="1:4" x14ac:dyDescent="0.4">
      <c r="A36" t="s">
        <v>132</v>
      </c>
      <c r="B36" t="s">
        <v>8946</v>
      </c>
      <c r="C36" t="s">
        <v>8660</v>
      </c>
      <c r="D36" t="s">
        <v>9184</v>
      </c>
    </row>
    <row r="37" spans="1:4" x14ac:dyDescent="0.4">
      <c r="A37" t="s">
        <v>137</v>
      </c>
      <c r="B37" t="s">
        <v>8946</v>
      </c>
      <c r="C37" t="s">
        <v>8661</v>
      </c>
      <c r="D37" t="s">
        <v>9184</v>
      </c>
    </row>
    <row r="38" spans="1:4" x14ac:dyDescent="0.4">
      <c r="A38" t="s">
        <v>147</v>
      </c>
      <c r="B38" t="s">
        <v>8946</v>
      </c>
      <c r="C38" t="s">
        <v>8662</v>
      </c>
      <c r="D38" t="s">
        <v>9184</v>
      </c>
    </row>
    <row r="39" spans="1:4" x14ac:dyDescent="0.4">
      <c r="A39" t="s">
        <v>150</v>
      </c>
      <c r="B39" t="s">
        <v>8946</v>
      </c>
      <c r="C39" t="s">
        <v>8663</v>
      </c>
      <c r="D39" t="s">
        <v>9184</v>
      </c>
    </row>
    <row r="40" spans="1:4" x14ac:dyDescent="0.4">
      <c r="A40" t="s">
        <v>1437</v>
      </c>
      <c r="B40" t="s">
        <v>8946</v>
      </c>
      <c r="C40" t="s">
        <v>8664</v>
      </c>
      <c r="D40" t="s">
        <v>9184</v>
      </c>
    </row>
    <row r="41" spans="1:4" x14ac:dyDescent="0.4">
      <c r="A41" t="s">
        <v>1441</v>
      </c>
      <c r="B41" t="s">
        <v>8946</v>
      </c>
      <c r="C41" t="s">
        <v>8665</v>
      </c>
      <c r="D41" t="s">
        <v>9184</v>
      </c>
    </row>
    <row r="42" spans="1:4" x14ac:dyDescent="0.4">
      <c r="A42" t="s">
        <v>1444</v>
      </c>
      <c r="B42" t="s">
        <v>8946</v>
      </c>
      <c r="C42" t="s">
        <v>8666</v>
      </c>
      <c r="D42" t="s">
        <v>9184</v>
      </c>
    </row>
    <row r="43" spans="1:4" x14ac:dyDescent="0.4">
      <c r="A43" t="s">
        <v>1447</v>
      </c>
      <c r="B43" t="s">
        <v>8946</v>
      </c>
      <c r="C43" t="s">
        <v>8669</v>
      </c>
      <c r="D43" t="s">
        <v>9184</v>
      </c>
    </row>
    <row r="44" spans="1:4" x14ac:dyDescent="0.4">
      <c r="A44" t="s">
        <v>1965</v>
      </c>
      <c r="B44" t="s">
        <v>8946</v>
      </c>
      <c r="C44" t="s">
        <v>8671</v>
      </c>
      <c r="D44" t="s">
        <v>9184</v>
      </c>
    </row>
    <row r="45" spans="1:4" x14ac:dyDescent="0.4">
      <c r="A45" t="s">
        <v>1989</v>
      </c>
      <c r="B45" t="s">
        <v>8946</v>
      </c>
      <c r="C45" t="s">
        <v>8674</v>
      </c>
      <c r="D45" t="s">
        <v>9184</v>
      </c>
    </row>
    <row r="46" spans="1:4" x14ac:dyDescent="0.4">
      <c r="A46" t="s">
        <v>1992</v>
      </c>
      <c r="B46" t="s">
        <v>8946</v>
      </c>
      <c r="C46" t="s">
        <v>8675</v>
      </c>
      <c r="D46" t="s">
        <v>9184</v>
      </c>
    </row>
    <row r="47" spans="1:4" x14ac:dyDescent="0.4">
      <c r="A47" t="s">
        <v>1995</v>
      </c>
      <c r="B47" t="s">
        <v>8946</v>
      </c>
      <c r="C47" t="s">
        <v>8676</v>
      </c>
      <c r="D47" t="s">
        <v>9184</v>
      </c>
    </row>
    <row r="48" spans="1:4" x14ac:dyDescent="0.4">
      <c r="A48" t="s">
        <v>2004</v>
      </c>
      <c r="B48" t="s">
        <v>8946</v>
      </c>
      <c r="C48" t="s">
        <v>8678</v>
      </c>
      <c r="D48" t="s">
        <v>9184</v>
      </c>
    </row>
    <row r="49" spans="1:4" x14ac:dyDescent="0.4">
      <c r="A49" t="s">
        <v>2009</v>
      </c>
      <c r="B49" t="s">
        <v>8946</v>
      </c>
      <c r="C49" t="s">
        <v>8679</v>
      </c>
      <c r="D49" t="s">
        <v>9184</v>
      </c>
    </row>
    <row r="50" spans="1:4" x14ac:dyDescent="0.4">
      <c r="A50" t="s">
        <v>2018</v>
      </c>
      <c r="B50" t="s">
        <v>8946</v>
      </c>
      <c r="C50" t="s">
        <v>8680</v>
      </c>
      <c r="D50" t="s">
        <v>9184</v>
      </c>
    </row>
    <row r="51" spans="1:4" x14ac:dyDescent="0.4">
      <c r="A51" t="s">
        <v>2021</v>
      </c>
      <c r="B51" t="s">
        <v>8946</v>
      </c>
      <c r="C51" t="s">
        <v>8681</v>
      </c>
      <c r="D51" t="s">
        <v>9184</v>
      </c>
    </row>
    <row r="52" spans="1:4" x14ac:dyDescent="0.4">
      <c r="A52" t="s">
        <v>2033</v>
      </c>
      <c r="B52" t="s">
        <v>8946</v>
      </c>
      <c r="C52" t="s">
        <v>8683</v>
      </c>
      <c r="D52" t="s">
        <v>9184</v>
      </c>
    </row>
    <row r="53" spans="1:4" x14ac:dyDescent="0.4">
      <c r="A53" t="s">
        <v>2101</v>
      </c>
      <c r="B53" t="s">
        <v>8946</v>
      </c>
      <c r="C53" t="s">
        <v>8686</v>
      </c>
      <c r="D53" t="s">
        <v>9184</v>
      </c>
    </row>
    <row r="54" spans="1:4" x14ac:dyDescent="0.4">
      <c r="A54" t="s">
        <v>2111</v>
      </c>
      <c r="B54" t="s">
        <v>8946</v>
      </c>
      <c r="C54" t="s">
        <v>8687</v>
      </c>
      <c r="D54" t="s">
        <v>9184</v>
      </c>
    </row>
    <row r="55" spans="1:4" x14ac:dyDescent="0.4">
      <c r="A55" t="s">
        <v>2114</v>
      </c>
      <c r="B55" t="s">
        <v>8946</v>
      </c>
      <c r="C55" t="s">
        <v>8688</v>
      </c>
      <c r="D55" t="s">
        <v>9184</v>
      </c>
    </row>
    <row r="56" spans="1:4" x14ac:dyDescent="0.4">
      <c r="A56" t="s">
        <v>2120</v>
      </c>
      <c r="B56" t="s">
        <v>8946</v>
      </c>
      <c r="C56" t="s">
        <v>8689</v>
      </c>
      <c r="D56" t="s">
        <v>9184</v>
      </c>
    </row>
    <row r="57" spans="1:4" x14ac:dyDescent="0.4">
      <c r="A57" t="s">
        <v>2129</v>
      </c>
      <c r="B57" t="s">
        <v>8946</v>
      </c>
      <c r="C57" t="s">
        <v>8690</v>
      </c>
      <c r="D57" t="s">
        <v>9184</v>
      </c>
    </row>
    <row r="58" spans="1:4" x14ac:dyDescent="0.4">
      <c r="A58" t="s">
        <v>881</v>
      </c>
      <c r="B58" t="s">
        <v>8946</v>
      </c>
      <c r="C58" t="s">
        <v>8692</v>
      </c>
      <c r="D58" t="s">
        <v>9184</v>
      </c>
    </row>
    <row r="59" spans="1:4" x14ac:dyDescent="0.4">
      <c r="A59" t="s">
        <v>888</v>
      </c>
      <c r="B59" t="s">
        <v>8946</v>
      </c>
      <c r="C59" t="s">
        <v>8694</v>
      </c>
      <c r="D59" t="s">
        <v>9184</v>
      </c>
    </row>
    <row r="60" spans="1:4" x14ac:dyDescent="0.4">
      <c r="A60" t="s">
        <v>891</v>
      </c>
      <c r="B60" t="s">
        <v>8946</v>
      </c>
      <c r="C60" t="s">
        <v>8695</v>
      </c>
      <c r="D60" t="s">
        <v>9184</v>
      </c>
    </row>
    <row r="61" spans="1:4" x14ac:dyDescent="0.4">
      <c r="A61" t="s">
        <v>800</v>
      </c>
      <c r="B61" t="s">
        <v>8946</v>
      </c>
      <c r="C61" t="s">
        <v>8696</v>
      </c>
      <c r="D61" t="s">
        <v>9184</v>
      </c>
    </row>
    <row r="62" spans="1:4" x14ac:dyDescent="0.4">
      <c r="A62" t="s">
        <v>768</v>
      </c>
      <c r="B62" t="s">
        <v>8946</v>
      </c>
      <c r="C62" t="s">
        <v>8697</v>
      </c>
      <c r="D62" t="s">
        <v>9184</v>
      </c>
    </row>
    <row r="63" spans="1:4" x14ac:dyDescent="0.4">
      <c r="A63" t="s">
        <v>776</v>
      </c>
      <c r="B63" t="s">
        <v>8946</v>
      </c>
      <c r="C63" t="s">
        <v>8699</v>
      </c>
      <c r="D63" t="s">
        <v>9184</v>
      </c>
    </row>
    <row r="64" spans="1:4" x14ac:dyDescent="0.4">
      <c r="A64" t="s">
        <v>788</v>
      </c>
      <c r="B64" t="s">
        <v>8946</v>
      </c>
      <c r="C64" t="s">
        <v>8700</v>
      </c>
      <c r="D64" t="s">
        <v>9184</v>
      </c>
    </row>
    <row r="65" spans="1:4" x14ac:dyDescent="0.4">
      <c r="A65" t="s">
        <v>791</v>
      </c>
      <c r="B65" t="s">
        <v>8946</v>
      </c>
      <c r="C65" t="s">
        <v>8701</v>
      </c>
      <c r="D65" t="s">
        <v>9184</v>
      </c>
    </row>
    <row r="66" spans="1:4" x14ac:dyDescent="0.4">
      <c r="A66" t="s">
        <v>797</v>
      </c>
      <c r="B66" t="s">
        <v>8946</v>
      </c>
      <c r="C66" t="s">
        <v>8702</v>
      </c>
      <c r="D66" t="s">
        <v>9184</v>
      </c>
    </row>
    <row r="67" spans="1:4" x14ac:dyDescent="0.4">
      <c r="A67" t="s">
        <v>734</v>
      </c>
      <c r="B67" t="s">
        <v>8946</v>
      </c>
      <c r="C67" t="s">
        <v>8703</v>
      </c>
      <c r="D67" t="s">
        <v>9184</v>
      </c>
    </row>
    <row r="68" spans="1:4" x14ac:dyDescent="0.4">
      <c r="A68" t="s">
        <v>741</v>
      </c>
      <c r="B68" t="s">
        <v>8946</v>
      </c>
      <c r="C68" t="s">
        <v>8704</v>
      </c>
      <c r="D68" t="s">
        <v>9184</v>
      </c>
    </row>
    <row r="69" spans="1:4" x14ac:dyDescent="0.4">
      <c r="A69" t="s">
        <v>744</v>
      </c>
      <c r="B69" t="s">
        <v>8946</v>
      </c>
      <c r="C69" t="s">
        <v>8705</v>
      </c>
      <c r="D69" t="s">
        <v>9184</v>
      </c>
    </row>
    <row r="70" spans="1:4" x14ac:dyDescent="0.4">
      <c r="A70" t="s">
        <v>750</v>
      </c>
      <c r="B70" t="s">
        <v>8946</v>
      </c>
      <c r="C70" t="s">
        <v>8706</v>
      </c>
      <c r="D70" t="s">
        <v>9184</v>
      </c>
    </row>
    <row r="71" spans="1:4" x14ac:dyDescent="0.4">
      <c r="A71" t="s">
        <v>753</v>
      </c>
      <c r="B71" t="s">
        <v>8946</v>
      </c>
      <c r="C71" t="s">
        <v>8707</v>
      </c>
      <c r="D71" t="s">
        <v>9184</v>
      </c>
    </row>
    <row r="72" spans="1:4" x14ac:dyDescent="0.4">
      <c r="A72" t="s">
        <v>810</v>
      </c>
      <c r="B72" t="s">
        <v>8946</v>
      </c>
      <c r="C72" t="s">
        <v>8709</v>
      </c>
      <c r="D72" t="s">
        <v>9184</v>
      </c>
    </row>
    <row r="73" spans="1:4" x14ac:dyDescent="0.4">
      <c r="A73" t="s">
        <v>817</v>
      </c>
      <c r="B73" t="s">
        <v>8946</v>
      </c>
      <c r="C73" t="s">
        <v>8710</v>
      </c>
      <c r="D73" t="s">
        <v>9184</v>
      </c>
    </row>
    <row r="74" spans="1:4" x14ac:dyDescent="0.4">
      <c r="A74" t="s">
        <v>820</v>
      </c>
      <c r="B74" t="s">
        <v>8946</v>
      </c>
      <c r="C74" t="s">
        <v>8711</v>
      </c>
      <c r="D74" t="s">
        <v>9184</v>
      </c>
    </row>
    <row r="75" spans="1:4" x14ac:dyDescent="0.4">
      <c r="A75" t="s">
        <v>823</v>
      </c>
      <c r="B75" t="s">
        <v>8946</v>
      </c>
      <c r="C75" t="s">
        <v>8712</v>
      </c>
      <c r="D75" t="s">
        <v>9184</v>
      </c>
    </row>
    <row r="76" spans="1:4" x14ac:dyDescent="0.4">
      <c r="A76" t="s">
        <v>827</v>
      </c>
      <c r="B76" t="s">
        <v>8946</v>
      </c>
      <c r="C76" t="s">
        <v>8713</v>
      </c>
      <c r="D76" t="s">
        <v>9184</v>
      </c>
    </row>
    <row r="77" spans="1:4" x14ac:dyDescent="0.4">
      <c r="A77" t="s">
        <v>2326</v>
      </c>
      <c r="B77" t="s">
        <v>8946</v>
      </c>
      <c r="C77" t="s">
        <v>8714</v>
      </c>
      <c r="D77" t="s">
        <v>9184</v>
      </c>
    </row>
    <row r="78" spans="1:4" x14ac:dyDescent="0.4">
      <c r="A78" t="s">
        <v>2342</v>
      </c>
      <c r="B78" t="s">
        <v>8946</v>
      </c>
      <c r="C78" t="s">
        <v>8716</v>
      </c>
      <c r="D78" t="s">
        <v>9184</v>
      </c>
    </row>
    <row r="79" spans="1:4" x14ac:dyDescent="0.4">
      <c r="A79" t="s">
        <v>1291</v>
      </c>
      <c r="B79" t="s">
        <v>8946</v>
      </c>
      <c r="C79" t="s">
        <v>8717</v>
      </c>
      <c r="D79" t="s">
        <v>9184</v>
      </c>
    </row>
    <row r="80" spans="1:4" x14ac:dyDescent="0.4">
      <c r="A80" t="s">
        <v>1296</v>
      </c>
      <c r="B80" t="s">
        <v>8946</v>
      </c>
      <c r="C80" t="s">
        <v>8718</v>
      </c>
      <c r="D80" t="s">
        <v>9184</v>
      </c>
    </row>
    <row r="81" spans="1:4" x14ac:dyDescent="0.4">
      <c r="A81" t="s">
        <v>1299</v>
      </c>
      <c r="B81" t="s">
        <v>8946</v>
      </c>
      <c r="C81" t="s">
        <v>8719</v>
      </c>
      <c r="D81" t="s">
        <v>9184</v>
      </c>
    </row>
    <row r="82" spans="1:4" x14ac:dyDescent="0.4">
      <c r="A82" t="s">
        <v>1305</v>
      </c>
      <c r="B82" t="s">
        <v>8946</v>
      </c>
      <c r="C82" t="s">
        <v>8720</v>
      </c>
      <c r="D82" t="s">
        <v>9184</v>
      </c>
    </row>
    <row r="83" spans="1:4" x14ac:dyDescent="0.4">
      <c r="A83" t="s">
        <v>1308</v>
      </c>
      <c r="B83" t="s">
        <v>8946</v>
      </c>
      <c r="C83" t="s">
        <v>8721</v>
      </c>
      <c r="D83" t="s">
        <v>9184</v>
      </c>
    </row>
    <row r="84" spans="1:4" x14ac:dyDescent="0.4">
      <c r="A84" t="s">
        <v>2311</v>
      </c>
      <c r="B84" t="s">
        <v>8946</v>
      </c>
      <c r="C84" t="s">
        <v>8722</v>
      </c>
      <c r="D84" t="s">
        <v>9184</v>
      </c>
    </row>
    <row r="85" spans="1:4" x14ac:dyDescent="0.4">
      <c r="A85" t="s">
        <v>2314</v>
      </c>
      <c r="B85" t="s">
        <v>8946</v>
      </c>
      <c r="C85" t="s">
        <v>8723</v>
      </c>
      <c r="D85" t="s">
        <v>9184</v>
      </c>
    </row>
    <row r="86" spans="1:4" x14ac:dyDescent="0.4">
      <c r="A86" t="s">
        <v>2317</v>
      </c>
      <c r="B86" t="s">
        <v>8946</v>
      </c>
      <c r="C86" t="s">
        <v>8724</v>
      </c>
      <c r="D86" t="s">
        <v>9184</v>
      </c>
    </row>
    <row r="87" spans="1:4" x14ac:dyDescent="0.4">
      <c r="A87" t="s">
        <v>2320</v>
      </c>
      <c r="B87" t="s">
        <v>8946</v>
      </c>
      <c r="C87" t="s">
        <v>8725</v>
      </c>
      <c r="D87" t="s">
        <v>9184</v>
      </c>
    </row>
    <row r="88" spans="1:4" x14ac:dyDescent="0.4">
      <c r="A88" t="s">
        <v>2323</v>
      </c>
      <c r="B88" t="s">
        <v>8946</v>
      </c>
      <c r="C88" t="s">
        <v>8726</v>
      </c>
      <c r="D88" t="s">
        <v>9184</v>
      </c>
    </row>
    <row r="89" spans="1:4" x14ac:dyDescent="0.4">
      <c r="A89" t="s">
        <v>2345</v>
      </c>
      <c r="B89" t="s">
        <v>8946</v>
      </c>
      <c r="C89" t="s">
        <v>8727</v>
      </c>
      <c r="D89" t="s">
        <v>9184</v>
      </c>
    </row>
    <row r="90" spans="1:4" x14ac:dyDescent="0.4">
      <c r="A90" t="s">
        <v>2350</v>
      </c>
      <c r="B90" t="s">
        <v>8946</v>
      </c>
      <c r="C90" t="s">
        <v>8728</v>
      </c>
      <c r="D90" t="s">
        <v>9184</v>
      </c>
    </row>
    <row r="91" spans="1:4" x14ac:dyDescent="0.4">
      <c r="A91" t="s">
        <v>2353</v>
      </c>
      <c r="B91" t="s">
        <v>8946</v>
      </c>
      <c r="C91" t="s">
        <v>8729</v>
      </c>
      <c r="D91" t="s">
        <v>9184</v>
      </c>
    </row>
    <row r="92" spans="1:4" x14ac:dyDescent="0.4">
      <c r="A92" t="s">
        <v>2356</v>
      </c>
      <c r="B92" t="s">
        <v>8946</v>
      </c>
      <c r="C92" t="s">
        <v>8730</v>
      </c>
      <c r="D92" t="s">
        <v>9184</v>
      </c>
    </row>
    <row r="93" spans="1:4" x14ac:dyDescent="0.4">
      <c r="A93" t="s">
        <v>2371</v>
      </c>
      <c r="B93" t="s">
        <v>8946</v>
      </c>
      <c r="C93" t="s">
        <v>8731</v>
      </c>
      <c r="D93" t="s">
        <v>9184</v>
      </c>
    </row>
    <row r="94" spans="1:4" x14ac:dyDescent="0.4">
      <c r="A94" t="s">
        <v>1837</v>
      </c>
      <c r="B94" t="s">
        <v>8946</v>
      </c>
      <c r="C94" t="s">
        <v>8733</v>
      </c>
      <c r="D94" t="s">
        <v>9184</v>
      </c>
    </row>
    <row r="95" spans="1:4" x14ac:dyDescent="0.4">
      <c r="A95" t="s">
        <v>1843</v>
      </c>
      <c r="B95" t="s">
        <v>8946</v>
      </c>
      <c r="C95" t="s">
        <v>8734</v>
      </c>
      <c r="D95" t="s">
        <v>9184</v>
      </c>
    </row>
    <row r="96" spans="1:4" x14ac:dyDescent="0.4">
      <c r="A96" t="s">
        <v>1849</v>
      </c>
      <c r="B96" t="s">
        <v>8946</v>
      </c>
      <c r="C96" t="s">
        <v>8735</v>
      </c>
      <c r="D96" t="s">
        <v>9184</v>
      </c>
    </row>
    <row r="97" spans="1:4" x14ac:dyDescent="0.4">
      <c r="A97" t="s">
        <v>1852</v>
      </c>
      <c r="B97" t="s">
        <v>8946</v>
      </c>
      <c r="C97" t="s">
        <v>8736</v>
      </c>
      <c r="D97" t="s">
        <v>9184</v>
      </c>
    </row>
    <row r="98" spans="1:4" x14ac:dyDescent="0.4">
      <c r="A98" t="s">
        <v>1167</v>
      </c>
      <c r="B98" t="s">
        <v>8946</v>
      </c>
      <c r="C98" t="s">
        <v>8740</v>
      </c>
      <c r="D98" t="s">
        <v>9184</v>
      </c>
    </row>
    <row r="99" spans="1:4" x14ac:dyDescent="0.4">
      <c r="A99" t="s">
        <v>1174</v>
      </c>
      <c r="B99" t="s">
        <v>8946</v>
      </c>
      <c r="C99" t="s">
        <v>8741</v>
      </c>
      <c r="D99" t="s">
        <v>9184</v>
      </c>
    </row>
    <row r="100" spans="1:4" x14ac:dyDescent="0.4">
      <c r="A100" t="s">
        <v>1177</v>
      </c>
      <c r="B100" t="s">
        <v>8946</v>
      </c>
      <c r="C100" t="s">
        <v>8742</v>
      </c>
      <c r="D100" t="s">
        <v>9184</v>
      </c>
    </row>
    <row r="101" spans="1:4" x14ac:dyDescent="0.4">
      <c r="A101" t="s">
        <v>1180</v>
      </c>
      <c r="B101" t="s">
        <v>8946</v>
      </c>
      <c r="C101" t="s">
        <v>8743</v>
      </c>
      <c r="D101" t="s">
        <v>9184</v>
      </c>
    </row>
    <row r="102" spans="1:4" x14ac:dyDescent="0.4">
      <c r="A102" t="s">
        <v>676</v>
      </c>
      <c r="B102" t="s">
        <v>8946</v>
      </c>
      <c r="C102" t="s">
        <v>8747</v>
      </c>
      <c r="D102" t="s">
        <v>9184</v>
      </c>
    </row>
    <row r="103" spans="1:4" x14ac:dyDescent="0.4">
      <c r="A103" t="s">
        <v>683</v>
      </c>
      <c r="B103" t="s">
        <v>8946</v>
      </c>
      <c r="C103" t="s">
        <v>8748</v>
      </c>
      <c r="D103" t="s">
        <v>9184</v>
      </c>
    </row>
    <row r="104" spans="1:4" x14ac:dyDescent="0.4">
      <c r="A104" t="s">
        <v>689</v>
      </c>
      <c r="B104" t="s">
        <v>8946</v>
      </c>
      <c r="C104" t="s">
        <v>8749</v>
      </c>
      <c r="D104" t="s">
        <v>9184</v>
      </c>
    </row>
    <row r="105" spans="1:4" x14ac:dyDescent="0.4">
      <c r="A105" t="s">
        <v>695</v>
      </c>
      <c r="B105" t="s">
        <v>8946</v>
      </c>
      <c r="C105" t="s">
        <v>8751</v>
      </c>
      <c r="D105" t="s">
        <v>9184</v>
      </c>
    </row>
    <row r="106" spans="1:4" x14ac:dyDescent="0.4">
      <c r="A106" t="s">
        <v>701</v>
      </c>
      <c r="B106" t="s">
        <v>8946</v>
      </c>
      <c r="C106" t="s">
        <v>8752</v>
      </c>
      <c r="D106" t="s">
        <v>9184</v>
      </c>
    </row>
    <row r="107" spans="1:4" x14ac:dyDescent="0.4">
      <c r="A107" t="s">
        <v>640</v>
      </c>
      <c r="B107" t="s">
        <v>8946</v>
      </c>
      <c r="C107" t="s">
        <v>8754</v>
      </c>
      <c r="D107" t="s">
        <v>9184</v>
      </c>
    </row>
    <row r="108" spans="1:4" x14ac:dyDescent="0.4">
      <c r="A108" t="s">
        <v>645</v>
      </c>
      <c r="B108" t="s">
        <v>8946</v>
      </c>
      <c r="C108" t="s">
        <v>8755</v>
      </c>
      <c r="D108" t="s">
        <v>9184</v>
      </c>
    </row>
    <row r="109" spans="1:4" x14ac:dyDescent="0.4">
      <c r="A109" t="s">
        <v>651</v>
      </c>
      <c r="B109" t="s">
        <v>8946</v>
      </c>
      <c r="C109" t="s">
        <v>8756</v>
      </c>
      <c r="D109" t="s">
        <v>9184</v>
      </c>
    </row>
    <row r="110" spans="1:4" x14ac:dyDescent="0.4">
      <c r="A110" t="s">
        <v>657</v>
      </c>
      <c r="B110" t="s">
        <v>8946</v>
      </c>
      <c r="C110" t="s">
        <v>8757</v>
      </c>
      <c r="D110" t="s">
        <v>9184</v>
      </c>
    </row>
    <row r="111" spans="1:4" x14ac:dyDescent="0.4">
      <c r="A111" t="s">
        <v>666</v>
      </c>
      <c r="B111" t="s">
        <v>8946</v>
      </c>
      <c r="C111" t="s">
        <v>8758</v>
      </c>
      <c r="D111" t="s">
        <v>9184</v>
      </c>
    </row>
    <row r="112" spans="1:4" x14ac:dyDescent="0.4">
      <c r="A112" t="s">
        <v>1803</v>
      </c>
      <c r="B112" t="s">
        <v>8946</v>
      </c>
      <c r="C112" t="s">
        <v>8760</v>
      </c>
      <c r="D112" t="s">
        <v>9184</v>
      </c>
    </row>
    <row r="113" spans="1:4" x14ac:dyDescent="0.4">
      <c r="A113" t="s">
        <v>1758</v>
      </c>
      <c r="B113" t="s">
        <v>8946</v>
      </c>
      <c r="C113" t="s">
        <v>8764</v>
      </c>
      <c r="D113" t="s">
        <v>9184</v>
      </c>
    </row>
    <row r="114" spans="1:4" x14ac:dyDescent="0.4">
      <c r="A114" t="s">
        <v>1762</v>
      </c>
      <c r="B114" t="s">
        <v>8946</v>
      </c>
      <c r="C114" t="s">
        <v>8765</v>
      </c>
      <c r="D114" t="s">
        <v>9184</v>
      </c>
    </row>
    <row r="115" spans="1:4" x14ac:dyDescent="0.4">
      <c r="A115" t="s">
        <v>941</v>
      </c>
      <c r="B115" t="s">
        <v>8946</v>
      </c>
      <c r="C115" t="s">
        <v>8774</v>
      </c>
      <c r="D115" t="s">
        <v>9184</v>
      </c>
    </row>
    <row r="116" spans="1:4" x14ac:dyDescent="0.4">
      <c r="A116" t="s">
        <v>43</v>
      </c>
      <c r="B116" t="s">
        <v>8946</v>
      </c>
      <c r="C116" t="s">
        <v>8779</v>
      </c>
      <c r="D116" t="s">
        <v>9184</v>
      </c>
    </row>
    <row r="117" spans="1:4" x14ac:dyDescent="0.4">
      <c r="A117" t="s">
        <v>53</v>
      </c>
      <c r="B117" t="s">
        <v>8946</v>
      </c>
      <c r="C117" t="s">
        <v>8780</v>
      </c>
      <c r="D117" t="s">
        <v>9184</v>
      </c>
    </row>
    <row r="118" spans="1:4" x14ac:dyDescent="0.4">
      <c r="A118" t="s">
        <v>90</v>
      </c>
      <c r="B118" t="s">
        <v>8946</v>
      </c>
      <c r="C118" t="s">
        <v>8782</v>
      </c>
      <c r="D118" t="s">
        <v>9184</v>
      </c>
    </row>
    <row r="119" spans="1:4" x14ac:dyDescent="0.4">
      <c r="A119" t="s">
        <v>2176</v>
      </c>
      <c r="B119" t="s">
        <v>8946</v>
      </c>
      <c r="C119" t="s">
        <v>8787</v>
      </c>
      <c r="D119" t="s">
        <v>9184</v>
      </c>
    </row>
    <row r="120" spans="1:4" x14ac:dyDescent="0.4">
      <c r="A120" t="s">
        <v>2179</v>
      </c>
      <c r="B120" t="s">
        <v>8946</v>
      </c>
      <c r="C120" t="s">
        <v>8788</v>
      </c>
      <c r="D120" t="s">
        <v>9184</v>
      </c>
    </row>
    <row r="121" spans="1:4" x14ac:dyDescent="0.4">
      <c r="A121" t="s">
        <v>2188</v>
      </c>
      <c r="B121" t="s">
        <v>8946</v>
      </c>
      <c r="C121" t="s">
        <v>8789</v>
      </c>
      <c r="D121" t="s">
        <v>9184</v>
      </c>
    </row>
    <row r="122" spans="1:4" x14ac:dyDescent="0.4">
      <c r="A122" t="s">
        <v>2236</v>
      </c>
      <c r="B122" t="s">
        <v>8946</v>
      </c>
      <c r="C122" t="s">
        <v>8790</v>
      </c>
      <c r="D122" t="s">
        <v>9184</v>
      </c>
    </row>
    <row r="123" spans="1:4" x14ac:dyDescent="0.4">
      <c r="A123" t="s">
        <v>2242</v>
      </c>
      <c r="B123" t="s">
        <v>8946</v>
      </c>
      <c r="C123" t="s">
        <v>8791</v>
      </c>
      <c r="D123" t="s">
        <v>9184</v>
      </c>
    </row>
    <row r="124" spans="1:4" x14ac:dyDescent="0.4">
      <c r="A124" t="s">
        <v>2248</v>
      </c>
      <c r="B124" t="s">
        <v>8946</v>
      </c>
      <c r="C124" t="s">
        <v>8792</v>
      </c>
      <c r="D124" t="s">
        <v>9184</v>
      </c>
    </row>
    <row r="125" spans="1:4" x14ac:dyDescent="0.4">
      <c r="A125" t="s">
        <v>2251</v>
      </c>
      <c r="B125" t="s">
        <v>8946</v>
      </c>
      <c r="C125" t="s">
        <v>8793</v>
      </c>
      <c r="D125" t="s">
        <v>9184</v>
      </c>
    </row>
    <row r="126" spans="1:4" x14ac:dyDescent="0.4">
      <c r="A126" t="s">
        <v>2263</v>
      </c>
      <c r="B126" t="s">
        <v>8946</v>
      </c>
      <c r="C126" t="s">
        <v>8795</v>
      </c>
      <c r="D126" t="s">
        <v>9184</v>
      </c>
    </row>
    <row r="127" spans="1:4" x14ac:dyDescent="0.4">
      <c r="A127" t="s">
        <v>2203</v>
      </c>
      <c r="B127" t="s">
        <v>8946</v>
      </c>
      <c r="C127" t="s">
        <v>8796</v>
      </c>
      <c r="D127" t="s">
        <v>9184</v>
      </c>
    </row>
    <row r="128" spans="1:4" x14ac:dyDescent="0.4">
      <c r="A128" t="s">
        <v>2212</v>
      </c>
      <c r="B128" t="s">
        <v>8946</v>
      </c>
      <c r="C128" t="s">
        <v>8797</v>
      </c>
      <c r="D128" t="s">
        <v>9184</v>
      </c>
    </row>
    <row r="129" spans="1:4" x14ac:dyDescent="0.4">
      <c r="A129" t="s">
        <v>2218</v>
      </c>
      <c r="B129" t="s">
        <v>8946</v>
      </c>
      <c r="C129" t="s">
        <v>8798</v>
      </c>
      <c r="D129" t="s">
        <v>9184</v>
      </c>
    </row>
    <row r="130" spans="1:4" x14ac:dyDescent="0.4">
      <c r="A130" t="s">
        <v>2229</v>
      </c>
      <c r="B130" t="s">
        <v>8946</v>
      </c>
      <c r="C130" t="s">
        <v>8800</v>
      </c>
      <c r="D130" t="s">
        <v>9184</v>
      </c>
    </row>
    <row r="131" spans="1:4" x14ac:dyDescent="0.4">
      <c r="A131" t="s">
        <v>353</v>
      </c>
      <c r="B131" t="s">
        <v>8946</v>
      </c>
      <c r="C131" t="s">
        <v>8801</v>
      </c>
      <c r="D131" t="s">
        <v>9184</v>
      </c>
    </row>
    <row r="132" spans="1:4" x14ac:dyDescent="0.4">
      <c r="A132" t="s">
        <v>360</v>
      </c>
      <c r="B132" t="s">
        <v>8946</v>
      </c>
      <c r="C132" t="s">
        <v>8802</v>
      </c>
      <c r="D132" t="s">
        <v>9184</v>
      </c>
    </row>
    <row r="133" spans="1:4" x14ac:dyDescent="0.4">
      <c r="A133" t="s">
        <v>375</v>
      </c>
      <c r="B133" t="s">
        <v>8946</v>
      </c>
      <c r="C133" t="s">
        <v>8804</v>
      </c>
      <c r="D133" t="s">
        <v>9184</v>
      </c>
    </row>
    <row r="134" spans="1:4" x14ac:dyDescent="0.4">
      <c r="A134" t="s">
        <v>381</v>
      </c>
      <c r="B134" t="s">
        <v>8946</v>
      </c>
      <c r="C134" t="s">
        <v>8805</v>
      </c>
      <c r="D134" t="s">
        <v>9184</v>
      </c>
    </row>
    <row r="135" spans="1:4" x14ac:dyDescent="0.4">
      <c r="A135" t="s">
        <v>390</v>
      </c>
      <c r="B135" t="s">
        <v>8946</v>
      </c>
      <c r="C135" t="s">
        <v>8806</v>
      </c>
      <c r="D135" t="s">
        <v>9184</v>
      </c>
    </row>
    <row r="136" spans="1:4" x14ac:dyDescent="0.4">
      <c r="A136" t="s">
        <v>465</v>
      </c>
      <c r="B136" t="s">
        <v>8946</v>
      </c>
      <c r="C136" t="s">
        <v>8808</v>
      </c>
      <c r="D136" t="s">
        <v>9184</v>
      </c>
    </row>
    <row r="137" spans="1:4" x14ac:dyDescent="0.4">
      <c r="A137" t="s">
        <v>485</v>
      </c>
      <c r="B137" t="s">
        <v>8946</v>
      </c>
      <c r="C137" t="s">
        <v>8809</v>
      </c>
      <c r="D137" t="s">
        <v>9184</v>
      </c>
    </row>
    <row r="138" spans="1:4" x14ac:dyDescent="0.4">
      <c r="A138" t="s">
        <v>488</v>
      </c>
      <c r="B138" t="s">
        <v>8946</v>
      </c>
      <c r="C138" t="s">
        <v>8810</v>
      </c>
      <c r="D138" t="s">
        <v>9184</v>
      </c>
    </row>
    <row r="139" spans="1:4" x14ac:dyDescent="0.4">
      <c r="A139" t="s">
        <v>491</v>
      </c>
      <c r="B139" t="s">
        <v>8946</v>
      </c>
      <c r="C139" t="s">
        <v>8811</v>
      </c>
      <c r="D139" t="s">
        <v>9184</v>
      </c>
    </row>
    <row r="140" spans="1:4" x14ac:dyDescent="0.4">
      <c r="A140" t="s">
        <v>396</v>
      </c>
      <c r="B140" t="s">
        <v>8946</v>
      </c>
      <c r="C140" t="s">
        <v>8813</v>
      </c>
      <c r="D140" t="s">
        <v>9184</v>
      </c>
    </row>
    <row r="141" spans="1:4" x14ac:dyDescent="0.4">
      <c r="A141" t="s">
        <v>403</v>
      </c>
      <c r="B141" t="s">
        <v>8946</v>
      </c>
      <c r="C141" t="s">
        <v>8814</v>
      </c>
      <c r="D141" t="s">
        <v>9184</v>
      </c>
    </row>
    <row r="142" spans="1:4" x14ac:dyDescent="0.4">
      <c r="A142" t="s">
        <v>426</v>
      </c>
      <c r="B142" t="s">
        <v>8946</v>
      </c>
      <c r="C142" t="s">
        <v>8815</v>
      </c>
      <c r="D142" t="s">
        <v>9184</v>
      </c>
    </row>
    <row r="143" spans="1:4" x14ac:dyDescent="0.4">
      <c r="A143" t="s">
        <v>430</v>
      </c>
      <c r="B143" t="s">
        <v>8946</v>
      </c>
      <c r="C143" t="s">
        <v>8816</v>
      </c>
      <c r="D143" t="s">
        <v>9184</v>
      </c>
    </row>
    <row r="144" spans="1:4" x14ac:dyDescent="0.4">
      <c r="A144" t="s">
        <v>422</v>
      </c>
      <c r="B144" t="s">
        <v>8946</v>
      </c>
      <c r="C144" t="s">
        <v>8817</v>
      </c>
      <c r="D144" t="s">
        <v>9184</v>
      </c>
    </row>
    <row r="145" spans="1:4" x14ac:dyDescent="0.4">
      <c r="A145" t="s">
        <v>201</v>
      </c>
      <c r="B145" t="s">
        <v>8946</v>
      </c>
      <c r="C145" t="s">
        <v>8819</v>
      </c>
      <c r="D145" t="s">
        <v>9184</v>
      </c>
    </row>
    <row r="146" spans="1:4" x14ac:dyDescent="0.4">
      <c r="A146" t="s">
        <v>209</v>
      </c>
      <c r="B146" t="s">
        <v>8946</v>
      </c>
      <c r="C146" t="s">
        <v>8820</v>
      </c>
      <c r="D146" t="s">
        <v>9184</v>
      </c>
    </row>
    <row r="147" spans="1:4" x14ac:dyDescent="0.4">
      <c r="A147" t="s">
        <v>212</v>
      </c>
      <c r="B147" t="s">
        <v>8946</v>
      </c>
      <c r="C147" t="s">
        <v>8821</v>
      </c>
      <c r="D147" t="s">
        <v>9184</v>
      </c>
    </row>
    <row r="148" spans="1:4" x14ac:dyDescent="0.4">
      <c r="A148" t="s">
        <v>221</v>
      </c>
      <c r="B148" t="s">
        <v>8946</v>
      </c>
      <c r="C148" t="s">
        <v>8822</v>
      </c>
      <c r="D148" t="s">
        <v>9184</v>
      </c>
    </row>
    <row r="149" spans="1:4" x14ac:dyDescent="0.4">
      <c r="A149" t="s">
        <v>224</v>
      </c>
      <c r="B149" t="s">
        <v>8946</v>
      </c>
      <c r="C149" t="s">
        <v>8823</v>
      </c>
      <c r="D149" t="s">
        <v>9184</v>
      </c>
    </row>
    <row r="150" spans="1:4" x14ac:dyDescent="0.4">
      <c r="A150" t="s">
        <v>1257</v>
      </c>
      <c r="B150" t="s">
        <v>8946</v>
      </c>
      <c r="C150" t="s">
        <v>8824</v>
      </c>
      <c r="D150" t="s">
        <v>9184</v>
      </c>
    </row>
    <row r="151" spans="1:4" x14ac:dyDescent="0.4">
      <c r="A151" t="s">
        <v>1264</v>
      </c>
      <c r="B151" t="s">
        <v>8946</v>
      </c>
      <c r="C151" t="s">
        <v>8825</v>
      </c>
      <c r="D151" t="s">
        <v>9184</v>
      </c>
    </row>
    <row r="152" spans="1:4" x14ac:dyDescent="0.4">
      <c r="A152" t="s">
        <v>1267</v>
      </c>
      <c r="B152" t="s">
        <v>8946</v>
      </c>
      <c r="C152" t="s">
        <v>8826</v>
      </c>
      <c r="D152" t="s">
        <v>9184</v>
      </c>
    </row>
    <row r="153" spans="1:4" x14ac:dyDescent="0.4">
      <c r="A153" t="s">
        <v>1270</v>
      </c>
      <c r="B153" t="s">
        <v>8946</v>
      </c>
      <c r="C153" t="s">
        <v>8827</v>
      </c>
      <c r="D153" t="s">
        <v>9184</v>
      </c>
    </row>
    <row r="154" spans="1:4" x14ac:dyDescent="0.4">
      <c r="A154" t="s">
        <v>1273</v>
      </c>
      <c r="B154" t="s">
        <v>8946</v>
      </c>
      <c r="C154" t="s">
        <v>8828</v>
      </c>
      <c r="D154" t="s">
        <v>9184</v>
      </c>
    </row>
    <row r="155" spans="1:4" x14ac:dyDescent="0.4">
      <c r="A155" t="s">
        <v>969</v>
      </c>
      <c r="B155" t="s">
        <v>8946</v>
      </c>
      <c r="C155" t="s">
        <v>8829</v>
      </c>
      <c r="D155" t="s">
        <v>9184</v>
      </c>
    </row>
    <row r="156" spans="1:4" x14ac:dyDescent="0.4">
      <c r="A156" t="s">
        <v>977</v>
      </c>
      <c r="B156" t="s">
        <v>8946</v>
      </c>
      <c r="C156" t="s">
        <v>8830</v>
      </c>
      <c r="D156" t="s">
        <v>9184</v>
      </c>
    </row>
    <row r="157" spans="1:4" x14ac:dyDescent="0.4">
      <c r="A157" t="s">
        <v>980</v>
      </c>
      <c r="B157" t="s">
        <v>8946</v>
      </c>
      <c r="C157" t="s">
        <v>8831</v>
      </c>
      <c r="D157" t="s">
        <v>9184</v>
      </c>
    </row>
    <row r="158" spans="1:4" x14ac:dyDescent="0.4">
      <c r="A158" t="s">
        <v>984</v>
      </c>
      <c r="B158" t="s">
        <v>8946</v>
      </c>
      <c r="C158" t="s">
        <v>8832</v>
      </c>
      <c r="D158" t="s">
        <v>9184</v>
      </c>
    </row>
    <row r="159" spans="1:4" x14ac:dyDescent="0.4">
      <c r="A159" t="s">
        <v>987</v>
      </c>
      <c r="B159" t="s">
        <v>8946</v>
      </c>
      <c r="C159" t="s">
        <v>8833</v>
      </c>
      <c r="D159" t="s">
        <v>9184</v>
      </c>
    </row>
    <row r="160" spans="1:4" x14ac:dyDescent="0.4">
      <c r="A160" t="s">
        <v>990</v>
      </c>
      <c r="B160" t="s">
        <v>8946</v>
      </c>
      <c r="C160" t="s">
        <v>8834</v>
      </c>
      <c r="D160" t="s">
        <v>9184</v>
      </c>
    </row>
    <row r="161" spans="1:4" x14ac:dyDescent="0.4">
      <c r="A161" t="s">
        <v>993</v>
      </c>
      <c r="B161" t="s">
        <v>8946</v>
      </c>
      <c r="C161" t="s">
        <v>8835</v>
      </c>
      <c r="D161" t="s">
        <v>9184</v>
      </c>
    </row>
    <row r="162" spans="1:4" x14ac:dyDescent="0.4">
      <c r="A162" t="s">
        <v>996</v>
      </c>
      <c r="B162" t="s">
        <v>8946</v>
      </c>
      <c r="C162" t="s">
        <v>8836</v>
      </c>
      <c r="D162" t="s">
        <v>9184</v>
      </c>
    </row>
    <row r="163" spans="1:4" x14ac:dyDescent="0.4">
      <c r="A163" t="s">
        <v>999</v>
      </c>
      <c r="B163" t="s">
        <v>8946</v>
      </c>
      <c r="C163" t="s">
        <v>8837</v>
      </c>
      <c r="D163" t="s">
        <v>9184</v>
      </c>
    </row>
    <row r="164" spans="1:4" x14ac:dyDescent="0.4">
      <c r="A164" t="s">
        <v>1002</v>
      </c>
      <c r="B164" t="s">
        <v>8946</v>
      </c>
      <c r="C164" t="s">
        <v>8838</v>
      </c>
      <c r="D164" t="s">
        <v>9184</v>
      </c>
    </row>
    <row r="165" spans="1:4" x14ac:dyDescent="0.4">
      <c r="A165" t="s">
        <v>1005</v>
      </c>
      <c r="B165" t="s">
        <v>8946</v>
      </c>
      <c r="C165" t="s">
        <v>8839</v>
      </c>
      <c r="D165" t="s">
        <v>9184</v>
      </c>
    </row>
    <row r="166" spans="1:4" x14ac:dyDescent="0.4">
      <c r="A166" t="s">
        <v>1010</v>
      </c>
      <c r="B166" t="s">
        <v>8946</v>
      </c>
      <c r="C166" t="s">
        <v>8840</v>
      </c>
      <c r="D166" t="s">
        <v>9184</v>
      </c>
    </row>
    <row r="167" spans="1:4" x14ac:dyDescent="0.4">
      <c r="A167" t="s">
        <v>1013</v>
      </c>
      <c r="B167" t="s">
        <v>8946</v>
      </c>
      <c r="C167" t="s">
        <v>8841</v>
      </c>
      <c r="D167" t="s">
        <v>9184</v>
      </c>
    </row>
    <row r="168" spans="1:4" x14ac:dyDescent="0.4">
      <c r="A168" t="s">
        <v>1016</v>
      </c>
      <c r="B168" t="s">
        <v>8946</v>
      </c>
      <c r="C168" t="s">
        <v>8842</v>
      </c>
      <c r="D168" t="s">
        <v>9184</v>
      </c>
    </row>
    <row r="169" spans="1:4" x14ac:dyDescent="0.4">
      <c r="A169" t="s">
        <v>1020</v>
      </c>
      <c r="B169" t="s">
        <v>8946</v>
      </c>
      <c r="C169" t="s">
        <v>8843</v>
      </c>
      <c r="D169" t="s">
        <v>9184</v>
      </c>
    </row>
    <row r="170" spans="1:4" x14ac:dyDescent="0.4">
      <c r="A170" t="s">
        <v>1025</v>
      </c>
      <c r="B170" t="s">
        <v>8946</v>
      </c>
      <c r="C170" t="s">
        <v>8844</v>
      </c>
      <c r="D170" t="s">
        <v>9184</v>
      </c>
    </row>
    <row r="171" spans="1:4" x14ac:dyDescent="0.4">
      <c r="A171" t="s">
        <v>1028</v>
      </c>
      <c r="B171" t="s">
        <v>8946</v>
      </c>
      <c r="C171" t="s">
        <v>8845</v>
      </c>
      <c r="D171" t="s">
        <v>9184</v>
      </c>
    </row>
    <row r="172" spans="1:4" x14ac:dyDescent="0.4">
      <c r="A172" t="s">
        <v>1031</v>
      </c>
      <c r="B172" t="s">
        <v>8946</v>
      </c>
      <c r="C172" t="s">
        <v>8846</v>
      </c>
      <c r="D172" t="s">
        <v>9184</v>
      </c>
    </row>
    <row r="173" spans="1:4" x14ac:dyDescent="0.4">
      <c r="A173" t="s">
        <v>1035</v>
      </c>
      <c r="B173" t="s">
        <v>8946</v>
      </c>
      <c r="C173" t="s">
        <v>8847</v>
      </c>
      <c r="D173" t="s">
        <v>9184</v>
      </c>
    </row>
    <row r="174" spans="1:4" x14ac:dyDescent="0.4">
      <c r="A174" t="s">
        <v>1038</v>
      </c>
      <c r="B174" t="s">
        <v>8946</v>
      </c>
      <c r="C174" t="s">
        <v>8848</v>
      </c>
      <c r="D174" t="s">
        <v>9184</v>
      </c>
    </row>
    <row r="175" spans="1:4" x14ac:dyDescent="0.4">
      <c r="A175" t="s">
        <v>1041</v>
      </c>
      <c r="B175" t="s">
        <v>8946</v>
      </c>
      <c r="C175" t="s">
        <v>8849</v>
      </c>
      <c r="D175" t="s">
        <v>9184</v>
      </c>
    </row>
    <row r="176" spans="1:4" x14ac:dyDescent="0.4">
      <c r="A176" t="s">
        <v>1046</v>
      </c>
      <c r="B176" t="s">
        <v>8946</v>
      </c>
      <c r="C176" t="s">
        <v>8850</v>
      </c>
      <c r="D176" t="s">
        <v>9184</v>
      </c>
    </row>
    <row r="177" spans="1:4" x14ac:dyDescent="0.4">
      <c r="A177" t="s">
        <v>1050</v>
      </c>
      <c r="B177" t="s">
        <v>8946</v>
      </c>
      <c r="C177" t="s">
        <v>8851</v>
      </c>
      <c r="D177" t="s">
        <v>9184</v>
      </c>
    </row>
    <row r="178" spans="1:4" x14ac:dyDescent="0.4">
      <c r="A178" t="s">
        <v>1055</v>
      </c>
      <c r="B178" t="s">
        <v>8946</v>
      </c>
      <c r="C178" t="s">
        <v>8852</v>
      </c>
      <c r="D178" t="s">
        <v>9184</v>
      </c>
    </row>
    <row r="179" spans="1:4" x14ac:dyDescent="0.4">
      <c r="A179" t="s">
        <v>1059</v>
      </c>
      <c r="B179" t="s">
        <v>8946</v>
      </c>
      <c r="C179" t="s">
        <v>8853</v>
      </c>
      <c r="D179" t="s">
        <v>9184</v>
      </c>
    </row>
    <row r="180" spans="1:4" x14ac:dyDescent="0.4">
      <c r="A180" t="s">
        <v>1062</v>
      </c>
      <c r="B180" t="s">
        <v>8946</v>
      </c>
      <c r="C180" t="s">
        <v>8854</v>
      </c>
      <c r="D180" t="s">
        <v>9184</v>
      </c>
    </row>
    <row r="181" spans="1:4" x14ac:dyDescent="0.4">
      <c r="A181" t="s">
        <v>1065</v>
      </c>
      <c r="B181" t="s">
        <v>8946</v>
      </c>
      <c r="C181" t="s">
        <v>8855</v>
      </c>
      <c r="D181" t="s">
        <v>9184</v>
      </c>
    </row>
    <row r="182" spans="1:4" x14ac:dyDescent="0.4">
      <c r="A182" t="s">
        <v>1068</v>
      </c>
      <c r="B182" t="s">
        <v>8946</v>
      </c>
      <c r="C182" t="s">
        <v>8856</v>
      </c>
      <c r="D182" t="s">
        <v>9184</v>
      </c>
    </row>
    <row r="183" spans="1:4" x14ac:dyDescent="0.4">
      <c r="A183" t="s">
        <v>1071</v>
      </c>
      <c r="B183" t="s">
        <v>8946</v>
      </c>
      <c r="C183" t="s">
        <v>8857</v>
      </c>
      <c r="D183" t="s">
        <v>9184</v>
      </c>
    </row>
    <row r="184" spans="1:4" x14ac:dyDescent="0.4">
      <c r="A184" t="s">
        <v>1074</v>
      </c>
      <c r="B184" t="s">
        <v>8946</v>
      </c>
      <c r="C184" t="s">
        <v>8858</v>
      </c>
      <c r="D184" t="s">
        <v>9184</v>
      </c>
    </row>
    <row r="185" spans="1:4" x14ac:dyDescent="0.4">
      <c r="A185" t="s">
        <v>2377</v>
      </c>
      <c r="B185" t="s">
        <v>8946</v>
      </c>
      <c r="C185" t="s">
        <v>8859</v>
      </c>
      <c r="D185" t="s">
        <v>9184</v>
      </c>
    </row>
    <row r="186" spans="1:4" x14ac:dyDescent="0.4">
      <c r="A186" t="s">
        <v>2383</v>
      </c>
      <c r="B186" t="s">
        <v>8946</v>
      </c>
      <c r="C186" t="s">
        <v>8860</v>
      </c>
      <c r="D186" t="s">
        <v>9184</v>
      </c>
    </row>
    <row r="187" spans="1:4" x14ac:dyDescent="0.4">
      <c r="A187" t="s">
        <v>2387</v>
      </c>
      <c r="B187" t="s">
        <v>8946</v>
      </c>
      <c r="C187" t="s">
        <v>8861</v>
      </c>
      <c r="D187" t="s">
        <v>9184</v>
      </c>
    </row>
    <row r="188" spans="1:4" x14ac:dyDescent="0.4">
      <c r="A188" t="s">
        <v>2391</v>
      </c>
      <c r="B188" t="s">
        <v>8946</v>
      </c>
      <c r="C188" t="s">
        <v>8862</v>
      </c>
      <c r="D188" t="s">
        <v>9184</v>
      </c>
    </row>
    <row r="189" spans="1:4" x14ac:dyDescent="0.4">
      <c r="A189" t="s">
        <v>2394</v>
      </c>
      <c r="B189" t="s">
        <v>8946</v>
      </c>
      <c r="C189" t="s">
        <v>8863</v>
      </c>
      <c r="D189" t="s">
        <v>9184</v>
      </c>
    </row>
    <row r="190" spans="1:4" x14ac:dyDescent="0.4">
      <c r="A190" t="s">
        <v>2398</v>
      </c>
      <c r="B190" t="s">
        <v>8946</v>
      </c>
      <c r="C190" t="s">
        <v>8864</v>
      </c>
      <c r="D190" t="s">
        <v>9184</v>
      </c>
    </row>
    <row r="191" spans="1:4" x14ac:dyDescent="0.4">
      <c r="A191" t="s">
        <v>2045</v>
      </c>
      <c r="B191" t="s">
        <v>8946</v>
      </c>
      <c r="C191" t="s">
        <v>8865</v>
      </c>
      <c r="D191" t="s">
        <v>9184</v>
      </c>
    </row>
    <row r="192" spans="1:4" x14ac:dyDescent="0.4">
      <c r="A192" t="s">
        <v>2052</v>
      </c>
      <c r="B192" t="s">
        <v>8946</v>
      </c>
      <c r="C192" t="s">
        <v>8866</v>
      </c>
      <c r="D192" t="s">
        <v>9184</v>
      </c>
    </row>
    <row r="193" spans="1:4" x14ac:dyDescent="0.4">
      <c r="A193" t="s">
        <v>2056</v>
      </c>
      <c r="B193" t="s">
        <v>8946</v>
      </c>
      <c r="C193" t="s">
        <v>8867</v>
      </c>
      <c r="D193" t="s">
        <v>9184</v>
      </c>
    </row>
    <row r="194" spans="1:4" x14ac:dyDescent="0.4">
      <c r="A194" t="s">
        <v>2059</v>
      </c>
      <c r="B194" t="s">
        <v>8946</v>
      </c>
      <c r="C194" t="s">
        <v>8868</v>
      </c>
      <c r="D194" t="s">
        <v>9184</v>
      </c>
    </row>
    <row r="195" spans="1:4" x14ac:dyDescent="0.4">
      <c r="A195" t="s">
        <v>2062</v>
      </c>
      <c r="B195" t="s">
        <v>8946</v>
      </c>
      <c r="C195" t="s">
        <v>8869</v>
      </c>
      <c r="D195" t="s">
        <v>9184</v>
      </c>
    </row>
    <row r="196" spans="1:4" x14ac:dyDescent="0.4">
      <c r="A196" t="s">
        <v>2065</v>
      </c>
      <c r="B196" t="s">
        <v>8946</v>
      </c>
      <c r="C196" t="s">
        <v>8870</v>
      </c>
      <c r="D196" t="s">
        <v>9184</v>
      </c>
    </row>
    <row r="197" spans="1:4" x14ac:dyDescent="0.4">
      <c r="A197" t="s">
        <v>2068</v>
      </c>
      <c r="B197" t="s">
        <v>8946</v>
      </c>
      <c r="C197" t="s">
        <v>8871</v>
      </c>
      <c r="D197" t="s">
        <v>9184</v>
      </c>
    </row>
    <row r="198" spans="1:4" x14ac:dyDescent="0.4">
      <c r="A198" t="s">
        <v>2071</v>
      </c>
      <c r="B198" t="s">
        <v>8946</v>
      </c>
      <c r="C198" t="s">
        <v>8872</v>
      </c>
      <c r="D198" t="s">
        <v>9184</v>
      </c>
    </row>
    <row r="199" spans="1:4" x14ac:dyDescent="0.4">
      <c r="A199" t="s">
        <v>2074</v>
      </c>
      <c r="B199" t="s">
        <v>8946</v>
      </c>
      <c r="C199" t="s">
        <v>8873</v>
      </c>
      <c r="D199" t="s">
        <v>9184</v>
      </c>
    </row>
    <row r="200" spans="1:4" x14ac:dyDescent="0.4">
      <c r="A200" t="s">
        <v>2077</v>
      </c>
      <c r="B200" t="s">
        <v>8946</v>
      </c>
      <c r="C200" t="s">
        <v>8874</v>
      </c>
      <c r="D200" t="s">
        <v>9184</v>
      </c>
    </row>
    <row r="201" spans="1:4" x14ac:dyDescent="0.4">
      <c r="A201" t="s">
        <v>1629</v>
      </c>
      <c r="B201" t="s">
        <v>8946</v>
      </c>
      <c r="C201" t="s">
        <v>8875</v>
      </c>
      <c r="D201" t="s">
        <v>9184</v>
      </c>
    </row>
    <row r="202" spans="1:4" x14ac:dyDescent="0.4">
      <c r="A202" t="s">
        <v>1635</v>
      </c>
      <c r="B202" t="s">
        <v>8946</v>
      </c>
      <c r="C202" t="s">
        <v>8876</v>
      </c>
      <c r="D202" t="s">
        <v>9184</v>
      </c>
    </row>
    <row r="203" spans="1:4" x14ac:dyDescent="0.4">
      <c r="A203" t="s">
        <v>1639</v>
      </c>
      <c r="B203" t="s">
        <v>8946</v>
      </c>
      <c r="C203" t="s">
        <v>8877</v>
      </c>
      <c r="D203" t="s">
        <v>9184</v>
      </c>
    </row>
    <row r="204" spans="1:4" x14ac:dyDescent="0.4">
      <c r="A204" t="s">
        <v>1642</v>
      </c>
      <c r="B204" t="s">
        <v>8946</v>
      </c>
      <c r="C204" t="s">
        <v>8878</v>
      </c>
      <c r="D204" t="s">
        <v>9184</v>
      </c>
    </row>
    <row r="205" spans="1:4" x14ac:dyDescent="0.4">
      <c r="A205" t="s">
        <v>1646</v>
      </c>
      <c r="B205" t="s">
        <v>8946</v>
      </c>
      <c r="C205" t="s">
        <v>8879</v>
      </c>
      <c r="D205" t="s">
        <v>9184</v>
      </c>
    </row>
    <row r="206" spans="1:4" x14ac:dyDescent="0.4">
      <c r="A206" t="s">
        <v>1649</v>
      </c>
      <c r="B206" t="s">
        <v>8946</v>
      </c>
      <c r="C206" t="s">
        <v>8880</v>
      </c>
      <c r="D206" t="s">
        <v>9184</v>
      </c>
    </row>
    <row r="207" spans="1:4" x14ac:dyDescent="0.4">
      <c r="A207" t="s">
        <v>524</v>
      </c>
      <c r="B207" t="s">
        <v>8946</v>
      </c>
      <c r="C207" t="s">
        <v>8881</v>
      </c>
      <c r="D207" t="s">
        <v>9184</v>
      </c>
    </row>
    <row r="208" spans="1:4" x14ac:dyDescent="0.4">
      <c r="A208" t="s">
        <v>533</v>
      </c>
      <c r="B208" t="s">
        <v>8946</v>
      </c>
      <c r="C208" t="s">
        <v>8883</v>
      </c>
      <c r="D208" t="s">
        <v>9184</v>
      </c>
    </row>
    <row r="209" spans="1:4" x14ac:dyDescent="0.4">
      <c r="A209" t="s">
        <v>539</v>
      </c>
      <c r="B209" t="s">
        <v>8946</v>
      </c>
      <c r="C209" t="s">
        <v>8885</v>
      </c>
      <c r="D209" t="s">
        <v>9184</v>
      </c>
    </row>
    <row r="210" spans="1:4" x14ac:dyDescent="0.4">
      <c r="A210" t="s">
        <v>542</v>
      </c>
      <c r="B210" t="s">
        <v>8946</v>
      </c>
      <c r="C210" t="s">
        <v>8886</v>
      </c>
      <c r="D210" t="s">
        <v>9184</v>
      </c>
    </row>
    <row r="211" spans="1:4" x14ac:dyDescent="0.4">
      <c r="A211" t="s">
        <v>545</v>
      </c>
      <c r="B211" t="s">
        <v>8946</v>
      </c>
      <c r="C211" t="s">
        <v>8887</v>
      </c>
      <c r="D211" t="s">
        <v>9184</v>
      </c>
    </row>
    <row r="212" spans="1:4" x14ac:dyDescent="0.4">
      <c r="A212" t="s">
        <v>548</v>
      </c>
      <c r="B212" t="s">
        <v>8946</v>
      </c>
      <c r="C212" t="s">
        <v>8888</v>
      </c>
      <c r="D212" t="s">
        <v>9184</v>
      </c>
    </row>
    <row r="213" spans="1:4" x14ac:dyDescent="0.4">
      <c r="A213" t="s">
        <v>551</v>
      </c>
      <c r="B213" t="s">
        <v>8946</v>
      </c>
      <c r="C213" t="s">
        <v>8889</v>
      </c>
      <c r="D213" t="s">
        <v>9184</v>
      </c>
    </row>
    <row r="214" spans="1:4" x14ac:dyDescent="0.4">
      <c r="A214" t="s">
        <v>554</v>
      </c>
      <c r="B214" t="s">
        <v>8946</v>
      </c>
      <c r="C214" t="s">
        <v>8890</v>
      </c>
      <c r="D214" t="s">
        <v>9184</v>
      </c>
    </row>
    <row r="215" spans="1:4" x14ac:dyDescent="0.4">
      <c r="A215" t="s">
        <v>1317</v>
      </c>
      <c r="B215" t="s">
        <v>8946</v>
      </c>
      <c r="C215" t="s">
        <v>8895</v>
      </c>
      <c r="D215" t="s">
        <v>9184</v>
      </c>
    </row>
    <row r="216" spans="1:4" x14ac:dyDescent="0.4">
      <c r="A216" t="s">
        <v>1324</v>
      </c>
      <c r="B216" t="s">
        <v>8946</v>
      </c>
      <c r="C216" t="s">
        <v>8896</v>
      </c>
      <c r="D216" t="s">
        <v>9184</v>
      </c>
    </row>
    <row r="217" spans="1:4" x14ac:dyDescent="0.4">
      <c r="A217" t="s">
        <v>1327</v>
      </c>
      <c r="B217" t="s">
        <v>8946</v>
      </c>
      <c r="C217" t="s">
        <v>8897</v>
      </c>
      <c r="D217" t="s">
        <v>9184</v>
      </c>
    </row>
    <row r="218" spans="1:4" x14ac:dyDescent="0.4">
      <c r="A218" t="s">
        <v>1330</v>
      </c>
      <c r="B218" t="s">
        <v>8946</v>
      </c>
      <c r="C218" t="s">
        <v>8898</v>
      </c>
      <c r="D218" t="s">
        <v>9184</v>
      </c>
    </row>
    <row r="219" spans="1:4" x14ac:dyDescent="0.4">
      <c r="A219" t="s">
        <v>1333</v>
      </c>
      <c r="B219" t="s">
        <v>8946</v>
      </c>
      <c r="C219" t="s">
        <v>8899</v>
      </c>
      <c r="D219" t="s">
        <v>9184</v>
      </c>
    </row>
    <row r="220" spans="1:4" x14ac:dyDescent="0.4">
      <c r="A220" t="s">
        <v>1336</v>
      </c>
      <c r="B220" t="s">
        <v>8946</v>
      </c>
      <c r="C220" t="s">
        <v>8900</v>
      </c>
      <c r="D220" t="s">
        <v>9184</v>
      </c>
    </row>
    <row r="221" spans="1:4" x14ac:dyDescent="0.4">
      <c r="A221" t="s">
        <v>1339</v>
      </c>
      <c r="B221" t="s">
        <v>8946</v>
      </c>
      <c r="C221" t="s">
        <v>8901</v>
      </c>
      <c r="D221" t="s">
        <v>9184</v>
      </c>
    </row>
    <row r="222" spans="1:4" x14ac:dyDescent="0.4">
      <c r="A222" t="s">
        <v>1342</v>
      </c>
      <c r="B222" t="s">
        <v>8946</v>
      </c>
      <c r="C222" t="s">
        <v>8902</v>
      </c>
      <c r="D222" t="s">
        <v>9184</v>
      </c>
    </row>
    <row r="223" spans="1:4" x14ac:dyDescent="0.4">
      <c r="A223" t="s">
        <v>1345</v>
      </c>
      <c r="B223" t="s">
        <v>8946</v>
      </c>
      <c r="C223" t="s">
        <v>8903</v>
      </c>
      <c r="D223" t="s">
        <v>9184</v>
      </c>
    </row>
    <row r="224" spans="1:4" x14ac:dyDescent="0.4">
      <c r="A224" t="s">
        <v>1348</v>
      </c>
      <c r="B224" t="s">
        <v>8946</v>
      </c>
      <c r="C224" t="s">
        <v>8904</v>
      </c>
      <c r="D224" t="s">
        <v>9184</v>
      </c>
    </row>
    <row r="225" spans="1:4" x14ac:dyDescent="0.4">
      <c r="A225" t="s">
        <v>1354</v>
      </c>
      <c r="B225" t="s">
        <v>8946</v>
      </c>
      <c r="C225" t="s">
        <v>8905</v>
      </c>
      <c r="D225" t="s">
        <v>9184</v>
      </c>
    </row>
    <row r="226" spans="1:4" x14ac:dyDescent="0.4">
      <c r="A226" t="s">
        <v>1357</v>
      </c>
      <c r="B226" t="s">
        <v>8946</v>
      </c>
      <c r="C226" t="s">
        <v>8906</v>
      </c>
      <c r="D226" t="s">
        <v>9184</v>
      </c>
    </row>
    <row r="227" spans="1:4" x14ac:dyDescent="0.4">
      <c r="A227" t="s">
        <v>1360</v>
      </c>
      <c r="B227" t="s">
        <v>8946</v>
      </c>
      <c r="C227" t="s">
        <v>8907</v>
      </c>
      <c r="D227" t="s">
        <v>9184</v>
      </c>
    </row>
    <row r="228" spans="1:4" x14ac:dyDescent="0.4">
      <c r="A228" t="s">
        <v>1363</v>
      </c>
      <c r="B228" t="s">
        <v>8946</v>
      </c>
      <c r="C228" t="s">
        <v>8908</v>
      </c>
      <c r="D228" t="s">
        <v>9184</v>
      </c>
    </row>
    <row r="229" spans="1:4" x14ac:dyDescent="0.4">
      <c r="A229" t="s">
        <v>1366</v>
      </c>
      <c r="B229" t="s">
        <v>8946</v>
      </c>
      <c r="C229" t="s">
        <v>8909</v>
      </c>
      <c r="D229" t="s">
        <v>9184</v>
      </c>
    </row>
    <row r="230" spans="1:4" x14ac:dyDescent="0.4">
      <c r="A230" t="s">
        <v>1369</v>
      </c>
      <c r="B230" t="s">
        <v>8946</v>
      </c>
      <c r="C230" t="s">
        <v>8910</v>
      </c>
      <c r="D230" t="s">
        <v>9184</v>
      </c>
    </row>
    <row r="231" spans="1:4" x14ac:dyDescent="0.4">
      <c r="A231" t="s">
        <v>1372</v>
      </c>
      <c r="B231" t="s">
        <v>8946</v>
      </c>
      <c r="C231" t="s">
        <v>8911</v>
      </c>
      <c r="D231" t="s">
        <v>9184</v>
      </c>
    </row>
    <row r="232" spans="1:4" x14ac:dyDescent="0.4">
      <c r="A232" t="s">
        <v>1375</v>
      </c>
      <c r="B232" t="s">
        <v>8946</v>
      </c>
      <c r="C232" t="s">
        <v>8912</v>
      </c>
      <c r="D232" t="s">
        <v>9184</v>
      </c>
    </row>
    <row r="233" spans="1:4" x14ac:dyDescent="0.4">
      <c r="A233" t="s">
        <v>1379</v>
      </c>
      <c r="B233" t="s">
        <v>8946</v>
      </c>
      <c r="C233" t="s">
        <v>8913</v>
      </c>
      <c r="D233" t="s">
        <v>9184</v>
      </c>
    </row>
    <row r="234" spans="1:4" x14ac:dyDescent="0.4">
      <c r="A234" t="s">
        <v>1382</v>
      </c>
      <c r="B234" t="s">
        <v>8946</v>
      </c>
      <c r="C234" t="s">
        <v>8914</v>
      </c>
      <c r="D234" t="s">
        <v>9184</v>
      </c>
    </row>
    <row r="235" spans="1:4" x14ac:dyDescent="0.4">
      <c r="A235" t="s">
        <v>1897</v>
      </c>
      <c r="B235" t="s">
        <v>8946</v>
      </c>
      <c r="C235" t="s">
        <v>8916</v>
      </c>
      <c r="D235" t="s">
        <v>9184</v>
      </c>
    </row>
    <row r="236" spans="1:4" x14ac:dyDescent="0.4">
      <c r="A236" t="s">
        <v>1900</v>
      </c>
      <c r="B236" t="s">
        <v>8946</v>
      </c>
      <c r="C236" t="s">
        <v>8917</v>
      </c>
      <c r="D236" t="s">
        <v>9184</v>
      </c>
    </row>
    <row r="237" spans="1:4" x14ac:dyDescent="0.4">
      <c r="A237" t="s">
        <v>1903</v>
      </c>
      <c r="B237" t="s">
        <v>8946</v>
      </c>
      <c r="C237" t="s">
        <v>8918</v>
      </c>
      <c r="D237" t="s">
        <v>9184</v>
      </c>
    </row>
    <row r="238" spans="1:4" x14ac:dyDescent="0.4">
      <c r="A238" t="s">
        <v>1906</v>
      </c>
      <c r="B238" t="s">
        <v>8946</v>
      </c>
      <c r="C238" t="s">
        <v>8919</v>
      </c>
      <c r="D238" t="s">
        <v>9184</v>
      </c>
    </row>
    <row r="239" spans="1:4" x14ac:dyDescent="0.4">
      <c r="A239" t="s">
        <v>1912</v>
      </c>
      <c r="B239" t="s">
        <v>8946</v>
      </c>
      <c r="C239" t="s">
        <v>8920</v>
      </c>
      <c r="D239" t="s">
        <v>9184</v>
      </c>
    </row>
    <row r="240" spans="1:4" x14ac:dyDescent="0.4">
      <c r="A240" t="s">
        <v>1915</v>
      </c>
      <c r="B240" t="s">
        <v>8946</v>
      </c>
      <c r="C240" t="s">
        <v>8921</v>
      </c>
      <c r="D240" t="s">
        <v>9184</v>
      </c>
    </row>
    <row r="241" spans="1:4" x14ac:dyDescent="0.4">
      <c r="A241" t="s">
        <v>1918</v>
      </c>
      <c r="B241" t="s">
        <v>8946</v>
      </c>
      <c r="C241" t="s">
        <v>8922</v>
      </c>
      <c r="D241" t="s">
        <v>9184</v>
      </c>
    </row>
    <row r="242" spans="1:4" x14ac:dyDescent="0.4">
      <c r="A242" t="s">
        <v>1921</v>
      </c>
      <c r="B242" t="s">
        <v>8946</v>
      </c>
      <c r="C242" t="s">
        <v>8923</v>
      </c>
      <c r="D242" t="s">
        <v>9184</v>
      </c>
    </row>
    <row r="243" spans="1:4" x14ac:dyDescent="0.4">
      <c r="A243" t="s">
        <v>1924</v>
      </c>
      <c r="B243" t="s">
        <v>8946</v>
      </c>
      <c r="C243" t="s">
        <v>8924</v>
      </c>
      <c r="D243" t="s">
        <v>9184</v>
      </c>
    </row>
    <row r="244" spans="1:4" x14ac:dyDescent="0.4">
      <c r="A244" t="s">
        <v>1929</v>
      </c>
      <c r="B244" t="s">
        <v>8946</v>
      </c>
      <c r="C244" t="s">
        <v>8925</v>
      </c>
      <c r="D244" t="s">
        <v>9184</v>
      </c>
    </row>
    <row r="245" spans="1:4" x14ac:dyDescent="0.4">
      <c r="A245" t="s">
        <v>1932</v>
      </c>
      <c r="B245" t="s">
        <v>8946</v>
      </c>
      <c r="C245" t="s">
        <v>8926</v>
      </c>
      <c r="D245" t="s">
        <v>9184</v>
      </c>
    </row>
    <row r="246" spans="1:4" x14ac:dyDescent="0.4">
      <c r="A246" t="s">
        <v>1935</v>
      </c>
      <c r="B246" t="s">
        <v>8946</v>
      </c>
      <c r="C246" t="s">
        <v>8927</v>
      </c>
      <c r="D246" t="s">
        <v>9184</v>
      </c>
    </row>
    <row r="247" spans="1:4" x14ac:dyDescent="0.4">
      <c r="A247" t="s">
        <v>1938</v>
      </c>
      <c r="B247" t="s">
        <v>8946</v>
      </c>
      <c r="C247" t="s">
        <v>8928</v>
      </c>
      <c r="D247" t="s">
        <v>9184</v>
      </c>
    </row>
    <row r="248" spans="1:4" x14ac:dyDescent="0.4">
      <c r="A248" t="s">
        <v>1941</v>
      </c>
      <c r="B248" t="s">
        <v>8946</v>
      </c>
      <c r="C248" t="s">
        <v>8929</v>
      </c>
      <c r="D248" t="s">
        <v>9184</v>
      </c>
    </row>
    <row r="249" spans="1:4" x14ac:dyDescent="0.4">
      <c r="A249" t="s">
        <v>1944</v>
      </c>
      <c r="B249" t="s">
        <v>8946</v>
      </c>
      <c r="C249" t="s">
        <v>8930</v>
      </c>
      <c r="D249" t="s">
        <v>9184</v>
      </c>
    </row>
    <row r="250" spans="1:4" x14ac:dyDescent="0.4">
      <c r="A250" t="s">
        <v>1947</v>
      </c>
      <c r="B250" t="s">
        <v>8946</v>
      </c>
      <c r="C250" t="s">
        <v>8931</v>
      </c>
      <c r="D250" t="s">
        <v>9184</v>
      </c>
    </row>
    <row r="251" spans="1:4" x14ac:dyDescent="0.4">
      <c r="A251" t="s">
        <v>1950</v>
      </c>
      <c r="B251" t="s">
        <v>8946</v>
      </c>
      <c r="C251" t="s">
        <v>8932</v>
      </c>
      <c r="D251" t="s">
        <v>9184</v>
      </c>
    </row>
    <row r="252" spans="1:4" x14ac:dyDescent="0.4">
      <c r="A252" t="s">
        <v>1953</v>
      </c>
      <c r="B252" t="s">
        <v>8946</v>
      </c>
      <c r="C252" t="s">
        <v>8933</v>
      </c>
      <c r="D252" t="s">
        <v>9184</v>
      </c>
    </row>
    <row r="253" spans="1:4" x14ac:dyDescent="0.4">
      <c r="A253" t="s">
        <v>557</v>
      </c>
      <c r="B253" t="s">
        <v>8946</v>
      </c>
      <c r="C253" t="s">
        <v>8934</v>
      </c>
      <c r="D253" t="s">
        <v>9184</v>
      </c>
    </row>
    <row r="254" spans="1:4" x14ac:dyDescent="0.4">
      <c r="A254" t="s">
        <v>568</v>
      </c>
      <c r="B254" t="s">
        <v>8946</v>
      </c>
      <c r="C254" t="s">
        <v>8936</v>
      </c>
      <c r="D254" t="s">
        <v>9184</v>
      </c>
    </row>
    <row r="255" spans="1:4" x14ac:dyDescent="0.4">
      <c r="A255" t="s">
        <v>574</v>
      </c>
      <c r="B255" t="s">
        <v>8946</v>
      </c>
      <c r="C255" t="s">
        <v>8938</v>
      </c>
      <c r="D255" t="s">
        <v>9184</v>
      </c>
    </row>
    <row r="256" spans="1:4" x14ac:dyDescent="0.4">
      <c r="A256" t="s">
        <v>577</v>
      </c>
      <c r="B256" t="s">
        <v>8946</v>
      </c>
      <c r="C256" t="s">
        <v>8939</v>
      </c>
      <c r="D256" t="s">
        <v>9184</v>
      </c>
    </row>
    <row r="257" spans="1:4" x14ac:dyDescent="0.4">
      <c r="A257" t="s">
        <v>583</v>
      </c>
      <c r="B257" t="s">
        <v>8946</v>
      </c>
      <c r="C257" t="s">
        <v>8941</v>
      </c>
      <c r="D257" t="s">
        <v>9184</v>
      </c>
    </row>
    <row r="258" spans="1:4" x14ac:dyDescent="0.4">
      <c r="A258" t="s">
        <v>626</v>
      </c>
      <c r="B258" t="s">
        <v>8946</v>
      </c>
      <c r="C258" t="s">
        <v>8943</v>
      </c>
      <c r="D258" t="s">
        <v>9184</v>
      </c>
    </row>
    <row r="259" spans="1:4" x14ac:dyDescent="0.4">
      <c r="A259" t="s">
        <v>2135</v>
      </c>
      <c r="B259" t="s">
        <v>8946</v>
      </c>
      <c r="C259" t="s">
        <v>8691</v>
      </c>
      <c r="D259" t="s">
        <v>9186</v>
      </c>
    </row>
    <row r="260" spans="1:4" x14ac:dyDescent="0.4">
      <c r="A260" t="s">
        <v>494</v>
      </c>
      <c r="B260" t="s">
        <v>8946</v>
      </c>
      <c r="C260" t="s">
        <v>8812</v>
      </c>
      <c r="D260" t="s">
        <v>9186</v>
      </c>
    </row>
    <row r="261" spans="1:4" x14ac:dyDescent="0.4">
      <c r="A261" t="s">
        <v>692</v>
      </c>
      <c r="B261" t="s">
        <v>8946</v>
      </c>
      <c r="C261" t="s">
        <v>8750</v>
      </c>
      <c r="D261" t="s">
        <v>9186</v>
      </c>
    </row>
    <row r="262" spans="1:4" x14ac:dyDescent="0.4">
      <c r="A262" t="s">
        <v>773</v>
      </c>
      <c r="B262" t="s">
        <v>8946</v>
      </c>
      <c r="C262" t="s">
        <v>8698</v>
      </c>
      <c r="D262" t="s">
        <v>9186</v>
      </c>
    </row>
    <row r="263" spans="1:4" x14ac:dyDescent="0.4">
      <c r="A263" t="s">
        <v>1605</v>
      </c>
      <c r="B263" t="s">
        <v>8946</v>
      </c>
      <c r="C263" t="s">
        <v>8667</v>
      </c>
      <c r="D263" t="s">
        <v>9186</v>
      </c>
    </row>
    <row r="264" spans="1:4" x14ac:dyDescent="0.4">
      <c r="A264" s="15" t="s">
        <v>2562</v>
      </c>
      <c r="B264" t="s">
        <v>8946</v>
      </c>
      <c r="C264" s="15" t="s">
        <v>8618</v>
      </c>
      <c r="D264" t="s">
        <v>9185</v>
      </c>
    </row>
    <row r="265" spans="1:4" x14ac:dyDescent="0.4">
      <c r="A265" t="s">
        <v>2575</v>
      </c>
      <c r="B265" t="s">
        <v>8946</v>
      </c>
      <c r="C265" t="s">
        <v>8579</v>
      </c>
      <c r="D265" t="s">
        <v>9185</v>
      </c>
    </row>
    <row r="266" spans="1:4" x14ac:dyDescent="0.4">
      <c r="A266" t="s">
        <v>2568</v>
      </c>
      <c r="B266" t="s">
        <v>8946</v>
      </c>
      <c r="C266" t="s">
        <v>8582</v>
      </c>
      <c r="D266" t="s">
        <v>9185</v>
      </c>
    </row>
    <row r="267" spans="1:4" x14ac:dyDescent="0.4">
      <c r="A267" t="s">
        <v>2571</v>
      </c>
      <c r="B267" t="s">
        <v>8946</v>
      </c>
      <c r="C267" t="s">
        <v>8581</v>
      </c>
      <c r="D267" t="s">
        <v>9185</v>
      </c>
    </row>
    <row r="268" spans="1:4" x14ac:dyDescent="0.4">
      <c r="A268" t="s">
        <v>2573</v>
      </c>
      <c r="B268" t="s">
        <v>8946</v>
      </c>
      <c r="C268" t="s">
        <v>8580</v>
      </c>
      <c r="D268" t="s">
        <v>9185</v>
      </c>
    </row>
    <row r="269" spans="1:4" x14ac:dyDescent="0.4">
      <c r="A269" s="14" t="s">
        <v>448</v>
      </c>
      <c r="B269" t="s">
        <v>8946</v>
      </c>
      <c r="C269" s="14" t="s">
        <v>8807</v>
      </c>
      <c r="D269" t="s">
        <v>9187</v>
      </c>
    </row>
    <row r="270" spans="1:4" x14ac:dyDescent="0.4">
      <c r="A270" t="s">
        <v>363</v>
      </c>
      <c r="B270" t="s">
        <v>8946</v>
      </c>
      <c r="C270" t="s">
        <v>8803</v>
      </c>
      <c r="D270" t="s">
        <v>9187</v>
      </c>
    </row>
    <row r="271" spans="1:4" x14ac:dyDescent="0.4">
      <c r="A271" t="s">
        <v>906</v>
      </c>
      <c r="B271" t="s">
        <v>8946</v>
      </c>
      <c r="C271" t="s">
        <v>8771</v>
      </c>
      <c r="D271" t="s">
        <v>9187</v>
      </c>
    </row>
    <row r="272" spans="1:4" x14ac:dyDescent="0.4">
      <c r="A272" t="s">
        <v>1579</v>
      </c>
      <c r="B272" t="s">
        <v>8946</v>
      </c>
      <c r="C272" t="s">
        <v>8637</v>
      </c>
      <c r="D272" t="s">
        <v>9187</v>
      </c>
    </row>
    <row r="273" spans="1:4" x14ac:dyDescent="0.4">
      <c r="A273" t="s">
        <v>2336</v>
      </c>
      <c r="B273" t="s">
        <v>8946</v>
      </c>
      <c r="C273" t="s">
        <v>8715</v>
      </c>
      <c r="D273" t="s">
        <v>9187</v>
      </c>
    </row>
    <row r="274" spans="1:4" x14ac:dyDescent="0.4">
      <c r="A274" s="14" t="s">
        <v>324</v>
      </c>
      <c r="B274" t="s">
        <v>8946</v>
      </c>
      <c r="C274" s="14" t="s">
        <v>8640</v>
      </c>
      <c r="D274" t="s">
        <v>9188</v>
      </c>
    </row>
    <row r="275" spans="1:4" x14ac:dyDescent="0.4">
      <c r="A275" t="s">
        <v>1397</v>
      </c>
      <c r="B275" t="s">
        <v>8946</v>
      </c>
      <c r="C275" t="s">
        <v>8647</v>
      </c>
      <c r="D275" t="s">
        <v>9188</v>
      </c>
    </row>
    <row r="276" spans="1:4" x14ac:dyDescent="0.4">
      <c r="A276" t="s">
        <v>858</v>
      </c>
      <c r="B276" t="s">
        <v>8946</v>
      </c>
      <c r="C276" t="s">
        <v>8574</v>
      </c>
      <c r="D276" t="s">
        <v>9188</v>
      </c>
    </row>
    <row r="277" spans="1:4" x14ac:dyDescent="0.4">
      <c r="A277" t="s">
        <v>102</v>
      </c>
      <c r="B277" t="s">
        <v>8946</v>
      </c>
      <c r="C277" t="s">
        <v>8784</v>
      </c>
      <c r="D277" t="s">
        <v>9188</v>
      </c>
    </row>
    <row r="278" spans="1:4" x14ac:dyDescent="0.4">
      <c r="A278" t="s">
        <v>844</v>
      </c>
      <c r="B278" t="s">
        <v>8946</v>
      </c>
      <c r="C278" t="s">
        <v>8708</v>
      </c>
      <c r="D278" t="s">
        <v>9188</v>
      </c>
    </row>
    <row r="279" spans="1:4" x14ac:dyDescent="0.4">
      <c r="A279" t="s">
        <v>2027</v>
      </c>
      <c r="B279" t="s">
        <v>8946</v>
      </c>
      <c r="C279" t="s">
        <v>8682</v>
      </c>
      <c r="D279" t="s">
        <v>9189</v>
      </c>
    </row>
    <row r="280" spans="1:4" x14ac:dyDescent="0.4">
      <c r="A280" t="s">
        <v>1608</v>
      </c>
      <c r="B280" t="s">
        <v>8946</v>
      </c>
      <c r="C280" t="s">
        <v>8668</v>
      </c>
      <c r="D280" t="s">
        <v>9189</v>
      </c>
    </row>
    <row r="281" spans="1:4" x14ac:dyDescent="0.4">
      <c r="A281" t="s">
        <v>716</v>
      </c>
      <c r="B281" t="s">
        <v>8946</v>
      </c>
      <c r="C281" t="s">
        <v>8753</v>
      </c>
      <c r="D281" t="s">
        <v>9189</v>
      </c>
    </row>
    <row r="282" spans="1:4" x14ac:dyDescent="0.4">
      <c r="A282" t="s">
        <v>2039</v>
      </c>
      <c r="B282" t="s">
        <v>8946</v>
      </c>
      <c r="C282" t="s">
        <v>8685</v>
      </c>
      <c r="D282" t="s">
        <v>9189</v>
      </c>
    </row>
    <row r="283" spans="1:4" x14ac:dyDescent="0.4">
      <c r="A283" t="s">
        <v>2155</v>
      </c>
      <c r="B283" t="s">
        <v>8946</v>
      </c>
      <c r="C283" t="s">
        <v>8606</v>
      </c>
      <c r="D283" t="s">
        <v>9189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5BF99-523E-4901-8428-3889F1B4CB0B}">
  <dimension ref="A1:C337"/>
  <sheetViews>
    <sheetView workbookViewId="0">
      <selection activeCell="C1" sqref="C1:C337"/>
    </sheetView>
  </sheetViews>
  <sheetFormatPr defaultRowHeight="14.6" x14ac:dyDescent="0.4"/>
  <sheetData>
    <row r="1" spans="1:3" x14ac:dyDescent="0.4">
      <c r="A1" t="s">
        <v>1525</v>
      </c>
      <c r="B1" t="s">
        <v>8626</v>
      </c>
      <c r="C1" t="s">
        <v>9050</v>
      </c>
    </row>
    <row r="2" spans="1:3" x14ac:dyDescent="0.4">
      <c r="A2" t="s">
        <v>1528</v>
      </c>
      <c r="B2" t="s">
        <v>8627</v>
      </c>
      <c r="C2" t="s">
        <v>9050</v>
      </c>
    </row>
    <row r="3" spans="1:3" x14ac:dyDescent="0.4">
      <c r="A3" t="s">
        <v>1531</v>
      </c>
      <c r="B3" t="s">
        <v>8628</v>
      </c>
      <c r="C3" t="s">
        <v>9050</v>
      </c>
    </row>
    <row r="4" spans="1:3" x14ac:dyDescent="0.4">
      <c r="A4" t="s">
        <v>1534</v>
      </c>
      <c r="B4" t="s">
        <v>8629</v>
      </c>
      <c r="C4" t="s">
        <v>9050</v>
      </c>
    </row>
    <row r="5" spans="1:3" x14ac:dyDescent="0.4">
      <c r="A5" t="s">
        <v>1537</v>
      </c>
      <c r="B5" t="s">
        <v>8630</v>
      </c>
      <c r="C5" t="s">
        <v>9050</v>
      </c>
    </row>
    <row r="6" spans="1:3" x14ac:dyDescent="0.4">
      <c r="A6" t="s">
        <v>254</v>
      </c>
      <c r="B6" t="s">
        <v>8631</v>
      </c>
      <c r="C6" t="s">
        <v>9050</v>
      </c>
    </row>
    <row r="7" spans="1:3" x14ac:dyDescent="0.4">
      <c r="A7" t="s">
        <v>265</v>
      </c>
      <c r="B7" t="s">
        <v>8632</v>
      </c>
      <c r="C7" t="s">
        <v>9050</v>
      </c>
    </row>
    <row r="8" spans="1:3" x14ac:dyDescent="0.4">
      <c r="A8" t="s">
        <v>287</v>
      </c>
      <c r="B8" t="s">
        <v>8633</v>
      </c>
      <c r="C8" t="s">
        <v>9050</v>
      </c>
    </row>
    <row r="9" spans="1:3" x14ac:dyDescent="0.4">
      <c r="A9" t="s">
        <v>291</v>
      </c>
      <c r="B9" t="s">
        <v>8634</v>
      </c>
      <c r="C9" t="s">
        <v>9050</v>
      </c>
    </row>
    <row r="10" spans="1:3" x14ac:dyDescent="0.4">
      <c r="A10" t="s">
        <v>299</v>
      </c>
      <c r="B10" t="s">
        <v>8635</v>
      </c>
      <c r="C10" t="s">
        <v>9050</v>
      </c>
    </row>
    <row r="11" spans="1:3" x14ac:dyDescent="0.4">
      <c r="A11" t="s">
        <v>303</v>
      </c>
      <c r="B11" t="s">
        <v>8636</v>
      </c>
      <c r="C11" t="s">
        <v>9050</v>
      </c>
    </row>
    <row r="12" spans="1:3" x14ac:dyDescent="0.4">
      <c r="A12" t="s">
        <v>311</v>
      </c>
      <c r="B12" t="s">
        <v>8638</v>
      </c>
      <c r="C12" t="s">
        <v>9050</v>
      </c>
    </row>
    <row r="13" spans="1:3" x14ac:dyDescent="0.4">
      <c r="A13" t="s">
        <v>321</v>
      </c>
      <c r="B13" t="s">
        <v>8639</v>
      </c>
      <c r="C13" t="s">
        <v>9050</v>
      </c>
    </row>
    <row r="14" spans="1:3" x14ac:dyDescent="0.4">
      <c r="A14" t="s">
        <v>330</v>
      </c>
      <c r="B14" t="s">
        <v>8641</v>
      </c>
      <c r="C14" t="s">
        <v>9050</v>
      </c>
    </row>
    <row r="15" spans="1:3" x14ac:dyDescent="0.4">
      <c r="A15" t="s">
        <v>333</v>
      </c>
      <c r="B15" t="s">
        <v>8642</v>
      </c>
      <c r="C15" t="s">
        <v>9050</v>
      </c>
    </row>
    <row r="16" spans="1:3" x14ac:dyDescent="0.4">
      <c r="A16" t="s">
        <v>339</v>
      </c>
      <c r="B16" t="s">
        <v>8643</v>
      </c>
      <c r="C16" t="s">
        <v>9050</v>
      </c>
    </row>
    <row r="17" spans="1:3" x14ac:dyDescent="0.4">
      <c r="A17" t="s">
        <v>1385</v>
      </c>
      <c r="B17" t="s">
        <v>8644</v>
      </c>
      <c r="C17" t="s">
        <v>9050</v>
      </c>
    </row>
    <row r="18" spans="1:3" x14ac:dyDescent="0.4">
      <c r="A18" t="s">
        <v>1391</v>
      </c>
      <c r="B18" t="s">
        <v>8645</v>
      </c>
      <c r="C18" t="s">
        <v>9050</v>
      </c>
    </row>
    <row r="19" spans="1:3" x14ac:dyDescent="0.4">
      <c r="A19" t="s">
        <v>1394</v>
      </c>
      <c r="B19" t="s">
        <v>8646</v>
      </c>
      <c r="C19" t="s">
        <v>9050</v>
      </c>
    </row>
    <row r="20" spans="1:3" x14ac:dyDescent="0.4">
      <c r="A20" t="s">
        <v>1400</v>
      </c>
      <c r="B20" t="s">
        <v>8648</v>
      </c>
      <c r="C20" t="s">
        <v>9050</v>
      </c>
    </row>
    <row r="21" spans="1:3" x14ac:dyDescent="0.4">
      <c r="A21" t="s">
        <v>1406</v>
      </c>
      <c r="B21" t="s">
        <v>9000</v>
      </c>
      <c r="C21" t="s">
        <v>9050</v>
      </c>
    </row>
    <row r="22" spans="1:3" x14ac:dyDescent="0.4">
      <c r="A22" t="s">
        <v>1409</v>
      </c>
      <c r="B22" t="s">
        <v>8649</v>
      </c>
      <c r="C22" t="s">
        <v>9050</v>
      </c>
    </row>
    <row r="23" spans="1:3" x14ac:dyDescent="0.4">
      <c r="A23" t="s">
        <v>1417</v>
      </c>
      <c r="B23" t="s">
        <v>8650</v>
      </c>
      <c r="C23" t="s">
        <v>9050</v>
      </c>
    </row>
    <row r="24" spans="1:3" x14ac:dyDescent="0.4">
      <c r="A24" t="s">
        <v>1426</v>
      </c>
      <c r="B24" t="s">
        <v>8651</v>
      </c>
      <c r="C24" t="s">
        <v>9050</v>
      </c>
    </row>
    <row r="25" spans="1:3" x14ac:dyDescent="0.4">
      <c r="A25" t="s">
        <v>1434</v>
      </c>
      <c r="B25" t="s">
        <v>9001</v>
      </c>
      <c r="C25" t="s">
        <v>9050</v>
      </c>
    </row>
    <row r="26" spans="1:3" x14ac:dyDescent="0.4">
      <c r="A26" t="s">
        <v>111</v>
      </c>
      <c r="B26" t="s">
        <v>8653</v>
      </c>
      <c r="C26" t="s">
        <v>9050</v>
      </c>
    </row>
    <row r="27" spans="1:3" x14ac:dyDescent="0.4">
      <c r="A27" t="s">
        <v>120</v>
      </c>
      <c r="B27" t="s">
        <v>8654</v>
      </c>
      <c r="C27" t="s">
        <v>9050</v>
      </c>
    </row>
    <row r="28" spans="1:3" x14ac:dyDescent="0.4">
      <c r="A28" t="s">
        <v>123</v>
      </c>
      <c r="B28" t="s">
        <v>8655</v>
      </c>
      <c r="C28" t="s">
        <v>9050</v>
      </c>
    </row>
    <row r="29" spans="1:3" x14ac:dyDescent="0.4">
      <c r="A29" t="s">
        <v>126</v>
      </c>
      <c r="B29" t="s">
        <v>8656</v>
      </c>
      <c r="C29" t="s">
        <v>9050</v>
      </c>
    </row>
    <row r="30" spans="1:3" x14ac:dyDescent="0.4">
      <c r="A30" t="s">
        <v>129</v>
      </c>
      <c r="B30" t="s">
        <v>8657</v>
      </c>
      <c r="C30" t="s">
        <v>9050</v>
      </c>
    </row>
    <row r="31" spans="1:3" x14ac:dyDescent="0.4">
      <c r="A31" t="s">
        <v>180</v>
      </c>
      <c r="B31" t="s">
        <v>8658</v>
      </c>
      <c r="C31" t="s">
        <v>9050</v>
      </c>
    </row>
    <row r="32" spans="1:3" x14ac:dyDescent="0.4">
      <c r="A32" t="s">
        <v>183</v>
      </c>
      <c r="B32" t="s">
        <v>8659</v>
      </c>
      <c r="C32" t="s">
        <v>9050</v>
      </c>
    </row>
    <row r="33" spans="1:3" x14ac:dyDescent="0.4">
      <c r="A33" t="s">
        <v>132</v>
      </c>
      <c r="B33" t="s">
        <v>8660</v>
      </c>
      <c r="C33" t="s">
        <v>9050</v>
      </c>
    </row>
    <row r="34" spans="1:3" x14ac:dyDescent="0.4">
      <c r="A34" t="s">
        <v>137</v>
      </c>
      <c r="B34" t="s">
        <v>8661</v>
      </c>
      <c r="C34" t="s">
        <v>9050</v>
      </c>
    </row>
    <row r="35" spans="1:3" x14ac:dyDescent="0.4">
      <c r="A35" t="s">
        <v>147</v>
      </c>
      <c r="B35" t="s">
        <v>8662</v>
      </c>
      <c r="C35" t="s">
        <v>9050</v>
      </c>
    </row>
    <row r="36" spans="1:3" x14ac:dyDescent="0.4">
      <c r="A36" t="s">
        <v>150</v>
      </c>
      <c r="B36" t="s">
        <v>8663</v>
      </c>
      <c r="C36" t="s">
        <v>9050</v>
      </c>
    </row>
    <row r="37" spans="1:3" x14ac:dyDescent="0.4">
      <c r="A37" t="s">
        <v>1437</v>
      </c>
      <c r="B37" t="s">
        <v>8664</v>
      </c>
      <c r="C37" t="s">
        <v>9050</v>
      </c>
    </row>
    <row r="38" spans="1:3" x14ac:dyDescent="0.4">
      <c r="A38" t="s">
        <v>1441</v>
      </c>
      <c r="B38" t="s">
        <v>8665</v>
      </c>
      <c r="C38" t="s">
        <v>9050</v>
      </c>
    </row>
    <row r="39" spans="1:3" x14ac:dyDescent="0.4">
      <c r="A39" t="s">
        <v>1444</v>
      </c>
      <c r="B39" t="s">
        <v>8666</v>
      </c>
      <c r="C39" t="s">
        <v>9050</v>
      </c>
    </row>
    <row r="40" spans="1:3" x14ac:dyDescent="0.4">
      <c r="A40" t="s">
        <v>1447</v>
      </c>
      <c r="B40" t="s">
        <v>8669</v>
      </c>
      <c r="C40" t="s">
        <v>9050</v>
      </c>
    </row>
    <row r="41" spans="1:3" x14ac:dyDescent="0.4">
      <c r="A41" t="s">
        <v>1965</v>
      </c>
      <c r="B41" t="s">
        <v>8671</v>
      </c>
      <c r="C41" t="s">
        <v>9050</v>
      </c>
    </row>
    <row r="42" spans="1:3" x14ac:dyDescent="0.4">
      <c r="A42" t="s">
        <v>1989</v>
      </c>
      <c r="B42" t="s">
        <v>8674</v>
      </c>
      <c r="C42" t="s">
        <v>9050</v>
      </c>
    </row>
    <row r="43" spans="1:3" x14ac:dyDescent="0.4">
      <c r="A43" t="s">
        <v>1992</v>
      </c>
      <c r="B43" t="s">
        <v>8675</v>
      </c>
      <c r="C43" t="s">
        <v>9050</v>
      </c>
    </row>
    <row r="44" spans="1:3" x14ac:dyDescent="0.4">
      <c r="A44" t="s">
        <v>1995</v>
      </c>
      <c r="B44" t="s">
        <v>8676</v>
      </c>
      <c r="C44" t="s">
        <v>9050</v>
      </c>
    </row>
    <row r="45" spans="1:3" x14ac:dyDescent="0.4">
      <c r="A45" t="s">
        <v>1998</v>
      </c>
      <c r="B45" t="s">
        <v>9002</v>
      </c>
      <c r="C45" t="s">
        <v>9050</v>
      </c>
    </row>
    <row r="46" spans="1:3" x14ac:dyDescent="0.4">
      <c r="A46" t="s">
        <v>2004</v>
      </c>
      <c r="B46" t="s">
        <v>8678</v>
      </c>
      <c r="C46" t="s">
        <v>9050</v>
      </c>
    </row>
    <row r="47" spans="1:3" x14ac:dyDescent="0.4">
      <c r="A47" t="s">
        <v>2009</v>
      </c>
      <c r="B47" t="s">
        <v>8679</v>
      </c>
      <c r="C47" t="s">
        <v>9050</v>
      </c>
    </row>
    <row r="48" spans="1:3" x14ac:dyDescent="0.4">
      <c r="A48" t="s">
        <v>2018</v>
      </c>
      <c r="B48" t="s">
        <v>8680</v>
      </c>
      <c r="C48" t="s">
        <v>9050</v>
      </c>
    </row>
    <row r="49" spans="1:3" x14ac:dyDescent="0.4">
      <c r="A49" t="s">
        <v>2021</v>
      </c>
      <c r="B49" t="s">
        <v>8681</v>
      </c>
      <c r="C49" t="s">
        <v>9050</v>
      </c>
    </row>
    <row r="50" spans="1:3" x14ac:dyDescent="0.4">
      <c r="A50" t="s">
        <v>2033</v>
      </c>
      <c r="B50" t="s">
        <v>8683</v>
      </c>
      <c r="C50" t="s">
        <v>9050</v>
      </c>
    </row>
    <row r="51" spans="1:3" x14ac:dyDescent="0.4">
      <c r="A51" t="s">
        <v>2101</v>
      </c>
      <c r="B51" t="s">
        <v>8686</v>
      </c>
      <c r="C51" t="s">
        <v>9050</v>
      </c>
    </row>
    <row r="52" spans="1:3" x14ac:dyDescent="0.4">
      <c r="A52" t="s">
        <v>2111</v>
      </c>
      <c r="B52" t="s">
        <v>8687</v>
      </c>
      <c r="C52" t="s">
        <v>9050</v>
      </c>
    </row>
    <row r="53" spans="1:3" x14ac:dyDescent="0.4">
      <c r="A53" t="s">
        <v>2114</v>
      </c>
      <c r="B53" t="s">
        <v>8688</v>
      </c>
      <c r="C53" t="s">
        <v>9050</v>
      </c>
    </row>
    <row r="54" spans="1:3" x14ac:dyDescent="0.4">
      <c r="A54" t="s">
        <v>2120</v>
      </c>
      <c r="B54" t="s">
        <v>8689</v>
      </c>
      <c r="C54" t="s">
        <v>9050</v>
      </c>
    </row>
    <row r="55" spans="1:3" x14ac:dyDescent="0.4">
      <c r="A55" t="s">
        <v>2129</v>
      </c>
      <c r="B55" t="s">
        <v>8690</v>
      </c>
      <c r="C55" t="s">
        <v>9050</v>
      </c>
    </row>
    <row r="56" spans="1:3" x14ac:dyDescent="0.4">
      <c r="A56" t="s">
        <v>881</v>
      </c>
      <c r="B56" t="s">
        <v>8692</v>
      </c>
      <c r="C56" t="s">
        <v>9050</v>
      </c>
    </row>
    <row r="57" spans="1:3" x14ac:dyDescent="0.4">
      <c r="A57" t="s">
        <v>885</v>
      </c>
      <c r="B57" t="s">
        <v>8693</v>
      </c>
      <c r="C57" t="s">
        <v>9050</v>
      </c>
    </row>
    <row r="58" spans="1:3" x14ac:dyDescent="0.4">
      <c r="A58" t="s">
        <v>888</v>
      </c>
      <c r="B58" t="s">
        <v>8694</v>
      </c>
      <c r="C58" t="s">
        <v>9050</v>
      </c>
    </row>
    <row r="59" spans="1:3" x14ac:dyDescent="0.4">
      <c r="A59" t="s">
        <v>891</v>
      </c>
      <c r="B59" t="s">
        <v>8695</v>
      </c>
      <c r="C59" t="s">
        <v>9050</v>
      </c>
    </row>
    <row r="60" spans="1:3" x14ac:dyDescent="0.4">
      <c r="A60" t="s">
        <v>800</v>
      </c>
      <c r="B60" t="s">
        <v>8696</v>
      </c>
      <c r="C60" t="s">
        <v>9050</v>
      </c>
    </row>
    <row r="61" spans="1:3" x14ac:dyDescent="0.4">
      <c r="A61" t="s">
        <v>768</v>
      </c>
      <c r="B61" t="s">
        <v>8697</v>
      </c>
      <c r="C61" t="s">
        <v>9050</v>
      </c>
    </row>
    <row r="62" spans="1:3" x14ac:dyDescent="0.4">
      <c r="A62" t="s">
        <v>776</v>
      </c>
      <c r="B62" t="s">
        <v>8699</v>
      </c>
      <c r="C62" t="s">
        <v>9050</v>
      </c>
    </row>
    <row r="63" spans="1:3" x14ac:dyDescent="0.4">
      <c r="A63" t="s">
        <v>788</v>
      </c>
      <c r="B63" t="s">
        <v>8700</v>
      </c>
      <c r="C63" t="s">
        <v>9050</v>
      </c>
    </row>
    <row r="64" spans="1:3" x14ac:dyDescent="0.4">
      <c r="A64" t="s">
        <v>791</v>
      </c>
      <c r="B64" t="s">
        <v>8701</v>
      </c>
      <c r="C64" t="s">
        <v>9050</v>
      </c>
    </row>
    <row r="65" spans="1:3" x14ac:dyDescent="0.4">
      <c r="A65" t="s">
        <v>797</v>
      </c>
      <c r="B65" t="s">
        <v>8702</v>
      </c>
      <c r="C65" t="s">
        <v>9050</v>
      </c>
    </row>
    <row r="66" spans="1:3" x14ac:dyDescent="0.4">
      <c r="A66" t="s">
        <v>734</v>
      </c>
      <c r="B66" t="s">
        <v>8703</v>
      </c>
      <c r="C66" t="s">
        <v>9050</v>
      </c>
    </row>
    <row r="67" spans="1:3" x14ac:dyDescent="0.4">
      <c r="A67" t="s">
        <v>741</v>
      </c>
      <c r="B67" t="s">
        <v>8704</v>
      </c>
      <c r="C67" t="s">
        <v>9050</v>
      </c>
    </row>
    <row r="68" spans="1:3" x14ac:dyDescent="0.4">
      <c r="A68" t="s">
        <v>744</v>
      </c>
      <c r="B68" t="s">
        <v>8705</v>
      </c>
      <c r="C68" t="s">
        <v>9050</v>
      </c>
    </row>
    <row r="69" spans="1:3" x14ac:dyDescent="0.4">
      <c r="A69" t="s">
        <v>750</v>
      </c>
      <c r="B69" t="s">
        <v>8706</v>
      </c>
      <c r="C69" t="s">
        <v>9050</v>
      </c>
    </row>
    <row r="70" spans="1:3" x14ac:dyDescent="0.4">
      <c r="A70" t="s">
        <v>753</v>
      </c>
      <c r="B70" t="s">
        <v>8707</v>
      </c>
      <c r="C70" t="s">
        <v>9050</v>
      </c>
    </row>
    <row r="71" spans="1:3" x14ac:dyDescent="0.4">
      <c r="A71" t="s">
        <v>810</v>
      </c>
      <c r="B71" t="s">
        <v>8709</v>
      </c>
      <c r="C71" t="s">
        <v>9050</v>
      </c>
    </row>
    <row r="72" spans="1:3" x14ac:dyDescent="0.4">
      <c r="A72" t="s">
        <v>817</v>
      </c>
      <c r="B72" t="s">
        <v>8710</v>
      </c>
      <c r="C72" t="s">
        <v>9050</v>
      </c>
    </row>
    <row r="73" spans="1:3" x14ac:dyDescent="0.4">
      <c r="A73" t="s">
        <v>820</v>
      </c>
      <c r="B73" t="s">
        <v>8711</v>
      </c>
      <c r="C73" t="s">
        <v>9050</v>
      </c>
    </row>
    <row r="74" spans="1:3" x14ac:dyDescent="0.4">
      <c r="A74" t="s">
        <v>823</v>
      </c>
      <c r="B74" t="s">
        <v>8712</v>
      </c>
      <c r="C74" t="s">
        <v>9050</v>
      </c>
    </row>
    <row r="75" spans="1:3" x14ac:dyDescent="0.4">
      <c r="A75" t="s">
        <v>827</v>
      </c>
      <c r="B75" t="s">
        <v>8713</v>
      </c>
      <c r="C75" t="s">
        <v>9050</v>
      </c>
    </row>
    <row r="76" spans="1:3" x14ac:dyDescent="0.4">
      <c r="A76" t="s">
        <v>2326</v>
      </c>
      <c r="B76" t="s">
        <v>8714</v>
      </c>
      <c r="C76" t="s">
        <v>9050</v>
      </c>
    </row>
    <row r="77" spans="1:3" x14ac:dyDescent="0.4">
      <c r="A77" t="s">
        <v>2342</v>
      </c>
      <c r="B77" t="s">
        <v>8716</v>
      </c>
      <c r="C77" t="s">
        <v>9050</v>
      </c>
    </row>
    <row r="78" spans="1:3" x14ac:dyDescent="0.4">
      <c r="A78" t="s">
        <v>1291</v>
      </c>
      <c r="B78" t="s">
        <v>8717</v>
      </c>
      <c r="C78" t="s">
        <v>9050</v>
      </c>
    </row>
    <row r="79" spans="1:3" x14ac:dyDescent="0.4">
      <c r="A79" t="s">
        <v>1296</v>
      </c>
      <c r="B79" t="s">
        <v>8718</v>
      </c>
      <c r="C79" t="s">
        <v>9050</v>
      </c>
    </row>
    <row r="80" spans="1:3" x14ac:dyDescent="0.4">
      <c r="A80" t="s">
        <v>1299</v>
      </c>
      <c r="B80" t="s">
        <v>8719</v>
      </c>
      <c r="C80" t="s">
        <v>9050</v>
      </c>
    </row>
    <row r="81" spans="1:3" x14ac:dyDescent="0.4">
      <c r="A81" t="s">
        <v>1305</v>
      </c>
      <c r="B81" t="s">
        <v>8720</v>
      </c>
      <c r="C81" t="s">
        <v>9050</v>
      </c>
    </row>
    <row r="82" spans="1:3" x14ac:dyDescent="0.4">
      <c r="A82" t="s">
        <v>1308</v>
      </c>
      <c r="B82" t="s">
        <v>8721</v>
      </c>
      <c r="C82" t="s">
        <v>9050</v>
      </c>
    </row>
    <row r="83" spans="1:3" x14ac:dyDescent="0.4">
      <c r="A83" t="s">
        <v>2308</v>
      </c>
      <c r="B83" t="s">
        <v>9003</v>
      </c>
      <c r="C83" t="s">
        <v>9050</v>
      </c>
    </row>
    <row r="84" spans="1:3" x14ac:dyDescent="0.4">
      <c r="A84" t="s">
        <v>2311</v>
      </c>
      <c r="B84" t="s">
        <v>8722</v>
      </c>
      <c r="C84" t="s">
        <v>9050</v>
      </c>
    </row>
    <row r="85" spans="1:3" x14ac:dyDescent="0.4">
      <c r="A85" t="s">
        <v>2314</v>
      </c>
      <c r="B85" t="s">
        <v>8723</v>
      </c>
      <c r="C85" t="s">
        <v>9050</v>
      </c>
    </row>
    <row r="86" spans="1:3" x14ac:dyDescent="0.4">
      <c r="A86" t="s">
        <v>2317</v>
      </c>
      <c r="B86" t="s">
        <v>8724</v>
      </c>
      <c r="C86" t="s">
        <v>9050</v>
      </c>
    </row>
    <row r="87" spans="1:3" x14ac:dyDescent="0.4">
      <c r="A87" t="s">
        <v>2320</v>
      </c>
      <c r="B87" t="s">
        <v>8725</v>
      </c>
      <c r="C87" t="s">
        <v>9050</v>
      </c>
    </row>
    <row r="88" spans="1:3" x14ac:dyDescent="0.4">
      <c r="A88" t="s">
        <v>2323</v>
      </c>
      <c r="B88" t="s">
        <v>8726</v>
      </c>
      <c r="C88" t="s">
        <v>9050</v>
      </c>
    </row>
    <row r="89" spans="1:3" x14ac:dyDescent="0.4">
      <c r="A89" t="s">
        <v>2345</v>
      </c>
      <c r="B89" t="s">
        <v>8727</v>
      </c>
      <c r="C89" t="s">
        <v>9050</v>
      </c>
    </row>
    <row r="90" spans="1:3" x14ac:dyDescent="0.4">
      <c r="A90" t="s">
        <v>2350</v>
      </c>
      <c r="B90" t="s">
        <v>8728</v>
      </c>
      <c r="C90" t="s">
        <v>9050</v>
      </c>
    </row>
    <row r="91" spans="1:3" x14ac:dyDescent="0.4">
      <c r="A91" t="s">
        <v>2353</v>
      </c>
      <c r="B91" t="s">
        <v>8729</v>
      </c>
      <c r="C91" t="s">
        <v>9050</v>
      </c>
    </row>
    <row r="92" spans="1:3" x14ac:dyDescent="0.4">
      <c r="A92" t="s">
        <v>2356</v>
      </c>
      <c r="B92" t="s">
        <v>8730</v>
      </c>
      <c r="C92" t="s">
        <v>9050</v>
      </c>
    </row>
    <row r="93" spans="1:3" x14ac:dyDescent="0.4">
      <c r="A93" t="s">
        <v>2371</v>
      </c>
      <c r="B93" t="s">
        <v>8731</v>
      </c>
      <c r="C93" t="s">
        <v>9050</v>
      </c>
    </row>
    <row r="94" spans="1:3" x14ac:dyDescent="0.4">
      <c r="A94" t="s">
        <v>1831</v>
      </c>
      <c r="B94" t="s">
        <v>8732</v>
      </c>
      <c r="C94" t="s">
        <v>9050</v>
      </c>
    </row>
    <row r="95" spans="1:3" x14ac:dyDescent="0.4">
      <c r="A95" t="s">
        <v>1837</v>
      </c>
      <c r="B95" t="s">
        <v>8733</v>
      </c>
      <c r="C95" t="s">
        <v>9050</v>
      </c>
    </row>
    <row r="96" spans="1:3" x14ac:dyDescent="0.4">
      <c r="A96" t="s">
        <v>1843</v>
      </c>
      <c r="B96" t="s">
        <v>8734</v>
      </c>
      <c r="C96" t="s">
        <v>9050</v>
      </c>
    </row>
    <row r="97" spans="1:3" x14ac:dyDescent="0.4">
      <c r="A97" t="s">
        <v>1849</v>
      </c>
      <c r="B97" t="s">
        <v>8735</v>
      </c>
      <c r="C97" t="s">
        <v>9050</v>
      </c>
    </row>
    <row r="98" spans="1:3" x14ac:dyDescent="0.4">
      <c r="A98" t="s">
        <v>1852</v>
      </c>
      <c r="B98" t="s">
        <v>8736</v>
      </c>
      <c r="C98" t="s">
        <v>9050</v>
      </c>
    </row>
    <row r="99" spans="1:3" x14ac:dyDescent="0.4">
      <c r="A99" t="s">
        <v>1164</v>
      </c>
      <c r="B99" t="s">
        <v>9004</v>
      </c>
      <c r="C99" t="s">
        <v>9050</v>
      </c>
    </row>
    <row r="100" spans="1:3" x14ac:dyDescent="0.4">
      <c r="A100" t="s">
        <v>1167</v>
      </c>
      <c r="B100" t="s">
        <v>8740</v>
      </c>
      <c r="C100" t="s">
        <v>9050</v>
      </c>
    </row>
    <row r="101" spans="1:3" x14ac:dyDescent="0.4">
      <c r="A101" t="s">
        <v>1174</v>
      </c>
      <c r="B101" t="s">
        <v>8741</v>
      </c>
      <c r="C101" t="s">
        <v>9050</v>
      </c>
    </row>
    <row r="102" spans="1:3" x14ac:dyDescent="0.4">
      <c r="A102" t="s">
        <v>1177</v>
      </c>
      <c r="B102" t="s">
        <v>8742</v>
      </c>
      <c r="C102" t="s">
        <v>9050</v>
      </c>
    </row>
    <row r="103" spans="1:3" x14ac:dyDescent="0.4">
      <c r="A103" t="s">
        <v>1180</v>
      </c>
      <c r="B103" t="s">
        <v>8743</v>
      </c>
      <c r="C103" t="s">
        <v>9050</v>
      </c>
    </row>
    <row r="104" spans="1:3" x14ac:dyDescent="0.4">
      <c r="A104" t="s">
        <v>1120</v>
      </c>
      <c r="B104" t="s">
        <v>8746</v>
      </c>
      <c r="C104" t="s">
        <v>9050</v>
      </c>
    </row>
    <row r="105" spans="1:3" x14ac:dyDescent="0.4">
      <c r="A105" t="s">
        <v>676</v>
      </c>
      <c r="B105" t="s">
        <v>8747</v>
      </c>
      <c r="C105" t="s">
        <v>9050</v>
      </c>
    </row>
    <row r="106" spans="1:3" x14ac:dyDescent="0.4">
      <c r="A106" t="s">
        <v>683</v>
      </c>
      <c r="B106" t="s">
        <v>8748</v>
      </c>
      <c r="C106" t="s">
        <v>9050</v>
      </c>
    </row>
    <row r="107" spans="1:3" x14ac:dyDescent="0.4">
      <c r="A107" t="s">
        <v>689</v>
      </c>
      <c r="B107" t="s">
        <v>8749</v>
      </c>
      <c r="C107" t="s">
        <v>9050</v>
      </c>
    </row>
    <row r="108" spans="1:3" x14ac:dyDescent="0.4">
      <c r="A108" t="s">
        <v>695</v>
      </c>
      <c r="B108" t="s">
        <v>8751</v>
      </c>
      <c r="C108" t="s">
        <v>9050</v>
      </c>
    </row>
    <row r="109" spans="1:3" x14ac:dyDescent="0.4">
      <c r="A109" t="s">
        <v>701</v>
      </c>
      <c r="B109" t="s">
        <v>8752</v>
      </c>
      <c r="C109" t="s">
        <v>9050</v>
      </c>
    </row>
    <row r="110" spans="1:3" x14ac:dyDescent="0.4">
      <c r="A110" t="s">
        <v>640</v>
      </c>
      <c r="B110" t="s">
        <v>8754</v>
      </c>
      <c r="C110" t="s">
        <v>9050</v>
      </c>
    </row>
    <row r="111" spans="1:3" x14ac:dyDescent="0.4">
      <c r="A111" t="s">
        <v>645</v>
      </c>
      <c r="B111" t="s">
        <v>8755</v>
      </c>
      <c r="C111" t="s">
        <v>9050</v>
      </c>
    </row>
    <row r="112" spans="1:3" x14ac:dyDescent="0.4">
      <c r="A112" t="s">
        <v>651</v>
      </c>
      <c r="B112" t="s">
        <v>8756</v>
      </c>
      <c r="C112" t="s">
        <v>9050</v>
      </c>
    </row>
    <row r="113" spans="1:3" x14ac:dyDescent="0.4">
      <c r="A113" t="s">
        <v>657</v>
      </c>
      <c r="B113" t="s">
        <v>8757</v>
      </c>
      <c r="C113" t="s">
        <v>9050</v>
      </c>
    </row>
    <row r="114" spans="1:3" x14ac:dyDescent="0.4">
      <c r="A114" t="s">
        <v>666</v>
      </c>
      <c r="B114" t="s">
        <v>8758</v>
      </c>
      <c r="C114" t="s">
        <v>9050</v>
      </c>
    </row>
    <row r="115" spans="1:3" x14ac:dyDescent="0.4">
      <c r="A115" t="s">
        <v>1683</v>
      </c>
      <c r="B115" t="s">
        <v>9005</v>
      </c>
      <c r="C115" t="s">
        <v>9050</v>
      </c>
    </row>
    <row r="116" spans="1:3" x14ac:dyDescent="0.4">
      <c r="A116" t="s">
        <v>1688</v>
      </c>
      <c r="B116" t="s">
        <v>9006</v>
      </c>
      <c r="C116" t="s">
        <v>9050</v>
      </c>
    </row>
    <row r="117" spans="1:3" x14ac:dyDescent="0.4">
      <c r="A117" t="s">
        <v>1691</v>
      </c>
      <c r="B117" t="s">
        <v>8759</v>
      </c>
      <c r="C117" t="s">
        <v>9050</v>
      </c>
    </row>
    <row r="118" spans="1:3" x14ac:dyDescent="0.4">
      <c r="A118" t="s">
        <v>1694</v>
      </c>
      <c r="B118" t="s">
        <v>9007</v>
      </c>
      <c r="C118" t="s">
        <v>9050</v>
      </c>
    </row>
    <row r="119" spans="1:3" x14ac:dyDescent="0.4">
      <c r="A119" t="s">
        <v>1712</v>
      </c>
      <c r="B119" t="s">
        <v>9008</v>
      </c>
      <c r="C119" t="s">
        <v>9050</v>
      </c>
    </row>
    <row r="120" spans="1:3" x14ac:dyDescent="0.4">
      <c r="A120" t="s">
        <v>1803</v>
      </c>
      <c r="B120" t="s">
        <v>8760</v>
      </c>
      <c r="C120" t="s">
        <v>9050</v>
      </c>
    </row>
    <row r="121" spans="1:3" x14ac:dyDescent="0.4">
      <c r="A121" t="s">
        <v>1806</v>
      </c>
      <c r="B121" t="s">
        <v>9009</v>
      </c>
      <c r="C121" t="s">
        <v>9050</v>
      </c>
    </row>
    <row r="122" spans="1:3" x14ac:dyDescent="0.4">
      <c r="A122" t="s">
        <v>1809</v>
      </c>
      <c r="B122" t="s">
        <v>9010</v>
      </c>
      <c r="C122" t="s">
        <v>9050</v>
      </c>
    </row>
    <row r="123" spans="1:3" x14ac:dyDescent="0.4">
      <c r="A123" t="s">
        <v>1812</v>
      </c>
      <c r="B123" t="s">
        <v>8761</v>
      </c>
      <c r="C123" t="s">
        <v>9050</v>
      </c>
    </row>
    <row r="124" spans="1:3" x14ac:dyDescent="0.4">
      <c r="A124" t="s">
        <v>1815</v>
      </c>
      <c r="B124" t="s">
        <v>8762</v>
      </c>
      <c r="C124" t="s">
        <v>9050</v>
      </c>
    </row>
    <row r="125" spans="1:3" x14ac:dyDescent="0.4">
      <c r="A125" t="s">
        <v>1753</v>
      </c>
      <c r="B125" t="s">
        <v>8763</v>
      </c>
      <c r="C125" t="s">
        <v>9050</v>
      </c>
    </row>
    <row r="126" spans="1:3" x14ac:dyDescent="0.4">
      <c r="A126" t="s">
        <v>1758</v>
      </c>
      <c r="B126" t="s">
        <v>8764</v>
      </c>
      <c r="C126" t="s">
        <v>9050</v>
      </c>
    </row>
    <row r="127" spans="1:3" x14ac:dyDescent="0.4">
      <c r="A127" t="s">
        <v>1762</v>
      </c>
      <c r="B127" t="s">
        <v>8765</v>
      </c>
      <c r="C127" t="s">
        <v>9050</v>
      </c>
    </row>
    <row r="128" spans="1:3" x14ac:dyDescent="0.4">
      <c r="A128" t="s">
        <v>1765</v>
      </c>
      <c r="B128" t="s">
        <v>9011</v>
      </c>
      <c r="C128" t="s">
        <v>9050</v>
      </c>
    </row>
    <row r="129" spans="1:3" x14ac:dyDescent="0.4">
      <c r="A129" t="s">
        <v>1771</v>
      </c>
      <c r="B129" t="s">
        <v>8766</v>
      </c>
      <c r="C129" t="s">
        <v>9050</v>
      </c>
    </row>
    <row r="130" spans="1:3" x14ac:dyDescent="0.4">
      <c r="A130" t="s">
        <v>2272</v>
      </c>
      <c r="B130" t="s">
        <v>9012</v>
      </c>
      <c r="C130" t="s">
        <v>9050</v>
      </c>
    </row>
    <row r="131" spans="1:3" x14ac:dyDescent="0.4">
      <c r="A131" t="s">
        <v>2275</v>
      </c>
      <c r="B131" t="s">
        <v>9013</v>
      </c>
      <c r="C131" t="s">
        <v>9050</v>
      </c>
    </row>
    <row r="132" spans="1:3" x14ac:dyDescent="0.4">
      <c r="A132" t="s">
        <v>2281</v>
      </c>
      <c r="B132" t="s">
        <v>8767</v>
      </c>
      <c r="C132" t="s">
        <v>9050</v>
      </c>
    </row>
    <row r="133" spans="1:3" x14ac:dyDescent="0.4">
      <c r="A133" t="s">
        <v>2284</v>
      </c>
      <c r="B133" t="s">
        <v>8768</v>
      </c>
      <c r="C133" t="s">
        <v>9050</v>
      </c>
    </row>
    <row r="134" spans="1:3" x14ac:dyDescent="0.4">
      <c r="A134" t="s">
        <v>2290</v>
      </c>
      <c r="B134" t="s">
        <v>9014</v>
      </c>
      <c r="C134" t="s">
        <v>9050</v>
      </c>
    </row>
    <row r="135" spans="1:3" x14ac:dyDescent="0.4">
      <c r="A135" t="s">
        <v>915</v>
      </c>
      <c r="B135" t="s">
        <v>8772</v>
      </c>
      <c r="C135" t="s">
        <v>9050</v>
      </c>
    </row>
    <row r="136" spans="1:3" x14ac:dyDescent="0.4">
      <c r="A136" t="s">
        <v>934</v>
      </c>
      <c r="B136" t="s">
        <v>9015</v>
      </c>
      <c r="C136" t="s">
        <v>9050</v>
      </c>
    </row>
    <row r="137" spans="1:3" x14ac:dyDescent="0.4">
      <c r="A137" t="s">
        <v>938</v>
      </c>
      <c r="B137" t="s">
        <v>8773</v>
      </c>
      <c r="C137" t="s">
        <v>9050</v>
      </c>
    </row>
    <row r="138" spans="1:3" x14ac:dyDescent="0.4">
      <c r="A138" t="s">
        <v>941</v>
      </c>
      <c r="B138" t="s">
        <v>8774</v>
      </c>
      <c r="C138" t="s">
        <v>9050</v>
      </c>
    </row>
    <row r="139" spans="1:3" x14ac:dyDescent="0.4">
      <c r="A139" t="s">
        <v>944</v>
      </c>
      <c r="B139" t="s">
        <v>8775</v>
      </c>
      <c r="C139" t="s">
        <v>9050</v>
      </c>
    </row>
    <row r="140" spans="1:3" x14ac:dyDescent="0.4">
      <c r="A140" t="s">
        <v>947</v>
      </c>
      <c r="B140" t="s">
        <v>8776</v>
      </c>
      <c r="C140" t="s">
        <v>9050</v>
      </c>
    </row>
    <row r="141" spans="1:3" x14ac:dyDescent="0.4">
      <c r="A141" t="s">
        <v>921</v>
      </c>
      <c r="B141" t="s">
        <v>9016</v>
      </c>
      <c r="C141" t="s">
        <v>9050</v>
      </c>
    </row>
    <row r="142" spans="1:3" x14ac:dyDescent="0.4">
      <c r="A142" t="s">
        <v>950</v>
      </c>
      <c r="B142" t="s">
        <v>8777</v>
      </c>
      <c r="C142" t="s">
        <v>9050</v>
      </c>
    </row>
    <row r="143" spans="1:3" x14ac:dyDescent="0.4">
      <c r="A143" t="s">
        <v>954</v>
      </c>
      <c r="B143" t="s">
        <v>9017</v>
      </c>
      <c r="C143" t="s">
        <v>9050</v>
      </c>
    </row>
    <row r="144" spans="1:3" x14ac:dyDescent="0.4">
      <c r="A144" t="s">
        <v>960</v>
      </c>
      <c r="B144" t="s">
        <v>8778</v>
      </c>
      <c r="C144" t="s">
        <v>9050</v>
      </c>
    </row>
    <row r="145" spans="1:3" x14ac:dyDescent="0.4">
      <c r="A145" t="s">
        <v>963</v>
      </c>
      <c r="B145" t="s">
        <v>9018</v>
      </c>
      <c r="C145" t="s">
        <v>9050</v>
      </c>
    </row>
    <row r="146" spans="1:3" x14ac:dyDescent="0.4">
      <c r="A146" t="s">
        <v>43</v>
      </c>
      <c r="B146" t="s">
        <v>8779</v>
      </c>
      <c r="C146" t="s">
        <v>9050</v>
      </c>
    </row>
    <row r="147" spans="1:3" x14ac:dyDescent="0.4">
      <c r="A147" t="s">
        <v>53</v>
      </c>
      <c r="B147" t="s">
        <v>8780</v>
      </c>
      <c r="C147" t="s">
        <v>9050</v>
      </c>
    </row>
    <row r="148" spans="1:3" x14ac:dyDescent="0.4">
      <c r="A148" t="s">
        <v>70</v>
      </c>
      <c r="B148" t="s">
        <v>8781</v>
      </c>
      <c r="C148" t="s">
        <v>9050</v>
      </c>
    </row>
    <row r="149" spans="1:3" x14ac:dyDescent="0.4">
      <c r="A149" t="s">
        <v>90</v>
      </c>
      <c r="B149" t="s">
        <v>8782</v>
      </c>
      <c r="C149" t="s">
        <v>9050</v>
      </c>
    </row>
    <row r="150" spans="1:3" x14ac:dyDescent="0.4">
      <c r="A150" t="s">
        <v>99</v>
      </c>
      <c r="B150" t="s">
        <v>8783</v>
      </c>
      <c r="C150" t="s">
        <v>9050</v>
      </c>
    </row>
    <row r="151" spans="1:3" x14ac:dyDescent="0.4">
      <c r="A151" t="s">
        <v>2167</v>
      </c>
      <c r="B151" t="s">
        <v>8785</v>
      </c>
      <c r="C151" t="s">
        <v>9050</v>
      </c>
    </row>
    <row r="152" spans="1:3" x14ac:dyDescent="0.4">
      <c r="A152" t="s">
        <v>2173</v>
      </c>
      <c r="B152" t="s">
        <v>8786</v>
      </c>
      <c r="C152" t="s">
        <v>9050</v>
      </c>
    </row>
    <row r="153" spans="1:3" x14ac:dyDescent="0.4">
      <c r="A153" t="s">
        <v>2176</v>
      </c>
      <c r="B153" t="s">
        <v>8787</v>
      </c>
      <c r="C153" t="s">
        <v>9050</v>
      </c>
    </row>
    <row r="154" spans="1:3" x14ac:dyDescent="0.4">
      <c r="A154" t="s">
        <v>2179</v>
      </c>
      <c r="B154" t="s">
        <v>8788</v>
      </c>
      <c r="C154" t="s">
        <v>9050</v>
      </c>
    </row>
    <row r="155" spans="1:3" x14ac:dyDescent="0.4">
      <c r="A155" t="s">
        <v>2188</v>
      </c>
      <c r="B155" t="s">
        <v>8789</v>
      </c>
      <c r="C155" t="s">
        <v>9050</v>
      </c>
    </row>
    <row r="156" spans="1:3" x14ac:dyDescent="0.4">
      <c r="A156" t="s">
        <v>2236</v>
      </c>
      <c r="B156" t="s">
        <v>8790</v>
      </c>
      <c r="C156" t="s">
        <v>9050</v>
      </c>
    </row>
    <row r="157" spans="1:3" x14ac:dyDescent="0.4">
      <c r="A157" t="s">
        <v>2242</v>
      </c>
      <c r="B157" t="s">
        <v>8791</v>
      </c>
      <c r="C157" t="s">
        <v>9050</v>
      </c>
    </row>
    <row r="158" spans="1:3" x14ac:dyDescent="0.4">
      <c r="A158" t="s">
        <v>2248</v>
      </c>
      <c r="B158" t="s">
        <v>8792</v>
      </c>
      <c r="C158" t="s">
        <v>9050</v>
      </c>
    </row>
    <row r="159" spans="1:3" x14ac:dyDescent="0.4">
      <c r="A159" t="s">
        <v>2251</v>
      </c>
      <c r="B159" t="s">
        <v>8793</v>
      </c>
      <c r="C159" t="s">
        <v>9050</v>
      </c>
    </row>
    <row r="160" spans="1:3" x14ac:dyDescent="0.4">
      <c r="A160" t="s">
        <v>2263</v>
      </c>
      <c r="B160" t="s">
        <v>8795</v>
      </c>
      <c r="C160" t="s">
        <v>9050</v>
      </c>
    </row>
    <row r="161" spans="1:3" x14ac:dyDescent="0.4">
      <c r="A161" t="s">
        <v>2203</v>
      </c>
      <c r="B161" t="s">
        <v>8796</v>
      </c>
      <c r="C161" t="s">
        <v>9050</v>
      </c>
    </row>
    <row r="162" spans="1:3" x14ac:dyDescent="0.4">
      <c r="A162" t="s">
        <v>2212</v>
      </c>
      <c r="B162" t="s">
        <v>8797</v>
      </c>
      <c r="C162" t="s">
        <v>9050</v>
      </c>
    </row>
    <row r="163" spans="1:3" x14ac:dyDescent="0.4">
      <c r="A163" t="s">
        <v>2218</v>
      </c>
      <c r="B163" t="s">
        <v>8798</v>
      </c>
      <c r="C163" t="s">
        <v>9050</v>
      </c>
    </row>
    <row r="164" spans="1:3" x14ac:dyDescent="0.4">
      <c r="A164" t="s">
        <v>2221</v>
      </c>
      <c r="B164" t="s">
        <v>8799</v>
      </c>
      <c r="C164" t="s">
        <v>9050</v>
      </c>
    </row>
    <row r="165" spans="1:3" x14ac:dyDescent="0.4">
      <c r="A165" t="s">
        <v>2229</v>
      </c>
      <c r="B165" t="s">
        <v>8800</v>
      </c>
      <c r="C165" t="s">
        <v>9050</v>
      </c>
    </row>
    <row r="166" spans="1:3" x14ac:dyDescent="0.4">
      <c r="A166" t="s">
        <v>353</v>
      </c>
      <c r="B166" t="s">
        <v>8801</v>
      </c>
      <c r="C166" t="s">
        <v>9050</v>
      </c>
    </row>
    <row r="167" spans="1:3" x14ac:dyDescent="0.4">
      <c r="A167" t="s">
        <v>360</v>
      </c>
      <c r="B167" t="s">
        <v>8802</v>
      </c>
      <c r="C167" t="s">
        <v>9050</v>
      </c>
    </row>
    <row r="168" spans="1:3" x14ac:dyDescent="0.4">
      <c r="A168" t="s">
        <v>375</v>
      </c>
      <c r="B168" t="s">
        <v>8804</v>
      </c>
      <c r="C168" t="s">
        <v>9050</v>
      </c>
    </row>
    <row r="169" spans="1:3" x14ac:dyDescent="0.4">
      <c r="A169" t="s">
        <v>381</v>
      </c>
      <c r="B169" t="s">
        <v>8805</v>
      </c>
      <c r="C169" t="s">
        <v>9050</v>
      </c>
    </row>
    <row r="170" spans="1:3" x14ac:dyDescent="0.4">
      <c r="A170" t="s">
        <v>390</v>
      </c>
      <c r="B170" t="s">
        <v>8806</v>
      </c>
      <c r="C170" t="s">
        <v>9050</v>
      </c>
    </row>
    <row r="171" spans="1:3" x14ac:dyDescent="0.4">
      <c r="A171" t="s">
        <v>465</v>
      </c>
      <c r="B171" t="s">
        <v>8808</v>
      </c>
      <c r="C171" t="s">
        <v>9050</v>
      </c>
    </row>
    <row r="172" spans="1:3" x14ac:dyDescent="0.4">
      <c r="A172" t="s">
        <v>485</v>
      </c>
      <c r="B172" t="s">
        <v>8809</v>
      </c>
      <c r="C172" t="s">
        <v>9050</v>
      </c>
    </row>
    <row r="173" spans="1:3" x14ac:dyDescent="0.4">
      <c r="A173" t="s">
        <v>488</v>
      </c>
      <c r="B173" t="s">
        <v>8810</v>
      </c>
      <c r="C173" t="s">
        <v>9050</v>
      </c>
    </row>
    <row r="174" spans="1:3" x14ac:dyDescent="0.4">
      <c r="A174" t="s">
        <v>491</v>
      </c>
      <c r="B174" t="s">
        <v>8811</v>
      </c>
      <c r="C174" t="s">
        <v>9050</v>
      </c>
    </row>
    <row r="175" spans="1:3" x14ac:dyDescent="0.4">
      <c r="A175" t="s">
        <v>396</v>
      </c>
      <c r="B175" t="s">
        <v>8813</v>
      </c>
      <c r="C175" t="s">
        <v>9050</v>
      </c>
    </row>
    <row r="176" spans="1:3" x14ac:dyDescent="0.4">
      <c r="A176" t="s">
        <v>403</v>
      </c>
      <c r="B176" t="s">
        <v>8814</v>
      </c>
      <c r="C176" t="s">
        <v>9050</v>
      </c>
    </row>
    <row r="177" spans="1:3" x14ac:dyDescent="0.4">
      <c r="A177" t="s">
        <v>426</v>
      </c>
      <c r="B177" t="s">
        <v>8815</v>
      </c>
      <c r="C177" t="s">
        <v>9050</v>
      </c>
    </row>
    <row r="178" spans="1:3" x14ac:dyDescent="0.4">
      <c r="A178" t="s">
        <v>430</v>
      </c>
      <c r="B178" t="s">
        <v>8816</v>
      </c>
      <c r="C178" t="s">
        <v>9050</v>
      </c>
    </row>
    <row r="179" spans="1:3" x14ac:dyDescent="0.4">
      <c r="A179" t="s">
        <v>422</v>
      </c>
      <c r="B179" t="s">
        <v>8817</v>
      </c>
      <c r="C179" t="s">
        <v>9050</v>
      </c>
    </row>
    <row r="180" spans="1:3" x14ac:dyDescent="0.4">
      <c r="A180" t="s">
        <v>201</v>
      </c>
      <c r="B180" t="s">
        <v>8819</v>
      </c>
      <c r="C180" t="s">
        <v>9050</v>
      </c>
    </row>
    <row r="181" spans="1:3" x14ac:dyDescent="0.4">
      <c r="A181" t="s">
        <v>209</v>
      </c>
      <c r="B181" t="s">
        <v>8820</v>
      </c>
      <c r="C181" t="s">
        <v>9050</v>
      </c>
    </row>
    <row r="182" spans="1:3" x14ac:dyDescent="0.4">
      <c r="A182" t="s">
        <v>212</v>
      </c>
      <c r="B182" t="s">
        <v>8821</v>
      </c>
      <c r="C182" t="s">
        <v>9050</v>
      </c>
    </row>
    <row r="183" spans="1:3" x14ac:dyDescent="0.4">
      <c r="A183" t="s">
        <v>221</v>
      </c>
      <c r="B183" t="s">
        <v>8822</v>
      </c>
      <c r="C183" t="s">
        <v>9050</v>
      </c>
    </row>
    <row r="184" spans="1:3" x14ac:dyDescent="0.4">
      <c r="A184" t="s">
        <v>224</v>
      </c>
      <c r="B184" t="s">
        <v>8823</v>
      </c>
      <c r="C184" t="s">
        <v>9050</v>
      </c>
    </row>
    <row r="185" spans="1:3" x14ac:dyDescent="0.4">
      <c r="A185" t="s">
        <v>1257</v>
      </c>
      <c r="B185" t="s">
        <v>8824</v>
      </c>
      <c r="C185" t="s">
        <v>9050</v>
      </c>
    </row>
    <row r="186" spans="1:3" x14ac:dyDescent="0.4">
      <c r="A186" t="s">
        <v>1264</v>
      </c>
      <c r="B186" t="s">
        <v>8825</v>
      </c>
      <c r="C186" t="s">
        <v>9050</v>
      </c>
    </row>
    <row r="187" spans="1:3" x14ac:dyDescent="0.4">
      <c r="A187" t="s">
        <v>1267</v>
      </c>
      <c r="B187" t="s">
        <v>8826</v>
      </c>
      <c r="C187" t="s">
        <v>9050</v>
      </c>
    </row>
    <row r="188" spans="1:3" x14ac:dyDescent="0.4">
      <c r="A188" t="s">
        <v>1270</v>
      </c>
      <c r="B188" t="s">
        <v>8827</v>
      </c>
      <c r="C188" t="s">
        <v>9050</v>
      </c>
    </row>
    <row r="189" spans="1:3" x14ac:dyDescent="0.4">
      <c r="A189" t="s">
        <v>1273</v>
      </c>
      <c r="B189" t="s">
        <v>8828</v>
      </c>
      <c r="C189" t="s">
        <v>9050</v>
      </c>
    </row>
    <row r="190" spans="1:3" x14ac:dyDescent="0.4">
      <c r="A190" t="s">
        <v>969</v>
      </c>
      <c r="B190" t="s">
        <v>8829</v>
      </c>
      <c r="C190" t="s">
        <v>9050</v>
      </c>
    </row>
    <row r="191" spans="1:3" x14ac:dyDescent="0.4">
      <c r="A191" t="s">
        <v>977</v>
      </c>
      <c r="B191" t="s">
        <v>8830</v>
      </c>
      <c r="C191" t="s">
        <v>9050</v>
      </c>
    </row>
    <row r="192" spans="1:3" x14ac:dyDescent="0.4">
      <c r="A192" t="s">
        <v>980</v>
      </c>
      <c r="B192" t="s">
        <v>8831</v>
      </c>
      <c r="C192" t="s">
        <v>9050</v>
      </c>
    </row>
    <row r="193" spans="1:3" x14ac:dyDescent="0.4">
      <c r="A193" t="s">
        <v>984</v>
      </c>
      <c r="B193" t="s">
        <v>8832</v>
      </c>
      <c r="C193" t="s">
        <v>9050</v>
      </c>
    </row>
    <row r="194" spans="1:3" x14ac:dyDescent="0.4">
      <c r="A194" t="s">
        <v>987</v>
      </c>
      <c r="B194" t="s">
        <v>8833</v>
      </c>
      <c r="C194" t="s">
        <v>9050</v>
      </c>
    </row>
    <row r="195" spans="1:3" x14ac:dyDescent="0.4">
      <c r="A195" t="s">
        <v>990</v>
      </c>
      <c r="B195" t="s">
        <v>8834</v>
      </c>
      <c r="C195" t="s">
        <v>9050</v>
      </c>
    </row>
    <row r="196" spans="1:3" x14ac:dyDescent="0.4">
      <c r="A196" t="s">
        <v>993</v>
      </c>
      <c r="B196" t="s">
        <v>8835</v>
      </c>
      <c r="C196" t="s">
        <v>9050</v>
      </c>
    </row>
    <row r="197" spans="1:3" x14ac:dyDescent="0.4">
      <c r="A197" t="s">
        <v>996</v>
      </c>
      <c r="B197" t="s">
        <v>8836</v>
      </c>
      <c r="C197" t="s">
        <v>9050</v>
      </c>
    </row>
    <row r="198" spans="1:3" x14ac:dyDescent="0.4">
      <c r="A198" t="s">
        <v>999</v>
      </c>
      <c r="B198" t="s">
        <v>8837</v>
      </c>
      <c r="C198" t="s">
        <v>9050</v>
      </c>
    </row>
    <row r="199" spans="1:3" x14ac:dyDescent="0.4">
      <c r="A199" t="s">
        <v>1002</v>
      </c>
      <c r="B199" t="s">
        <v>8838</v>
      </c>
      <c r="C199" t="s">
        <v>9050</v>
      </c>
    </row>
    <row r="200" spans="1:3" x14ac:dyDescent="0.4">
      <c r="A200" t="s">
        <v>1005</v>
      </c>
      <c r="B200" t="s">
        <v>8839</v>
      </c>
      <c r="C200" t="s">
        <v>9050</v>
      </c>
    </row>
    <row r="201" spans="1:3" x14ac:dyDescent="0.4">
      <c r="A201" t="s">
        <v>1010</v>
      </c>
      <c r="B201" t="s">
        <v>8840</v>
      </c>
      <c r="C201" t="s">
        <v>9050</v>
      </c>
    </row>
    <row r="202" spans="1:3" x14ac:dyDescent="0.4">
      <c r="A202" t="s">
        <v>1013</v>
      </c>
      <c r="B202" t="s">
        <v>8841</v>
      </c>
      <c r="C202" t="s">
        <v>9050</v>
      </c>
    </row>
    <row r="203" spans="1:3" x14ac:dyDescent="0.4">
      <c r="A203" t="s">
        <v>1016</v>
      </c>
      <c r="B203" t="s">
        <v>8842</v>
      </c>
      <c r="C203" t="s">
        <v>9050</v>
      </c>
    </row>
    <row r="204" spans="1:3" x14ac:dyDescent="0.4">
      <c r="A204" t="s">
        <v>1020</v>
      </c>
      <c r="B204" t="s">
        <v>8843</v>
      </c>
      <c r="C204" t="s">
        <v>9050</v>
      </c>
    </row>
    <row r="205" spans="1:3" x14ac:dyDescent="0.4">
      <c r="A205" t="s">
        <v>1025</v>
      </c>
      <c r="B205" t="s">
        <v>8844</v>
      </c>
      <c r="C205" t="s">
        <v>9050</v>
      </c>
    </row>
    <row r="206" spans="1:3" x14ac:dyDescent="0.4">
      <c r="A206" t="s">
        <v>1028</v>
      </c>
      <c r="B206" t="s">
        <v>8845</v>
      </c>
      <c r="C206" t="s">
        <v>9050</v>
      </c>
    </row>
    <row r="207" spans="1:3" x14ac:dyDescent="0.4">
      <c r="A207" t="s">
        <v>1031</v>
      </c>
      <c r="B207" t="s">
        <v>8846</v>
      </c>
      <c r="C207" t="s">
        <v>9050</v>
      </c>
    </row>
    <row r="208" spans="1:3" x14ac:dyDescent="0.4">
      <c r="A208" t="s">
        <v>1035</v>
      </c>
      <c r="B208" t="s">
        <v>8847</v>
      </c>
      <c r="C208" t="s">
        <v>9050</v>
      </c>
    </row>
    <row r="209" spans="1:3" x14ac:dyDescent="0.4">
      <c r="A209" t="s">
        <v>1038</v>
      </c>
      <c r="B209" t="s">
        <v>8848</v>
      </c>
      <c r="C209" t="s">
        <v>9050</v>
      </c>
    </row>
    <row r="210" spans="1:3" x14ac:dyDescent="0.4">
      <c r="A210" t="s">
        <v>1041</v>
      </c>
      <c r="B210" t="s">
        <v>8849</v>
      </c>
      <c r="C210" t="s">
        <v>9050</v>
      </c>
    </row>
    <row r="211" spans="1:3" x14ac:dyDescent="0.4">
      <c r="A211" t="s">
        <v>1046</v>
      </c>
      <c r="B211" t="s">
        <v>8850</v>
      </c>
      <c r="C211" t="s">
        <v>9050</v>
      </c>
    </row>
    <row r="212" spans="1:3" x14ac:dyDescent="0.4">
      <c r="A212" t="s">
        <v>1050</v>
      </c>
      <c r="B212" t="s">
        <v>8851</v>
      </c>
      <c r="C212" t="s">
        <v>9050</v>
      </c>
    </row>
    <row r="213" spans="1:3" x14ac:dyDescent="0.4">
      <c r="A213" t="s">
        <v>1055</v>
      </c>
      <c r="B213" t="s">
        <v>8852</v>
      </c>
      <c r="C213" t="s">
        <v>9050</v>
      </c>
    </row>
    <row r="214" spans="1:3" x14ac:dyDescent="0.4">
      <c r="A214" t="s">
        <v>1059</v>
      </c>
      <c r="B214" t="s">
        <v>8853</v>
      </c>
      <c r="C214" t="s">
        <v>9050</v>
      </c>
    </row>
    <row r="215" spans="1:3" x14ac:dyDescent="0.4">
      <c r="A215" t="s">
        <v>1062</v>
      </c>
      <c r="B215" t="s">
        <v>8854</v>
      </c>
      <c r="C215" t="s">
        <v>9050</v>
      </c>
    </row>
    <row r="216" spans="1:3" x14ac:dyDescent="0.4">
      <c r="A216" t="s">
        <v>1065</v>
      </c>
      <c r="B216" t="s">
        <v>8855</v>
      </c>
      <c r="C216" t="s">
        <v>9050</v>
      </c>
    </row>
    <row r="217" spans="1:3" x14ac:dyDescent="0.4">
      <c r="A217" t="s">
        <v>1068</v>
      </c>
      <c r="B217" t="s">
        <v>8856</v>
      </c>
      <c r="C217" t="s">
        <v>9050</v>
      </c>
    </row>
    <row r="218" spans="1:3" x14ac:dyDescent="0.4">
      <c r="A218" t="s">
        <v>1071</v>
      </c>
      <c r="B218" t="s">
        <v>8857</v>
      </c>
      <c r="C218" t="s">
        <v>9050</v>
      </c>
    </row>
    <row r="219" spans="1:3" x14ac:dyDescent="0.4">
      <c r="A219" t="s">
        <v>1074</v>
      </c>
      <c r="B219" t="s">
        <v>8858</v>
      </c>
      <c r="C219" t="s">
        <v>9050</v>
      </c>
    </row>
    <row r="220" spans="1:3" x14ac:dyDescent="0.4">
      <c r="A220" t="s">
        <v>2377</v>
      </c>
      <c r="B220" t="s">
        <v>8859</v>
      </c>
      <c r="C220" t="s">
        <v>9050</v>
      </c>
    </row>
    <row r="221" spans="1:3" x14ac:dyDescent="0.4">
      <c r="A221" t="s">
        <v>2383</v>
      </c>
      <c r="B221" t="s">
        <v>8860</v>
      </c>
      <c r="C221" t="s">
        <v>9050</v>
      </c>
    </row>
    <row r="222" spans="1:3" x14ac:dyDescent="0.4">
      <c r="A222" t="s">
        <v>2387</v>
      </c>
      <c r="B222" t="s">
        <v>8861</v>
      </c>
      <c r="C222" t="s">
        <v>9050</v>
      </c>
    </row>
    <row r="223" spans="1:3" x14ac:dyDescent="0.4">
      <c r="A223" t="s">
        <v>2391</v>
      </c>
      <c r="B223" t="s">
        <v>8862</v>
      </c>
      <c r="C223" t="s">
        <v>9050</v>
      </c>
    </row>
    <row r="224" spans="1:3" x14ac:dyDescent="0.4">
      <c r="A224" t="s">
        <v>2394</v>
      </c>
      <c r="B224" t="s">
        <v>8863</v>
      </c>
      <c r="C224" t="s">
        <v>9050</v>
      </c>
    </row>
    <row r="225" spans="1:3" x14ac:dyDescent="0.4">
      <c r="A225" t="s">
        <v>2398</v>
      </c>
      <c r="B225" t="s">
        <v>8864</v>
      </c>
      <c r="C225" t="s">
        <v>9050</v>
      </c>
    </row>
    <row r="226" spans="1:3" x14ac:dyDescent="0.4">
      <c r="A226" t="s">
        <v>1223</v>
      </c>
      <c r="B226" t="s">
        <v>9019</v>
      </c>
      <c r="C226" t="s">
        <v>9050</v>
      </c>
    </row>
    <row r="227" spans="1:3" x14ac:dyDescent="0.4">
      <c r="A227" t="s">
        <v>1233</v>
      </c>
      <c r="B227" t="s">
        <v>9020</v>
      </c>
      <c r="C227" t="s">
        <v>9050</v>
      </c>
    </row>
    <row r="228" spans="1:3" x14ac:dyDescent="0.4">
      <c r="A228" t="s">
        <v>1236</v>
      </c>
      <c r="B228" t="s">
        <v>9021</v>
      </c>
      <c r="C228" t="s">
        <v>9050</v>
      </c>
    </row>
    <row r="229" spans="1:3" x14ac:dyDescent="0.4">
      <c r="A229" t="s">
        <v>1239</v>
      </c>
      <c r="B229" t="s">
        <v>9022</v>
      </c>
      <c r="C229" t="s">
        <v>9050</v>
      </c>
    </row>
    <row r="230" spans="1:3" x14ac:dyDescent="0.4">
      <c r="A230" t="s">
        <v>1242</v>
      </c>
      <c r="B230" t="s">
        <v>9023</v>
      </c>
      <c r="C230" t="s">
        <v>9050</v>
      </c>
    </row>
    <row r="231" spans="1:3" x14ac:dyDescent="0.4">
      <c r="A231" t="s">
        <v>1245</v>
      </c>
      <c r="B231" t="s">
        <v>9024</v>
      </c>
      <c r="C231" t="s">
        <v>9050</v>
      </c>
    </row>
    <row r="232" spans="1:3" x14ac:dyDescent="0.4">
      <c r="A232" t="s">
        <v>1248</v>
      </c>
      <c r="B232" t="s">
        <v>9025</v>
      </c>
      <c r="C232" t="s">
        <v>9050</v>
      </c>
    </row>
    <row r="233" spans="1:3" x14ac:dyDescent="0.4">
      <c r="A233" t="s">
        <v>1251</v>
      </c>
      <c r="B233" t="s">
        <v>9026</v>
      </c>
      <c r="C233" t="s">
        <v>9050</v>
      </c>
    </row>
    <row r="234" spans="1:3" x14ac:dyDescent="0.4">
      <c r="A234" t="s">
        <v>1254</v>
      </c>
      <c r="B234" t="s">
        <v>9027</v>
      </c>
      <c r="C234" t="s">
        <v>9050</v>
      </c>
    </row>
    <row r="235" spans="1:3" x14ac:dyDescent="0.4">
      <c r="A235" t="s">
        <v>1230</v>
      </c>
      <c r="B235" t="s">
        <v>9028</v>
      </c>
      <c r="C235" t="s">
        <v>9050</v>
      </c>
    </row>
    <row r="236" spans="1:3" x14ac:dyDescent="0.4">
      <c r="A236" t="s">
        <v>2080</v>
      </c>
      <c r="B236" t="s">
        <v>9029</v>
      </c>
      <c r="C236" t="s">
        <v>9050</v>
      </c>
    </row>
    <row r="237" spans="1:3" x14ac:dyDescent="0.4">
      <c r="A237" t="s">
        <v>2086</v>
      </c>
      <c r="B237" t="s">
        <v>9030</v>
      </c>
      <c r="C237" t="s">
        <v>9050</v>
      </c>
    </row>
    <row r="238" spans="1:3" x14ac:dyDescent="0.4">
      <c r="A238" t="s">
        <v>2089</v>
      </c>
      <c r="B238" t="s">
        <v>9031</v>
      </c>
      <c r="C238" t="s">
        <v>9050</v>
      </c>
    </row>
    <row r="239" spans="1:3" x14ac:dyDescent="0.4">
      <c r="A239" t="s">
        <v>2092</v>
      </c>
      <c r="B239" t="s">
        <v>9032</v>
      </c>
      <c r="C239" t="s">
        <v>9050</v>
      </c>
    </row>
    <row r="240" spans="1:3" x14ac:dyDescent="0.4">
      <c r="A240" t="s">
        <v>2095</v>
      </c>
      <c r="B240" t="s">
        <v>9033</v>
      </c>
      <c r="C240" t="s">
        <v>9050</v>
      </c>
    </row>
    <row r="241" spans="1:3" x14ac:dyDescent="0.4">
      <c r="A241" t="s">
        <v>2098</v>
      </c>
      <c r="B241" t="s">
        <v>9034</v>
      </c>
      <c r="C241" t="s">
        <v>9050</v>
      </c>
    </row>
    <row r="242" spans="1:3" x14ac:dyDescent="0.4">
      <c r="A242" t="s">
        <v>2045</v>
      </c>
      <c r="B242" t="s">
        <v>8865</v>
      </c>
      <c r="C242" t="s">
        <v>9050</v>
      </c>
    </row>
    <row r="243" spans="1:3" x14ac:dyDescent="0.4">
      <c r="A243" t="s">
        <v>2052</v>
      </c>
      <c r="B243" t="s">
        <v>8866</v>
      </c>
      <c r="C243" t="s">
        <v>9050</v>
      </c>
    </row>
    <row r="244" spans="1:3" x14ac:dyDescent="0.4">
      <c r="A244" t="s">
        <v>2056</v>
      </c>
      <c r="B244" t="s">
        <v>8867</v>
      </c>
      <c r="C244" t="s">
        <v>9050</v>
      </c>
    </row>
    <row r="245" spans="1:3" x14ac:dyDescent="0.4">
      <c r="A245" t="s">
        <v>2059</v>
      </c>
      <c r="B245" t="s">
        <v>8868</v>
      </c>
      <c r="C245" t="s">
        <v>9050</v>
      </c>
    </row>
    <row r="246" spans="1:3" x14ac:dyDescent="0.4">
      <c r="A246" t="s">
        <v>2062</v>
      </c>
      <c r="B246" t="s">
        <v>8869</v>
      </c>
      <c r="C246" t="s">
        <v>9050</v>
      </c>
    </row>
    <row r="247" spans="1:3" x14ac:dyDescent="0.4">
      <c r="A247" t="s">
        <v>2065</v>
      </c>
      <c r="B247" t="s">
        <v>8870</v>
      </c>
      <c r="C247" t="s">
        <v>9050</v>
      </c>
    </row>
    <row r="248" spans="1:3" x14ac:dyDescent="0.4">
      <c r="A248" t="s">
        <v>2068</v>
      </c>
      <c r="B248" t="s">
        <v>8871</v>
      </c>
      <c r="C248" t="s">
        <v>9050</v>
      </c>
    </row>
    <row r="249" spans="1:3" x14ac:dyDescent="0.4">
      <c r="A249" t="s">
        <v>2071</v>
      </c>
      <c r="B249" t="s">
        <v>8872</v>
      </c>
      <c r="C249" t="s">
        <v>9050</v>
      </c>
    </row>
    <row r="250" spans="1:3" x14ac:dyDescent="0.4">
      <c r="A250" t="s">
        <v>2074</v>
      </c>
      <c r="B250" t="s">
        <v>8873</v>
      </c>
      <c r="C250" t="s">
        <v>9050</v>
      </c>
    </row>
    <row r="251" spans="1:3" x14ac:dyDescent="0.4">
      <c r="A251" t="s">
        <v>2077</v>
      </c>
      <c r="B251" t="s">
        <v>8874</v>
      </c>
      <c r="C251" t="s">
        <v>9050</v>
      </c>
    </row>
    <row r="252" spans="1:3" x14ac:dyDescent="0.4">
      <c r="A252" t="s">
        <v>1629</v>
      </c>
      <c r="B252" t="s">
        <v>8875</v>
      </c>
      <c r="C252" t="s">
        <v>9050</v>
      </c>
    </row>
    <row r="253" spans="1:3" x14ac:dyDescent="0.4">
      <c r="A253" t="s">
        <v>1635</v>
      </c>
      <c r="B253" t="s">
        <v>8876</v>
      </c>
      <c r="C253" t="s">
        <v>9050</v>
      </c>
    </row>
    <row r="254" spans="1:3" x14ac:dyDescent="0.4">
      <c r="A254" t="s">
        <v>1639</v>
      </c>
      <c r="B254" t="s">
        <v>8877</v>
      </c>
      <c r="C254" t="s">
        <v>9050</v>
      </c>
    </row>
    <row r="255" spans="1:3" x14ac:dyDescent="0.4">
      <c r="A255" t="s">
        <v>1642</v>
      </c>
      <c r="B255" t="s">
        <v>8878</v>
      </c>
      <c r="C255" t="s">
        <v>9050</v>
      </c>
    </row>
    <row r="256" spans="1:3" x14ac:dyDescent="0.4">
      <c r="A256" t="s">
        <v>1646</v>
      </c>
      <c r="B256" t="s">
        <v>8879</v>
      </c>
      <c r="C256" t="s">
        <v>9050</v>
      </c>
    </row>
    <row r="257" spans="1:3" x14ac:dyDescent="0.4">
      <c r="A257" t="s">
        <v>1649</v>
      </c>
      <c r="B257" t="s">
        <v>8880</v>
      </c>
      <c r="C257" t="s">
        <v>9050</v>
      </c>
    </row>
    <row r="258" spans="1:3" x14ac:dyDescent="0.4">
      <c r="A258" t="s">
        <v>524</v>
      </c>
      <c r="B258" t="s">
        <v>8881</v>
      </c>
      <c r="C258" t="s">
        <v>9050</v>
      </c>
    </row>
    <row r="259" spans="1:3" x14ac:dyDescent="0.4">
      <c r="A259" t="s">
        <v>530</v>
      </c>
      <c r="B259" t="s">
        <v>8882</v>
      </c>
      <c r="C259" t="s">
        <v>9050</v>
      </c>
    </row>
    <row r="260" spans="1:3" x14ac:dyDescent="0.4">
      <c r="A260" t="s">
        <v>533</v>
      </c>
      <c r="B260" t="s">
        <v>8883</v>
      </c>
      <c r="C260" t="s">
        <v>9050</v>
      </c>
    </row>
    <row r="261" spans="1:3" x14ac:dyDescent="0.4">
      <c r="A261" t="s">
        <v>536</v>
      </c>
      <c r="B261" t="s">
        <v>8884</v>
      </c>
      <c r="C261" t="s">
        <v>9050</v>
      </c>
    </row>
    <row r="262" spans="1:3" x14ac:dyDescent="0.4">
      <c r="A262" t="s">
        <v>539</v>
      </c>
      <c r="B262" t="s">
        <v>8885</v>
      </c>
      <c r="C262" t="s">
        <v>9050</v>
      </c>
    </row>
    <row r="263" spans="1:3" x14ac:dyDescent="0.4">
      <c r="A263" t="s">
        <v>542</v>
      </c>
      <c r="B263" t="s">
        <v>8886</v>
      </c>
      <c r="C263" t="s">
        <v>9050</v>
      </c>
    </row>
    <row r="264" spans="1:3" x14ac:dyDescent="0.4">
      <c r="A264" t="s">
        <v>545</v>
      </c>
      <c r="B264" t="s">
        <v>8887</v>
      </c>
      <c r="C264" t="s">
        <v>9050</v>
      </c>
    </row>
    <row r="265" spans="1:3" x14ac:dyDescent="0.4">
      <c r="A265" t="s">
        <v>548</v>
      </c>
      <c r="B265" t="s">
        <v>8888</v>
      </c>
      <c r="C265" t="s">
        <v>9050</v>
      </c>
    </row>
    <row r="266" spans="1:3" x14ac:dyDescent="0.4">
      <c r="A266" t="s">
        <v>551</v>
      </c>
      <c r="B266" t="s">
        <v>8889</v>
      </c>
      <c r="C266" t="s">
        <v>9050</v>
      </c>
    </row>
    <row r="267" spans="1:3" x14ac:dyDescent="0.4">
      <c r="A267" t="s">
        <v>554</v>
      </c>
      <c r="B267" t="s">
        <v>8890</v>
      </c>
      <c r="C267" t="s">
        <v>9050</v>
      </c>
    </row>
    <row r="268" spans="1:3" x14ac:dyDescent="0.4">
      <c r="A268" t="s">
        <v>1183</v>
      </c>
      <c r="B268" t="s">
        <v>9035</v>
      </c>
      <c r="C268" t="s">
        <v>9050</v>
      </c>
    </row>
    <row r="269" spans="1:3" x14ac:dyDescent="0.4">
      <c r="A269" t="s">
        <v>1190</v>
      </c>
      <c r="B269" t="s">
        <v>9036</v>
      </c>
      <c r="C269" t="s">
        <v>9050</v>
      </c>
    </row>
    <row r="270" spans="1:3" x14ac:dyDescent="0.4">
      <c r="A270" t="s">
        <v>1193</v>
      </c>
      <c r="B270" t="s">
        <v>8891</v>
      </c>
      <c r="C270" t="s">
        <v>9050</v>
      </c>
    </row>
    <row r="271" spans="1:3" x14ac:dyDescent="0.4">
      <c r="A271" t="s">
        <v>1196</v>
      </c>
      <c r="B271" t="s">
        <v>9037</v>
      </c>
      <c r="C271" t="s">
        <v>9050</v>
      </c>
    </row>
    <row r="272" spans="1:3" x14ac:dyDescent="0.4">
      <c r="A272" t="s">
        <v>1200</v>
      </c>
      <c r="B272" t="s">
        <v>9038</v>
      </c>
      <c r="C272" t="s">
        <v>9050</v>
      </c>
    </row>
    <row r="273" spans="1:3" x14ac:dyDescent="0.4">
      <c r="A273" t="s">
        <v>1204</v>
      </c>
      <c r="B273" t="s">
        <v>8892</v>
      </c>
      <c r="C273" t="s">
        <v>9050</v>
      </c>
    </row>
    <row r="274" spans="1:3" x14ac:dyDescent="0.4">
      <c r="A274" t="s">
        <v>1207</v>
      </c>
      <c r="B274" t="s">
        <v>8893</v>
      </c>
      <c r="C274" t="s">
        <v>9050</v>
      </c>
    </row>
    <row r="275" spans="1:3" x14ac:dyDescent="0.4">
      <c r="A275" t="s">
        <v>1210</v>
      </c>
      <c r="B275" t="s">
        <v>9039</v>
      </c>
      <c r="C275" t="s">
        <v>9050</v>
      </c>
    </row>
    <row r="276" spans="1:3" x14ac:dyDescent="0.4">
      <c r="A276" t="s">
        <v>1213</v>
      </c>
      <c r="B276" t="s">
        <v>9040</v>
      </c>
      <c r="C276" t="s">
        <v>9050</v>
      </c>
    </row>
    <row r="277" spans="1:3" x14ac:dyDescent="0.4">
      <c r="A277" t="s">
        <v>1217</v>
      </c>
      <c r="B277" t="s">
        <v>8894</v>
      </c>
      <c r="C277" t="s">
        <v>9050</v>
      </c>
    </row>
    <row r="278" spans="1:3" x14ac:dyDescent="0.4">
      <c r="A278" t="s">
        <v>1220</v>
      </c>
      <c r="B278" t="s">
        <v>9041</v>
      </c>
      <c r="C278" t="s">
        <v>9050</v>
      </c>
    </row>
    <row r="279" spans="1:3" x14ac:dyDescent="0.4">
      <c r="A279" t="s">
        <v>1317</v>
      </c>
      <c r="B279" t="s">
        <v>8895</v>
      </c>
      <c r="C279" t="s">
        <v>9050</v>
      </c>
    </row>
    <row r="280" spans="1:3" x14ac:dyDescent="0.4">
      <c r="A280" t="s">
        <v>1324</v>
      </c>
      <c r="B280" t="s">
        <v>8896</v>
      </c>
      <c r="C280" t="s">
        <v>9050</v>
      </c>
    </row>
    <row r="281" spans="1:3" x14ac:dyDescent="0.4">
      <c r="A281" t="s">
        <v>1327</v>
      </c>
      <c r="B281" t="s">
        <v>8897</v>
      </c>
      <c r="C281" t="s">
        <v>9050</v>
      </c>
    </row>
    <row r="282" spans="1:3" x14ac:dyDescent="0.4">
      <c r="A282" t="s">
        <v>1330</v>
      </c>
      <c r="B282" t="s">
        <v>8898</v>
      </c>
      <c r="C282" t="s">
        <v>9050</v>
      </c>
    </row>
    <row r="283" spans="1:3" x14ac:dyDescent="0.4">
      <c r="A283" t="s">
        <v>1333</v>
      </c>
      <c r="B283" t="s">
        <v>8899</v>
      </c>
      <c r="C283" t="s">
        <v>9050</v>
      </c>
    </row>
    <row r="284" spans="1:3" x14ac:dyDescent="0.4">
      <c r="A284" t="s">
        <v>1336</v>
      </c>
      <c r="B284" t="s">
        <v>8900</v>
      </c>
      <c r="C284" t="s">
        <v>9050</v>
      </c>
    </row>
    <row r="285" spans="1:3" x14ac:dyDescent="0.4">
      <c r="A285" t="s">
        <v>1339</v>
      </c>
      <c r="B285" t="s">
        <v>8901</v>
      </c>
      <c r="C285" t="s">
        <v>9050</v>
      </c>
    </row>
    <row r="286" spans="1:3" x14ac:dyDescent="0.4">
      <c r="A286" t="s">
        <v>1342</v>
      </c>
      <c r="B286" t="s">
        <v>8902</v>
      </c>
      <c r="C286" t="s">
        <v>9050</v>
      </c>
    </row>
    <row r="287" spans="1:3" x14ac:dyDescent="0.4">
      <c r="A287" t="s">
        <v>1345</v>
      </c>
      <c r="B287" t="s">
        <v>8903</v>
      </c>
      <c r="C287" t="s">
        <v>9050</v>
      </c>
    </row>
    <row r="288" spans="1:3" x14ac:dyDescent="0.4">
      <c r="A288" t="s">
        <v>1348</v>
      </c>
      <c r="B288" t="s">
        <v>8904</v>
      </c>
      <c r="C288" t="s">
        <v>9050</v>
      </c>
    </row>
    <row r="289" spans="1:3" x14ac:dyDescent="0.4">
      <c r="A289" t="s">
        <v>1354</v>
      </c>
      <c r="B289" t="s">
        <v>8905</v>
      </c>
      <c r="C289" t="s">
        <v>9050</v>
      </c>
    </row>
    <row r="290" spans="1:3" x14ac:dyDescent="0.4">
      <c r="A290" t="s">
        <v>1357</v>
      </c>
      <c r="B290" t="s">
        <v>8906</v>
      </c>
      <c r="C290" t="s">
        <v>9050</v>
      </c>
    </row>
    <row r="291" spans="1:3" x14ac:dyDescent="0.4">
      <c r="A291" t="s">
        <v>1360</v>
      </c>
      <c r="B291" t="s">
        <v>8907</v>
      </c>
      <c r="C291" t="s">
        <v>9050</v>
      </c>
    </row>
    <row r="292" spans="1:3" x14ac:dyDescent="0.4">
      <c r="A292" t="s">
        <v>1363</v>
      </c>
      <c r="B292" t="s">
        <v>8908</v>
      </c>
      <c r="C292" t="s">
        <v>9050</v>
      </c>
    </row>
    <row r="293" spans="1:3" x14ac:dyDescent="0.4">
      <c r="A293" t="s">
        <v>1366</v>
      </c>
      <c r="B293" t="s">
        <v>8909</v>
      </c>
      <c r="C293" t="s">
        <v>9050</v>
      </c>
    </row>
    <row r="294" spans="1:3" x14ac:dyDescent="0.4">
      <c r="A294" t="s">
        <v>1369</v>
      </c>
      <c r="B294" t="s">
        <v>8910</v>
      </c>
      <c r="C294" t="s">
        <v>9050</v>
      </c>
    </row>
    <row r="295" spans="1:3" x14ac:dyDescent="0.4">
      <c r="A295" t="s">
        <v>1372</v>
      </c>
      <c r="B295" t="s">
        <v>8911</v>
      </c>
      <c r="C295" t="s">
        <v>9050</v>
      </c>
    </row>
    <row r="296" spans="1:3" x14ac:dyDescent="0.4">
      <c r="A296" t="s">
        <v>1375</v>
      </c>
      <c r="B296" t="s">
        <v>8912</v>
      </c>
      <c r="C296" t="s">
        <v>9050</v>
      </c>
    </row>
    <row r="297" spans="1:3" x14ac:dyDescent="0.4">
      <c r="A297" t="s">
        <v>1379</v>
      </c>
      <c r="B297" t="s">
        <v>8913</v>
      </c>
      <c r="C297" t="s">
        <v>9050</v>
      </c>
    </row>
    <row r="298" spans="1:3" x14ac:dyDescent="0.4">
      <c r="A298" t="s">
        <v>1382</v>
      </c>
      <c r="B298" t="s">
        <v>8914</v>
      </c>
      <c r="C298" t="s">
        <v>9050</v>
      </c>
    </row>
    <row r="299" spans="1:3" x14ac:dyDescent="0.4">
      <c r="A299" t="s">
        <v>1890</v>
      </c>
      <c r="B299" t="s">
        <v>8915</v>
      </c>
      <c r="C299" t="s">
        <v>9050</v>
      </c>
    </row>
    <row r="300" spans="1:3" x14ac:dyDescent="0.4">
      <c r="A300" t="s">
        <v>1897</v>
      </c>
      <c r="B300" t="s">
        <v>8916</v>
      </c>
      <c r="C300" t="s">
        <v>9050</v>
      </c>
    </row>
    <row r="301" spans="1:3" x14ac:dyDescent="0.4">
      <c r="A301" t="s">
        <v>1900</v>
      </c>
      <c r="B301" t="s">
        <v>8917</v>
      </c>
      <c r="C301" t="s">
        <v>9050</v>
      </c>
    </row>
    <row r="302" spans="1:3" x14ac:dyDescent="0.4">
      <c r="A302" t="s">
        <v>1903</v>
      </c>
      <c r="B302" t="s">
        <v>8918</v>
      </c>
      <c r="C302" t="s">
        <v>9050</v>
      </c>
    </row>
    <row r="303" spans="1:3" x14ac:dyDescent="0.4">
      <c r="A303" t="s">
        <v>1906</v>
      </c>
      <c r="B303" t="s">
        <v>8919</v>
      </c>
      <c r="C303" t="s">
        <v>9050</v>
      </c>
    </row>
    <row r="304" spans="1:3" x14ac:dyDescent="0.4">
      <c r="A304" t="s">
        <v>1912</v>
      </c>
      <c r="B304" t="s">
        <v>8920</v>
      </c>
      <c r="C304" t="s">
        <v>9050</v>
      </c>
    </row>
    <row r="305" spans="1:3" x14ac:dyDescent="0.4">
      <c r="A305" t="s">
        <v>1915</v>
      </c>
      <c r="B305" t="s">
        <v>8921</v>
      </c>
      <c r="C305" t="s">
        <v>9050</v>
      </c>
    </row>
    <row r="306" spans="1:3" x14ac:dyDescent="0.4">
      <c r="A306" t="s">
        <v>1918</v>
      </c>
      <c r="B306" t="s">
        <v>8922</v>
      </c>
      <c r="C306" t="s">
        <v>9050</v>
      </c>
    </row>
    <row r="307" spans="1:3" x14ac:dyDescent="0.4">
      <c r="A307" t="s">
        <v>1921</v>
      </c>
      <c r="B307" t="s">
        <v>8923</v>
      </c>
      <c r="C307" t="s">
        <v>9050</v>
      </c>
    </row>
    <row r="308" spans="1:3" x14ac:dyDescent="0.4">
      <c r="A308" t="s">
        <v>1924</v>
      </c>
      <c r="B308" t="s">
        <v>8924</v>
      </c>
      <c r="C308" t="s">
        <v>9050</v>
      </c>
    </row>
    <row r="309" spans="1:3" x14ac:dyDescent="0.4">
      <c r="A309" t="s">
        <v>1929</v>
      </c>
      <c r="B309" t="s">
        <v>8925</v>
      </c>
      <c r="C309" t="s">
        <v>9050</v>
      </c>
    </row>
    <row r="310" spans="1:3" x14ac:dyDescent="0.4">
      <c r="A310" t="s">
        <v>1932</v>
      </c>
      <c r="B310" t="s">
        <v>8926</v>
      </c>
      <c r="C310" t="s">
        <v>9050</v>
      </c>
    </row>
    <row r="311" spans="1:3" x14ac:dyDescent="0.4">
      <c r="A311" t="s">
        <v>1935</v>
      </c>
      <c r="B311" t="s">
        <v>8927</v>
      </c>
      <c r="C311" t="s">
        <v>9050</v>
      </c>
    </row>
    <row r="312" spans="1:3" x14ac:dyDescent="0.4">
      <c r="A312" t="s">
        <v>1938</v>
      </c>
      <c r="B312" t="s">
        <v>8928</v>
      </c>
      <c r="C312" t="s">
        <v>9050</v>
      </c>
    </row>
    <row r="313" spans="1:3" x14ac:dyDescent="0.4">
      <c r="A313" t="s">
        <v>1941</v>
      </c>
      <c r="B313" t="s">
        <v>8929</v>
      </c>
      <c r="C313" t="s">
        <v>9050</v>
      </c>
    </row>
    <row r="314" spans="1:3" x14ac:dyDescent="0.4">
      <c r="A314" t="s">
        <v>1944</v>
      </c>
      <c r="B314" t="s">
        <v>8930</v>
      </c>
      <c r="C314" t="s">
        <v>9050</v>
      </c>
    </row>
    <row r="315" spans="1:3" x14ac:dyDescent="0.4">
      <c r="A315" t="s">
        <v>1947</v>
      </c>
      <c r="B315" t="s">
        <v>8931</v>
      </c>
      <c r="C315" t="s">
        <v>9050</v>
      </c>
    </row>
    <row r="316" spans="1:3" x14ac:dyDescent="0.4">
      <c r="A316" t="s">
        <v>1950</v>
      </c>
      <c r="B316" t="s">
        <v>8932</v>
      </c>
      <c r="C316" t="s">
        <v>9050</v>
      </c>
    </row>
    <row r="317" spans="1:3" x14ac:dyDescent="0.4">
      <c r="A317" t="s">
        <v>1953</v>
      </c>
      <c r="B317" t="s">
        <v>8933</v>
      </c>
      <c r="C317" t="s">
        <v>9050</v>
      </c>
    </row>
    <row r="318" spans="1:3" x14ac:dyDescent="0.4">
      <c r="A318" t="s">
        <v>557</v>
      </c>
      <c r="B318" t="s">
        <v>8934</v>
      </c>
      <c r="C318" t="s">
        <v>9050</v>
      </c>
    </row>
    <row r="319" spans="1:3" x14ac:dyDescent="0.4">
      <c r="A319" t="s">
        <v>565</v>
      </c>
      <c r="B319" t="s">
        <v>8935</v>
      </c>
      <c r="C319" t="s">
        <v>9050</v>
      </c>
    </row>
    <row r="320" spans="1:3" x14ac:dyDescent="0.4">
      <c r="A320" t="s">
        <v>568</v>
      </c>
      <c r="B320" t="s">
        <v>8936</v>
      </c>
      <c r="C320" t="s">
        <v>9050</v>
      </c>
    </row>
    <row r="321" spans="1:3" x14ac:dyDescent="0.4">
      <c r="A321" t="s">
        <v>571</v>
      </c>
      <c r="B321" t="s">
        <v>8937</v>
      </c>
      <c r="C321" t="s">
        <v>9050</v>
      </c>
    </row>
    <row r="322" spans="1:3" x14ac:dyDescent="0.4">
      <c r="A322" t="s">
        <v>574</v>
      </c>
      <c r="B322" t="s">
        <v>8938</v>
      </c>
      <c r="C322" t="s">
        <v>9050</v>
      </c>
    </row>
    <row r="323" spans="1:3" x14ac:dyDescent="0.4">
      <c r="A323" t="s">
        <v>577</v>
      </c>
      <c r="B323" t="s">
        <v>8939</v>
      </c>
      <c r="C323" t="s">
        <v>9050</v>
      </c>
    </row>
    <row r="324" spans="1:3" x14ac:dyDescent="0.4">
      <c r="A324" t="s">
        <v>580</v>
      </c>
      <c r="B324" t="s">
        <v>8940</v>
      </c>
      <c r="C324" t="s">
        <v>9050</v>
      </c>
    </row>
    <row r="325" spans="1:3" x14ac:dyDescent="0.4">
      <c r="A325" t="s">
        <v>583</v>
      </c>
      <c r="B325" t="s">
        <v>8941</v>
      </c>
      <c r="C325" t="s">
        <v>9050</v>
      </c>
    </row>
    <row r="326" spans="1:3" x14ac:dyDescent="0.4">
      <c r="A326" t="s">
        <v>586</v>
      </c>
      <c r="B326" t="s">
        <v>8942</v>
      </c>
      <c r="C326" t="s">
        <v>9050</v>
      </c>
    </row>
    <row r="327" spans="1:3" x14ac:dyDescent="0.4">
      <c r="A327" t="s">
        <v>626</v>
      </c>
      <c r="B327" t="s">
        <v>8943</v>
      </c>
      <c r="C327" t="s">
        <v>9050</v>
      </c>
    </row>
    <row r="328" spans="1:3" x14ac:dyDescent="0.4">
      <c r="A328" t="s">
        <v>590</v>
      </c>
      <c r="B328" t="s">
        <v>8944</v>
      </c>
      <c r="C328" t="s">
        <v>9050</v>
      </c>
    </row>
    <row r="329" spans="1:3" x14ac:dyDescent="0.4">
      <c r="A329" t="s">
        <v>595</v>
      </c>
      <c r="B329" t="s">
        <v>9042</v>
      </c>
      <c r="C329" t="s">
        <v>9050</v>
      </c>
    </row>
    <row r="330" spans="1:3" x14ac:dyDescent="0.4">
      <c r="A330" t="s">
        <v>599</v>
      </c>
      <c r="B330" t="s">
        <v>9043</v>
      </c>
      <c r="C330" t="s">
        <v>9050</v>
      </c>
    </row>
    <row r="331" spans="1:3" x14ac:dyDescent="0.4">
      <c r="A331" t="s">
        <v>602</v>
      </c>
      <c r="B331" t="s">
        <v>9044</v>
      </c>
      <c r="C331" t="s">
        <v>9050</v>
      </c>
    </row>
    <row r="332" spans="1:3" x14ac:dyDescent="0.4">
      <c r="A332" t="s">
        <v>606</v>
      </c>
      <c r="B332" t="s">
        <v>8945</v>
      </c>
      <c r="C332" t="s">
        <v>9050</v>
      </c>
    </row>
    <row r="333" spans="1:3" x14ac:dyDescent="0.4">
      <c r="A333" t="s">
        <v>610</v>
      </c>
      <c r="B333" t="s">
        <v>9045</v>
      </c>
      <c r="C333" t="s">
        <v>9050</v>
      </c>
    </row>
    <row r="334" spans="1:3" x14ac:dyDescent="0.4">
      <c r="A334" t="s">
        <v>613</v>
      </c>
      <c r="B334" t="s">
        <v>9046</v>
      </c>
      <c r="C334" t="s">
        <v>9050</v>
      </c>
    </row>
    <row r="335" spans="1:3" x14ac:dyDescent="0.4">
      <c r="A335" t="s">
        <v>617</v>
      </c>
      <c r="B335" t="s">
        <v>9047</v>
      </c>
      <c r="C335" t="s">
        <v>9050</v>
      </c>
    </row>
    <row r="336" spans="1:3" x14ac:dyDescent="0.4">
      <c r="A336" t="s">
        <v>620</v>
      </c>
      <c r="B336" t="s">
        <v>9048</v>
      </c>
      <c r="C336" t="s">
        <v>9050</v>
      </c>
    </row>
    <row r="337" spans="1:3" x14ac:dyDescent="0.4">
      <c r="A337" t="s">
        <v>623</v>
      </c>
      <c r="B337" t="s">
        <v>9049</v>
      </c>
      <c r="C337" t="s">
        <v>9050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064AF-12E3-4A45-A6A6-0B1F99F0E5D5}">
  <dimension ref="A1"/>
  <sheetViews>
    <sheetView workbookViewId="0"/>
  </sheetViews>
  <sheetFormatPr defaultRowHeight="14.6" x14ac:dyDescent="0.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4227D-A827-4159-846A-98D814F4C116}">
  <dimension ref="A1:B695"/>
  <sheetViews>
    <sheetView topLeftCell="A678" workbookViewId="0">
      <selection activeCell="E695" sqref="E695"/>
    </sheetView>
  </sheetViews>
  <sheetFormatPr defaultRowHeight="14.6" x14ac:dyDescent="0.4"/>
  <sheetData>
    <row r="1" spans="1:2" x14ac:dyDescent="0.4">
      <c r="A1" t="s">
        <v>8615</v>
      </c>
      <c r="B1" t="s">
        <v>8616</v>
      </c>
    </row>
    <row r="2" spans="1:2" x14ac:dyDescent="0.4">
      <c r="A2" t="s">
        <v>2562</v>
      </c>
      <c r="B2" s="12" t="s">
        <v>8617</v>
      </c>
    </row>
    <row r="3" spans="1:2" x14ac:dyDescent="0.4">
      <c r="A3" t="s">
        <v>2565</v>
      </c>
      <c r="B3" s="12" t="s">
        <v>8617</v>
      </c>
    </row>
    <row r="4" spans="1:2" x14ac:dyDescent="0.4">
      <c r="A4" t="s">
        <v>2566</v>
      </c>
      <c r="B4" s="12" t="s">
        <v>8617</v>
      </c>
    </row>
    <row r="5" spans="1:2" x14ac:dyDescent="0.4">
      <c r="A5" t="s">
        <v>2567</v>
      </c>
      <c r="B5" s="12" t="s">
        <v>8617</v>
      </c>
    </row>
    <row r="6" spans="1:2" x14ac:dyDescent="0.4">
      <c r="A6" t="s">
        <v>2568</v>
      </c>
      <c r="B6" s="12" t="s">
        <v>8617</v>
      </c>
    </row>
    <row r="7" spans="1:2" x14ac:dyDescent="0.4">
      <c r="A7" t="s">
        <v>2569</v>
      </c>
      <c r="B7" s="12" t="s">
        <v>8617</v>
      </c>
    </row>
    <row r="8" spans="1:2" x14ac:dyDescent="0.4">
      <c r="A8" t="s">
        <v>2571</v>
      </c>
      <c r="B8" s="12" t="s">
        <v>8617</v>
      </c>
    </row>
    <row r="9" spans="1:2" x14ac:dyDescent="0.4">
      <c r="A9" t="s">
        <v>2572</v>
      </c>
      <c r="B9" s="12" t="s">
        <v>8617</v>
      </c>
    </row>
    <row r="10" spans="1:2" x14ac:dyDescent="0.4">
      <c r="A10" t="s">
        <v>2573</v>
      </c>
      <c r="B10" s="12" t="s">
        <v>8617</v>
      </c>
    </row>
    <row r="11" spans="1:2" x14ac:dyDescent="0.4">
      <c r="A11" t="s">
        <v>2574</v>
      </c>
      <c r="B11" s="12" t="s">
        <v>8617</v>
      </c>
    </row>
    <row r="12" spans="1:2" x14ac:dyDescent="0.4">
      <c r="A12" t="s">
        <v>2575</v>
      </c>
      <c r="B12" s="12" t="s">
        <v>8617</v>
      </c>
    </row>
    <row r="13" spans="1:2" x14ac:dyDescent="0.4">
      <c r="A13" t="s">
        <v>2576</v>
      </c>
      <c r="B13" s="12" t="s">
        <v>8617</v>
      </c>
    </row>
    <row r="14" spans="1:2" x14ac:dyDescent="0.4">
      <c r="A14" t="s">
        <v>2577</v>
      </c>
      <c r="B14" s="12" t="s">
        <v>8617</v>
      </c>
    </row>
    <row r="15" spans="1:2" x14ac:dyDescent="0.4">
      <c r="A15" t="s">
        <v>2578</v>
      </c>
      <c r="B15" s="12" t="s">
        <v>8617</v>
      </c>
    </row>
    <row r="16" spans="1:2" x14ac:dyDescent="0.4">
      <c r="A16" t="s">
        <v>2579</v>
      </c>
      <c r="B16" s="12" t="s">
        <v>8617</v>
      </c>
    </row>
    <row r="17" spans="1:2" x14ac:dyDescent="0.4">
      <c r="A17" t="s">
        <v>2580</v>
      </c>
      <c r="B17" s="12" t="s">
        <v>8617</v>
      </c>
    </row>
    <row r="18" spans="1:2" x14ac:dyDescent="0.4">
      <c r="A18" t="s">
        <v>2594</v>
      </c>
      <c r="B18" s="12" t="s">
        <v>8617</v>
      </c>
    </row>
    <row r="19" spans="1:2" x14ac:dyDescent="0.4">
      <c r="A19" t="s">
        <v>236</v>
      </c>
      <c r="B19" s="12" t="s">
        <v>8617</v>
      </c>
    </row>
    <row r="20" spans="1:2" x14ac:dyDescent="0.4">
      <c r="A20" t="s">
        <v>246</v>
      </c>
      <c r="B20" s="12" t="s">
        <v>8617</v>
      </c>
    </row>
    <row r="21" spans="1:2" x14ac:dyDescent="0.4">
      <c r="A21" t="s">
        <v>250</v>
      </c>
      <c r="B21" s="12" t="s">
        <v>8617</v>
      </c>
    </row>
    <row r="22" spans="1:2" x14ac:dyDescent="0.4">
      <c r="A22" t="s">
        <v>1519</v>
      </c>
      <c r="B22" s="12" t="s">
        <v>8617</v>
      </c>
    </row>
    <row r="23" spans="1:2" x14ac:dyDescent="0.4">
      <c r="A23" t="s">
        <v>1525</v>
      </c>
      <c r="B23" s="12" t="s">
        <v>8617</v>
      </c>
    </row>
    <row r="24" spans="1:2" x14ac:dyDescent="0.4">
      <c r="A24" t="s">
        <v>1528</v>
      </c>
      <c r="B24" s="12" t="s">
        <v>8617</v>
      </c>
    </row>
    <row r="25" spans="1:2" x14ac:dyDescent="0.4">
      <c r="A25" t="s">
        <v>1531</v>
      </c>
      <c r="B25" s="12" t="s">
        <v>8617</v>
      </c>
    </row>
    <row r="26" spans="1:2" x14ac:dyDescent="0.4">
      <c r="A26" t="s">
        <v>1534</v>
      </c>
      <c r="B26" s="12" t="s">
        <v>8617</v>
      </c>
    </row>
    <row r="27" spans="1:2" x14ac:dyDescent="0.4">
      <c r="A27" t="s">
        <v>1537</v>
      </c>
      <c r="B27" s="12" t="s">
        <v>8617</v>
      </c>
    </row>
    <row r="28" spans="1:2" x14ac:dyDescent="0.4">
      <c r="A28" t="s">
        <v>1540</v>
      </c>
      <c r="B28" s="12" t="s">
        <v>8617</v>
      </c>
    </row>
    <row r="29" spans="1:2" x14ac:dyDescent="0.4">
      <c r="A29" t="s">
        <v>1543</v>
      </c>
      <c r="B29" s="12" t="s">
        <v>8617</v>
      </c>
    </row>
    <row r="30" spans="1:2" x14ac:dyDescent="0.4">
      <c r="A30" t="s">
        <v>1546</v>
      </c>
      <c r="B30" s="12" t="s">
        <v>8617</v>
      </c>
    </row>
    <row r="31" spans="1:2" x14ac:dyDescent="0.4">
      <c r="A31" t="s">
        <v>254</v>
      </c>
      <c r="B31" s="12" t="s">
        <v>8617</v>
      </c>
    </row>
    <row r="32" spans="1:2" x14ac:dyDescent="0.4">
      <c r="A32" t="s">
        <v>269</v>
      </c>
      <c r="B32" s="12" t="s">
        <v>8617</v>
      </c>
    </row>
    <row r="33" spans="1:2" x14ac:dyDescent="0.4">
      <c r="A33" t="s">
        <v>265</v>
      </c>
      <c r="B33" s="12" t="s">
        <v>8617</v>
      </c>
    </row>
    <row r="34" spans="1:2" x14ac:dyDescent="0.4">
      <c r="A34" t="s">
        <v>261</v>
      </c>
      <c r="B34" s="12" t="s">
        <v>8617</v>
      </c>
    </row>
    <row r="35" spans="1:2" x14ac:dyDescent="0.4">
      <c r="A35" t="s">
        <v>273</v>
      </c>
      <c r="B35" s="12" t="s">
        <v>8617</v>
      </c>
    </row>
    <row r="36" spans="1:2" x14ac:dyDescent="0.4">
      <c r="A36" t="s">
        <v>279</v>
      </c>
      <c r="B36" s="12" t="s">
        <v>8617</v>
      </c>
    </row>
    <row r="37" spans="1:2" x14ac:dyDescent="0.4">
      <c r="A37" t="s">
        <v>287</v>
      </c>
      <c r="B37" s="12" t="s">
        <v>8617</v>
      </c>
    </row>
    <row r="38" spans="1:2" x14ac:dyDescent="0.4">
      <c r="A38" t="s">
        <v>283</v>
      </c>
      <c r="B38" s="12" t="s">
        <v>8617</v>
      </c>
    </row>
    <row r="39" spans="1:2" x14ac:dyDescent="0.4">
      <c r="A39" t="s">
        <v>291</v>
      </c>
      <c r="B39" s="12" t="s">
        <v>8617</v>
      </c>
    </row>
    <row r="40" spans="1:2" x14ac:dyDescent="0.4">
      <c r="A40" t="s">
        <v>299</v>
      </c>
      <c r="B40" s="12" t="s">
        <v>8617</v>
      </c>
    </row>
    <row r="41" spans="1:2" x14ac:dyDescent="0.4">
      <c r="A41" t="s">
        <v>295</v>
      </c>
      <c r="B41" s="12" t="s">
        <v>8617</v>
      </c>
    </row>
    <row r="42" spans="1:2" x14ac:dyDescent="0.4">
      <c r="A42" t="s">
        <v>303</v>
      </c>
      <c r="B42" s="12" t="s">
        <v>8617</v>
      </c>
    </row>
    <row r="43" spans="1:2" x14ac:dyDescent="0.4">
      <c r="A43" t="s">
        <v>307</v>
      </c>
      <c r="B43" s="12" t="s">
        <v>8617</v>
      </c>
    </row>
    <row r="44" spans="1:2" x14ac:dyDescent="0.4">
      <c r="A44" t="s">
        <v>1549</v>
      </c>
      <c r="B44" s="12" t="s">
        <v>8617</v>
      </c>
    </row>
    <row r="45" spans="1:2" x14ac:dyDescent="0.4">
      <c r="A45" t="s">
        <v>1552</v>
      </c>
      <c r="B45" s="12" t="s">
        <v>8617</v>
      </c>
    </row>
    <row r="46" spans="1:2" x14ac:dyDescent="0.4">
      <c r="A46" t="s">
        <v>1555</v>
      </c>
      <c r="B46" s="12" t="s">
        <v>8617</v>
      </c>
    </row>
    <row r="47" spans="1:2" x14ac:dyDescent="0.4">
      <c r="A47" t="s">
        <v>1558</v>
      </c>
      <c r="B47" s="12" t="s">
        <v>8617</v>
      </c>
    </row>
    <row r="48" spans="1:2" x14ac:dyDescent="0.4">
      <c r="A48" t="s">
        <v>1561</v>
      </c>
      <c r="B48" s="12" t="s">
        <v>8617</v>
      </c>
    </row>
    <row r="49" spans="1:2" x14ac:dyDescent="0.4">
      <c r="A49" t="s">
        <v>1564</v>
      </c>
      <c r="B49" s="12" t="s">
        <v>8617</v>
      </c>
    </row>
    <row r="50" spans="1:2" x14ac:dyDescent="0.4">
      <c r="A50" t="s">
        <v>1567</v>
      </c>
      <c r="B50" s="12" t="s">
        <v>8617</v>
      </c>
    </row>
    <row r="51" spans="1:2" x14ac:dyDescent="0.4">
      <c r="A51" t="s">
        <v>1570</v>
      </c>
      <c r="B51" s="12" t="s">
        <v>8617</v>
      </c>
    </row>
    <row r="52" spans="1:2" x14ac:dyDescent="0.4">
      <c r="A52" t="s">
        <v>1573</v>
      </c>
      <c r="B52" s="12" t="s">
        <v>8617</v>
      </c>
    </row>
    <row r="53" spans="1:2" x14ac:dyDescent="0.4">
      <c r="A53" t="s">
        <v>1576</v>
      </c>
      <c r="B53" s="12" t="s">
        <v>8617</v>
      </c>
    </row>
    <row r="54" spans="1:2" x14ac:dyDescent="0.4">
      <c r="A54" t="s">
        <v>1579</v>
      </c>
      <c r="B54" s="12" t="s">
        <v>8617</v>
      </c>
    </row>
    <row r="55" spans="1:2" x14ac:dyDescent="0.4">
      <c r="A55" t="s">
        <v>311</v>
      </c>
      <c r="B55" s="12" t="s">
        <v>8617</v>
      </c>
    </row>
    <row r="56" spans="1:2" x14ac:dyDescent="0.4">
      <c r="A56" t="s">
        <v>317</v>
      </c>
      <c r="B56" s="12" t="s">
        <v>8617</v>
      </c>
    </row>
    <row r="57" spans="1:2" x14ac:dyDescent="0.4">
      <c r="A57" t="s">
        <v>321</v>
      </c>
      <c r="B57" s="12" t="s">
        <v>8617</v>
      </c>
    </row>
    <row r="58" spans="1:2" x14ac:dyDescent="0.4">
      <c r="A58" t="s">
        <v>324</v>
      </c>
      <c r="B58" s="12" t="s">
        <v>8617</v>
      </c>
    </row>
    <row r="59" spans="1:2" x14ac:dyDescent="0.4">
      <c r="A59" t="s">
        <v>327</v>
      </c>
      <c r="B59" s="12" t="s">
        <v>8617</v>
      </c>
    </row>
    <row r="60" spans="1:2" x14ac:dyDescent="0.4">
      <c r="A60" t="s">
        <v>330</v>
      </c>
      <c r="B60" s="12" t="s">
        <v>8617</v>
      </c>
    </row>
    <row r="61" spans="1:2" x14ac:dyDescent="0.4">
      <c r="A61" t="s">
        <v>333</v>
      </c>
      <c r="B61" s="12" t="s">
        <v>8617</v>
      </c>
    </row>
    <row r="62" spans="1:2" x14ac:dyDescent="0.4">
      <c r="A62" t="s">
        <v>336</v>
      </c>
      <c r="B62" s="12" t="s">
        <v>8617</v>
      </c>
    </row>
    <row r="63" spans="1:2" x14ac:dyDescent="0.4">
      <c r="A63" t="s">
        <v>339</v>
      </c>
      <c r="B63" s="12" t="s">
        <v>8617</v>
      </c>
    </row>
    <row r="64" spans="1:2" x14ac:dyDescent="0.4">
      <c r="A64" t="s">
        <v>342</v>
      </c>
      <c r="B64" s="12" t="s">
        <v>8617</v>
      </c>
    </row>
    <row r="65" spans="1:2" x14ac:dyDescent="0.4">
      <c r="A65" t="s">
        <v>1385</v>
      </c>
      <c r="B65" s="12" t="s">
        <v>8617</v>
      </c>
    </row>
    <row r="66" spans="1:2" x14ac:dyDescent="0.4">
      <c r="A66" t="s">
        <v>1391</v>
      </c>
      <c r="B66" s="12" t="s">
        <v>8617</v>
      </c>
    </row>
    <row r="67" spans="1:2" x14ac:dyDescent="0.4">
      <c r="A67" t="s">
        <v>1394</v>
      </c>
      <c r="B67" s="12" t="s">
        <v>8617</v>
      </c>
    </row>
    <row r="68" spans="1:2" x14ac:dyDescent="0.4">
      <c r="A68" t="s">
        <v>1397</v>
      </c>
      <c r="B68" s="12" t="s">
        <v>8617</v>
      </c>
    </row>
    <row r="69" spans="1:2" x14ac:dyDescent="0.4">
      <c r="A69" t="s">
        <v>1400</v>
      </c>
      <c r="B69" s="12" t="s">
        <v>8617</v>
      </c>
    </row>
    <row r="70" spans="1:2" x14ac:dyDescent="0.4">
      <c r="A70" t="s">
        <v>1403</v>
      </c>
      <c r="B70" s="12" t="s">
        <v>8617</v>
      </c>
    </row>
    <row r="71" spans="1:2" x14ac:dyDescent="0.4">
      <c r="A71" t="s">
        <v>1406</v>
      </c>
      <c r="B71" s="12" t="s">
        <v>8617</v>
      </c>
    </row>
    <row r="72" spans="1:2" x14ac:dyDescent="0.4">
      <c r="A72" t="s">
        <v>1409</v>
      </c>
      <c r="B72" s="12" t="s">
        <v>8617</v>
      </c>
    </row>
    <row r="73" spans="1:2" x14ac:dyDescent="0.4">
      <c r="A73" t="s">
        <v>1413</v>
      </c>
      <c r="B73" s="12" t="s">
        <v>8617</v>
      </c>
    </row>
    <row r="74" spans="1:2" x14ac:dyDescent="0.4">
      <c r="A74" t="s">
        <v>1417</v>
      </c>
      <c r="B74" s="12" t="s">
        <v>8617</v>
      </c>
    </row>
    <row r="75" spans="1:2" x14ac:dyDescent="0.4">
      <c r="A75" t="s">
        <v>1420</v>
      </c>
      <c r="B75" s="12" t="s">
        <v>8617</v>
      </c>
    </row>
    <row r="76" spans="1:2" x14ac:dyDescent="0.4">
      <c r="A76" t="s">
        <v>1423</v>
      </c>
      <c r="B76" s="12" t="s">
        <v>8617</v>
      </c>
    </row>
    <row r="77" spans="1:2" x14ac:dyDescent="0.4">
      <c r="A77" t="s">
        <v>1426</v>
      </c>
      <c r="B77" s="12" t="s">
        <v>8617</v>
      </c>
    </row>
    <row r="78" spans="1:2" x14ac:dyDescent="0.4">
      <c r="A78" t="s">
        <v>1430</v>
      </c>
      <c r="B78" s="12" t="s">
        <v>8617</v>
      </c>
    </row>
    <row r="79" spans="1:2" x14ac:dyDescent="0.4">
      <c r="A79" t="s">
        <v>1434</v>
      </c>
      <c r="B79" s="12" t="s">
        <v>8617</v>
      </c>
    </row>
    <row r="80" spans="1:2" x14ac:dyDescent="0.4">
      <c r="A80" t="s">
        <v>111</v>
      </c>
      <c r="B80" s="12" t="s">
        <v>8617</v>
      </c>
    </row>
    <row r="81" spans="1:2" x14ac:dyDescent="0.4">
      <c r="A81" t="s">
        <v>120</v>
      </c>
      <c r="B81" s="12" t="s">
        <v>8617</v>
      </c>
    </row>
    <row r="82" spans="1:2" x14ac:dyDescent="0.4">
      <c r="A82" t="s">
        <v>123</v>
      </c>
      <c r="B82" s="12" t="s">
        <v>8617</v>
      </c>
    </row>
    <row r="83" spans="1:2" x14ac:dyDescent="0.4">
      <c r="A83" t="s">
        <v>126</v>
      </c>
      <c r="B83" s="12" t="s">
        <v>8617</v>
      </c>
    </row>
    <row r="84" spans="1:2" x14ac:dyDescent="0.4">
      <c r="A84" t="s">
        <v>129</v>
      </c>
      <c r="B84" s="12" t="s">
        <v>8617</v>
      </c>
    </row>
    <row r="85" spans="1:2" x14ac:dyDescent="0.4">
      <c r="A85" t="s">
        <v>153</v>
      </c>
      <c r="B85" s="12" t="s">
        <v>8617</v>
      </c>
    </row>
    <row r="86" spans="1:2" x14ac:dyDescent="0.4">
      <c r="A86" t="s">
        <v>159</v>
      </c>
      <c r="B86" s="12" t="s">
        <v>8617</v>
      </c>
    </row>
    <row r="87" spans="1:2" x14ac:dyDescent="0.4">
      <c r="A87" t="s">
        <v>162</v>
      </c>
      <c r="B87" s="12" t="s">
        <v>8617</v>
      </c>
    </row>
    <row r="88" spans="1:2" x14ac:dyDescent="0.4">
      <c r="A88" t="s">
        <v>165</v>
      </c>
      <c r="B88" s="12" t="s">
        <v>8617</v>
      </c>
    </row>
    <row r="89" spans="1:2" x14ac:dyDescent="0.4">
      <c r="A89" t="s">
        <v>168</v>
      </c>
      <c r="B89" s="12" t="s">
        <v>8617</v>
      </c>
    </row>
    <row r="90" spans="1:2" x14ac:dyDescent="0.4">
      <c r="A90" t="s">
        <v>171</v>
      </c>
      <c r="B90" s="12" t="s">
        <v>8617</v>
      </c>
    </row>
    <row r="91" spans="1:2" x14ac:dyDescent="0.4">
      <c r="A91" t="s">
        <v>174</v>
      </c>
      <c r="B91" s="12" t="s">
        <v>8617</v>
      </c>
    </row>
    <row r="92" spans="1:2" x14ac:dyDescent="0.4">
      <c r="A92" t="s">
        <v>177</v>
      </c>
      <c r="B92" s="12" t="s">
        <v>8617</v>
      </c>
    </row>
    <row r="93" spans="1:2" x14ac:dyDescent="0.4">
      <c r="A93" t="s">
        <v>180</v>
      </c>
      <c r="B93" s="12" t="s">
        <v>8617</v>
      </c>
    </row>
    <row r="94" spans="1:2" x14ac:dyDescent="0.4">
      <c r="A94" t="s">
        <v>183</v>
      </c>
      <c r="B94" s="12" t="s">
        <v>8617</v>
      </c>
    </row>
    <row r="95" spans="1:2" x14ac:dyDescent="0.4">
      <c r="A95" t="s">
        <v>186</v>
      </c>
      <c r="B95" s="12" t="s">
        <v>8617</v>
      </c>
    </row>
    <row r="96" spans="1:2" x14ac:dyDescent="0.4">
      <c r="A96" t="s">
        <v>189</v>
      </c>
      <c r="B96" s="12" t="s">
        <v>8617</v>
      </c>
    </row>
    <row r="97" spans="1:2" x14ac:dyDescent="0.4">
      <c r="A97" t="s">
        <v>192</v>
      </c>
      <c r="B97" s="12" t="s">
        <v>8617</v>
      </c>
    </row>
    <row r="98" spans="1:2" x14ac:dyDescent="0.4">
      <c r="A98" t="s">
        <v>195</v>
      </c>
      <c r="B98" s="12" t="s">
        <v>8617</v>
      </c>
    </row>
    <row r="99" spans="1:2" x14ac:dyDescent="0.4">
      <c r="A99" t="s">
        <v>198</v>
      </c>
      <c r="B99" s="12" t="s">
        <v>8617</v>
      </c>
    </row>
    <row r="100" spans="1:2" x14ac:dyDescent="0.4">
      <c r="A100" t="s">
        <v>132</v>
      </c>
      <c r="B100" s="12" t="s">
        <v>8617</v>
      </c>
    </row>
    <row r="101" spans="1:2" x14ac:dyDescent="0.4">
      <c r="A101" t="s">
        <v>137</v>
      </c>
      <c r="B101" s="12" t="s">
        <v>8617</v>
      </c>
    </row>
    <row r="102" spans="1:2" x14ac:dyDescent="0.4">
      <c r="A102" t="s">
        <v>141</v>
      </c>
      <c r="B102" s="12" t="s">
        <v>8617</v>
      </c>
    </row>
    <row r="103" spans="1:2" x14ac:dyDescent="0.4">
      <c r="A103" t="s">
        <v>147</v>
      </c>
      <c r="B103" s="12" t="s">
        <v>8617</v>
      </c>
    </row>
    <row r="104" spans="1:2" x14ac:dyDescent="0.4">
      <c r="A104" t="s">
        <v>150</v>
      </c>
      <c r="B104" s="12" t="s">
        <v>8617</v>
      </c>
    </row>
    <row r="105" spans="1:2" x14ac:dyDescent="0.4">
      <c r="A105" t="s">
        <v>1437</v>
      </c>
      <c r="B105" s="12" t="s">
        <v>8617</v>
      </c>
    </row>
    <row r="106" spans="1:2" x14ac:dyDescent="0.4">
      <c r="A106" t="s">
        <v>1441</v>
      </c>
      <c r="B106" s="12" t="s">
        <v>8617</v>
      </c>
    </row>
    <row r="107" spans="1:2" x14ac:dyDescent="0.4">
      <c r="A107" t="s">
        <v>1444</v>
      </c>
      <c r="B107" s="12" t="s">
        <v>8617</v>
      </c>
    </row>
    <row r="108" spans="1:2" x14ac:dyDescent="0.4">
      <c r="A108" t="s">
        <v>1582</v>
      </c>
      <c r="B108" s="12" t="s">
        <v>8617</v>
      </c>
    </row>
    <row r="109" spans="1:2" x14ac:dyDescent="0.4">
      <c r="A109" t="s">
        <v>1587</v>
      </c>
      <c r="B109" s="12" t="s">
        <v>8617</v>
      </c>
    </row>
    <row r="110" spans="1:2" x14ac:dyDescent="0.4">
      <c r="A110" t="s">
        <v>1590</v>
      </c>
      <c r="B110" s="12" t="s">
        <v>8617</v>
      </c>
    </row>
    <row r="111" spans="1:2" x14ac:dyDescent="0.4">
      <c r="A111" t="s">
        <v>1593</v>
      </c>
      <c r="B111" s="12" t="s">
        <v>8617</v>
      </c>
    </row>
    <row r="112" spans="1:2" x14ac:dyDescent="0.4">
      <c r="A112" t="s">
        <v>1596</v>
      </c>
      <c r="B112" s="12" t="s">
        <v>8617</v>
      </c>
    </row>
    <row r="113" spans="1:2" x14ac:dyDescent="0.4">
      <c r="A113" t="s">
        <v>1599</v>
      </c>
      <c r="B113" s="12" t="s">
        <v>8617</v>
      </c>
    </row>
    <row r="114" spans="1:2" x14ac:dyDescent="0.4">
      <c r="A114" t="s">
        <v>1602</v>
      </c>
      <c r="B114" s="12" t="s">
        <v>8617</v>
      </c>
    </row>
    <row r="115" spans="1:2" x14ac:dyDescent="0.4">
      <c r="A115" t="s">
        <v>1605</v>
      </c>
      <c r="B115" s="12" t="s">
        <v>8617</v>
      </c>
    </row>
    <row r="116" spans="1:2" x14ac:dyDescent="0.4">
      <c r="A116" t="s">
        <v>1608</v>
      </c>
      <c r="B116" s="12" t="s">
        <v>8617</v>
      </c>
    </row>
    <row r="117" spans="1:2" x14ac:dyDescent="0.4">
      <c r="A117" t="s">
        <v>1611</v>
      </c>
      <c r="B117" s="12" t="s">
        <v>8617</v>
      </c>
    </row>
    <row r="118" spans="1:2" x14ac:dyDescent="0.4">
      <c r="A118" t="s">
        <v>1614</v>
      </c>
      <c r="B118" s="12" t="s">
        <v>8617</v>
      </c>
    </row>
    <row r="119" spans="1:2" x14ac:dyDescent="0.4">
      <c r="A119" t="s">
        <v>1617</v>
      </c>
      <c r="B119" s="12" t="s">
        <v>8617</v>
      </c>
    </row>
    <row r="120" spans="1:2" x14ac:dyDescent="0.4">
      <c r="A120" t="s">
        <v>1620</v>
      </c>
      <c r="B120" s="12" t="s">
        <v>8617</v>
      </c>
    </row>
    <row r="121" spans="1:2" x14ac:dyDescent="0.4">
      <c r="A121" t="s">
        <v>1623</v>
      </c>
      <c r="B121" s="12" t="s">
        <v>8617</v>
      </c>
    </row>
    <row r="122" spans="1:2" x14ac:dyDescent="0.4">
      <c r="A122" t="s">
        <v>1626</v>
      </c>
      <c r="B122" s="12" t="s">
        <v>8617</v>
      </c>
    </row>
    <row r="123" spans="1:2" x14ac:dyDescent="0.4">
      <c r="A123" t="s">
        <v>1447</v>
      </c>
      <c r="B123" s="12" t="s">
        <v>8617</v>
      </c>
    </row>
    <row r="124" spans="1:2" x14ac:dyDescent="0.4">
      <c r="A124" t="s">
        <v>1452</v>
      </c>
      <c r="B124" s="12" t="s">
        <v>8617</v>
      </c>
    </row>
    <row r="125" spans="1:2" x14ac:dyDescent="0.4">
      <c r="A125" t="s">
        <v>1455</v>
      </c>
      <c r="B125" s="12" t="s">
        <v>8617</v>
      </c>
    </row>
    <row r="126" spans="1:2" x14ac:dyDescent="0.4">
      <c r="A126" t="s">
        <v>1460</v>
      </c>
      <c r="B126" s="12" t="s">
        <v>8617</v>
      </c>
    </row>
    <row r="127" spans="1:2" x14ac:dyDescent="0.4">
      <c r="A127" t="s">
        <v>1463</v>
      </c>
      <c r="B127" s="12" t="s">
        <v>8617</v>
      </c>
    </row>
    <row r="128" spans="1:2" x14ac:dyDescent="0.4">
      <c r="A128" t="s">
        <v>1466</v>
      </c>
      <c r="B128" s="12" t="s">
        <v>8617</v>
      </c>
    </row>
    <row r="129" spans="1:2" x14ac:dyDescent="0.4">
      <c r="A129" t="s">
        <v>1469</v>
      </c>
      <c r="B129" s="12" t="s">
        <v>8617</v>
      </c>
    </row>
    <row r="130" spans="1:2" x14ac:dyDescent="0.4">
      <c r="A130" t="s">
        <v>1472</v>
      </c>
      <c r="B130" s="12" t="s">
        <v>8617</v>
      </c>
    </row>
    <row r="131" spans="1:2" x14ac:dyDescent="0.4">
      <c r="A131" t="s">
        <v>1475</v>
      </c>
      <c r="B131" s="12" t="s">
        <v>8617</v>
      </c>
    </row>
    <row r="132" spans="1:2" x14ac:dyDescent="0.4">
      <c r="A132" t="s">
        <v>1478</v>
      </c>
      <c r="B132" s="12" t="s">
        <v>8617</v>
      </c>
    </row>
    <row r="133" spans="1:2" x14ac:dyDescent="0.4">
      <c r="A133" t="s">
        <v>1481</v>
      </c>
      <c r="B133" s="12" t="s">
        <v>8617</v>
      </c>
    </row>
    <row r="134" spans="1:2" x14ac:dyDescent="0.4">
      <c r="A134" t="s">
        <v>1484</v>
      </c>
      <c r="B134" s="12" t="s">
        <v>8617</v>
      </c>
    </row>
    <row r="135" spans="1:2" x14ac:dyDescent="0.4">
      <c r="A135" t="s">
        <v>1487</v>
      </c>
      <c r="B135" s="12" t="s">
        <v>8617</v>
      </c>
    </row>
    <row r="136" spans="1:2" x14ac:dyDescent="0.4">
      <c r="A136" t="s">
        <v>1490</v>
      </c>
      <c r="B136" s="12" t="s">
        <v>8617</v>
      </c>
    </row>
    <row r="137" spans="1:2" x14ac:dyDescent="0.4">
      <c r="A137" t="s">
        <v>1498</v>
      </c>
      <c r="B137" s="12" t="s">
        <v>8617</v>
      </c>
    </row>
    <row r="138" spans="1:2" x14ac:dyDescent="0.4">
      <c r="A138" t="s">
        <v>1502</v>
      </c>
      <c r="B138" s="12" t="s">
        <v>8617</v>
      </c>
    </row>
    <row r="139" spans="1:2" x14ac:dyDescent="0.4">
      <c r="A139" t="s">
        <v>1507</v>
      </c>
      <c r="B139" s="12" t="s">
        <v>8617</v>
      </c>
    </row>
    <row r="140" spans="1:2" x14ac:dyDescent="0.4">
      <c r="A140" t="s">
        <v>1511</v>
      </c>
      <c r="B140" s="12" t="s">
        <v>8617</v>
      </c>
    </row>
    <row r="141" spans="1:2" x14ac:dyDescent="0.4">
      <c r="A141" t="s">
        <v>1515</v>
      </c>
      <c r="B141" s="12" t="s">
        <v>8617</v>
      </c>
    </row>
    <row r="142" spans="1:2" x14ac:dyDescent="0.4">
      <c r="A142" t="s">
        <v>1956</v>
      </c>
      <c r="B142" s="12" t="s">
        <v>8617</v>
      </c>
    </row>
    <row r="143" spans="1:2" x14ac:dyDescent="0.4">
      <c r="A143" t="s">
        <v>1959</v>
      </c>
      <c r="B143" s="12" t="s">
        <v>8617</v>
      </c>
    </row>
    <row r="144" spans="1:2" x14ac:dyDescent="0.4">
      <c r="A144" t="s">
        <v>1077</v>
      </c>
      <c r="B144" s="12" t="s">
        <v>8617</v>
      </c>
    </row>
    <row r="145" spans="1:2" x14ac:dyDescent="0.4">
      <c r="A145" t="s">
        <v>1962</v>
      </c>
      <c r="B145" s="12" t="s">
        <v>8617</v>
      </c>
    </row>
    <row r="146" spans="1:2" x14ac:dyDescent="0.4">
      <c r="A146" t="s">
        <v>1965</v>
      </c>
      <c r="B146" s="12" t="s">
        <v>8617</v>
      </c>
    </row>
    <row r="147" spans="1:2" x14ac:dyDescent="0.4">
      <c r="A147" t="s">
        <v>1968</v>
      </c>
      <c r="B147" s="12" t="s">
        <v>8617</v>
      </c>
    </row>
    <row r="148" spans="1:2" x14ac:dyDescent="0.4">
      <c r="A148" t="s">
        <v>1971</v>
      </c>
      <c r="B148" s="12" t="s">
        <v>8617</v>
      </c>
    </row>
    <row r="149" spans="1:2" x14ac:dyDescent="0.4">
      <c r="A149" t="s">
        <v>1974</v>
      </c>
      <c r="B149" s="12" t="s">
        <v>8617</v>
      </c>
    </row>
    <row r="150" spans="1:2" x14ac:dyDescent="0.4">
      <c r="A150" t="s">
        <v>1977</v>
      </c>
      <c r="B150" s="12" t="s">
        <v>8617</v>
      </c>
    </row>
    <row r="151" spans="1:2" x14ac:dyDescent="0.4">
      <c r="A151" t="s">
        <v>1980</v>
      </c>
      <c r="B151" s="12" t="s">
        <v>8617</v>
      </c>
    </row>
    <row r="152" spans="1:2" x14ac:dyDescent="0.4">
      <c r="A152" t="s">
        <v>1983</v>
      </c>
      <c r="B152" s="12" t="s">
        <v>8617</v>
      </c>
    </row>
    <row r="153" spans="1:2" x14ac:dyDescent="0.4">
      <c r="A153" t="s">
        <v>1986</v>
      </c>
      <c r="B153" s="12" t="s">
        <v>8617</v>
      </c>
    </row>
    <row r="154" spans="1:2" x14ac:dyDescent="0.4">
      <c r="A154" t="s">
        <v>1989</v>
      </c>
      <c r="B154" s="12" t="s">
        <v>8617</v>
      </c>
    </row>
    <row r="155" spans="1:2" x14ac:dyDescent="0.4">
      <c r="A155" t="s">
        <v>1992</v>
      </c>
      <c r="B155" s="12" t="s">
        <v>8617</v>
      </c>
    </row>
    <row r="156" spans="1:2" x14ac:dyDescent="0.4">
      <c r="A156" t="s">
        <v>1995</v>
      </c>
      <c r="B156" s="12" t="s">
        <v>8617</v>
      </c>
    </row>
    <row r="157" spans="1:2" x14ac:dyDescent="0.4">
      <c r="A157" t="s">
        <v>1998</v>
      </c>
      <c r="B157" s="12" t="s">
        <v>8617</v>
      </c>
    </row>
    <row r="158" spans="1:2" x14ac:dyDescent="0.4">
      <c r="A158" t="s">
        <v>2001</v>
      </c>
      <c r="B158" s="12" t="s">
        <v>8617</v>
      </c>
    </row>
    <row r="159" spans="1:2" x14ac:dyDescent="0.4">
      <c r="A159" t="s">
        <v>2004</v>
      </c>
      <c r="B159" s="12" t="s">
        <v>8617</v>
      </c>
    </row>
    <row r="160" spans="1:2" x14ac:dyDescent="0.4">
      <c r="A160" t="s">
        <v>2009</v>
      </c>
      <c r="B160" s="12" t="s">
        <v>8617</v>
      </c>
    </row>
    <row r="161" spans="1:2" x14ac:dyDescent="0.4">
      <c r="A161" t="s">
        <v>2012</v>
      </c>
      <c r="B161" s="12" t="s">
        <v>8617</v>
      </c>
    </row>
    <row r="162" spans="1:2" x14ac:dyDescent="0.4">
      <c r="A162" t="s">
        <v>2015</v>
      </c>
      <c r="B162" s="12" t="s">
        <v>8617</v>
      </c>
    </row>
    <row r="163" spans="1:2" x14ac:dyDescent="0.4">
      <c r="A163" t="s">
        <v>2018</v>
      </c>
      <c r="B163" s="12" t="s">
        <v>8617</v>
      </c>
    </row>
    <row r="164" spans="1:2" x14ac:dyDescent="0.4">
      <c r="A164" t="s">
        <v>2021</v>
      </c>
      <c r="B164" s="12" t="s">
        <v>8617</v>
      </c>
    </row>
    <row r="165" spans="1:2" x14ac:dyDescent="0.4">
      <c r="A165" t="s">
        <v>2024</v>
      </c>
      <c r="B165" s="12" t="s">
        <v>8617</v>
      </c>
    </row>
    <row r="166" spans="1:2" x14ac:dyDescent="0.4">
      <c r="A166" t="s">
        <v>2027</v>
      </c>
      <c r="B166" s="12" t="s">
        <v>8617</v>
      </c>
    </row>
    <row r="167" spans="1:2" x14ac:dyDescent="0.4">
      <c r="A167" t="s">
        <v>2030</v>
      </c>
      <c r="B167" s="12" t="s">
        <v>8617</v>
      </c>
    </row>
    <row r="168" spans="1:2" x14ac:dyDescent="0.4">
      <c r="A168" t="s">
        <v>2033</v>
      </c>
      <c r="B168" s="12" t="s">
        <v>8617</v>
      </c>
    </row>
    <row r="169" spans="1:2" x14ac:dyDescent="0.4">
      <c r="A169" t="s">
        <v>2036</v>
      </c>
      <c r="B169" s="12" t="s">
        <v>8617</v>
      </c>
    </row>
    <row r="170" spans="1:2" x14ac:dyDescent="0.4">
      <c r="A170" t="s">
        <v>2039</v>
      </c>
      <c r="B170" s="12" t="s">
        <v>8617</v>
      </c>
    </row>
    <row r="171" spans="1:2" x14ac:dyDescent="0.4">
      <c r="A171" t="s">
        <v>2042</v>
      </c>
      <c r="B171" s="12" t="s">
        <v>8617</v>
      </c>
    </row>
    <row r="172" spans="1:2" x14ac:dyDescent="0.4">
      <c r="A172" t="s">
        <v>2101</v>
      </c>
      <c r="B172" s="12" t="s">
        <v>8617</v>
      </c>
    </row>
    <row r="173" spans="1:2" x14ac:dyDescent="0.4">
      <c r="A173" t="s">
        <v>2108</v>
      </c>
      <c r="B173" s="12" t="s">
        <v>8617</v>
      </c>
    </row>
    <row r="174" spans="1:2" x14ac:dyDescent="0.4">
      <c r="A174" t="s">
        <v>2111</v>
      </c>
      <c r="B174" s="12" t="s">
        <v>8617</v>
      </c>
    </row>
    <row r="175" spans="1:2" x14ac:dyDescent="0.4">
      <c r="A175" t="s">
        <v>2114</v>
      </c>
      <c r="B175" s="12" t="s">
        <v>8617</v>
      </c>
    </row>
    <row r="176" spans="1:2" x14ac:dyDescent="0.4">
      <c r="A176" t="s">
        <v>2117</v>
      </c>
      <c r="B176" s="12" t="s">
        <v>8617</v>
      </c>
    </row>
    <row r="177" spans="1:2" x14ac:dyDescent="0.4">
      <c r="A177" t="s">
        <v>2120</v>
      </c>
      <c r="B177" s="12" t="s">
        <v>8617</v>
      </c>
    </row>
    <row r="178" spans="1:2" x14ac:dyDescent="0.4">
      <c r="A178" t="s">
        <v>2123</v>
      </c>
      <c r="B178" s="12" t="s">
        <v>8617</v>
      </c>
    </row>
    <row r="179" spans="1:2" x14ac:dyDescent="0.4">
      <c r="A179" t="s">
        <v>2126</v>
      </c>
      <c r="B179" s="12" t="s">
        <v>8617</v>
      </c>
    </row>
    <row r="180" spans="1:2" x14ac:dyDescent="0.4">
      <c r="A180" t="s">
        <v>2129</v>
      </c>
      <c r="B180" s="12" t="s">
        <v>8617</v>
      </c>
    </row>
    <row r="181" spans="1:2" x14ac:dyDescent="0.4">
      <c r="A181" t="s">
        <v>2132</v>
      </c>
      <c r="B181" s="12" t="s">
        <v>8617</v>
      </c>
    </row>
    <row r="182" spans="1:2" x14ac:dyDescent="0.4">
      <c r="A182" t="s">
        <v>2135</v>
      </c>
      <c r="B182" s="12" t="s">
        <v>8617</v>
      </c>
    </row>
    <row r="183" spans="1:2" x14ac:dyDescent="0.4">
      <c r="A183" t="s">
        <v>2138</v>
      </c>
      <c r="B183" s="12" t="s">
        <v>8617</v>
      </c>
    </row>
    <row r="184" spans="1:2" x14ac:dyDescent="0.4">
      <c r="A184" t="s">
        <v>2141</v>
      </c>
      <c r="B184" s="12" t="s">
        <v>8617</v>
      </c>
    </row>
    <row r="185" spans="1:2" x14ac:dyDescent="0.4">
      <c r="A185" t="s">
        <v>2144</v>
      </c>
      <c r="B185" s="12" t="s">
        <v>8617</v>
      </c>
    </row>
    <row r="186" spans="1:2" x14ac:dyDescent="0.4">
      <c r="A186" t="s">
        <v>2147</v>
      </c>
      <c r="B186" s="12" t="s">
        <v>8617</v>
      </c>
    </row>
    <row r="187" spans="1:2" x14ac:dyDescent="0.4">
      <c r="A187" t="s">
        <v>2150</v>
      </c>
      <c r="B187" s="12" t="s">
        <v>8617</v>
      </c>
    </row>
    <row r="188" spans="1:2" x14ac:dyDescent="0.4">
      <c r="A188" t="s">
        <v>2155</v>
      </c>
      <c r="B188" s="12" t="s">
        <v>8617</v>
      </c>
    </row>
    <row r="189" spans="1:2" x14ac:dyDescent="0.4">
      <c r="A189" t="s">
        <v>2158</v>
      </c>
      <c r="B189" s="12" t="s">
        <v>8617</v>
      </c>
    </row>
    <row r="190" spans="1:2" x14ac:dyDescent="0.4">
      <c r="A190" t="s">
        <v>2161</v>
      </c>
      <c r="B190" s="12" t="s">
        <v>8617</v>
      </c>
    </row>
    <row r="191" spans="1:2" x14ac:dyDescent="0.4">
      <c r="A191" t="s">
        <v>2164</v>
      </c>
      <c r="B191" s="12" t="s">
        <v>8617</v>
      </c>
    </row>
    <row r="192" spans="1:2" x14ac:dyDescent="0.4">
      <c r="A192" t="s">
        <v>881</v>
      </c>
      <c r="B192" s="12" t="s">
        <v>8617</v>
      </c>
    </row>
    <row r="193" spans="1:2" x14ac:dyDescent="0.4">
      <c r="A193" t="s">
        <v>885</v>
      </c>
      <c r="B193" s="12" t="s">
        <v>8617</v>
      </c>
    </row>
    <row r="194" spans="1:2" x14ac:dyDescent="0.4">
      <c r="A194" t="s">
        <v>888</v>
      </c>
      <c r="B194" s="12" t="s">
        <v>8617</v>
      </c>
    </row>
    <row r="195" spans="1:2" x14ac:dyDescent="0.4">
      <c r="A195" t="s">
        <v>891</v>
      </c>
      <c r="B195" s="12" t="s">
        <v>8617</v>
      </c>
    </row>
    <row r="196" spans="1:2" x14ac:dyDescent="0.4">
      <c r="A196" t="s">
        <v>800</v>
      </c>
      <c r="B196" s="12" t="s">
        <v>8617</v>
      </c>
    </row>
    <row r="197" spans="1:2" x14ac:dyDescent="0.4">
      <c r="A197" t="s">
        <v>804</v>
      </c>
      <c r="B197" s="12" t="s">
        <v>8617</v>
      </c>
    </row>
    <row r="198" spans="1:2" x14ac:dyDescent="0.4">
      <c r="A198" t="s">
        <v>807</v>
      </c>
      <c r="B198" s="12" t="s">
        <v>8617</v>
      </c>
    </row>
    <row r="199" spans="1:2" x14ac:dyDescent="0.4">
      <c r="A199" t="s">
        <v>768</v>
      </c>
      <c r="B199" s="12" t="s">
        <v>8617</v>
      </c>
    </row>
    <row r="200" spans="1:2" x14ac:dyDescent="0.4">
      <c r="A200" t="s">
        <v>773</v>
      </c>
      <c r="B200" s="12" t="s">
        <v>8617</v>
      </c>
    </row>
    <row r="201" spans="1:2" x14ac:dyDescent="0.4">
      <c r="A201" t="s">
        <v>776</v>
      </c>
      <c r="B201" s="12" t="s">
        <v>8617</v>
      </c>
    </row>
    <row r="202" spans="1:2" x14ac:dyDescent="0.4">
      <c r="A202" t="s">
        <v>779</v>
      </c>
      <c r="B202" s="12" t="s">
        <v>8617</v>
      </c>
    </row>
    <row r="203" spans="1:2" x14ac:dyDescent="0.4">
      <c r="A203" t="s">
        <v>782</v>
      </c>
      <c r="B203" s="12" t="s">
        <v>8617</v>
      </c>
    </row>
    <row r="204" spans="1:2" x14ac:dyDescent="0.4">
      <c r="A204" t="s">
        <v>785</v>
      </c>
      <c r="B204" s="12" t="s">
        <v>8617</v>
      </c>
    </row>
    <row r="205" spans="1:2" x14ac:dyDescent="0.4">
      <c r="A205" t="s">
        <v>788</v>
      </c>
      <c r="B205" s="12" t="s">
        <v>8617</v>
      </c>
    </row>
    <row r="206" spans="1:2" x14ac:dyDescent="0.4">
      <c r="A206" t="s">
        <v>791</v>
      </c>
      <c r="B206" s="12" t="s">
        <v>8617</v>
      </c>
    </row>
    <row r="207" spans="1:2" x14ac:dyDescent="0.4">
      <c r="A207" t="s">
        <v>794</v>
      </c>
      <c r="B207" s="12" t="s">
        <v>8617</v>
      </c>
    </row>
    <row r="208" spans="1:2" x14ac:dyDescent="0.4">
      <c r="A208" t="s">
        <v>797</v>
      </c>
      <c r="B208" s="12" t="s">
        <v>8617</v>
      </c>
    </row>
    <row r="209" spans="1:2" x14ac:dyDescent="0.4">
      <c r="A209" t="s">
        <v>734</v>
      </c>
      <c r="B209" s="12" t="s">
        <v>8617</v>
      </c>
    </row>
    <row r="210" spans="1:2" x14ac:dyDescent="0.4">
      <c r="A210" t="s">
        <v>741</v>
      </c>
      <c r="B210" s="12" t="s">
        <v>8617</v>
      </c>
    </row>
    <row r="211" spans="1:2" x14ac:dyDescent="0.4">
      <c r="A211" t="s">
        <v>744</v>
      </c>
      <c r="B211" s="12" t="s">
        <v>8617</v>
      </c>
    </row>
    <row r="212" spans="1:2" x14ac:dyDescent="0.4">
      <c r="A212" t="s">
        <v>747</v>
      </c>
      <c r="B212" s="12" t="s">
        <v>8617</v>
      </c>
    </row>
    <row r="213" spans="1:2" x14ac:dyDescent="0.4">
      <c r="A213" t="s">
        <v>750</v>
      </c>
      <c r="B213" s="12" t="s">
        <v>8617</v>
      </c>
    </row>
    <row r="214" spans="1:2" x14ac:dyDescent="0.4">
      <c r="A214" t="s">
        <v>753</v>
      </c>
      <c r="B214" s="12" t="s">
        <v>8617</v>
      </c>
    </row>
    <row r="215" spans="1:2" x14ac:dyDescent="0.4">
      <c r="A215" t="s">
        <v>756</v>
      </c>
      <c r="B215" s="12" t="s">
        <v>8617</v>
      </c>
    </row>
    <row r="216" spans="1:2" x14ac:dyDescent="0.4">
      <c r="A216" t="s">
        <v>759</v>
      </c>
      <c r="B216" s="12" t="s">
        <v>8617</v>
      </c>
    </row>
    <row r="217" spans="1:2" x14ac:dyDescent="0.4">
      <c r="A217" t="s">
        <v>762</v>
      </c>
      <c r="B217" s="12" t="s">
        <v>8617</v>
      </c>
    </row>
    <row r="218" spans="1:2" x14ac:dyDescent="0.4">
      <c r="A218" t="s">
        <v>765</v>
      </c>
      <c r="B218" s="12" t="s">
        <v>8617</v>
      </c>
    </row>
    <row r="219" spans="1:2" x14ac:dyDescent="0.4">
      <c r="A219" t="s">
        <v>830</v>
      </c>
      <c r="B219" s="12" t="s">
        <v>8617</v>
      </c>
    </row>
    <row r="220" spans="1:2" x14ac:dyDescent="0.4">
      <c r="A220" t="s">
        <v>834</v>
      </c>
      <c r="B220" s="12" t="s">
        <v>8617</v>
      </c>
    </row>
    <row r="221" spans="1:2" x14ac:dyDescent="0.4">
      <c r="A221" t="s">
        <v>838</v>
      </c>
      <c r="B221" s="12" t="s">
        <v>8617</v>
      </c>
    </row>
    <row r="222" spans="1:2" x14ac:dyDescent="0.4">
      <c r="A222" t="s">
        <v>841</v>
      </c>
      <c r="B222" s="12" t="s">
        <v>8617</v>
      </c>
    </row>
    <row r="223" spans="1:2" x14ac:dyDescent="0.4">
      <c r="A223" t="s">
        <v>844</v>
      </c>
      <c r="B223" s="12" t="s">
        <v>8617</v>
      </c>
    </row>
    <row r="224" spans="1:2" x14ac:dyDescent="0.4">
      <c r="A224" t="s">
        <v>847</v>
      </c>
      <c r="B224" s="12" t="s">
        <v>8617</v>
      </c>
    </row>
    <row r="225" spans="1:2" x14ac:dyDescent="0.4">
      <c r="A225" t="s">
        <v>850</v>
      </c>
      <c r="B225" s="12" t="s">
        <v>8617</v>
      </c>
    </row>
    <row r="226" spans="1:2" x14ac:dyDescent="0.4">
      <c r="A226" t="s">
        <v>855</v>
      </c>
      <c r="B226" s="12" t="s">
        <v>8617</v>
      </c>
    </row>
    <row r="227" spans="1:2" x14ac:dyDescent="0.4">
      <c r="A227" t="s">
        <v>858</v>
      </c>
      <c r="B227" s="12" t="s">
        <v>8617</v>
      </c>
    </row>
    <row r="228" spans="1:2" x14ac:dyDescent="0.4">
      <c r="A228" t="s">
        <v>861</v>
      </c>
      <c r="B228" s="12" t="s">
        <v>8617</v>
      </c>
    </row>
    <row r="229" spans="1:2" x14ac:dyDescent="0.4">
      <c r="A229" t="s">
        <v>864</v>
      </c>
      <c r="B229" s="12" t="s">
        <v>8617</v>
      </c>
    </row>
    <row r="230" spans="1:2" x14ac:dyDescent="0.4">
      <c r="A230" t="s">
        <v>867</v>
      </c>
      <c r="B230" s="12" t="s">
        <v>8617</v>
      </c>
    </row>
    <row r="231" spans="1:2" x14ac:dyDescent="0.4">
      <c r="A231" t="s">
        <v>870</v>
      </c>
      <c r="B231" s="12" t="s">
        <v>8617</v>
      </c>
    </row>
    <row r="232" spans="1:2" x14ac:dyDescent="0.4">
      <c r="A232" t="s">
        <v>874</v>
      </c>
      <c r="B232" s="12" t="s">
        <v>8617</v>
      </c>
    </row>
    <row r="233" spans="1:2" x14ac:dyDescent="0.4">
      <c r="A233" t="s">
        <v>877</v>
      </c>
      <c r="B233" s="12" t="s">
        <v>8617</v>
      </c>
    </row>
    <row r="234" spans="1:2" x14ac:dyDescent="0.4">
      <c r="A234" t="s">
        <v>810</v>
      </c>
      <c r="B234" s="12" t="s">
        <v>8617</v>
      </c>
    </row>
    <row r="235" spans="1:2" x14ac:dyDescent="0.4">
      <c r="A235" t="s">
        <v>817</v>
      </c>
      <c r="B235" s="12" t="s">
        <v>8617</v>
      </c>
    </row>
    <row r="236" spans="1:2" x14ac:dyDescent="0.4">
      <c r="A236" t="s">
        <v>820</v>
      </c>
      <c r="B236" s="12" t="s">
        <v>8617</v>
      </c>
    </row>
    <row r="237" spans="1:2" x14ac:dyDescent="0.4">
      <c r="A237" t="s">
        <v>823</v>
      </c>
      <c r="B237" s="12" t="s">
        <v>8617</v>
      </c>
    </row>
    <row r="238" spans="1:2" x14ac:dyDescent="0.4">
      <c r="A238" t="s">
        <v>827</v>
      </c>
      <c r="B238" s="12" t="s">
        <v>8617</v>
      </c>
    </row>
    <row r="239" spans="1:2" x14ac:dyDescent="0.4">
      <c r="A239" t="s">
        <v>2326</v>
      </c>
      <c r="B239" s="12" t="s">
        <v>8617</v>
      </c>
    </row>
    <row r="240" spans="1:2" x14ac:dyDescent="0.4">
      <c r="A240" t="s">
        <v>2330</v>
      </c>
      <c r="B240" s="12" t="s">
        <v>8617</v>
      </c>
    </row>
    <row r="241" spans="1:2" x14ac:dyDescent="0.4">
      <c r="A241" t="s">
        <v>2333</v>
      </c>
      <c r="B241" s="12" t="s">
        <v>8617</v>
      </c>
    </row>
    <row r="242" spans="1:2" x14ac:dyDescent="0.4">
      <c r="A242" t="s">
        <v>2336</v>
      </c>
      <c r="B242" s="12" t="s">
        <v>8617</v>
      </c>
    </row>
    <row r="243" spans="1:2" x14ac:dyDescent="0.4">
      <c r="A243" t="s">
        <v>2339</v>
      </c>
      <c r="B243" s="12" t="s">
        <v>8617</v>
      </c>
    </row>
    <row r="244" spans="1:2" x14ac:dyDescent="0.4">
      <c r="A244" t="s">
        <v>2342</v>
      </c>
      <c r="B244" s="12" t="s">
        <v>8617</v>
      </c>
    </row>
    <row r="245" spans="1:2" x14ac:dyDescent="0.4">
      <c r="A245" t="s">
        <v>1291</v>
      </c>
      <c r="B245" s="12" t="s">
        <v>8617</v>
      </c>
    </row>
    <row r="246" spans="1:2" x14ac:dyDescent="0.4">
      <c r="A246" t="s">
        <v>1296</v>
      </c>
      <c r="B246" s="12" t="s">
        <v>8617</v>
      </c>
    </row>
    <row r="247" spans="1:2" x14ac:dyDescent="0.4">
      <c r="A247" t="s">
        <v>1299</v>
      </c>
      <c r="B247" s="12" t="s">
        <v>8617</v>
      </c>
    </row>
    <row r="248" spans="1:2" x14ac:dyDescent="0.4">
      <c r="A248" t="s">
        <v>1302</v>
      </c>
      <c r="B248" s="12" t="s">
        <v>8617</v>
      </c>
    </row>
    <row r="249" spans="1:2" x14ac:dyDescent="0.4">
      <c r="A249" t="s">
        <v>1305</v>
      </c>
      <c r="B249" s="12" t="s">
        <v>8617</v>
      </c>
    </row>
    <row r="250" spans="1:2" x14ac:dyDescent="0.4">
      <c r="A250" t="s">
        <v>1308</v>
      </c>
      <c r="B250" s="12" t="s">
        <v>8617</v>
      </c>
    </row>
    <row r="251" spans="1:2" x14ac:dyDescent="0.4">
      <c r="A251" t="s">
        <v>1311</v>
      </c>
      <c r="B251" s="12" t="s">
        <v>8617</v>
      </c>
    </row>
    <row r="252" spans="1:2" x14ac:dyDescent="0.4">
      <c r="A252" t="s">
        <v>1314</v>
      </c>
      <c r="B252" s="12" t="s">
        <v>8617</v>
      </c>
    </row>
    <row r="253" spans="1:2" x14ac:dyDescent="0.4">
      <c r="A253" t="s">
        <v>2296</v>
      </c>
      <c r="B253" s="12" t="s">
        <v>8617</v>
      </c>
    </row>
    <row r="254" spans="1:2" x14ac:dyDescent="0.4">
      <c r="A254" t="s">
        <v>2302</v>
      </c>
      <c r="B254" s="12" t="s">
        <v>8617</v>
      </c>
    </row>
    <row r="255" spans="1:2" x14ac:dyDescent="0.4">
      <c r="A255" t="s">
        <v>2305</v>
      </c>
      <c r="B255" s="12" t="s">
        <v>8617</v>
      </c>
    </row>
    <row r="256" spans="1:2" x14ac:dyDescent="0.4">
      <c r="A256" t="s">
        <v>2308</v>
      </c>
      <c r="B256" s="12" t="s">
        <v>8617</v>
      </c>
    </row>
    <row r="257" spans="1:2" x14ac:dyDescent="0.4">
      <c r="A257" t="s">
        <v>2311</v>
      </c>
      <c r="B257" s="12" t="s">
        <v>8617</v>
      </c>
    </row>
    <row r="258" spans="1:2" x14ac:dyDescent="0.4">
      <c r="A258" t="s">
        <v>2314</v>
      </c>
      <c r="B258" s="12" t="s">
        <v>8617</v>
      </c>
    </row>
    <row r="259" spans="1:2" x14ac:dyDescent="0.4">
      <c r="A259" t="s">
        <v>2317</v>
      </c>
      <c r="B259" s="12" t="s">
        <v>8617</v>
      </c>
    </row>
    <row r="260" spans="1:2" x14ac:dyDescent="0.4">
      <c r="A260" t="s">
        <v>2320</v>
      </c>
      <c r="B260" s="12" t="s">
        <v>8617</v>
      </c>
    </row>
    <row r="261" spans="1:2" x14ac:dyDescent="0.4">
      <c r="A261" t="s">
        <v>2323</v>
      </c>
      <c r="B261" s="12" t="s">
        <v>8617</v>
      </c>
    </row>
    <row r="262" spans="1:2" x14ac:dyDescent="0.4">
      <c r="A262" t="s">
        <v>2345</v>
      </c>
      <c r="B262" s="12" t="s">
        <v>8617</v>
      </c>
    </row>
    <row r="263" spans="1:2" x14ac:dyDescent="0.4">
      <c r="A263" t="s">
        <v>2350</v>
      </c>
      <c r="B263" s="12" t="s">
        <v>8617</v>
      </c>
    </row>
    <row r="264" spans="1:2" x14ac:dyDescent="0.4">
      <c r="A264" t="s">
        <v>2353</v>
      </c>
      <c r="B264" s="12" t="s">
        <v>8617</v>
      </c>
    </row>
    <row r="265" spans="1:2" x14ac:dyDescent="0.4">
      <c r="A265" t="s">
        <v>2356</v>
      </c>
      <c r="B265" s="12" t="s">
        <v>8617</v>
      </c>
    </row>
    <row r="266" spans="1:2" x14ac:dyDescent="0.4">
      <c r="A266" t="s">
        <v>2359</v>
      </c>
      <c r="B266" s="12" t="s">
        <v>8617</v>
      </c>
    </row>
    <row r="267" spans="1:2" x14ac:dyDescent="0.4">
      <c r="A267" t="s">
        <v>2362</v>
      </c>
      <c r="B267" s="12" t="s">
        <v>8617</v>
      </c>
    </row>
    <row r="268" spans="1:2" x14ac:dyDescent="0.4">
      <c r="A268" t="s">
        <v>2365</v>
      </c>
      <c r="B268" s="12" t="s">
        <v>8617</v>
      </c>
    </row>
    <row r="269" spans="1:2" x14ac:dyDescent="0.4">
      <c r="A269" t="s">
        <v>2368</v>
      </c>
      <c r="B269" s="12" t="s">
        <v>8617</v>
      </c>
    </row>
    <row r="270" spans="1:2" x14ac:dyDescent="0.4">
      <c r="A270" t="s">
        <v>2371</v>
      </c>
      <c r="B270" s="12" t="s">
        <v>8617</v>
      </c>
    </row>
    <row r="271" spans="1:2" x14ac:dyDescent="0.4">
      <c r="A271" t="s">
        <v>2374</v>
      </c>
      <c r="B271" s="12" t="s">
        <v>8617</v>
      </c>
    </row>
    <row r="272" spans="1:2" x14ac:dyDescent="0.4">
      <c r="A272" t="s">
        <v>1818</v>
      </c>
      <c r="B272" s="12" t="s">
        <v>8617</v>
      </c>
    </row>
    <row r="273" spans="1:2" x14ac:dyDescent="0.4">
      <c r="A273" t="s">
        <v>1824</v>
      </c>
      <c r="B273" s="12" t="s">
        <v>8617</v>
      </c>
    </row>
    <row r="274" spans="1:2" x14ac:dyDescent="0.4">
      <c r="A274" t="s">
        <v>1828</v>
      </c>
      <c r="B274" s="12" t="s">
        <v>8617</v>
      </c>
    </row>
    <row r="275" spans="1:2" x14ac:dyDescent="0.4">
      <c r="A275" t="s">
        <v>1831</v>
      </c>
      <c r="B275" s="12" t="s">
        <v>8617</v>
      </c>
    </row>
    <row r="276" spans="1:2" x14ac:dyDescent="0.4">
      <c r="A276" t="s">
        <v>1834</v>
      </c>
      <c r="B276" s="12" t="s">
        <v>8617</v>
      </c>
    </row>
    <row r="277" spans="1:2" x14ac:dyDescent="0.4">
      <c r="A277" t="s">
        <v>1837</v>
      </c>
      <c r="B277" s="12" t="s">
        <v>8617</v>
      </c>
    </row>
    <row r="278" spans="1:2" x14ac:dyDescent="0.4">
      <c r="A278" t="s">
        <v>1840</v>
      </c>
      <c r="B278" s="12" t="s">
        <v>8617</v>
      </c>
    </row>
    <row r="279" spans="1:2" x14ac:dyDescent="0.4">
      <c r="A279" t="s">
        <v>1843</v>
      </c>
      <c r="B279" s="12" t="s">
        <v>8617</v>
      </c>
    </row>
    <row r="280" spans="1:2" x14ac:dyDescent="0.4">
      <c r="A280" t="s">
        <v>1846</v>
      </c>
      <c r="B280" s="12" t="s">
        <v>8617</v>
      </c>
    </row>
    <row r="281" spans="1:2" x14ac:dyDescent="0.4">
      <c r="A281" t="s">
        <v>1849</v>
      </c>
      <c r="B281" s="12" t="s">
        <v>8617</v>
      </c>
    </row>
    <row r="282" spans="1:2" x14ac:dyDescent="0.4">
      <c r="A282" t="s">
        <v>1852</v>
      </c>
      <c r="B282" s="12" t="s">
        <v>8617</v>
      </c>
    </row>
    <row r="283" spans="1:2" x14ac:dyDescent="0.4">
      <c r="A283" t="s">
        <v>1855</v>
      </c>
      <c r="B283" s="12" t="s">
        <v>8617</v>
      </c>
    </row>
    <row r="284" spans="1:2" x14ac:dyDescent="0.4">
      <c r="A284" t="s">
        <v>1858</v>
      </c>
      <c r="B284" s="12" t="s">
        <v>8617</v>
      </c>
    </row>
    <row r="285" spans="1:2" x14ac:dyDescent="0.4">
      <c r="A285" t="s">
        <v>1861</v>
      </c>
      <c r="B285" s="12" t="s">
        <v>8617</v>
      </c>
    </row>
    <row r="286" spans="1:2" x14ac:dyDescent="0.4">
      <c r="A286" t="s">
        <v>1864</v>
      </c>
      <c r="B286" s="12" t="s">
        <v>8617</v>
      </c>
    </row>
    <row r="287" spans="1:2" x14ac:dyDescent="0.4">
      <c r="A287" t="s">
        <v>1123</v>
      </c>
      <c r="B287" s="12" t="s">
        <v>8617</v>
      </c>
    </row>
    <row r="288" spans="1:2" x14ac:dyDescent="0.4">
      <c r="A288" t="s">
        <v>1128</v>
      </c>
      <c r="B288" s="12" t="s">
        <v>8617</v>
      </c>
    </row>
    <row r="289" spans="1:2" x14ac:dyDescent="0.4">
      <c r="A289" t="s">
        <v>1131</v>
      </c>
      <c r="B289" s="12" t="s">
        <v>8617</v>
      </c>
    </row>
    <row r="290" spans="1:2" x14ac:dyDescent="0.4">
      <c r="A290" t="s">
        <v>1134</v>
      </c>
      <c r="B290" s="12" t="s">
        <v>8617</v>
      </c>
    </row>
    <row r="291" spans="1:2" x14ac:dyDescent="0.4">
      <c r="A291" t="s">
        <v>1137</v>
      </c>
      <c r="B291" s="12" t="s">
        <v>8617</v>
      </c>
    </row>
    <row r="292" spans="1:2" x14ac:dyDescent="0.4">
      <c r="A292" t="s">
        <v>1140</v>
      </c>
      <c r="B292" s="12" t="s">
        <v>8617</v>
      </c>
    </row>
    <row r="293" spans="1:2" x14ac:dyDescent="0.4">
      <c r="A293" t="s">
        <v>1143</v>
      </c>
      <c r="B293" s="12" t="s">
        <v>8617</v>
      </c>
    </row>
    <row r="294" spans="1:2" x14ac:dyDescent="0.4">
      <c r="A294" t="s">
        <v>1146</v>
      </c>
      <c r="B294" s="12" t="s">
        <v>8617</v>
      </c>
    </row>
    <row r="295" spans="1:2" x14ac:dyDescent="0.4">
      <c r="A295" t="s">
        <v>1149</v>
      </c>
      <c r="B295" s="12" t="s">
        <v>8617</v>
      </c>
    </row>
    <row r="296" spans="1:2" x14ac:dyDescent="0.4">
      <c r="A296" t="s">
        <v>1152</v>
      </c>
      <c r="B296" s="12" t="s">
        <v>8617</v>
      </c>
    </row>
    <row r="297" spans="1:2" x14ac:dyDescent="0.4">
      <c r="A297" t="s">
        <v>1155</v>
      </c>
      <c r="B297" s="12" t="s">
        <v>8617</v>
      </c>
    </row>
    <row r="298" spans="1:2" x14ac:dyDescent="0.4">
      <c r="A298" t="s">
        <v>1158</v>
      </c>
      <c r="B298" s="12" t="s">
        <v>8617</v>
      </c>
    </row>
    <row r="299" spans="1:2" x14ac:dyDescent="0.4">
      <c r="A299" t="s">
        <v>1161</v>
      </c>
      <c r="B299" s="12" t="s">
        <v>8617</v>
      </c>
    </row>
    <row r="300" spans="1:2" x14ac:dyDescent="0.4">
      <c r="A300" t="s">
        <v>1164</v>
      </c>
      <c r="B300" s="12" t="s">
        <v>8617</v>
      </c>
    </row>
    <row r="301" spans="1:2" x14ac:dyDescent="0.4">
      <c r="A301" t="s">
        <v>1167</v>
      </c>
      <c r="B301" s="12" t="s">
        <v>8617</v>
      </c>
    </row>
    <row r="302" spans="1:2" x14ac:dyDescent="0.4">
      <c r="A302" t="s">
        <v>1171</v>
      </c>
      <c r="B302" s="12" t="s">
        <v>8617</v>
      </c>
    </row>
    <row r="303" spans="1:2" x14ac:dyDescent="0.4">
      <c r="A303" t="s">
        <v>1174</v>
      </c>
      <c r="B303" s="12" t="s">
        <v>8617</v>
      </c>
    </row>
    <row r="304" spans="1:2" x14ac:dyDescent="0.4">
      <c r="A304" t="s">
        <v>1177</v>
      </c>
      <c r="B304" s="12" t="s">
        <v>8617</v>
      </c>
    </row>
    <row r="305" spans="1:2" x14ac:dyDescent="0.4">
      <c r="A305" t="s">
        <v>1180</v>
      </c>
      <c r="B305" s="12" t="s">
        <v>8617</v>
      </c>
    </row>
    <row r="306" spans="1:2" x14ac:dyDescent="0.4">
      <c r="A306" t="s">
        <v>1087</v>
      </c>
      <c r="B306" s="12" t="s">
        <v>8617</v>
      </c>
    </row>
    <row r="307" spans="1:2" x14ac:dyDescent="0.4">
      <c r="A307" t="s">
        <v>1093</v>
      </c>
      <c r="B307" s="12" t="s">
        <v>8617</v>
      </c>
    </row>
    <row r="308" spans="1:2" x14ac:dyDescent="0.4">
      <c r="A308" t="s">
        <v>1096</v>
      </c>
      <c r="B308" s="12" t="s">
        <v>8617</v>
      </c>
    </row>
    <row r="309" spans="1:2" x14ac:dyDescent="0.4">
      <c r="A309" t="s">
        <v>1099</v>
      </c>
      <c r="B309" s="12" t="s">
        <v>8617</v>
      </c>
    </row>
    <row r="310" spans="1:2" x14ac:dyDescent="0.4">
      <c r="A310" t="s">
        <v>1102</v>
      </c>
      <c r="B310" s="12" t="s">
        <v>8617</v>
      </c>
    </row>
    <row r="311" spans="1:2" x14ac:dyDescent="0.4">
      <c r="A311" t="s">
        <v>1105</v>
      </c>
      <c r="B311" s="12" t="s">
        <v>8617</v>
      </c>
    </row>
    <row r="312" spans="1:2" x14ac:dyDescent="0.4">
      <c r="A312" t="s">
        <v>1108</v>
      </c>
      <c r="B312" s="12" t="s">
        <v>8617</v>
      </c>
    </row>
    <row r="313" spans="1:2" x14ac:dyDescent="0.4">
      <c r="A313" t="s">
        <v>1111</v>
      </c>
      <c r="B313" s="12" t="s">
        <v>8617</v>
      </c>
    </row>
    <row r="314" spans="1:2" x14ac:dyDescent="0.4">
      <c r="A314" t="s">
        <v>1114</v>
      </c>
      <c r="B314" s="12" t="s">
        <v>8617</v>
      </c>
    </row>
    <row r="315" spans="1:2" x14ac:dyDescent="0.4">
      <c r="A315" t="s">
        <v>1117</v>
      </c>
      <c r="B315" s="12" t="s">
        <v>8617</v>
      </c>
    </row>
    <row r="316" spans="1:2" x14ac:dyDescent="0.4">
      <c r="A316" t="s">
        <v>1120</v>
      </c>
      <c r="B316" s="12" t="s">
        <v>8617</v>
      </c>
    </row>
    <row r="317" spans="1:2" x14ac:dyDescent="0.4">
      <c r="A317" t="s">
        <v>672</v>
      </c>
      <c r="B317" s="12" t="s">
        <v>8617</v>
      </c>
    </row>
    <row r="318" spans="1:2" x14ac:dyDescent="0.4">
      <c r="A318" t="s">
        <v>676</v>
      </c>
      <c r="B318" s="12" t="s">
        <v>8617</v>
      </c>
    </row>
    <row r="319" spans="1:2" x14ac:dyDescent="0.4">
      <c r="A319" t="s">
        <v>680</v>
      </c>
      <c r="B319" s="12" t="s">
        <v>8617</v>
      </c>
    </row>
    <row r="320" spans="1:2" x14ac:dyDescent="0.4">
      <c r="A320" t="s">
        <v>683</v>
      </c>
      <c r="B320" s="12" t="s">
        <v>8617</v>
      </c>
    </row>
    <row r="321" spans="1:2" x14ac:dyDescent="0.4">
      <c r="A321" t="s">
        <v>686</v>
      </c>
      <c r="B321" s="12" t="s">
        <v>8617</v>
      </c>
    </row>
    <row r="322" spans="1:2" x14ac:dyDescent="0.4">
      <c r="A322" t="s">
        <v>689</v>
      </c>
      <c r="B322" s="12" t="s">
        <v>8617</v>
      </c>
    </row>
    <row r="323" spans="1:2" x14ac:dyDescent="0.4">
      <c r="A323" t="s">
        <v>692</v>
      </c>
      <c r="B323" s="12" t="s">
        <v>8617</v>
      </c>
    </row>
    <row r="324" spans="1:2" x14ac:dyDescent="0.4">
      <c r="A324" t="s">
        <v>695</v>
      </c>
      <c r="B324" s="12" t="s">
        <v>8617</v>
      </c>
    </row>
    <row r="325" spans="1:2" x14ac:dyDescent="0.4">
      <c r="A325" t="s">
        <v>698</v>
      </c>
      <c r="B325" s="12" t="s">
        <v>8617</v>
      </c>
    </row>
    <row r="326" spans="1:2" x14ac:dyDescent="0.4">
      <c r="A326" t="s">
        <v>701</v>
      </c>
      <c r="B326" s="12" t="s">
        <v>8617</v>
      </c>
    </row>
    <row r="327" spans="1:2" x14ac:dyDescent="0.4">
      <c r="A327" t="s">
        <v>704</v>
      </c>
      <c r="B327" s="12" t="s">
        <v>8617</v>
      </c>
    </row>
    <row r="328" spans="1:2" x14ac:dyDescent="0.4">
      <c r="A328" t="s">
        <v>707</v>
      </c>
      <c r="B328" s="12" t="s">
        <v>8617</v>
      </c>
    </row>
    <row r="329" spans="1:2" x14ac:dyDescent="0.4">
      <c r="A329" t="s">
        <v>710</v>
      </c>
      <c r="B329" s="12" t="s">
        <v>8617</v>
      </c>
    </row>
    <row r="330" spans="1:2" x14ac:dyDescent="0.4">
      <c r="A330" t="s">
        <v>713</v>
      </c>
      <c r="B330" s="12" t="s">
        <v>8617</v>
      </c>
    </row>
    <row r="331" spans="1:2" x14ac:dyDescent="0.4">
      <c r="A331" t="s">
        <v>716</v>
      </c>
      <c r="B331" s="12" t="s">
        <v>8617</v>
      </c>
    </row>
    <row r="332" spans="1:2" x14ac:dyDescent="0.4">
      <c r="A332" t="s">
        <v>719</v>
      </c>
      <c r="B332" s="12" t="s">
        <v>8617</v>
      </c>
    </row>
    <row r="333" spans="1:2" x14ac:dyDescent="0.4">
      <c r="A333" t="s">
        <v>722</v>
      </c>
      <c r="B333" s="12" t="s">
        <v>8617</v>
      </c>
    </row>
    <row r="334" spans="1:2" x14ac:dyDescent="0.4">
      <c r="A334" t="s">
        <v>725</v>
      </c>
      <c r="B334" s="12" t="s">
        <v>8617</v>
      </c>
    </row>
    <row r="335" spans="1:2" x14ac:dyDescent="0.4">
      <c r="A335" t="s">
        <v>728</v>
      </c>
      <c r="B335" s="12" t="s">
        <v>8617</v>
      </c>
    </row>
    <row r="336" spans="1:2" x14ac:dyDescent="0.4">
      <c r="A336" t="s">
        <v>731</v>
      </c>
      <c r="B336" s="12" t="s">
        <v>8617</v>
      </c>
    </row>
    <row r="337" spans="1:2" x14ac:dyDescent="0.4">
      <c r="A337" t="s">
        <v>630</v>
      </c>
      <c r="B337" s="12" t="s">
        <v>8617</v>
      </c>
    </row>
    <row r="338" spans="1:2" x14ac:dyDescent="0.4">
      <c r="A338" t="s">
        <v>637</v>
      </c>
      <c r="B338" s="12" t="s">
        <v>8617</v>
      </c>
    </row>
    <row r="339" spans="1:2" x14ac:dyDescent="0.4">
      <c r="A339" t="s">
        <v>640</v>
      </c>
      <c r="B339" s="12" t="s">
        <v>8617</v>
      </c>
    </row>
    <row r="340" spans="1:2" x14ac:dyDescent="0.4">
      <c r="A340" t="s">
        <v>645</v>
      </c>
      <c r="B340" s="12" t="s">
        <v>8617</v>
      </c>
    </row>
    <row r="341" spans="1:2" x14ac:dyDescent="0.4">
      <c r="A341" t="s">
        <v>648</v>
      </c>
      <c r="B341" s="12" t="s">
        <v>8617</v>
      </c>
    </row>
    <row r="342" spans="1:2" x14ac:dyDescent="0.4">
      <c r="A342" t="s">
        <v>651</v>
      </c>
      <c r="B342" s="12" t="s">
        <v>8617</v>
      </c>
    </row>
    <row r="343" spans="1:2" x14ac:dyDescent="0.4">
      <c r="A343" t="s">
        <v>654</v>
      </c>
      <c r="B343" s="12" t="s">
        <v>8617</v>
      </c>
    </row>
    <row r="344" spans="1:2" x14ac:dyDescent="0.4">
      <c r="A344" t="s">
        <v>657</v>
      </c>
      <c r="B344" s="12" t="s">
        <v>8617</v>
      </c>
    </row>
    <row r="345" spans="1:2" x14ac:dyDescent="0.4">
      <c r="A345" t="s">
        <v>660</v>
      </c>
      <c r="B345" s="12" t="s">
        <v>8617</v>
      </c>
    </row>
    <row r="346" spans="1:2" x14ac:dyDescent="0.4">
      <c r="A346" t="s">
        <v>663</v>
      </c>
      <c r="B346" s="12" t="s">
        <v>8617</v>
      </c>
    </row>
    <row r="347" spans="1:2" x14ac:dyDescent="0.4">
      <c r="A347" t="s">
        <v>666</v>
      </c>
      <c r="B347" s="12" t="s">
        <v>8617</v>
      </c>
    </row>
    <row r="348" spans="1:2" x14ac:dyDescent="0.4">
      <c r="A348" t="s">
        <v>669</v>
      </c>
      <c r="B348" s="12" t="s">
        <v>8617</v>
      </c>
    </row>
    <row r="349" spans="1:2" x14ac:dyDescent="0.4">
      <c r="A349" t="s">
        <v>1683</v>
      </c>
      <c r="B349" s="12" t="s">
        <v>8617</v>
      </c>
    </row>
    <row r="350" spans="1:2" x14ac:dyDescent="0.4">
      <c r="A350" t="s">
        <v>1688</v>
      </c>
      <c r="B350" s="12" t="s">
        <v>8617</v>
      </c>
    </row>
    <row r="351" spans="1:2" x14ac:dyDescent="0.4">
      <c r="A351" t="s">
        <v>1691</v>
      </c>
      <c r="B351" s="12" t="s">
        <v>8617</v>
      </c>
    </row>
    <row r="352" spans="1:2" x14ac:dyDescent="0.4">
      <c r="A352" t="s">
        <v>1694</v>
      </c>
      <c r="B352" s="12" t="s">
        <v>8617</v>
      </c>
    </row>
    <row r="353" spans="1:2" x14ac:dyDescent="0.4">
      <c r="A353" t="s">
        <v>1697</v>
      </c>
      <c r="B353" s="12" t="s">
        <v>8617</v>
      </c>
    </row>
    <row r="354" spans="1:2" x14ac:dyDescent="0.4">
      <c r="A354" t="s">
        <v>1700</v>
      </c>
      <c r="B354" s="12" t="s">
        <v>8617</v>
      </c>
    </row>
    <row r="355" spans="1:2" x14ac:dyDescent="0.4">
      <c r="A355" t="s">
        <v>1703</v>
      </c>
      <c r="B355" s="12" t="s">
        <v>8617</v>
      </c>
    </row>
    <row r="356" spans="1:2" x14ac:dyDescent="0.4">
      <c r="A356" t="s">
        <v>1706</v>
      </c>
      <c r="B356" s="12" t="s">
        <v>8617</v>
      </c>
    </row>
    <row r="357" spans="1:2" x14ac:dyDescent="0.4">
      <c r="A357" t="s">
        <v>1709</v>
      </c>
      <c r="B357" s="12" t="s">
        <v>8617</v>
      </c>
    </row>
    <row r="358" spans="1:2" x14ac:dyDescent="0.4">
      <c r="A358" t="s">
        <v>1712</v>
      </c>
      <c r="B358" s="12" t="s">
        <v>8617</v>
      </c>
    </row>
    <row r="359" spans="1:2" x14ac:dyDescent="0.4">
      <c r="A359" t="s">
        <v>1715</v>
      </c>
      <c r="B359" s="12" t="s">
        <v>8617</v>
      </c>
    </row>
    <row r="360" spans="1:2" x14ac:dyDescent="0.4">
      <c r="A360" t="s">
        <v>1718</v>
      </c>
      <c r="B360" s="12" t="s">
        <v>8617</v>
      </c>
    </row>
    <row r="361" spans="1:2" x14ac:dyDescent="0.4">
      <c r="A361" t="s">
        <v>1721</v>
      </c>
      <c r="B361" s="12" t="s">
        <v>8617</v>
      </c>
    </row>
    <row r="362" spans="1:2" x14ac:dyDescent="0.4">
      <c r="A362" t="s">
        <v>1724</v>
      </c>
      <c r="B362" s="12" t="s">
        <v>8617</v>
      </c>
    </row>
    <row r="363" spans="1:2" x14ac:dyDescent="0.4">
      <c r="A363" t="s">
        <v>1786</v>
      </c>
      <c r="B363" s="12" t="s">
        <v>8617</v>
      </c>
    </row>
    <row r="364" spans="1:2" x14ac:dyDescent="0.4">
      <c r="A364" t="s">
        <v>1791</v>
      </c>
      <c r="B364" s="12" t="s">
        <v>8617</v>
      </c>
    </row>
    <row r="365" spans="1:2" x14ac:dyDescent="0.4">
      <c r="A365" t="s">
        <v>1794</v>
      </c>
      <c r="B365" s="12" t="s">
        <v>8617</v>
      </c>
    </row>
    <row r="366" spans="1:2" x14ac:dyDescent="0.4">
      <c r="A366" t="s">
        <v>1797</v>
      </c>
      <c r="B366" s="12" t="s">
        <v>8617</v>
      </c>
    </row>
    <row r="367" spans="1:2" x14ac:dyDescent="0.4">
      <c r="A367" t="s">
        <v>1800</v>
      </c>
      <c r="B367" s="12" t="s">
        <v>8617</v>
      </c>
    </row>
    <row r="368" spans="1:2" x14ac:dyDescent="0.4">
      <c r="A368" t="s">
        <v>1803</v>
      </c>
      <c r="B368" s="12" t="s">
        <v>8617</v>
      </c>
    </row>
    <row r="369" spans="1:2" x14ac:dyDescent="0.4">
      <c r="A369" t="s">
        <v>1806</v>
      </c>
      <c r="B369" s="12" t="s">
        <v>8617</v>
      </c>
    </row>
    <row r="370" spans="1:2" x14ac:dyDescent="0.4">
      <c r="A370" t="s">
        <v>1809</v>
      </c>
      <c r="B370" s="12" t="s">
        <v>8617</v>
      </c>
    </row>
    <row r="371" spans="1:2" x14ac:dyDescent="0.4">
      <c r="A371" t="s">
        <v>1812</v>
      </c>
      <c r="B371" s="12" t="s">
        <v>8617</v>
      </c>
    </row>
    <row r="372" spans="1:2" x14ac:dyDescent="0.4">
      <c r="A372" t="s">
        <v>1815</v>
      </c>
      <c r="B372" s="12" t="s">
        <v>8617</v>
      </c>
    </row>
    <row r="373" spans="1:2" x14ac:dyDescent="0.4">
      <c r="A373" t="s">
        <v>1753</v>
      </c>
      <c r="B373" s="12" t="s">
        <v>8617</v>
      </c>
    </row>
    <row r="374" spans="1:2" x14ac:dyDescent="0.4">
      <c r="A374" t="s">
        <v>1758</v>
      </c>
      <c r="B374" s="12" t="s">
        <v>8617</v>
      </c>
    </row>
    <row r="375" spans="1:2" x14ac:dyDescent="0.4">
      <c r="A375" t="s">
        <v>1762</v>
      </c>
      <c r="B375" s="12" t="s">
        <v>8617</v>
      </c>
    </row>
    <row r="376" spans="1:2" x14ac:dyDescent="0.4">
      <c r="A376" t="s">
        <v>1765</v>
      </c>
      <c r="B376" s="12" t="s">
        <v>8617</v>
      </c>
    </row>
    <row r="377" spans="1:2" x14ac:dyDescent="0.4">
      <c r="A377" t="s">
        <v>1768</v>
      </c>
      <c r="B377" s="12" t="s">
        <v>8617</v>
      </c>
    </row>
    <row r="378" spans="1:2" x14ac:dyDescent="0.4">
      <c r="A378" t="s">
        <v>1771</v>
      </c>
      <c r="B378" s="12" t="s">
        <v>8617</v>
      </c>
    </row>
    <row r="379" spans="1:2" x14ac:dyDescent="0.4">
      <c r="A379" t="s">
        <v>1774</v>
      </c>
      <c r="B379" s="12" t="s">
        <v>8617</v>
      </c>
    </row>
    <row r="380" spans="1:2" x14ac:dyDescent="0.4">
      <c r="A380" t="s">
        <v>1777</v>
      </c>
      <c r="B380" s="12" t="s">
        <v>8617</v>
      </c>
    </row>
    <row r="381" spans="1:2" x14ac:dyDescent="0.4">
      <c r="A381" t="s">
        <v>1780</v>
      </c>
      <c r="B381" s="12" t="s">
        <v>8617</v>
      </c>
    </row>
    <row r="382" spans="1:2" x14ac:dyDescent="0.4">
      <c r="A382" t="s">
        <v>1783</v>
      </c>
      <c r="B382" s="12" t="s">
        <v>8617</v>
      </c>
    </row>
    <row r="383" spans="1:2" x14ac:dyDescent="0.4">
      <c r="A383" t="s">
        <v>2266</v>
      </c>
      <c r="B383" s="12" t="s">
        <v>8617</v>
      </c>
    </row>
    <row r="384" spans="1:2" x14ac:dyDescent="0.4">
      <c r="A384" t="s">
        <v>2272</v>
      </c>
      <c r="B384" s="12" t="s">
        <v>8617</v>
      </c>
    </row>
    <row r="385" spans="1:2" x14ac:dyDescent="0.4">
      <c r="A385" t="s">
        <v>2275</v>
      </c>
      <c r="B385" s="12" t="s">
        <v>8617</v>
      </c>
    </row>
    <row r="386" spans="1:2" x14ac:dyDescent="0.4">
      <c r="A386" t="s">
        <v>2278</v>
      </c>
      <c r="B386" s="12" t="s">
        <v>8617</v>
      </c>
    </row>
    <row r="387" spans="1:2" x14ac:dyDescent="0.4">
      <c r="A387" t="s">
        <v>2281</v>
      </c>
      <c r="B387" s="12" t="s">
        <v>8617</v>
      </c>
    </row>
    <row r="388" spans="1:2" x14ac:dyDescent="0.4">
      <c r="A388" t="s">
        <v>2284</v>
      </c>
      <c r="B388" s="12" t="s">
        <v>8617</v>
      </c>
    </row>
    <row r="389" spans="1:2" x14ac:dyDescent="0.4">
      <c r="A389" t="s">
        <v>2287</v>
      </c>
      <c r="B389" s="12" t="s">
        <v>8617</v>
      </c>
    </row>
    <row r="390" spans="1:2" x14ac:dyDescent="0.4">
      <c r="A390" t="s">
        <v>2290</v>
      </c>
      <c r="B390" s="12" t="s">
        <v>8617</v>
      </c>
    </row>
    <row r="391" spans="1:2" x14ac:dyDescent="0.4">
      <c r="A391" t="s">
        <v>2293</v>
      </c>
      <c r="B391" s="12" t="s">
        <v>8617</v>
      </c>
    </row>
    <row r="392" spans="1:2" x14ac:dyDescent="0.4">
      <c r="A392" t="s">
        <v>1727</v>
      </c>
      <c r="B392" s="12" t="s">
        <v>8617</v>
      </c>
    </row>
    <row r="393" spans="1:2" x14ac:dyDescent="0.4">
      <c r="A393" t="s">
        <v>1734</v>
      </c>
      <c r="B393" s="12" t="s">
        <v>8617</v>
      </c>
    </row>
    <row r="394" spans="1:2" x14ac:dyDescent="0.4">
      <c r="A394" t="s">
        <v>1738</v>
      </c>
      <c r="B394" s="12" t="s">
        <v>8617</v>
      </c>
    </row>
    <row r="395" spans="1:2" x14ac:dyDescent="0.4">
      <c r="A395" t="s">
        <v>1741</v>
      </c>
      <c r="B395" s="12" t="s">
        <v>8617</v>
      </c>
    </row>
    <row r="396" spans="1:2" x14ac:dyDescent="0.4">
      <c r="A396" t="s">
        <v>1744</v>
      </c>
      <c r="B396" s="12" t="s">
        <v>8617</v>
      </c>
    </row>
    <row r="397" spans="1:2" x14ac:dyDescent="0.4">
      <c r="A397" t="s">
        <v>1747</v>
      </c>
      <c r="B397" s="12" t="s">
        <v>8617</v>
      </c>
    </row>
    <row r="398" spans="1:2" x14ac:dyDescent="0.4">
      <c r="A398" t="s">
        <v>1658</v>
      </c>
      <c r="B398" s="12" t="s">
        <v>8617</v>
      </c>
    </row>
    <row r="399" spans="1:2" x14ac:dyDescent="0.4">
      <c r="A399" t="s">
        <v>1652</v>
      </c>
      <c r="B399" s="12" t="s">
        <v>8617</v>
      </c>
    </row>
    <row r="400" spans="1:2" x14ac:dyDescent="0.4">
      <c r="A400" t="s">
        <v>1662</v>
      </c>
      <c r="B400" s="12" t="s">
        <v>8617</v>
      </c>
    </row>
    <row r="401" spans="1:2" x14ac:dyDescent="0.4">
      <c r="A401" t="s">
        <v>1665</v>
      </c>
      <c r="B401" s="12" t="s">
        <v>8617</v>
      </c>
    </row>
    <row r="402" spans="1:2" x14ac:dyDescent="0.4">
      <c r="A402" t="s">
        <v>1668</v>
      </c>
      <c r="B402" s="12" t="s">
        <v>8617</v>
      </c>
    </row>
    <row r="403" spans="1:2" x14ac:dyDescent="0.4">
      <c r="A403" t="s">
        <v>1671</v>
      </c>
      <c r="B403" s="12" t="s">
        <v>8617</v>
      </c>
    </row>
    <row r="404" spans="1:2" x14ac:dyDescent="0.4">
      <c r="A404" t="s">
        <v>1674</v>
      </c>
      <c r="B404" s="12" t="s">
        <v>8617</v>
      </c>
    </row>
    <row r="405" spans="1:2" x14ac:dyDescent="0.4">
      <c r="A405" t="s">
        <v>1677</v>
      </c>
      <c r="B405" s="12" t="s">
        <v>8617</v>
      </c>
    </row>
    <row r="406" spans="1:2" x14ac:dyDescent="0.4">
      <c r="A406" t="s">
        <v>1680</v>
      </c>
      <c r="B406" s="12" t="s">
        <v>8617</v>
      </c>
    </row>
    <row r="407" spans="1:2" x14ac:dyDescent="0.4">
      <c r="A407" t="s">
        <v>1750</v>
      </c>
      <c r="B407" s="12" t="s">
        <v>8617</v>
      </c>
    </row>
    <row r="408" spans="1:2" x14ac:dyDescent="0.4">
      <c r="A408" t="s">
        <v>894</v>
      </c>
      <c r="B408" s="12" t="s">
        <v>8617</v>
      </c>
    </row>
    <row r="409" spans="1:2" x14ac:dyDescent="0.4">
      <c r="A409" t="s">
        <v>900</v>
      </c>
      <c r="B409" s="12" t="s">
        <v>8617</v>
      </c>
    </row>
    <row r="410" spans="1:2" x14ac:dyDescent="0.4">
      <c r="A410" t="s">
        <v>903</v>
      </c>
      <c r="B410" s="12" t="s">
        <v>8617</v>
      </c>
    </row>
    <row r="411" spans="1:2" x14ac:dyDescent="0.4">
      <c r="A411" t="s">
        <v>906</v>
      </c>
      <c r="B411" s="12" t="s">
        <v>8617</v>
      </c>
    </row>
    <row r="412" spans="1:2" x14ac:dyDescent="0.4">
      <c r="A412" t="s">
        <v>909</v>
      </c>
      <c r="B412" s="12" t="s">
        <v>8617</v>
      </c>
    </row>
    <row r="413" spans="1:2" x14ac:dyDescent="0.4">
      <c r="A413" t="s">
        <v>912</v>
      </c>
      <c r="B413" s="12" t="s">
        <v>8617</v>
      </c>
    </row>
    <row r="414" spans="1:2" x14ac:dyDescent="0.4">
      <c r="A414" t="s">
        <v>915</v>
      </c>
      <c r="B414" s="12" t="s">
        <v>8617</v>
      </c>
    </row>
    <row r="415" spans="1:2" x14ac:dyDescent="0.4">
      <c r="A415" t="s">
        <v>918</v>
      </c>
      <c r="B415" s="12" t="s">
        <v>8617</v>
      </c>
    </row>
    <row r="416" spans="1:2" x14ac:dyDescent="0.4">
      <c r="A416" t="s">
        <v>934</v>
      </c>
      <c r="B416" s="12" t="s">
        <v>8617</v>
      </c>
    </row>
    <row r="417" spans="1:2" x14ac:dyDescent="0.4">
      <c r="A417" t="s">
        <v>938</v>
      </c>
      <c r="B417" s="12" t="s">
        <v>8617</v>
      </c>
    </row>
    <row r="418" spans="1:2" x14ac:dyDescent="0.4">
      <c r="A418" t="s">
        <v>941</v>
      </c>
      <c r="B418" s="12" t="s">
        <v>8617</v>
      </c>
    </row>
    <row r="419" spans="1:2" x14ac:dyDescent="0.4">
      <c r="A419" t="s">
        <v>944</v>
      </c>
      <c r="B419" s="12" t="s">
        <v>8617</v>
      </c>
    </row>
    <row r="420" spans="1:2" x14ac:dyDescent="0.4">
      <c r="A420" t="s">
        <v>947</v>
      </c>
      <c r="B420" s="12" t="s">
        <v>8617</v>
      </c>
    </row>
    <row r="421" spans="1:2" x14ac:dyDescent="0.4">
      <c r="A421" t="s">
        <v>921</v>
      </c>
      <c r="B421" s="12" t="s">
        <v>8617</v>
      </c>
    </row>
    <row r="422" spans="1:2" x14ac:dyDescent="0.4">
      <c r="A422" t="s">
        <v>925</v>
      </c>
      <c r="B422" s="12" t="s">
        <v>8617</v>
      </c>
    </row>
    <row r="423" spans="1:2" x14ac:dyDescent="0.4">
      <c r="A423" t="s">
        <v>928</v>
      </c>
      <c r="B423" s="12" t="s">
        <v>8617</v>
      </c>
    </row>
    <row r="424" spans="1:2" x14ac:dyDescent="0.4">
      <c r="A424" t="s">
        <v>931</v>
      </c>
      <c r="B424" s="12" t="s">
        <v>8617</v>
      </c>
    </row>
    <row r="425" spans="1:2" x14ac:dyDescent="0.4">
      <c r="A425" t="s">
        <v>950</v>
      </c>
      <c r="B425" s="12" t="s">
        <v>8617</v>
      </c>
    </row>
    <row r="426" spans="1:2" x14ac:dyDescent="0.4">
      <c r="A426" t="s">
        <v>954</v>
      </c>
      <c r="B426" s="12" t="s">
        <v>8617</v>
      </c>
    </row>
    <row r="427" spans="1:2" x14ac:dyDescent="0.4">
      <c r="A427" t="s">
        <v>957</v>
      </c>
      <c r="B427" s="12" t="s">
        <v>8617</v>
      </c>
    </row>
    <row r="428" spans="1:2" x14ac:dyDescent="0.4">
      <c r="A428" t="s">
        <v>960</v>
      </c>
      <c r="B428" s="12" t="s">
        <v>8617</v>
      </c>
    </row>
    <row r="429" spans="1:2" x14ac:dyDescent="0.4">
      <c r="A429" t="s">
        <v>963</v>
      </c>
      <c r="B429" s="12" t="s">
        <v>8617</v>
      </c>
    </row>
    <row r="430" spans="1:2" x14ac:dyDescent="0.4">
      <c r="A430" t="s">
        <v>966</v>
      </c>
      <c r="B430" s="12" t="s">
        <v>8617</v>
      </c>
    </row>
    <row r="431" spans="1:2" x14ac:dyDescent="0.4">
      <c r="A431" t="s">
        <v>28</v>
      </c>
      <c r="B431" s="12" t="s">
        <v>8617</v>
      </c>
    </row>
    <row r="432" spans="1:2" x14ac:dyDescent="0.4">
      <c r="A432" t="s">
        <v>43</v>
      </c>
      <c r="B432" s="12" t="s">
        <v>8617</v>
      </c>
    </row>
    <row r="433" spans="1:2" x14ac:dyDescent="0.4">
      <c r="A433" t="s">
        <v>48</v>
      </c>
      <c r="B433" s="12" t="s">
        <v>8617</v>
      </c>
    </row>
    <row r="434" spans="1:2" x14ac:dyDescent="0.4">
      <c r="A434" t="s">
        <v>53</v>
      </c>
      <c r="B434" s="12" t="s">
        <v>8617</v>
      </c>
    </row>
    <row r="435" spans="1:2" x14ac:dyDescent="0.4">
      <c r="A435" t="s">
        <v>56</v>
      </c>
      <c r="B435" s="12" t="s">
        <v>8617</v>
      </c>
    </row>
    <row r="436" spans="1:2" x14ac:dyDescent="0.4">
      <c r="A436" t="s">
        <v>59</v>
      </c>
      <c r="B436" s="12" t="s">
        <v>8617</v>
      </c>
    </row>
    <row r="437" spans="1:2" x14ac:dyDescent="0.4">
      <c r="A437" t="s">
        <v>62</v>
      </c>
      <c r="B437" s="12" t="s">
        <v>8617</v>
      </c>
    </row>
    <row r="438" spans="1:2" x14ac:dyDescent="0.4">
      <c r="A438" t="s">
        <v>67</v>
      </c>
      <c r="B438" s="12" t="s">
        <v>8617</v>
      </c>
    </row>
    <row r="439" spans="1:2" x14ac:dyDescent="0.4">
      <c r="A439" t="s">
        <v>70</v>
      </c>
      <c r="B439" s="12" t="s">
        <v>8617</v>
      </c>
    </row>
    <row r="440" spans="1:2" x14ac:dyDescent="0.4">
      <c r="A440" t="s">
        <v>73</v>
      </c>
      <c r="B440" s="12" t="s">
        <v>8617</v>
      </c>
    </row>
    <row r="441" spans="1:2" x14ac:dyDescent="0.4">
      <c r="A441" t="s">
        <v>76</v>
      </c>
      <c r="B441" s="12" t="s">
        <v>8617</v>
      </c>
    </row>
    <row r="442" spans="1:2" x14ac:dyDescent="0.4">
      <c r="A442" t="s">
        <v>79</v>
      </c>
      <c r="B442" s="12" t="s">
        <v>8617</v>
      </c>
    </row>
    <row r="443" spans="1:2" x14ac:dyDescent="0.4">
      <c r="A443" t="s">
        <v>82</v>
      </c>
      <c r="B443" s="12" t="s">
        <v>8617</v>
      </c>
    </row>
    <row r="444" spans="1:2" x14ac:dyDescent="0.4">
      <c r="A444" t="s">
        <v>87</v>
      </c>
      <c r="B444" s="12" t="s">
        <v>8617</v>
      </c>
    </row>
    <row r="445" spans="1:2" x14ac:dyDescent="0.4">
      <c r="A445" t="s">
        <v>90</v>
      </c>
      <c r="B445" s="12" t="s">
        <v>8617</v>
      </c>
    </row>
    <row r="446" spans="1:2" x14ac:dyDescent="0.4">
      <c r="A446" t="s">
        <v>93</v>
      </c>
      <c r="B446" s="12" t="s">
        <v>8617</v>
      </c>
    </row>
    <row r="447" spans="1:2" x14ac:dyDescent="0.4">
      <c r="A447" t="s">
        <v>96</v>
      </c>
      <c r="B447" s="12" t="s">
        <v>8617</v>
      </c>
    </row>
    <row r="448" spans="1:2" x14ac:dyDescent="0.4">
      <c r="A448" t="s">
        <v>99</v>
      </c>
      <c r="B448" s="12" t="s">
        <v>8617</v>
      </c>
    </row>
    <row r="449" spans="1:2" x14ac:dyDescent="0.4">
      <c r="A449" t="s">
        <v>102</v>
      </c>
      <c r="B449" s="12" t="s">
        <v>8617</v>
      </c>
    </row>
    <row r="450" spans="1:2" x14ac:dyDescent="0.4">
      <c r="A450" t="s">
        <v>105</v>
      </c>
      <c r="B450" s="12" t="s">
        <v>8617</v>
      </c>
    </row>
    <row r="451" spans="1:2" x14ac:dyDescent="0.4">
      <c r="A451" t="s">
        <v>108</v>
      </c>
      <c r="B451" s="12" t="s">
        <v>8617</v>
      </c>
    </row>
    <row r="452" spans="1:2" x14ac:dyDescent="0.4">
      <c r="A452" t="s">
        <v>2167</v>
      </c>
      <c r="B452" s="12" t="s">
        <v>8617</v>
      </c>
    </row>
    <row r="453" spans="1:2" x14ac:dyDescent="0.4">
      <c r="A453" t="s">
        <v>2173</v>
      </c>
      <c r="B453" s="12" t="s">
        <v>8617</v>
      </c>
    </row>
    <row r="454" spans="1:2" x14ac:dyDescent="0.4">
      <c r="A454" t="s">
        <v>2176</v>
      </c>
      <c r="B454" s="12" t="s">
        <v>8617</v>
      </c>
    </row>
    <row r="455" spans="1:2" x14ac:dyDescent="0.4">
      <c r="A455" t="s">
        <v>2179</v>
      </c>
      <c r="B455" s="12" t="s">
        <v>8617</v>
      </c>
    </row>
    <row r="456" spans="1:2" x14ac:dyDescent="0.4">
      <c r="A456" t="s">
        <v>2182</v>
      </c>
      <c r="B456" s="12" t="s">
        <v>8617</v>
      </c>
    </row>
    <row r="457" spans="1:2" x14ac:dyDescent="0.4">
      <c r="A457" t="s">
        <v>2185</v>
      </c>
      <c r="B457" s="12" t="s">
        <v>8617</v>
      </c>
    </row>
    <row r="458" spans="1:2" x14ac:dyDescent="0.4">
      <c r="A458" t="s">
        <v>2188</v>
      </c>
      <c r="B458" s="12" t="s">
        <v>8617</v>
      </c>
    </row>
    <row r="459" spans="1:2" x14ac:dyDescent="0.4">
      <c r="A459" t="s">
        <v>2191</v>
      </c>
      <c r="B459" s="12" t="s">
        <v>8617</v>
      </c>
    </row>
    <row r="460" spans="1:2" x14ac:dyDescent="0.4">
      <c r="A460" t="s">
        <v>2232</v>
      </c>
      <c r="B460" s="12" t="s">
        <v>8617</v>
      </c>
    </row>
    <row r="461" spans="1:2" x14ac:dyDescent="0.4">
      <c r="A461" t="s">
        <v>2236</v>
      </c>
      <c r="B461" s="12" t="s">
        <v>8617</v>
      </c>
    </row>
    <row r="462" spans="1:2" x14ac:dyDescent="0.4">
      <c r="A462" t="s">
        <v>2239</v>
      </c>
      <c r="B462" s="12" t="s">
        <v>8617</v>
      </c>
    </row>
    <row r="463" spans="1:2" x14ac:dyDescent="0.4">
      <c r="A463" t="s">
        <v>2242</v>
      </c>
      <c r="B463" s="12" t="s">
        <v>8617</v>
      </c>
    </row>
    <row r="464" spans="1:2" x14ac:dyDescent="0.4">
      <c r="A464" t="s">
        <v>2245</v>
      </c>
      <c r="B464" s="12" t="s">
        <v>8617</v>
      </c>
    </row>
    <row r="465" spans="1:2" x14ac:dyDescent="0.4">
      <c r="A465" t="s">
        <v>2248</v>
      </c>
      <c r="B465" s="12" t="s">
        <v>8617</v>
      </c>
    </row>
    <row r="466" spans="1:2" x14ac:dyDescent="0.4">
      <c r="A466" t="s">
        <v>2251</v>
      </c>
      <c r="B466" s="12" t="s">
        <v>8617</v>
      </c>
    </row>
    <row r="467" spans="1:2" x14ac:dyDescent="0.4">
      <c r="A467" t="s">
        <v>2254</v>
      </c>
      <c r="B467" s="12" t="s">
        <v>8617</v>
      </c>
    </row>
    <row r="468" spans="1:2" x14ac:dyDescent="0.4">
      <c r="A468" t="s">
        <v>2257</v>
      </c>
      <c r="B468" s="12" t="s">
        <v>8617</v>
      </c>
    </row>
    <row r="469" spans="1:2" x14ac:dyDescent="0.4">
      <c r="A469" t="s">
        <v>2260</v>
      </c>
      <c r="B469" s="12" t="s">
        <v>8617</v>
      </c>
    </row>
    <row r="470" spans="1:2" x14ac:dyDescent="0.4">
      <c r="A470" t="s">
        <v>2263</v>
      </c>
      <c r="B470" s="12" t="s">
        <v>8617</v>
      </c>
    </row>
    <row r="471" spans="1:2" x14ac:dyDescent="0.4">
      <c r="A471" t="s">
        <v>2194</v>
      </c>
      <c r="B471" s="12" t="s">
        <v>8617</v>
      </c>
    </row>
    <row r="472" spans="1:2" x14ac:dyDescent="0.4">
      <c r="A472" t="s">
        <v>2200</v>
      </c>
      <c r="B472" s="12" t="s">
        <v>8617</v>
      </c>
    </row>
    <row r="473" spans="1:2" x14ac:dyDescent="0.4">
      <c r="A473" t="s">
        <v>2203</v>
      </c>
      <c r="B473" s="12" t="s">
        <v>8617</v>
      </c>
    </row>
    <row r="474" spans="1:2" x14ac:dyDescent="0.4">
      <c r="A474" t="s">
        <v>2206</v>
      </c>
      <c r="B474" s="12" t="s">
        <v>8617</v>
      </c>
    </row>
    <row r="475" spans="1:2" x14ac:dyDescent="0.4">
      <c r="A475" t="s">
        <v>2209</v>
      </c>
      <c r="B475" s="12" t="s">
        <v>8617</v>
      </c>
    </row>
    <row r="476" spans="1:2" x14ac:dyDescent="0.4">
      <c r="A476" t="s">
        <v>2212</v>
      </c>
      <c r="B476" s="12" t="s">
        <v>8617</v>
      </c>
    </row>
    <row r="477" spans="1:2" x14ac:dyDescent="0.4">
      <c r="A477" t="s">
        <v>2215</v>
      </c>
      <c r="B477" s="12" t="s">
        <v>8617</v>
      </c>
    </row>
    <row r="478" spans="1:2" x14ac:dyDescent="0.4">
      <c r="A478" t="s">
        <v>2218</v>
      </c>
      <c r="B478" s="12" t="s">
        <v>8617</v>
      </c>
    </row>
    <row r="479" spans="1:2" x14ac:dyDescent="0.4">
      <c r="A479" t="s">
        <v>2221</v>
      </c>
      <c r="B479" s="12" t="s">
        <v>8617</v>
      </c>
    </row>
    <row r="480" spans="1:2" x14ac:dyDescent="0.4">
      <c r="A480" t="s">
        <v>2224</v>
      </c>
      <c r="B480" s="12" t="s">
        <v>8617</v>
      </c>
    </row>
    <row r="481" spans="1:2" x14ac:dyDescent="0.4">
      <c r="A481" t="s">
        <v>2229</v>
      </c>
      <c r="B481" s="12" t="s">
        <v>8617</v>
      </c>
    </row>
    <row r="482" spans="1:2" x14ac:dyDescent="0.4">
      <c r="A482" t="s">
        <v>348</v>
      </c>
      <c r="B482" s="12" t="s">
        <v>8617</v>
      </c>
    </row>
    <row r="483" spans="1:2" x14ac:dyDescent="0.4">
      <c r="A483" t="s">
        <v>353</v>
      </c>
      <c r="B483" s="12" t="s">
        <v>8617</v>
      </c>
    </row>
    <row r="484" spans="1:2" x14ac:dyDescent="0.4">
      <c r="A484" t="s">
        <v>357</v>
      </c>
      <c r="B484" s="12" t="s">
        <v>8617</v>
      </c>
    </row>
    <row r="485" spans="1:2" x14ac:dyDescent="0.4">
      <c r="A485" t="s">
        <v>360</v>
      </c>
      <c r="B485" s="12" t="s">
        <v>8617</v>
      </c>
    </row>
    <row r="486" spans="1:2" x14ac:dyDescent="0.4">
      <c r="A486" t="s">
        <v>363</v>
      </c>
      <c r="B486" s="12" t="s">
        <v>8617</v>
      </c>
    </row>
    <row r="487" spans="1:2" x14ac:dyDescent="0.4">
      <c r="A487" t="s">
        <v>366</v>
      </c>
      <c r="B487" s="12" t="s">
        <v>8617</v>
      </c>
    </row>
    <row r="488" spans="1:2" x14ac:dyDescent="0.4">
      <c r="A488" t="s">
        <v>369</v>
      </c>
      <c r="B488" s="12" t="s">
        <v>8617</v>
      </c>
    </row>
    <row r="489" spans="1:2" x14ac:dyDescent="0.4">
      <c r="A489" t="s">
        <v>372</v>
      </c>
      <c r="B489" s="12" t="s">
        <v>8617</v>
      </c>
    </row>
    <row r="490" spans="1:2" x14ac:dyDescent="0.4">
      <c r="A490" t="s">
        <v>375</v>
      </c>
      <c r="B490" s="12" t="s">
        <v>8617</v>
      </c>
    </row>
    <row r="491" spans="1:2" x14ac:dyDescent="0.4">
      <c r="A491" t="s">
        <v>378</v>
      </c>
      <c r="B491" s="12" t="s">
        <v>8617</v>
      </c>
    </row>
    <row r="492" spans="1:2" x14ac:dyDescent="0.4">
      <c r="A492" t="s">
        <v>381</v>
      </c>
      <c r="B492" s="12" t="s">
        <v>8617</v>
      </c>
    </row>
    <row r="493" spans="1:2" x14ac:dyDescent="0.4">
      <c r="A493" t="s">
        <v>384</v>
      </c>
      <c r="B493" s="12" t="s">
        <v>8617</v>
      </c>
    </row>
    <row r="494" spans="1:2" x14ac:dyDescent="0.4">
      <c r="A494" t="s">
        <v>387</v>
      </c>
      <c r="B494" s="12" t="s">
        <v>8617</v>
      </c>
    </row>
    <row r="495" spans="1:2" x14ac:dyDescent="0.4">
      <c r="A495" t="s">
        <v>390</v>
      </c>
      <c r="B495" s="12" t="s">
        <v>8617</v>
      </c>
    </row>
    <row r="496" spans="1:2" x14ac:dyDescent="0.4">
      <c r="A496" t="s">
        <v>393</v>
      </c>
      <c r="B496" s="12" t="s">
        <v>8617</v>
      </c>
    </row>
    <row r="497" spans="1:2" x14ac:dyDescent="0.4">
      <c r="A497" t="s">
        <v>448</v>
      </c>
      <c r="B497" s="12" t="s">
        <v>8617</v>
      </c>
    </row>
    <row r="498" spans="1:2" x14ac:dyDescent="0.4">
      <c r="A498" t="s">
        <v>453</v>
      </c>
      <c r="B498" s="12" t="s">
        <v>8617</v>
      </c>
    </row>
    <row r="499" spans="1:2" x14ac:dyDescent="0.4">
      <c r="A499" t="s">
        <v>456</v>
      </c>
      <c r="B499" s="12" t="s">
        <v>8617</v>
      </c>
    </row>
    <row r="500" spans="1:2" x14ac:dyDescent="0.4">
      <c r="A500" t="s">
        <v>459</v>
      </c>
      <c r="B500" s="12" t="s">
        <v>8617</v>
      </c>
    </row>
    <row r="501" spans="1:2" x14ac:dyDescent="0.4">
      <c r="A501" t="s">
        <v>462</v>
      </c>
      <c r="B501" s="12" t="s">
        <v>8617</v>
      </c>
    </row>
    <row r="502" spans="1:2" x14ac:dyDescent="0.4">
      <c r="A502" t="s">
        <v>465</v>
      </c>
      <c r="B502" s="12" t="s">
        <v>8617</v>
      </c>
    </row>
    <row r="503" spans="1:2" x14ac:dyDescent="0.4">
      <c r="A503" t="s">
        <v>468</v>
      </c>
      <c r="B503" s="12" t="s">
        <v>8617</v>
      </c>
    </row>
    <row r="504" spans="1:2" x14ac:dyDescent="0.4">
      <c r="A504" t="s">
        <v>471</v>
      </c>
      <c r="B504" s="12" t="s">
        <v>8617</v>
      </c>
    </row>
    <row r="505" spans="1:2" x14ac:dyDescent="0.4">
      <c r="A505" t="s">
        <v>474</v>
      </c>
      <c r="B505" s="12" t="s">
        <v>8617</v>
      </c>
    </row>
    <row r="506" spans="1:2" x14ac:dyDescent="0.4">
      <c r="A506" t="s">
        <v>477</v>
      </c>
      <c r="B506" s="12" t="s">
        <v>8617</v>
      </c>
    </row>
    <row r="507" spans="1:2" x14ac:dyDescent="0.4">
      <c r="A507" t="s">
        <v>480</v>
      </c>
      <c r="B507" s="12" t="s">
        <v>8617</v>
      </c>
    </row>
    <row r="508" spans="1:2" x14ac:dyDescent="0.4">
      <c r="A508" t="s">
        <v>485</v>
      </c>
      <c r="B508" s="12" t="s">
        <v>8617</v>
      </c>
    </row>
    <row r="509" spans="1:2" x14ac:dyDescent="0.4">
      <c r="A509" t="s">
        <v>488</v>
      </c>
      <c r="B509" s="12" t="s">
        <v>8617</v>
      </c>
    </row>
    <row r="510" spans="1:2" x14ac:dyDescent="0.4">
      <c r="A510" t="s">
        <v>491</v>
      </c>
      <c r="B510" s="12" t="s">
        <v>8617</v>
      </c>
    </row>
    <row r="511" spans="1:2" x14ac:dyDescent="0.4">
      <c r="A511" t="s">
        <v>494</v>
      </c>
      <c r="B511" s="12" t="s">
        <v>8617</v>
      </c>
    </row>
    <row r="512" spans="1:2" x14ac:dyDescent="0.4">
      <c r="A512" t="s">
        <v>497</v>
      </c>
      <c r="B512" s="12" t="s">
        <v>8617</v>
      </c>
    </row>
    <row r="513" spans="1:2" x14ac:dyDescent="0.4">
      <c r="A513" t="s">
        <v>500</v>
      </c>
      <c r="B513" s="12" t="s">
        <v>8617</v>
      </c>
    </row>
    <row r="514" spans="1:2" x14ac:dyDescent="0.4">
      <c r="A514" t="s">
        <v>503</v>
      </c>
      <c r="B514" s="12" t="s">
        <v>8617</v>
      </c>
    </row>
    <row r="515" spans="1:2" x14ac:dyDescent="0.4">
      <c r="A515" t="s">
        <v>506</v>
      </c>
      <c r="B515" s="12" t="s">
        <v>8617</v>
      </c>
    </row>
    <row r="516" spans="1:2" x14ac:dyDescent="0.4">
      <c r="A516" t="s">
        <v>509</v>
      </c>
      <c r="B516" s="12" t="s">
        <v>8617</v>
      </c>
    </row>
    <row r="517" spans="1:2" x14ac:dyDescent="0.4">
      <c r="A517" t="s">
        <v>512</v>
      </c>
      <c r="B517" s="12" t="s">
        <v>8617</v>
      </c>
    </row>
    <row r="518" spans="1:2" x14ac:dyDescent="0.4">
      <c r="A518" t="s">
        <v>515</v>
      </c>
      <c r="B518" s="12" t="s">
        <v>8617</v>
      </c>
    </row>
    <row r="519" spans="1:2" x14ac:dyDescent="0.4">
      <c r="A519" t="s">
        <v>518</v>
      </c>
      <c r="B519" s="12" t="s">
        <v>8617</v>
      </c>
    </row>
    <row r="520" spans="1:2" x14ac:dyDescent="0.4">
      <c r="A520" t="s">
        <v>521</v>
      </c>
      <c r="B520" s="12" t="s">
        <v>8617</v>
      </c>
    </row>
    <row r="521" spans="1:2" x14ac:dyDescent="0.4">
      <c r="A521" t="s">
        <v>396</v>
      </c>
      <c r="B521" s="12" t="s">
        <v>8617</v>
      </c>
    </row>
    <row r="522" spans="1:2" x14ac:dyDescent="0.4">
      <c r="A522" t="s">
        <v>403</v>
      </c>
      <c r="B522" s="12" t="s">
        <v>8617</v>
      </c>
    </row>
    <row r="523" spans="1:2" x14ac:dyDescent="0.4">
      <c r="A523" t="s">
        <v>426</v>
      </c>
      <c r="B523" s="12" t="s">
        <v>8617</v>
      </c>
    </row>
    <row r="524" spans="1:2" x14ac:dyDescent="0.4">
      <c r="A524" t="s">
        <v>430</v>
      </c>
      <c r="B524" s="12" t="s">
        <v>8617</v>
      </c>
    </row>
    <row r="525" spans="1:2" x14ac:dyDescent="0.4">
      <c r="A525" t="s">
        <v>433</v>
      </c>
      <c r="B525" s="12" t="s">
        <v>8617</v>
      </c>
    </row>
    <row r="526" spans="1:2" x14ac:dyDescent="0.4">
      <c r="A526" t="s">
        <v>436</v>
      </c>
      <c r="B526" s="12" t="s">
        <v>8617</v>
      </c>
    </row>
    <row r="527" spans="1:2" x14ac:dyDescent="0.4">
      <c r="A527" t="s">
        <v>439</v>
      </c>
      <c r="B527" s="12" t="s">
        <v>8617</v>
      </c>
    </row>
    <row r="528" spans="1:2" x14ac:dyDescent="0.4">
      <c r="A528" t="s">
        <v>442</v>
      </c>
      <c r="B528" s="12" t="s">
        <v>8617</v>
      </c>
    </row>
    <row r="529" spans="1:2" x14ac:dyDescent="0.4">
      <c r="A529" t="s">
        <v>445</v>
      </c>
      <c r="B529" s="12" t="s">
        <v>8617</v>
      </c>
    </row>
    <row r="530" spans="1:2" x14ac:dyDescent="0.4">
      <c r="A530" t="s">
        <v>406</v>
      </c>
      <c r="B530" s="12" t="s">
        <v>8617</v>
      </c>
    </row>
    <row r="531" spans="1:2" x14ac:dyDescent="0.4">
      <c r="A531" t="s">
        <v>410</v>
      </c>
      <c r="B531" s="12" t="s">
        <v>8617</v>
      </c>
    </row>
    <row r="532" spans="1:2" x14ac:dyDescent="0.4">
      <c r="A532" t="s">
        <v>413</v>
      </c>
      <c r="B532" s="12" t="s">
        <v>8617</v>
      </c>
    </row>
    <row r="533" spans="1:2" x14ac:dyDescent="0.4">
      <c r="A533" t="s">
        <v>416</v>
      </c>
      <c r="B533" s="12" t="s">
        <v>8617</v>
      </c>
    </row>
    <row r="534" spans="1:2" x14ac:dyDescent="0.4">
      <c r="A534" t="s">
        <v>419</v>
      </c>
      <c r="B534" s="12" t="s">
        <v>8617</v>
      </c>
    </row>
    <row r="535" spans="1:2" x14ac:dyDescent="0.4">
      <c r="A535" t="s">
        <v>422</v>
      </c>
      <c r="B535" s="12" t="s">
        <v>8617</v>
      </c>
    </row>
    <row r="536" spans="1:2" x14ac:dyDescent="0.4">
      <c r="A536" t="s">
        <v>1867</v>
      </c>
      <c r="B536" s="12" t="s">
        <v>8617</v>
      </c>
    </row>
    <row r="537" spans="1:2" x14ac:dyDescent="0.4">
      <c r="A537" t="s">
        <v>1872</v>
      </c>
      <c r="B537" s="12" t="s">
        <v>8617</v>
      </c>
    </row>
    <row r="538" spans="1:2" x14ac:dyDescent="0.4">
      <c r="A538" t="s">
        <v>1875</v>
      </c>
      <c r="B538" s="12" t="s">
        <v>8617</v>
      </c>
    </row>
    <row r="539" spans="1:2" x14ac:dyDescent="0.4">
      <c r="A539" t="s">
        <v>1878</v>
      </c>
      <c r="B539" s="12" t="s">
        <v>8617</v>
      </c>
    </row>
    <row r="540" spans="1:2" x14ac:dyDescent="0.4">
      <c r="A540" t="s">
        <v>1881</v>
      </c>
      <c r="B540" s="12" t="s">
        <v>8617</v>
      </c>
    </row>
    <row r="541" spans="1:2" x14ac:dyDescent="0.4">
      <c r="A541" t="s">
        <v>1884</v>
      </c>
      <c r="B541" s="12" t="s">
        <v>8617</v>
      </c>
    </row>
    <row r="542" spans="1:2" x14ac:dyDescent="0.4">
      <c r="A542" t="s">
        <v>1887</v>
      </c>
      <c r="B542" s="12" t="s">
        <v>8617</v>
      </c>
    </row>
    <row r="543" spans="1:2" x14ac:dyDescent="0.4">
      <c r="A543" t="s">
        <v>201</v>
      </c>
      <c r="B543" s="12" t="s">
        <v>8617</v>
      </c>
    </row>
    <row r="544" spans="1:2" x14ac:dyDescent="0.4">
      <c r="A544" t="s">
        <v>209</v>
      </c>
      <c r="B544" s="12" t="s">
        <v>8617</v>
      </c>
    </row>
    <row r="545" spans="1:2" x14ac:dyDescent="0.4">
      <c r="A545" t="s">
        <v>212</v>
      </c>
      <c r="B545" s="12" t="s">
        <v>8617</v>
      </c>
    </row>
    <row r="546" spans="1:2" x14ac:dyDescent="0.4">
      <c r="A546" t="s">
        <v>215</v>
      </c>
      <c r="B546" s="12" t="s">
        <v>8617</v>
      </c>
    </row>
    <row r="547" spans="1:2" x14ac:dyDescent="0.4">
      <c r="A547" t="s">
        <v>218</v>
      </c>
      <c r="B547" s="12" t="s">
        <v>8617</v>
      </c>
    </row>
    <row r="548" spans="1:2" x14ac:dyDescent="0.4">
      <c r="A548" t="s">
        <v>221</v>
      </c>
      <c r="B548" s="12" t="s">
        <v>8617</v>
      </c>
    </row>
    <row r="549" spans="1:2" x14ac:dyDescent="0.4">
      <c r="A549" t="s">
        <v>224</v>
      </c>
      <c r="B549" s="12" t="s">
        <v>8617</v>
      </c>
    </row>
    <row r="550" spans="1:2" x14ac:dyDescent="0.4">
      <c r="A550" t="s">
        <v>227</v>
      </c>
      <c r="B550" s="12" t="s">
        <v>8617</v>
      </c>
    </row>
    <row r="551" spans="1:2" x14ac:dyDescent="0.4">
      <c r="A551" t="s">
        <v>230</v>
      </c>
      <c r="B551" s="12" t="s">
        <v>8617</v>
      </c>
    </row>
    <row r="552" spans="1:2" x14ac:dyDescent="0.4">
      <c r="A552" t="s">
        <v>233</v>
      </c>
      <c r="B552" s="12" t="s">
        <v>8617</v>
      </c>
    </row>
    <row r="553" spans="1:2" x14ac:dyDescent="0.4">
      <c r="A553" t="s">
        <v>1257</v>
      </c>
      <c r="B553" s="12" t="s">
        <v>8617</v>
      </c>
    </row>
    <row r="554" spans="1:2" x14ac:dyDescent="0.4">
      <c r="A554" t="s">
        <v>1264</v>
      </c>
      <c r="B554" s="12" t="s">
        <v>8617</v>
      </c>
    </row>
    <row r="555" spans="1:2" x14ac:dyDescent="0.4">
      <c r="A555" t="s">
        <v>1267</v>
      </c>
      <c r="B555" s="12" t="s">
        <v>8617</v>
      </c>
    </row>
    <row r="556" spans="1:2" x14ac:dyDescent="0.4">
      <c r="A556" t="s">
        <v>1270</v>
      </c>
      <c r="B556" s="12" t="s">
        <v>8617</v>
      </c>
    </row>
    <row r="557" spans="1:2" x14ac:dyDescent="0.4">
      <c r="A557" t="s">
        <v>1273</v>
      </c>
      <c r="B557" s="12" t="s">
        <v>8617</v>
      </c>
    </row>
    <row r="558" spans="1:2" x14ac:dyDescent="0.4">
      <c r="A558" t="s">
        <v>1288</v>
      </c>
      <c r="B558" s="12" t="s">
        <v>8617</v>
      </c>
    </row>
    <row r="559" spans="1:2" x14ac:dyDescent="0.4">
      <c r="A559" t="s">
        <v>1276</v>
      </c>
      <c r="B559" s="12" t="s">
        <v>8617</v>
      </c>
    </row>
    <row r="560" spans="1:2" x14ac:dyDescent="0.4">
      <c r="A560" t="s">
        <v>1279</v>
      </c>
      <c r="B560" s="12" t="s">
        <v>8617</v>
      </c>
    </row>
    <row r="561" spans="1:2" x14ac:dyDescent="0.4">
      <c r="A561" t="s">
        <v>1282</v>
      </c>
      <c r="B561" s="12" t="s">
        <v>8617</v>
      </c>
    </row>
    <row r="562" spans="1:2" x14ac:dyDescent="0.4">
      <c r="A562" t="s">
        <v>1285</v>
      </c>
      <c r="B562" s="12" t="s">
        <v>8617</v>
      </c>
    </row>
    <row r="563" spans="1:2" x14ac:dyDescent="0.4">
      <c r="A563" t="s">
        <v>969</v>
      </c>
      <c r="B563" s="12" t="s">
        <v>8617</v>
      </c>
    </row>
    <row r="564" spans="1:2" x14ac:dyDescent="0.4">
      <c r="A564" t="s">
        <v>977</v>
      </c>
      <c r="B564" s="12" t="s">
        <v>8617</v>
      </c>
    </row>
    <row r="565" spans="1:2" x14ac:dyDescent="0.4">
      <c r="A565" t="s">
        <v>980</v>
      </c>
      <c r="B565" s="12" t="s">
        <v>8617</v>
      </c>
    </row>
    <row r="566" spans="1:2" x14ac:dyDescent="0.4">
      <c r="A566" t="s">
        <v>984</v>
      </c>
      <c r="B566" s="12" t="s">
        <v>8617</v>
      </c>
    </row>
    <row r="567" spans="1:2" x14ac:dyDescent="0.4">
      <c r="A567" t="s">
        <v>987</v>
      </c>
      <c r="B567" s="12" t="s">
        <v>8617</v>
      </c>
    </row>
    <row r="568" spans="1:2" x14ac:dyDescent="0.4">
      <c r="A568" t="s">
        <v>990</v>
      </c>
      <c r="B568" s="12" t="s">
        <v>8617</v>
      </c>
    </row>
    <row r="569" spans="1:2" x14ac:dyDescent="0.4">
      <c r="A569" t="s">
        <v>993</v>
      </c>
      <c r="B569" s="12" t="s">
        <v>8617</v>
      </c>
    </row>
    <row r="570" spans="1:2" x14ac:dyDescent="0.4">
      <c r="A570" t="s">
        <v>996</v>
      </c>
      <c r="B570" s="12" t="s">
        <v>8617</v>
      </c>
    </row>
    <row r="571" spans="1:2" x14ac:dyDescent="0.4">
      <c r="A571" t="s">
        <v>999</v>
      </c>
      <c r="B571" s="12" t="s">
        <v>8617</v>
      </c>
    </row>
    <row r="572" spans="1:2" x14ac:dyDescent="0.4">
      <c r="A572" t="s">
        <v>1002</v>
      </c>
      <c r="B572" s="12" t="s">
        <v>8617</v>
      </c>
    </row>
    <row r="573" spans="1:2" x14ac:dyDescent="0.4">
      <c r="A573" t="s">
        <v>1005</v>
      </c>
      <c r="B573" s="12" t="s">
        <v>8617</v>
      </c>
    </row>
    <row r="574" spans="1:2" x14ac:dyDescent="0.4">
      <c r="A574" t="s">
        <v>1010</v>
      </c>
      <c r="B574" s="12" t="s">
        <v>8617</v>
      </c>
    </row>
    <row r="575" spans="1:2" x14ac:dyDescent="0.4">
      <c r="A575" t="s">
        <v>1013</v>
      </c>
      <c r="B575" s="12" t="s">
        <v>8617</v>
      </c>
    </row>
    <row r="576" spans="1:2" x14ac:dyDescent="0.4">
      <c r="A576" t="s">
        <v>1016</v>
      </c>
      <c r="B576" s="12" t="s">
        <v>8617</v>
      </c>
    </row>
    <row r="577" spans="1:2" x14ac:dyDescent="0.4">
      <c r="A577" t="s">
        <v>1020</v>
      </c>
      <c r="B577" s="12" t="s">
        <v>8617</v>
      </c>
    </row>
    <row r="578" spans="1:2" x14ac:dyDescent="0.4">
      <c r="A578" t="s">
        <v>1025</v>
      </c>
      <c r="B578" s="12" t="s">
        <v>8617</v>
      </c>
    </row>
    <row r="579" spans="1:2" x14ac:dyDescent="0.4">
      <c r="A579" t="s">
        <v>1028</v>
      </c>
      <c r="B579" s="12" t="s">
        <v>8617</v>
      </c>
    </row>
    <row r="580" spans="1:2" x14ac:dyDescent="0.4">
      <c r="A580" t="s">
        <v>1031</v>
      </c>
      <c r="B580" s="12" t="s">
        <v>8617</v>
      </c>
    </row>
    <row r="581" spans="1:2" x14ac:dyDescent="0.4">
      <c r="A581" t="s">
        <v>1035</v>
      </c>
      <c r="B581" s="12" t="s">
        <v>8617</v>
      </c>
    </row>
    <row r="582" spans="1:2" x14ac:dyDescent="0.4">
      <c r="A582" t="s">
        <v>1038</v>
      </c>
      <c r="B582" s="12" t="s">
        <v>8617</v>
      </c>
    </row>
    <row r="583" spans="1:2" x14ac:dyDescent="0.4">
      <c r="A583" t="s">
        <v>1041</v>
      </c>
      <c r="B583" s="12" t="s">
        <v>8617</v>
      </c>
    </row>
    <row r="584" spans="1:2" x14ac:dyDescent="0.4">
      <c r="A584" t="s">
        <v>1046</v>
      </c>
      <c r="B584" s="12" t="s">
        <v>8617</v>
      </c>
    </row>
    <row r="585" spans="1:2" x14ac:dyDescent="0.4">
      <c r="A585" t="s">
        <v>1050</v>
      </c>
      <c r="B585" s="12" t="s">
        <v>8617</v>
      </c>
    </row>
    <row r="586" spans="1:2" x14ac:dyDescent="0.4">
      <c r="A586" t="s">
        <v>1055</v>
      </c>
      <c r="B586" s="12" t="s">
        <v>8617</v>
      </c>
    </row>
    <row r="587" spans="1:2" x14ac:dyDescent="0.4">
      <c r="A587" t="s">
        <v>1059</v>
      </c>
      <c r="B587" s="12" t="s">
        <v>8617</v>
      </c>
    </row>
    <row r="588" spans="1:2" x14ac:dyDescent="0.4">
      <c r="A588" t="s">
        <v>1062</v>
      </c>
      <c r="B588" s="12" t="s">
        <v>8617</v>
      </c>
    </row>
    <row r="589" spans="1:2" x14ac:dyDescent="0.4">
      <c r="A589" t="s">
        <v>1065</v>
      </c>
      <c r="B589" s="12" t="s">
        <v>8617</v>
      </c>
    </row>
    <row r="590" spans="1:2" x14ac:dyDescent="0.4">
      <c r="A590" t="s">
        <v>1068</v>
      </c>
      <c r="B590" s="12" t="s">
        <v>8617</v>
      </c>
    </row>
    <row r="591" spans="1:2" x14ac:dyDescent="0.4">
      <c r="A591" t="s">
        <v>1071</v>
      </c>
      <c r="B591" s="12" t="s">
        <v>8617</v>
      </c>
    </row>
    <row r="592" spans="1:2" x14ac:dyDescent="0.4">
      <c r="A592" t="s">
        <v>1074</v>
      </c>
      <c r="B592" s="12" t="s">
        <v>8617</v>
      </c>
    </row>
    <row r="593" spans="1:2" x14ac:dyDescent="0.4">
      <c r="A593" t="s">
        <v>2377</v>
      </c>
      <c r="B593" s="12" t="s">
        <v>8617</v>
      </c>
    </row>
    <row r="594" spans="1:2" x14ac:dyDescent="0.4">
      <c r="A594" t="s">
        <v>2383</v>
      </c>
      <c r="B594" s="12" t="s">
        <v>8617</v>
      </c>
    </row>
    <row r="595" spans="1:2" x14ac:dyDescent="0.4">
      <c r="A595" t="s">
        <v>2387</v>
      </c>
      <c r="B595" s="12" t="s">
        <v>8617</v>
      </c>
    </row>
    <row r="596" spans="1:2" x14ac:dyDescent="0.4">
      <c r="A596" t="s">
        <v>2391</v>
      </c>
      <c r="B596" s="12" t="s">
        <v>8617</v>
      </c>
    </row>
    <row r="597" spans="1:2" x14ac:dyDescent="0.4">
      <c r="A597" t="s">
        <v>2394</v>
      </c>
      <c r="B597" s="12" t="s">
        <v>8617</v>
      </c>
    </row>
    <row r="598" spans="1:2" x14ac:dyDescent="0.4">
      <c r="A598" t="s">
        <v>2398</v>
      </c>
      <c r="B598" s="12" t="s">
        <v>8617</v>
      </c>
    </row>
    <row r="599" spans="1:2" x14ac:dyDescent="0.4">
      <c r="A599" t="s">
        <v>2045</v>
      </c>
      <c r="B599" s="12" t="s">
        <v>8617</v>
      </c>
    </row>
    <row r="600" spans="1:2" x14ac:dyDescent="0.4">
      <c r="A600" t="s">
        <v>2052</v>
      </c>
      <c r="B600" s="12" t="s">
        <v>8617</v>
      </c>
    </row>
    <row r="601" spans="1:2" x14ac:dyDescent="0.4">
      <c r="A601" t="s">
        <v>2056</v>
      </c>
      <c r="B601" s="12" t="s">
        <v>8617</v>
      </c>
    </row>
    <row r="602" spans="1:2" x14ac:dyDescent="0.4">
      <c r="A602" t="s">
        <v>2059</v>
      </c>
      <c r="B602" s="12" t="s">
        <v>8617</v>
      </c>
    </row>
    <row r="603" spans="1:2" x14ac:dyDescent="0.4">
      <c r="A603" t="s">
        <v>2062</v>
      </c>
      <c r="B603" s="12" t="s">
        <v>8617</v>
      </c>
    </row>
    <row r="604" spans="1:2" x14ac:dyDescent="0.4">
      <c r="A604" t="s">
        <v>2065</v>
      </c>
      <c r="B604" s="12" t="s">
        <v>8617</v>
      </c>
    </row>
    <row r="605" spans="1:2" x14ac:dyDescent="0.4">
      <c r="A605" t="s">
        <v>2068</v>
      </c>
      <c r="B605" s="12" t="s">
        <v>8617</v>
      </c>
    </row>
    <row r="606" spans="1:2" x14ac:dyDescent="0.4">
      <c r="A606" t="s">
        <v>2071</v>
      </c>
      <c r="B606" s="12" t="s">
        <v>8617</v>
      </c>
    </row>
    <row r="607" spans="1:2" x14ac:dyDescent="0.4">
      <c r="A607" t="s">
        <v>2074</v>
      </c>
      <c r="B607" s="12" t="s">
        <v>8617</v>
      </c>
    </row>
    <row r="608" spans="1:2" x14ac:dyDescent="0.4">
      <c r="A608" t="s">
        <v>2077</v>
      </c>
      <c r="B608" s="12" t="s">
        <v>8617</v>
      </c>
    </row>
    <row r="609" spans="1:2" x14ac:dyDescent="0.4">
      <c r="A609" t="s">
        <v>1629</v>
      </c>
      <c r="B609" s="12" t="s">
        <v>8617</v>
      </c>
    </row>
    <row r="610" spans="1:2" x14ac:dyDescent="0.4">
      <c r="A610" t="s">
        <v>1635</v>
      </c>
      <c r="B610" s="12" t="s">
        <v>8617</v>
      </c>
    </row>
    <row r="611" spans="1:2" x14ac:dyDescent="0.4">
      <c r="A611" t="s">
        <v>1639</v>
      </c>
      <c r="B611" s="12" t="s">
        <v>8617</v>
      </c>
    </row>
    <row r="612" spans="1:2" x14ac:dyDescent="0.4">
      <c r="A612" t="s">
        <v>1642</v>
      </c>
      <c r="B612" s="12" t="s">
        <v>8617</v>
      </c>
    </row>
    <row r="613" spans="1:2" x14ac:dyDescent="0.4">
      <c r="A613" t="s">
        <v>1646</v>
      </c>
      <c r="B613" s="12" t="s">
        <v>8617</v>
      </c>
    </row>
    <row r="614" spans="1:2" x14ac:dyDescent="0.4">
      <c r="A614" t="s">
        <v>1649</v>
      </c>
      <c r="B614" s="12" t="s">
        <v>8617</v>
      </c>
    </row>
    <row r="615" spans="1:2" x14ac:dyDescent="0.4">
      <c r="A615" t="s">
        <v>524</v>
      </c>
      <c r="B615" s="12" t="s">
        <v>8617</v>
      </c>
    </row>
    <row r="616" spans="1:2" x14ac:dyDescent="0.4">
      <c r="A616" t="s">
        <v>530</v>
      </c>
      <c r="B616" s="12" t="s">
        <v>8617</v>
      </c>
    </row>
    <row r="617" spans="1:2" x14ac:dyDescent="0.4">
      <c r="A617" t="s">
        <v>533</v>
      </c>
      <c r="B617" s="12" t="s">
        <v>8617</v>
      </c>
    </row>
    <row r="618" spans="1:2" x14ac:dyDescent="0.4">
      <c r="A618" t="s">
        <v>536</v>
      </c>
      <c r="B618" s="12" t="s">
        <v>8617</v>
      </c>
    </row>
    <row r="619" spans="1:2" x14ac:dyDescent="0.4">
      <c r="A619" t="s">
        <v>539</v>
      </c>
      <c r="B619" s="12" t="s">
        <v>8617</v>
      </c>
    </row>
    <row r="620" spans="1:2" x14ac:dyDescent="0.4">
      <c r="A620" t="s">
        <v>542</v>
      </c>
      <c r="B620" s="12" t="s">
        <v>8617</v>
      </c>
    </row>
    <row r="621" spans="1:2" x14ac:dyDescent="0.4">
      <c r="A621" t="s">
        <v>545</v>
      </c>
      <c r="B621" s="12" t="s">
        <v>8617</v>
      </c>
    </row>
    <row r="622" spans="1:2" x14ac:dyDescent="0.4">
      <c r="A622" t="s">
        <v>548</v>
      </c>
      <c r="B622" s="12" t="s">
        <v>8617</v>
      </c>
    </row>
    <row r="623" spans="1:2" x14ac:dyDescent="0.4">
      <c r="A623" t="s">
        <v>551</v>
      </c>
      <c r="B623" s="12" t="s">
        <v>8617</v>
      </c>
    </row>
    <row r="624" spans="1:2" x14ac:dyDescent="0.4">
      <c r="A624" t="s">
        <v>554</v>
      </c>
      <c r="B624" s="12" t="s">
        <v>8617</v>
      </c>
    </row>
    <row r="625" spans="1:2" x14ac:dyDescent="0.4">
      <c r="A625" t="s">
        <v>1183</v>
      </c>
      <c r="B625" s="12" t="s">
        <v>8617</v>
      </c>
    </row>
    <row r="626" spans="1:2" x14ac:dyDescent="0.4">
      <c r="A626" t="s">
        <v>1190</v>
      </c>
      <c r="B626" s="12" t="s">
        <v>8617</v>
      </c>
    </row>
    <row r="627" spans="1:2" x14ac:dyDescent="0.4">
      <c r="A627" t="s">
        <v>1193</v>
      </c>
      <c r="B627" s="12" t="s">
        <v>8617</v>
      </c>
    </row>
    <row r="628" spans="1:2" x14ac:dyDescent="0.4">
      <c r="A628" t="s">
        <v>1196</v>
      </c>
      <c r="B628" s="12" t="s">
        <v>8617</v>
      </c>
    </row>
    <row r="629" spans="1:2" x14ac:dyDescent="0.4">
      <c r="A629" t="s">
        <v>1200</v>
      </c>
      <c r="B629" s="12" t="s">
        <v>8617</v>
      </c>
    </row>
    <row r="630" spans="1:2" x14ac:dyDescent="0.4">
      <c r="A630" t="s">
        <v>1204</v>
      </c>
      <c r="B630" s="12" t="s">
        <v>8617</v>
      </c>
    </row>
    <row r="631" spans="1:2" x14ac:dyDescent="0.4">
      <c r="A631" t="s">
        <v>1207</v>
      </c>
      <c r="B631" s="12" t="s">
        <v>8617</v>
      </c>
    </row>
    <row r="632" spans="1:2" x14ac:dyDescent="0.4">
      <c r="A632" t="s">
        <v>1210</v>
      </c>
      <c r="B632" s="12" t="s">
        <v>8617</v>
      </c>
    </row>
    <row r="633" spans="1:2" x14ac:dyDescent="0.4">
      <c r="A633" t="s">
        <v>1213</v>
      </c>
      <c r="B633" s="12" t="s">
        <v>8617</v>
      </c>
    </row>
    <row r="634" spans="1:2" x14ac:dyDescent="0.4">
      <c r="A634" t="s">
        <v>1217</v>
      </c>
      <c r="B634" s="12" t="s">
        <v>8617</v>
      </c>
    </row>
    <row r="635" spans="1:2" x14ac:dyDescent="0.4">
      <c r="A635" t="s">
        <v>1220</v>
      </c>
      <c r="B635" s="12" t="s">
        <v>8617</v>
      </c>
    </row>
    <row r="636" spans="1:2" x14ac:dyDescent="0.4">
      <c r="A636" t="s">
        <v>1317</v>
      </c>
      <c r="B636" s="12" t="s">
        <v>8617</v>
      </c>
    </row>
    <row r="637" spans="1:2" x14ac:dyDescent="0.4">
      <c r="A637" t="s">
        <v>1324</v>
      </c>
      <c r="B637" s="12" t="s">
        <v>8617</v>
      </c>
    </row>
    <row r="638" spans="1:2" x14ac:dyDescent="0.4">
      <c r="A638" t="s">
        <v>1327</v>
      </c>
      <c r="B638" s="12" t="s">
        <v>8617</v>
      </c>
    </row>
    <row r="639" spans="1:2" x14ac:dyDescent="0.4">
      <c r="A639" t="s">
        <v>1330</v>
      </c>
      <c r="B639" s="12" t="s">
        <v>8617</v>
      </c>
    </row>
    <row r="640" spans="1:2" x14ac:dyDescent="0.4">
      <c r="A640" t="s">
        <v>1333</v>
      </c>
      <c r="B640" s="12" t="s">
        <v>8617</v>
      </c>
    </row>
    <row r="641" spans="1:2" x14ac:dyDescent="0.4">
      <c r="A641" t="s">
        <v>1336</v>
      </c>
      <c r="B641" s="12" t="s">
        <v>8617</v>
      </c>
    </row>
    <row r="642" spans="1:2" x14ac:dyDescent="0.4">
      <c r="A642" t="s">
        <v>1339</v>
      </c>
      <c r="B642" s="12" t="s">
        <v>8617</v>
      </c>
    </row>
    <row r="643" spans="1:2" x14ac:dyDescent="0.4">
      <c r="A643" t="s">
        <v>1342</v>
      </c>
      <c r="B643" s="12" t="s">
        <v>8617</v>
      </c>
    </row>
    <row r="644" spans="1:2" x14ac:dyDescent="0.4">
      <c r="A644" t="s">
        <v>1345</v>
      </c>
      <c r="B644" s="12" t="s">
        <v>8617</v>
      </c>
    </row>
    <row r="645" spans="1:2" x14ac:dyDescent="0.4">
      <c r="A645" t="s">
        <v>1348</v>
      </c>
      <c r="B645" s="12" t="s">
        <v>8617</v>
      </c>
    </row>
    <row r="646" spans="1:2" x14ac:dyDescent="0.4">
      <c r="A646" t="s">
        <v>1354</v>
      </c>
      <c r="B646" s="12" t="s">
        <v>8617</v>
      </c>
    </row>
    <row r="647" spans="1:2" x14ac:dyDescent="0.4">
      <c r="A647" t="s">
        <v>1357</v>
      </c>
      <c r="B647" s="12" t="s">
        <v>8617</v>
      </c>
    </row>
    <row r="648" spans="1:2" x14ac:dyDescent="0.4">
      <c r="A648" t="s">
        <v>1360</v>
      </c>
      <c r="B648" s="12" t="s">
        <v>8617</v>
      </c>
    </row>
    <row r="649" spans="1:2" x14ac:dyDescent="0.4">
      <c r="A649" t="s">
        <v>1363</v>
      </c>
      <c r="B649" s="12" t="s">
        <v>8617</v>
      </c>
    </row>
    <row r="650" spans="1:2" x14ac:dyDescent="0.4">
      <c r="A650" t="s">
        <v>1366</v>
      </c>
      <c r="B650" s="12" t="s">
        <v>8617</v>
      </c>
    </row>
    <row r="651" spans="1:2" x14ac:dyDescent="0.4">
      <c r="A651" t="s">
        <v>1369</v>
      </c>
      <c r="B651" s="12" t="s">
        <v>8617</v>
      </c>
    </row>
    <row r="652" spans="1:2" x14ac:dyDescent="0.4">
      <c r="A652" t="s">
        <v>1372</v>
      </c>
      <c r="B652" s="12" t="s">
        <v>8617</v>
      </c>
    </row>
    <row r="653" spans="1:2" x14ac:dyDescent="0.4">
      <c r="A653" t="s">
        <v>1375</v>
      </c>
      <c r="B653" s="12" t="s">
        <v>8617</v>
      </c>
    </row>
    <row r="654" spans="1:2" x14ac:dyDescent="0.4">
      <c r="A654" t="s">
        <v>1379</v>
      </c>
      <c r="B654" s="12" t="s">
        <v>8617</v>
      </c>
    </row>
    <row r="655" spans="1:2" x14ac:dyDescent="0.4">
      <c r="A655" t="s">
        <v>1382</v>
      </c>
      <c r="B655" s="12" t="s">
        <v>8617</v>
      </c>
    </row>
    <row r="656" spans="1:2" x14ac:dyDescent="0.4">
      <c r="A656" t="s">
        <v>1890</v>
      </c>
      <c r="B656" s="12" t="s">
        <v>8617</v>
      </c>
    </row>
    <row r="657" spans="1:2" x14ac:dyDescent="0.4">
      <c r="A657" t="s">
        <v>1897</v>
      </c>
      <c r="B657" s="12" t="s">
        <v>8617</v>
      </c>
    </row>
    <row r="658" spans="1:2" x14ac:dyDescent="0.4">
      <c r="A658" t="s">
        <v>1900</v>
      </c>
      <c r="B658" s="12" t="s">
        <v>8617</v>
      </c>
    </row>
    <row r="659" spans="1:2" x14ac:dyDescent="0.4">
      <c r="A659" t="s">
        <v>1903</v>
      </c>
      <c r="B659" s="12" t="s">
        <v>8617</v>
      </c>
    </row>
    <row r="660" spans="1:2" x14ac:dyDescent="0.4">
      <c r="A660" t="s">
        <v>1906</v>
      </c>
      <c r="B660" s="12" t="s">
        <v>8617</v>
      </c>
    </row>
    <row r="661" spans="1:2" x14ac:dyDescent="0.4">
      <c r="A661" t="s">
        <v>1909</v>
      </c>
      <c r="B661" s="12" t="s">
        <v>8617</v>
      </c>
    </row>
    <row r="662" spans="1:2" x14ac:dyDescent="0.4">
      <c r="A662" t="s">
        <v>1912</v>
      </c>
      <c r="B662" s="12" t="s">
        <v>8617</v>
      </c>
    </row>
    <row r="663" spans="1:2" x14ac:dyDescent="0.4">
      <c r="A663" t="s">
        <v>1915</v>
      </c>
      <c r="B663" s="12" t="s">
        <v>8617</v>
      </c>
    </row>
    <row r="664" spans="1:2" x14ac:dyDescent="0.4">
      <c r="A664" t="s">
        <v>1918</v>
      </c>
      <c r="B664" s="12" t="s">
        <v>8617</v>
      </c>
    </row>
    <row r="665" spans="1:2" x14ac:dyDescent="0.4">
      <c r="A665" t="s">
        <v>1921</v>
      </c>
      <c r="B665" s="12" t="s">
        <v>8617</v>
      </c>
    </row>
    <row r="666" spans="1:2" x14ac:dyDescent="0.4">
      <c r="A666" t="s">
        <v>1924</v>
      </c>
      <c r="B666" s="12" t="s">
        <v>8617</v>
      </c>
    </row>
    <row r="667" spans="1:2" x14ac:dyDescent="0.4">
      <c r="A667" t="s">
        <v>1929</v>
      </c>
      <c r="B667" s="12" t="s">
        <v>8617</v>
      </c>
    </row>
    <row r="668" spans="1:2" x14ac:dyDescent="0.4">
      <c r="A668" t="s">
        <v>1932</v>
      </c>
      <c r="B668" s="12" t="s">
        <v>8617</v>
      </c>
    </row>
    <row r="669" spans="1:2" x14ac:dyDescent="0.4">
      <c r="A669" t="s">
        <v>1935</v>
      </c>
      <c r="B669" s="12" t="s">
        <v>8617</v>
      </c>
    </row>
    <row r="670" spans="1:2" x14ac:dyDescent="0.4">
      <c r="A670" t="s">
        <v>1938</v>
      </c>
      <c r="B670" s="12" t="s">
        <v>8617</v>
      </c>
    </row>
    <row r="671" spans="1:2" x14ac:dyDescent="0.4">
      <c r="A671" t="s">
        <v>1941</v>
      </c>
      <c r="B671" s="12" t="s">
        <v>8617</v>
      </c>
    </row>
    <row r="672" spans="1:2" x14ac:dyDescent="0.4">
      <c r="A672" t="s">
        <v>1944</v>
      </c>
      <c r="B672" s="12" t="s">
        <v>8617</v>
      </c>
    </row>
    <row r="673" spans="1:2" x14ac:dyDescent="0.4">
      <c r="A673" t="s">
        <v>1947</v>
      </c>
      <c r="B673" s="12" t="s">
        <v>8617</v>
      </c>
    </row>
    <row r="674" spans="1:2" x14ac:dyDescent="0.4">
      <c r="A674" t="s">
        <v>1950</v>
      </c>
      <c r="B674" s="12" t="s">
        <v>8617</v>
      </c>
    </row>
    <row r="675" spans="1:2" x14ac:dyDescent="0.4">
      <c r="A675" t="s">
        <v>1953</v>
      </c>
      <c r="B675" s="12" t="s">
        <v>8617</v>
      </c>
    </row>
    <row r="676" spans="1:2" x14ac:dyDescent="0.4">
      <c r="A676" t="s">
        <v>557</v>
      </c>
      <c r="B676" s="12" t="s">
        <v>8617</v>
      </c>
    </row>
    <row r="677" spans="1:2" x14ac:dyDescent="0.4">
      <c r="A677" t="s">
        <v>565</v>
      </c>
      <c r="B677" s="12" t="s">
        <v>8617</v>
      </c>
    </row>
    <row r="678" spans="1:2" x14ac:dyDescent="0.4">
      <c r="A678" t="s">
        <v>568</v>
      </c>
      <c r="B678" s="12" t="s">
        <v>8617</v>
      </c>
    </row>
    <row r="679" spans="1:2" x14ac:dyDescent="0.4">
      <c r="A679" t="s">
        <v>571</v>
      </c>
      <c r="B679" s="12" t="s">
        <v>8617</v>
      </c>
    </row>
    <row r="680" spans="1:2" x14ac:dyDescent="0.4">
      <c r="A680" t="s">
        <v>574</v>
      </c>
      <c r="B680" s="12" t="s">
        <v>8617</v>
      </c>
    </row>
    <row r="681" spans="1:2" x14ac:dyDescent="0.4">
      <c r="A681" t="s">
        <v>577</v>
      </c>
      <c r="B681" s="12" t="s">
        <v>8617</v>
      </c>
    </row>
    <row r="682" spans="1:2" x14ac:dyDescent="0.4">
      <c r="A682" t="s">
        <v>580</v>
      </c>
      <c r="B682" s="12" t="s">
        <v>8617</v>
      </c>
    </row>
    <row r="683" spans="1:2" x14ac:dyDescent="0.4">
      <c r="A683" t="s">
        <v>583</v>
      </c>
      <c r="B683" s="12" t="s">
        <v>8617</v>
      </c>
    </row>
    <row r="684" spans="1:2" x14ac:dyDescent="0.4">
      <c r="A684" t="s">
        <v>586</v>
      </c>
      <c r="B684" s="12" t="s">
        <v>8617</v>
      </c>
    </row>
    <row r="685" spans="1:2" x14ac:dyDescent="0.4">
      <c r="A685" t="s">
        <v>626</v>
      </c>
      <c r="B685" s="12" t="s">
        <v>8617</v>
      </c>
    </row>
    <row r="686" spans="1:2" x14ac:dyDescent="0.4">
      <c r="A686" t="s">
        <v>590</v>
      </c>
      <c r="B686" s="12" t="s">
        <v>8617</v>
      </c>
    </row>
    <row r="687" spans="1:2" x14ac:dyDescent="0.4">
      <c r="A687" t="s">
        <v>595</v>
      </c>
      <c r="B687" s="12" t="s">
        <v>8617</v>
      </c>
    </row>
    <row r="688" spans="1:2" x14ac:dyDescent="0.4">
      <c r="A688" t="s">
        <v>599</v>
      </c>
      <c r="B688" s="12" t="s">
        <v>8617</v>
      </c>
    </row>
    <row r="689" spans="1:2" x14ac:dyDescent="0.4">
      <c r="A689" t="s">
        <v>602</v>
      </c>
      <c r="B689" s="12" t="s">
        <v>8617</v>
      </c>
    </row>
    <row r="690" spans="1:2" x14ac:dyDescent="0.4">
      <c r="A690" t="s">
        <v>606</v>
      </c>
      <c r="B690" s="12" t="s">
        <v>8617</v>
      </c>
    </row>
    <row r="691" spans="1:2" x14ac:dyDescent="0.4">
      <c r="A691" t="s">
        <v>610</v>
      </c>
      <c r="B691" s="12" t="s">
        <v>8617</v>
      </c>
    </row>
    <row r="692" spans="1:2" x14ac:dyDescent="0.4">
      <c r="A692" t="s">
        <v>613</v>
      </c>
      <c r="B692" s="12" t="s">
        <v>8617</v>
      </c>
    </row>
    <row r="693" spans="1:2" x14ac:dyDescent="0.4">
      <c r="A693" t="s">
        <v>617</v>
      </c>
      <c r="B693" s="12" t="s">
        <v>8617</v>
      </c>
    </row>
    <row r="694" spans="1:2" x14ac:dyDescent="0.4">
      <c r="A694" t="s">
        <v>620</v>
      </c>
      <c r="B694" s="12" t="s">
        <v>8617</v>
      </c>
    </row>
    <row r="695" spans="1:2" x14ac:dyDescent="0.4">
      <c r="A695" t="s">
        <v>623</v>
      </c>
      <c r="B695" s="12" t="s">
        <v>8617</v>
      </c>
    </row>
  </sheetData>
  <phoneticPr fontId="1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75B15-33D9-4CD1-9939-F8AC5271F04B}">
  <dimension ref="A1:B701"/>
  <sheetViews>
    <sheetView topLeftCell="A697" workbookViewId="0">
      <selection activeCell="A660" sqref="A660:XFD660"/>
    </sheetView>
  </sheetViews>
  <sheetFormatPr defaultRowHeight="14.6" x14ac:dyDescent="0.4"/>
  <cols>
    <col min="1" max="1" width="17.15234375" bestFit="1" customWidth="1"/>
  </cols>
  <sheetData>
    <row r="1" spans="1:2" x14ac:dyDescent="0.4">
      <c r="A1" t="s">
        <v>8566</v>
      </c>
      <c r="B1" t="s">
        <v>8567</v>
      </c>
    </row>
    <row r="2" spans="1:2" x14ac:dyDescent="0.4">
      <c r="A2" t="s">
        <v>2562</v>
      </c>
      <c r="B2" t="s">
        <v>8568</v>
      </c>
    </row>
    <row r="3" spans="1:2" x14ac:dyDescent="0.4">
      <c r="A3" t="s">
        <v>2565</v>
      </c>
      <c r="B3" t="s">
        <v>8568</v>
      </c>
    </row>
    <row r="4" spans="1:2" x14ac:dyDescent="0.4">
      <c r="A4" t="s">
        <v>2566</v>
      </c>
      <c r="B4" t="s">
        <v>8568</v>
      </c>
    </row>
    <row r="5" spans="1:2" x14ac:dyDescent="0.4">
      <c r="A5" t="s">
        <v>2567</v>
      </c>
      <c r="B5" t="s">
        <v>8568</v>
      </c>
    </row>
    <row r="6" spans="1:2" x14ac:dyDescent="0.4">
      <c r="A6" t="s">
        <v>2568</v>
      </c>
      <c r="B6" t="s">
        <v>8614</v>
      </c>
    </row>
    <row r="7" spans="1:2" x14ac:dyDescent="0.4">
      <c r="A7" t="s">
        <v>2569</v>
      </c>
      <c r="B7" t="s">
        <v>8568</v>
      </c>
    </row>
    <row r="8" spans="1:2" x14ac:dyDescent="0.4">
      <c r="A8" t="s">
        <v>2571</v>
      </c>
      <c r="B8" t="s">
        <v>8614</v>
      </c>
    </row>
    <row r="9" spans="1:2" x14ac:dyDescent="0.4">
      <c r="A9" t="s">
        <v>2572</v>
      </c>
      <c r="B9" t="s">
        <v>8568</v>
      </c>
    </row>
    <row r="10" spans="1:2" x14ac:dyDescent="0.4">
      <c r="A10" t="s">
        <v>2573</v>
      </c>
      <c r="B10" t="s">
        <v>8614</v>
      </c>
    </row>
    <row r="11" spans="1:2" x14ac:dyDescent="0.4">
      <c r="A11" t="s">
        <v>2574</v>
      </c>
      <c r="B11" t="s">
        <v>8568</v>
      </c>
    </row>
    <row r="12" spans="1:2" x14ac:dyDescent="0.4">
      <c r="A12" t="s">
        <v>2575</v>
      </c>
      <c r="B12" t="s">
        <v>8614</v>
      </c>
    </row>
    <row r="13" spans="1:2" x14ac:dyDescent="0.4">
      <c r="A13" t="s">
        <v>2576</v>
      </c>
      <c r="B13" t="s">
        <v>8568</v>
      </c>
    </row>
    <row r="14" spans="1:2" x14ac:dyDescent="0.4">
      <c r="A14" t="s">
        <v>2577</v>
      </c>
      <c r="B14" t="s">
        <v>8568</v>
      </c>
    </row>
    <row r="15" spans="1:2" x14ac:dyDescent="0.4">
      <c r="A15" t="s">
        <v>2578</v>
      </c>
      <c r="B15" t="s">
        <v>8614</v>
      </c>
    </row>
    <row r="16" spans="1:2" x14ac:dyDescent="0.4">
      <c r="A16" t="s">
        <v>2579</v>
      </c>
      <c r="B16" t="s">
        <v>8568</v>
      </c>
    </row>
    <row r="17" spans="1:2" x14ac:dyDescent="0.4">
      <c r="A17" t="s">
        <v>2580</v>
      </c>
      <c r="B17" t="s">
        <v>8568</v>
      </c>
    </row>
    <row r="18" spans="1:2" x14ac:dyDescent="0.4">
      <c r="A18" t="s">
        <v>2594</v>
      </c>
      <c r="B18" t="s">
        <v>8568</v>
      </c>
    </row>
    <row r="19" spans="1:2" x14ac:dyDescent="0.4">
      <c r="A19" t="s">
        <v>236</v>
      </c>
      <c r="B19" t="s">
        <v>8614</v>
      </c>
    </row>
    <row r="20" spans="1:2" x14ac:dyDescent="0.4">
      <c r="A20" t="s">
        <v>246</v>
      </c>
      <c r="B20" t="s">
        <v>8614</v>
      </c>
    </row>
    <row r="21" spans="1:2" x14ac:dyDescent="0.4">
      <c r="A21" t="s">
        <v>250</v>
      </c>
      <c r="B21" t="s">
        <v>8568</v>
      </c>
    </row>
    <row r="22" spans="1:2" x14ac:dyDescent="0.4">
      <c r="A22" t="s">
        <v>1519</v>
      </c>
      <c r="B22" t="s">
        <v>8568</v>
      </c>
    </row>
    <row r="23" spans="1:2" x14ac:dyDescent="0.4">
      <c r="A23" t="s">
        <v>1525</v>
      </c>
      <c r="B23" t="s">
        <v>8568</v>
      </c>
    </row>
    <row r="24" spans="1:2" x14ac:dyDescent="0.4">
      <c r="A24" t="s">
        <v>1528</v>
      </c>
      <c r="B24" t="s">
        <v>8568</v>
      </c>
    </row>
    <row r="25" spans="1:2" x14ac:dyDescent="0.4">
      <c r="A25" t="s">
        <v>1531</v>
      </c>
      <c r="B25" t="s">
        <v>8568</v>
      </c>
    </row>
    <row r="26" spans="1:2" x14ac:dyDescent="0.4">
      <c r="A26" t="s">
        <v>1534</v>
      </c>
      <c r="B26" t="s">
        <v>8568</v>
      </c>
    </row>
    <row r="27" spans="1:2" x14ac:dyDescent="0.4">
      <c r="A27" t="s">
        <v>1537</v>
      </c>
      <c r="B27" t="s">
        <v>8568</v>
      </c>
    </row>
    <row r="28" spans="1:2" x14ac:dyDescent="0.4">
      <c r="A28" t="s">
        <v>1540</v>
      </c>
      <c r="B28" t="s">
        <v>8568</v>
      </c>
    </row>
    <row r="29" spans="1:2" x14ac:dyDescent="0.4">
      <c r="A29" t="s">
        <v>1543</v>
      </c>
      <c r="B29" t="s">
        <v>8568</v>
      </c>
    </row>
    <row r="30" spans="1:2" x14ac:dyDescent="0.4">
      <c r="A30" t="s">
        <v>1546</v>
      </c>
      <c r="B30" t="s">
        <v>8568</v>
      </c>
    </row>
    <row r="31" spans="1:2" x14ac:dyDescent="0.4">
      <c r="A31" t="s">
        <v>254</v>
      </c>
      <c r="B31" t="s">
        <v>8568</v>
      </c>
    </row>
    <row r="32" spans="1:2" x14ac:dyDescent="0.4">
      <c r="A32" t="s">
        <v>269</v>
      </c>
      <c r="B32" t="s">
        <v>8568</v>
      </c>
    </row>
    <row r="33" spans="1:2" x14ac:dyDescent="0.4">
      <c r="A33" t="s">
        <v>265</v>
      </c>
      <c r="B33" t="s">
        <v>8568</v>
      </c>
    </row>
    <row r="34" spans="1:2" x14ac:dyDescent="0.4">
      <c r="A34" t="s">
        <v>261</v>
      </c>
      <c r="B34" t="s">
        <v>8568</v>
      </c>
    </row>
    <row r="35" spans="1:2" x14ac:dyDescent="0.4">
      <c r="A35" t="s">
        <v>273</v>
      </c>
      <c r="B35" t="s">
        <v>8568</v>
      </c>
    </row>
    <row r="36" spans="1:2" x14ac:dyDescent="0.4">
      <c r="A36" t="s">
        <v>279</v>
      </c>
      <c r="B36" t="s">
        <v>8568</v>
      </c>
    </row>
    <row r="37" spans="1:2" x14ac:dyDescent="0.4">
      <c r="A37" t="s">
        <v>287</v>
      </c>
      <c r="B37" t="s">
        <v>8568</v>
      </c>
    </row>
    <row r="38" spans="1:2" x14ac:dyDescent="0.4">
      <c r="A38" t="s">
        <v>283</v>
      </c>
      <c r="B38" t="s">
        <v>8568</v>
      </c>
    </row>
    <row r="39" spans="1:2" x14ac:dyDescent="0.4">
      <c r="A39" t="s">
        <v>291</v>
      </c>
      <c r="B39" t="s">
        <v>8568</v>
      </c>
    </row>
    <row r="40" spans="1:2" x14ac:dyDescent="0.4">
      <c r="A40" t="s">
        <v>299</v>
      </c>
      <c r="B40" t="s">
        <v>8568</v>
      </c>
    </row>
    <row r="41" spans="1:2" x14ac:dyDescent="0.4">
      <c r="A41" t="s">
        <v>295</v>
      </c>
      <c r="B41" t="s">
        <v>8568</v>
      </c>
    </row>
    <row r="42" spans="1:2" x14ac:dyDescent="0.4">
      <c r="A42" t="s">
        <v>303</v>
      </c>
      <c r="B42" t="s">
        <v>8568</v>
      </c>
    </row>
    <row r="43" spans="1:2" x14ac:dyDescent="0.4">
      <c r="A43" t="s">
        <v>307</v>
      </c>
      <c r="B43" t="s">
        <v>8568</v>
      </c>
    </row>
    <row r="44" spans="1:2" x14ac:dyDescent="0.4">
      <c r="A44" t="s">
        <v>1549</v>
      </c>
      <c r="B44" t="s">
        <v>8614</v>
      </c>
    </row>
    <row r="45" spans="1:2" x14ac:dyDescent="0.4">
      <c r="A45" t="s">
        <v>8605</v>
      </c>
    </row>
    <row r="46" spans="1:2" x14ac:dyDescent="0.4">
      <c r="A46" t="s">
        <v>1552</v>
      </c>
      <c r="B46" t="s">
        <v>8568</v>
      </c>
    </row>
    <row r="47" spans="1:2" x14ac:dyDescent="0.4">
      <c r="A47" t="s">
        <v>1555</v>
      </c>
      <c r="B47" t="s">
        <v>8568</v>
      </c>
    </row>
    <row r="48" spans="1:2" x14ac:dyDescent="0.4">
      <c r="A48" t="s">
        <v>1558</v>
      </c>
      <c r="B48" t="s">
        <v>8568</v>
      </c>
    </row>
    <row r="49" spans="1:2" x14ac:dyDescent="0.4">
      <c r="A49" t="s">
        <v>1561</v>
      </c>
      <c r="B49" t="s">
        <v>8568</v>
      </c>
    </row>
    <row r="50" spans="1:2" x14ac:dyDescent="0.4">
      <c r="A50" t="s">
        <v>1564</v>
      </c>
      <c r="B50" t="s">
        <v>8568</v>
      </c>
    </row>
    <row r="51" spans="1:2" x14ac:dyDescent="0.4">
      <c r="A51" t="s">
        <v>1567</v>
      </c>
      <c r="B51" t="s">
        <v>8568</v>
      </c>
    </row>
    <row r="52" spans="1:2" x14ac:dyDescent="0.4">
      <c r="A52" t="s">
        <v>1570</v>
      </c>
      <c r="B52" t="s">
        <v>8614</v>
      </c>
    </row>
    <row r="53" spans="1:2" x14ac:dyDescent="0.4">
      <c r="A53" t="s">
        <v>1573</v>
      </c>
      <c r="B53" t="s">
        <v>8568</v>
      </c>
    </row>
    <row r="54" spans="1:2" x14ac:dyDescent="0.4">
      <c r="A54" t="s">
        <v>1576</v>
      </c>
      <c r="B54" t="s">
        <v>8614</v>
      </c>
    </row>
    <row r="55" spans="1:2" x14ac:dyDescent="0.4">
      <c r="A55" t="s">
        <v>1579</v>
      </c>
      <c r="B55" t="s">
        <v>8568</v>
      </c>
    </row>
    <row r="56" spans="1:2" x14ac:dyDescent="0.4">
      <c r="A56" t="s">
        <v>311</v>
      </c>
      <c r="B56" t="s">
        <v>8568</v>
      </c>
    </row>
    <row r="57" spans="1:2" x14ac:dyDescent="0.4">
      <c r="A57" t="s">
        <v>317</v>
      </c>
      <c r="B57" t="s">
        <v>8614</v>
      </c>
    </row>
    <row r="58" spans="1:2" x14ac:dyDescent="0.4">
      <c r="A58" t="s">
        <v>321</v>
      </c>
      <c r="B58" t="s">
        <v>8568</v>
      </c>
    </row>
    <row r="59" spans="1:2" x14ac:dyDescent="0.4">
      <c r="A59" t="s">
        <v>324</v>
      </c>
      <c r="B59" t="s">
        <v>8568</v>
      </c>
    </row>
    <row r="60" spans="1:2" x14ac:dyDescent="0.4">
      <c r="A60" t="s">
        <v>327</v>
      </c>
      <c r="B60" t="s">
        <v>8568</v>
      </c>
    </row>
    <row r="61" spans="1:2" x14ac:dyDescent="0.4">
      <c r="A61" t="s">
        <v>330</v>
      </c>
      <c r="B61" t="s">
        <v>8568</v>
      </c>
    </row>
    <row r="62" spans="1:2" x14ac:dyDescent="0.4">
      <c r="A62" t="s">
        <v>333</v>
      </c>
      <c r="B62" t="s">
        <v>8568</v>
      </c>
    </row>
    <row r="63" spans="1:2" x14ac:dyDescent="0.4">
      <c r="A63" t="s">
        <v>336</v>
      </c>
      <c r="B63" t="s">
        <v>8614</v>
      </c>
    </row>
    <row r="64" spans="1:2" x14ac:dyDescent="0.4">
      <c r="A64" t="s">
        <v>339</v>
      </c>
      <c r="B64" t="s">
        <v>8568</v>
      </c>
    </row>
    <row r="65" spans="1:2" x14ac:dyDescent="0.4">
      <c r="A65" t="s">
        <v>342</v>
      </c>
      <c r="B65" t="s">
        <v>8568</v>
      </c>
    </row>
    <row r="66" spans="1:2" x14ac:dyDescent="0.4">
      <c r="A66" t="s">
        <v>1385</v>
      </c>
      <c r="B66" t="s">
        <v>8568</v>
      </c>
    </row>
    <row r="67" spans="1:2" x14ac:dyDescent="0.4">
      <c r="A67" t="s">
        <v>1391</v>
      </c>
      <c r="B67" t="s">
        <v>8568</v>
      </c>
    </row>
    <row r="68" spans="1:2" x14ac:dyDescent="0.4">
      <c r="A68" t="s">
        <v>1394</v>
      </c>
      <c r="B68" t="s">
        <v>8568</v>
      </c>
    </row>
    <row r="69" spans="1:2" x14ac:dyDescent="0.4">
      <c r="A69" t="s">
        <v>1397</v>
      </c>
      <c r="B69" t="s">
        <v>8568</v>
      </c>
    </row>
    <row r="70" spans="1:2" x14ac:dyDescent="0.4">
      <c r="A70" t="s">
        <v>1400</v>
      </c>
      <c r="B70" t="s">
        <v>8568</v>
      </c>
    </row>
    <row r="71" spans="1:2" x14ac:dyDescent="0.4">
      <c r="A71" t="s">
        <v>1403</v>
      </c>
      <c r="B71" t="s">
        <v>8614</v>
      </c>
    </row>
    <row r="72" spans="1:2" x14ac:dyDescent="0.4">
      <c r="A72" t="s">
        <v>1406</v>
      </c>
      <c r="B72" t="s">
        <v>8568</v>
      </c>
    </row>
    <row r="73" spans="1:2" x14ac:dyDescent="0.4">
      <c r="A73" t="s">
        <v>1409</v>
      </c>
      <c r="B73" t="s">
        <v>8568</v>
      </c>
    </row>
    <row r="74" spans="1:2" x14ac:dyDescent="0.4">
      <c r="A74" t="s">
        <v>1413</v>
      </c>
      <c r="B74" t="s">
        <v>8568</v>
      </c>
    </row>
    <row r="75" spans="1:2" x14ac:dyDescent="0.4">
      <c r="A75" t="s">
        <v>1417</v>
      </c>
      <c r="B75" t="s">
        <v>8568</v>
      </c>
    </row>
    <row r="76" spans="1:2" x14ac:dyDescent="0.4">
      <c r="A76" t="s">
        <v>1420</v>
      </c>
      <c r="B76" t="s">
        <v>8614</v>
      </c>
    </row>
    <row r="77" spans="1:2" x14ac:dyDescent="0.4">
      <c r="A77" t="s">
        <v>1423</v>
      </c>
      <c r="B77" t="s">
        <v>8568</v>
      </c>
    </row>
    <row r="78" spans="1:2" x14ac:dyDescent="0.4">
      <c r="A78" t="s">
        <v>1426</v>
      </c>
      <c r="B78" t="s">
        <v>8568</v>
      </c>
    </row>
    <row r="79" spans="1:2" x14ac:dyDescent="0.4">
      <c r="A79" t="s">
        <v>1430</v>
      </c>
      <c r="B79" t="s">
        <v>8568</v>
      </c>
    </row>
    <row r="80" spans="1:2" x14ac:dyDescent="0.4">
      <c r="A80" t="s">
        <v>1434</v>
      </c>
      <c r="B80" t="s">
        <v>8568</v>
      </c>
    </row>
    <row r="81" spans="1:2" x14ac:dyDescent="0.4">
      <c r="A81" t="s">
        <v>111</v>
      </c>
      <c r="B81" t="s">
        <v>8568</v>
      </c>
    </row>
    <row r="82" spans="1:2" x14ac:dyDescent="0.4">
      <c r="A82" t="s">
        <v>120</v>
      </c>
      <c r="B82" t="s">
        <v>8568</v>
      </c>
    </row>
    <row r="83" spans="1:2" x14ac:dyDescent="0.4">
      <c r="A83" t="s">
        <v>123</v>
      </c>
      <c r="B83" t="s">
        <v>8568</v>
      </c>
    </row>
    <row r="84" spans="1:2" x14ac:dyDescent="0.4">
      <c r="A84" t="s">
        <v>126</v>
      </c>
      <c r="B84" t="s">
        <v>8568</v>
      </c>
    </row>
    <row r="85" spans="1:2" x14ac:dyDescent="0.4">
      <c r="A85" t="s">
        <v>129</v>
      </c>
      <c r="B85" t="s">
        <v>8568</v>
      </c>
    </row>
    <row r="86" spans="1:2" x14ac:dyDescent="0.4">
      <c r="A86" t="s">
        <v>153</v>
      </c>
      <c r="B86" t="s">
        <v>8568</v>
      </c>
    </row>
    <row r="87" spans="1:2" x14ac:dyDescent="0.4">
      <c r="A87" t="s">
        <v>159</v>
      </c>
      <c r="B87" t="s">
        <v>8568</v>
      </c>
    </row>
    <row r="88" spans="1:2" x14ac:dyDescent="0.4">
      <c r="A88" t="s">
        <v>162</v>
      </c>
      <c r="B88" t="s">
        <v>8568</v>
      </c>
    </row>
    <row r="89" spans="1:2" x14ac:dyDescent="0.4">
      <c r="A89" t="s">
        <v>165</v>
      </c>
      <c r="B89" t="s">
        <v>8568</v>
      </c>
    </row>
    <row r="90" spans="1:2" x14ac:dyDescent="0.4">
      <c r="A90" t="s">
        <v>168</v>
      </c>
      <c r="B90" t="s">
        <v>8614</v>
      </c>
    </row>
    <row r="91" spans="1:2" x14ac:dyDescent="0.4">
      <c r="A91" t="s">
        <v>171</v>
      </c>
      <c r="B91" t="s">
        <v>8568</v>
      </c>
    </row>
    <row r="92" spans="1:2" x14ac:dyDescent="0.4">
      <c r="A92" t="s">
        <v>174</v>
      </c>
      <c r="B92" t="s">
        <v>8568</v>
      </c>
    </row>
    <row r="93" spans="1:2" x14ac:dyDescent="0.4">
      <c r="A93" t="s">
        <v>177</v>
      </c>
      <c r="B93" t="s">
        <v>8568</v>
      </c>
    </row>
    <row r="94" spans="1:2" x14ac:dyDescent="0.4">
      <c r="A94" t="s">
        <v>180</v>
      </c>
      <c r="B94" t="s">
        <v>8568</v>
      </c>
    </row>
    <row r="95" spans="1:2" x14ac:dyDescent="0.4">
      <c r="A95" t="s">
        <v>183</v>
      </c>
      <c r="B95" t="s">
        <v>8568</v>
      </c>
    </row>
    <row r="96" spans="1:2" x14ac:dyDescent="0.4">
      <c r="A96" t="s">
        <v>186</v>
      </c>
      <c r="B96" t="s">
        <v>8568</v>
      </c>
    </row>
    <row r="97" spans="1:2" x14ac:dyDescent="0.4">
      <c r="A97" t="s">
        <v>189</v>
      </c>
      <c r="B97" t="s">
        <v>8568</v>
      </c>
    </row>
    <row r="98" spans="1:2" x14ac:dyDescent="0.4">
      <c r="A98" t="s">
        <v>195</v>
      </c>
      <c r="B98" t="s">
        <v>8568</v>
      </c>
    </row>
    <row r="99" spans="1:2" x14ac:dyDescent="0.4">
      <c r="A99" t="s">
        <v>198</v>
      </c>
      <c r="B99" t="s">
        <v>8568</v>
      </c>
    </row>
    <row r="100" spans="1:2" x14ac:dyDescent="0.4">
      <c r="A100" t="s">
        <v>132</v>
      </c>
      <c r="B100" t="s">
        <v>8568</v>
      </c>
    </row>
    <row r="101" spans="1:2" x14ac:dyDescent="0.4">
      <c r="A101" t="s">
        <v>137</v>
      </c>
      <c r="B101" t="s">
        <v>8568</v>
      </c>
    </row>
    <row r="102" spans="1:2" x14ac:dyDescent="0.4">
      <c r="A102" t="s">
        <v>141</v>
      </c>
      <c r="B102" t="s">
        <v>8568</v>
      </c>
    </row>
    <row r="103" spans="1:2" x14ac:dyDescent="0.4">
      <c r="A103" t="s">
        <v>147</v>
      </c>
      <c r="B103" t="s">
        <v>8568</v>
      </c>
    </row>
    <row r="104" spans="1:2" x14ac:dyDescent="0.4">
      <c r="A104" t="s">
        <v>150</v>
      </c>
      <c r="B104" t="s">
        <v>8568</v>
      </c>
    </row>
    <row r="105" spans="1:2" x14ac:dyDescent="0.4">
      <c r="A105" t="s">
        <v>1437</v>
      </c>
      <c r="B105" t="s">
        <v>8568</v>
      </c>
    </row>
    <row r="106" spans="1:2" x14ac:dyDescent="0.4">
      <c r="A106" t="s">
        <v>1441</v>
      </c>
      <c r="B106" t="s">
        <v>8568</v>
      </c>
    </row>
    <row r="107" spans="1:2" x14ac:dyDescent="0.4">
      <c r="A107" t="s">
        <v>1444</v>
      </c>
      <c r="B107" t="s">
        <v>8568</v>
      </c>
    </row>
    <row r="108" spans="1:2" x14ac:dyDescent="0.4">
      <c r="A108" t="s">
        <v>1582</v>
      </c>
      <c r="B108" t="s">
        <v>8568</v>
      </c>
    </row>
    <row r="109" spans="1:2" x14ac:dyDescent="0.4">
      <c r="A109" t="s">
        <v>1587</v>
      </c>
      <c r="B109" t="s">
        <v>8568</v>
      </c>
    </row>
    <row r="110" spans="1:2" x14ac:dyDescent="0.4">
      <c r="A110" t="s">
        <v>1590</v>
      </c>
      <c r="B110" t="s">
        <v>8568</v>
      </c>
    </row>
    <row r="111" spans="1:2" x14ac:dyDescent="0.4">
      <c r="A111" t="s">
        <v>1593</v>
      </c>
      <c r="B111" t="s">
        <v>8568</v>
      </c>
    </row>
    <row r="112" spans="1:2" x14ac:dyDescent="0.4">
      <c r="A112" t="s">
        <v>1596</v>
      </c>
      <c r="B112" t="s">
        <v>8568</v>
      </c>
    </row>
    <row r="113" spans="1:2" x14ac:dyDescent="0.4">
      <c r="A113" t="s">
        <v>1599</v>
      </c>
      <c r="B113" t="s">
        <v>8568</v>
      </c>
    </row>
    <row r="114" spans="1:2" x14ac:dyDescent="0.4">
      <c r="A114" t="s">
        <v>1605</v>
      </c>
      <c r="B114" t="s">
        <v>8568</v>
      </c>
    </row>
    <row r="115" spans="1:2" x14ac:dyDescent="0.4">
      <c r="A115" t="s">
        <v>1608</v>
      </c>
      <c r="B115" t="s">
        <v>8568</v>
      </c>
    </row>
    <row r="116" spans="1:2" x14ac:dyDescent="0.4">
      <c r="A116" t="s">
        <v>1611</v>
      </c>
      <c r="B116" t="s">
        <v>8568</v>
      </c>
    </row>
    <row r="117" spans="1:2" x14ac:dyDescent="0.4">
      <c r="A117" t="s">
        <v>1614</v>
      </c>
      <c r="B117" t="s">
        <v>8568</v>
      </c>
    </row>
    <row r="118" spans="1:2" x14ac:dyDescent="0.4">
      <c r="A118" t="s">
        <v>1617</v>
      </c>
      <c r="B118" t="s">
        <v>8568</v>
      </c>
    </row>
    <row r="119" spans="1:2" x14ac:dyDescent="0.4">
      <c r="A119" t="s">
        <v>1620</v>
      </c>
      <c r="B119" t="s">
        <v>8568</v>
      </c>
    </row>
    <row r="120" spans="1:2" x14ac:dyDescent="0.4">
      <c r="A120" t="s">
        <v>1623</v>
      </c>
      <c r="B120" t="s">
        <v>8568</v>
      </c>
    </row>
    <row r="121" spans="1:2" x14ac:dyDescent="0.4">
      <c r="A121" t="s">
        <v>1626</v>
      </c>
      <c r="B121" t="s">
        <v>8568</v>
      </c>
    </row>
    <row r="122" spans="1:2" x14ac:dyDescent="0.4">
      <c r="A122" t="s">
        <v>1447</v>
      </c>
      <c r="B122" t="s">
        <v>8568</v>
      </c>
    </row>
    <row r="123" spans="1:2" x14ac:dyDescent="0.4">
      <c r="A123" t="s">
        <v>1452</v>
      </c>
      <c r="B123" t="s">
        <v>8568</v>
      </c>
    </row>
    <row r="124" spans="1:2" x14ac:dyDescent="0.4">
      <c r="A124" t="s">
        <v>1455</v>
      </c>
      <c r="B124" t="s">
        <v>8568</v>
      </c>
    </row>
    <row r="125" spans="1:2" x14ac:dyDescent="0.4">
      <c r="A125" t="s">
        <v>1460</v>
      </c>
      <c r="B125" t="s">
        <v>8568</v>
      </c>
    </row>
    <row r="126" spans="1:2" x14ac:dyDescent="0.4">
      <c r="A126" t="s">
        <v>1463</v>
      </c>
      <c r="B126" t="s">
        <v>8568</v>
      </c>
    </row>
    <row r="127" spans="1:2" x14ac:dyDescent="0.4">
      <c r="A127" t="s">
        <v>1466</v>
      </c>
      <c r="B127" t="s">
        <v>8568</v>
      </c>
    </row>
    <row r="128" spans="1:2" x14ac:dyDescent="0.4">
      <c r="A128" t="s">
        <v>1469</v>
      </c>
      <c r="B128" t="s">
        <v>8568</v>
      </c>
    </row>
    <row r="129" spans="1:2" x14ac:dyDescent="0.4">
      <c r="A129" t="s">
        <v>1472</v>
      </c>
      <c r="B129" t="s">
        <v>8568</v>
      </c>
    </row>
    <row r="130" spans="1:2" x14ac:dyDescent="0.4">
      <c r="A130" t="s">
        <v>1475</v>
      </c>
      <c r="B130" t="s">
        <v>8568</v>
      </c>
    </row>
    <row r="131" spans="1:2" x14ac:dyDescent="0.4">
      <c r="A131" t="s">
        <v>1478</v>
      </c>
      <c r="B131" t="s">
        <v>8568</v>
      </c>
    </row>
    <row r="132" spans="1:2" x14ac:dyDescent="0.4">
      <c r="A132" t="s">
        <v>1481</v>
      </c>
      <c r="B132" t="s">
        <v>8568</v>
      </c>
    </row>
    <row r="133" spans="1:2" x14ac:dyDescent="0.4">
      <c r="A133" t="s">
        <v>1484</v>
      </c>
      <c r="B133" t="s">
        <v>8568</v>
      </c>
    </row>
    <row r="134" spans="1:2" x14ac:dyDescent="0.4">
      <c r="A134" t="s">
        <v>1487</v>
      </c>
      <c r="B134" t="s">
        <v>8568</v>
      </c>
    </row>
    <row r="135" spans="1:2" x14ac:dyDescent="0.4">
      <c r="A135" t="s">
        <v>1490</v>
      </c>
      <c r="B135" t="s">
        <v>8568</v>
      </c>
    </row>
    <row r="136" spans="1:2" x14ac:dyDescent="0.4">
      <c r="A136" t="s">
        <v>1498</v>
      </c>
      <c r="B136" t="s">
        <v>8568</v>
      </c>
    </row>
    <row r="137" spans="1:2" x14ac:dyDescent="0.4">
      <c r="A137" t="s">
        <v>1502</v>
      </c>
      <c r="B137" t="s">
        <v>8568</v>
      </c>
    </row>
    <row r="138" spans="1:2" x14ac:dyDescent="0.4">
      <c r="A138" t="s">
        <v>1507</v>
      </c>
      <c r="B138" t="s">
        <v>8568</v>
      </c>
    </row>
    <row r="139" spans="1:2" x14ac:dyDescent="0.4">
      <c r="A139" t="s">
        <v>1511</v>
      </c>
      <c r="B139" t="s">
        <v>8568</v>
      </c>
    </row>
    <row r="140" spans="1:2" x14ac:dyDescent="0.4">
      <c r="A140" t="s">
        <v>1515</v>
      </c>
      <c r="B140" t="s">
        <v>8568</v>
      </c>
    </row>
    <row r="141" spans="1:2" x14ac:dyDescent="0.4">
      <c r="A141" t="s">
        <v>1956</v>
      </c>
      <c r="B141" t="s">
        <v>8568</v>
      </c>
    </row>
    <row r="142" spans="1:2" x14ac:dyDescent="0.4">
      <c r="A142" t="s">
        <v>1959</v>
      </c>
      <c r="B142" t="s">
        <v>8568</v>
      </c>
    </row>
    <row r="143" spans="1:2" x14ac:dyDescent="0.4">
      <c r="A143" t="s">
        <v>1077</v>
      </c>
      <c r="B143" t="s">
        <v>8568</v>
      </c>
    </row>
    <row r="144" spans="1:2" x14ac:dyDescent="0.4">
      <c r="A144" t="s">
        <v>1962</v>
      </c>
      <c r="B144" t="s">
        <v>8568</v>
      </c>
    </row>
    <row r="145" spans="1:2" x14ac:dyDescent="0.4">
      <c r="A145" t="s">
        <v>1965</v>
      </c>
      <c r="B145" t="s">
        <v>8568</v>
      </c>
    </row>
    <row r="146" spans="1:2" x14ac:dyDescent="0.4">
      <c r="A146" t="s">
        <v>1968</v>
      </c>
      <c r="B146" t="s">
        <v>8568</v>
      </c>
    </row>
    <row r="147" spans="1:2" x14ac:dyDescent="0.4">
      <c r="A147" t="s">
        <v>1971</v>
      </c>
      <c r="B147" t="s">
        <v>8568</v>
      </c>
    </row>
    <row r="148" spans="1:2" x14ac:dyDescent="0.4">
      <c r="A148" t="s">
        <v>1974</v>
      </c>
      <c r="B148" t="s">
        <v>8568</v>
      </c>
    </row>
    <row r="149" spans="1:2" x14ac:dyDescent="0.4">
      <c r="A149" t="s">
        <v>1977</v>
      </c>
      <c r="B149" t="s">
        <v>8568</v>
      </c>
    </row>
    <row r="150" spans="1:2" x14ac:dyDescent="0.4">
      <c r="A150" t="s">
        <v>1980</v>
      </c>
      <c r="B150" t="s">
        <v>8568</v>
      </c>
    </row>
    <row r="151" spans="1:2" x14ac:dyDescent="0.4">
      <c r="A151" t="s">
        <v>1983</v>
      </c>
      <c r="B151" t="s">
        <v>8568</v>
      </c>
    </row>
    <row r="152" spans="1:2" x14ac:dyDescent="0.4">
      <c r="A152" t="s">
        <v>1986</v>
      </c>
      <c r="B152" t="s">
        <v>8568</v>
      </c>
    </row>
    <row r="153" spans="1:2" x14ac:dyDescent="0.4">
      <c r="A153" t="s">
        <v>1989</v>
      </c>
      <c r="B153" t="s">
        <v>8568</v>
      </c>
    </row>
    <row r="154" spans="1:2" x14ac:dyDescent="0.4">
      <c r="A154" t="s">
        <v>1992</v>
      </c>
      <c r="B154" t="s">
        <v>8568</v>
      </c>
    </row>
    <row r="155" spans="1:2" x14ac:dyDescent="0.4">
      <c r="A155" t="s">
        <v>1995</v>
      </c>
      <c r="B155" t="s">
        <v>8568</v>
      </c>
    </row>
    <row r="156" spans="1:2" x14ac:dyDescent="0.4">
      <c r="A156" t="s">
        <v>1998</v>
      </c>
      <c r="B156" t="s">
        <v>8568</v>
      </c>
    </row>
    <row r="157" spans="1:2" x14ac:dyDescent="0.4">
      <c r="A157" t="s">
        <v>2001</v>
      </c>
      <c r="B157" t="s">
        <v>8568</v>
      </c>
    </row>
    <row r="158" spans="1:2" x14ac:dyDescent="0.4">
      <c r="A158" t="s">
        <v>2004</v>
      </c>
      <c r="B158" t="s">
        <v>8568</v>
      </c>
    </row>
    <row r="159" spans="1:2" x14ac:dyDescent="0.4">
      <c r="A159" t="s">
        <v>2009</v>
      </c>
      <c r="B159" t="s">
        <v>8568</v>
      </c>
    </row>
    <row r="160" spans="1:2" x14ac:dyDescent="0.4">
      <c r="A160" t="s">
        <v>2012</v>
      </c>
      <c r="B160" t="s">
        <v>8568</v>
      </c>
    </row>
    <row r="161" spans="1:2" x14ac:dyDescent="0.4">
      <c r="A161" t="s">
        <v>2015</v>
      </c>
      <c r="B161" t="s">
        <v>8568</v>
      </c>
    </row>
    <row r="162" spans="1:2" x14ac:dyDescent="0.4">
      <c r="A162" t="s">
        <v>2018</v>
      </c>
      <c r="B162" t="s">
        <v>8568</v>
      </c>
    </row>
    <row r="163" spans="1:2" x14ac:dyDescent="0.4">
      <c r="A163" t="s">
        <v>2021</v>
      </c>
      <c r="B163" t="s">
        <v>8568</v>
      </c>
    </row>
    <row r="164" spans="1:2" x14ac:dyDescent="0.4">
      <c r="A164" t="s">
        <v>2024</v>
      </c>
      <c r="B164" t="s">
        <v>8568</v>
      </c>
    </row>
    <row r="165" spans="1:2" x14ac:dyDescent="0.4">
      <c r="A165" t="s">
        <v>2027</v>
      </c>
      <c r="B165" t="s">
        <v>8568</v>
      </c>
    </row>
    <row r="166" spans="1:2" x14ac:dyDescent="0.4">
      <c r="A166" t="s">
        <v>2030</v>
      </c>
      <c r="B166" t="s">
        <v>8614</v>
      </c>
    </row>
    <row r="167" spans="1:2" x14ac:dyDescent="0.4">
      <c r="A167" t="s">
        <v>2033</v>
      </c>
      <c r="B167" t="s">
        <v>8568</v>
      </c>
    </row>
    <row r="168" spans="1:2" x14ac:dyDescent="0.4">
      <c r="A168" t="s">
        <v>2036</v>
      </c>
      <c r="B168" t="s">
        <v>8568</v>
      </c>
    </row>
    <row r="169" spans="1:2" x14ac:dyDescent="0.4">
      <c r="A169" t="s">
        <v>2039</v>
      </c>
      <c r="B169" t="s">
        <v>8568</v>
      </c>
    </row>
    <row r="170" spans="1:2" x14ac:dyDescent="0.4">
      <c r="A170" t="s">
        <v>2042</v>
      </c>
      <c r="B170" t="s">
        <v>8568</v>
      </c>
    </row>
    <row r="171" spans="1:2" x14ac:dyDescent="0.4">
      <c r="A171" t="s">
        <v>2101</v>
      </c>
      <c r="B171" t="s">
        <v>8568</v>
      </c>
    </row>
    <row r="172" spans="1:2" x14ac:dyDescent="0.4">
      <c r="A172" t="s">
        <v>2108</v>
      </c>
      <c r="B172" t="s">
        <v>8568</v>
      </c>
    </row>
    <row r="173" spans="1:2" x14ac:dyDescent="0.4">
      <c r="A173" t="s">
        <v>2111</v>
      </c>
      <c r="B173" t="s">
        <v>8568</v>
      </c>
    </row>
    <row r="174" spans="1:2" x14ac:dyDescent="0.4">
      <c r="A174" t="s">
        <v>2114</v>
      </c>
      <c r="B174" t="s">
        <v>8614</v>
      </c>
    </row>
    <row r="175" spans="1:2" x14ac:dyDescent="0.4">
      <c r="A175" t="s">
        <v>2117</v>
      </c>
      <c r="B175" t="s">
        <v>8568</v>
      </c>
    </row>
    <row r="176" spans="1:2" x14ac:dyDescent="0.4">
      <c r="A176" t="s">
        <v>2120</v>
      </c>
      <c r="B176" t="s">
        <v>8568</v>
      </c>
    </row>
    <row r="177" spans="1:2" x14ac:dyDescent="0.4">
      <c r="A177" t="s">
        <v>2123</v>
      </c>
      <c r="B177" t="s">
        <v>8568</v>
      </c>
    </row>
    <row r="178" spans="1:2" x14ac:dyDescent="0.4">
      <c r="A178" t="s">
        <v>2126</v>
      </c>
      <c r="B178" t="s">
        <v>8568</v>
      </c>
    </row>
    <row r="179" spans="1:2" x14ac:dyDescent="0.4">
      <c r="A179" t="s">
        <v>2129</v>
      </c>
      <c r="B179" t="s">
        <v>8568</v>
      </c>
    </row>
    <row r="180" spans="1:2" x14ac:dyDescent="0.4">
      <c r="A180" t="s">
        <v>2132</v>
      </c>
      <c r="B180" t="s">
        <v>8568</v>
      </c>
    </row>
    <row r="181" spans="1:2" x14ac:dyDescent="0.4">
      <c r="A181" t="s">
        <v>2135</v>
      </c>
      <c r="B181" t="s">
        <v>8568</v>
      </c>
    </row>
    <row r="182" spans="1:2" x14ac:dyDescent="0.4">
      <c r="A182" t="s">
        <v>2138</v>
      </c>
      <c r="B182" t="s">
        <v>8568</v>
      </c>
    </row>
    <row r="183" spans="1:2" x14ac:dyDescent="0.4">
      <c r="A183" t="s">
        <v>2141</v>
      </c>
      <c r="B183" t="s">
        <v>8568</v>
      </c>
    </row>
    <row r="184" spans="1:2" x14ac:dyDescent="0.4">
      <c r="A184" t="s">
        <v>2144</v>
      </c>
      <c r="B184" t="s">
        <v>8568</v>
      </c>
    </row>
    <row r="185" spans="1:2" x14ac:dyDescent="0.4">
      <c r="A185" t="s">
        <v>2147</v>
      </c>
      <c r="B185" t="s">
        <v>8568</v>
      </c>
    </row>
    <row r="186" spans="1:2" x14ac:dyDescent="0.4">
      <c r="A186" t="s">
        <v>2150</v>
      </c>
      <c r="B186" t="s">
        <v>8568</v>
      </c>
    </row>
    <row r="187" spans="1:2" x14ac:dyDescent="0.4">
      <c r="A187" t="s">
        <v>2155</v>
      </c>
      <c r="B187" t="s">
        <v>8614</v>
      </c>
    </row>
    <row r="188" spans="1:2" x14ac:dyDescent="0.4">
      <c r="A188" t="s">
        <v>2158</v>
      </c>
      <c r="B188" t="s">
        <v>8568</v>
      </c>
    </row>
    <row r="189" spans="1:2" x14ac:dyDescent="0.4">
      <c r="A189" t="s">
        <v>2161</v>
      </c>
      <c r="B189" t="s">
        <v>8568</v>
      </c>
    </row>
    <row r="190" spans="1:2" x14ac:dyDescent="0.4">
      <c r="A190" t="s">
        <v>2164</v>
      </c>
      <c r="B190" t="s">
        <v>8568</v>
      </c>
    </row>
    <row r="191" spans="1:2" x14ac:dyDescent="0.4">
      <c r="A191" t="s">
        <v>881</v>
      </c>
      <c r="B191" t="s">
        <v>8568</v>
      </c>
    </row>
    <row r="192" spans="1:2" x14ac:dyDescent="0.4">
      <c r="A192" t="s">
        <v>885</v>
      </c>
      <c r="B192" t="s">
        <v>8568</v>
      </c>
    </row>
    <row r="193" spans="1:2" x14ac:dyDescent="0.4">
      <c r="A193" t="s">
        <v>888</v>
      </c>
      <c r="B193" t="s">
        <v>8568</v>
      </c>
    </row>
    <row r="194" spans="1:2" x14ac:dyDescent="0.4">
      <c r="A194" t="s">
        <v>891</v>
      </c>
      <c r="B194" t="s">
        <v>8568</v>
      </c>
    </row>
    <row r="195" spans="1:2" x14ac:dyDescent="0.4">
      <c r="A195" t="s">
        <v>800</v>
      </c>
      <c r="B195" t="s">
        <v>8568</v>
      </c>
    </row>
    <row r="196" spans="1:2" x14ac:dyDescent="0.4">
      <c r="A196" t="s">
        <v>804</v>
      </c>
      <c r="B196" t="s">
        <v>8568</v>
      </c>
    </row>
    <row r="197" spans="1:2" x14ac:dyDescent="0.4">
      <c r="A197" t="s">
        <v>807</v>
      </c>
      <c r="B197" t="s">
        <v>8568</v>
      </c>
    </row>
    <row r="198" spans="1:2" x14ac:dyDescent="0.4">
      <c r="A198" t="s">
        <v>768</v>
      </c>
      <c r="B198" t="s">
        <v>8568</v>
      </c>
    </row>
    <row r="199" spans="1:2" x14ac:dyDescent="0.4">
      <c r="A199" t="s">
        <v>773</v>
      </c>
      <c r="B199" t="s">
        <v>8568</v>
      </c>
    </row>
    <row r="200" spans="1:2" x14ac:dyDescent="0.4">
      <c r="A200" t="s">
        <v>776</v>
      </c>
      <c r="B200" t="s">
        <v>8568</v>
      </c>
    </row>
    <row r="201" spans="1:2" x14ac:dyDescent="0.4">
      <c r="A201" t="s">
        <v>779</v>
      </c>
      <c r="B201" t="s">
        <v>8568</v>
      </c>
    </row>
    <row r="202" spans="1:2" x14ac:dyDescent="0.4">
      <c r="A202" t="s">
        <v>782</v>
      </c>
      <c r="B202" t="s">
        <v>8568</v>
      </c>
    </row>
    <row r="203" spans="1:2" x14ac:dyDescent="0.4">
      <c r="A203" t="s">
        <v>785</v>
      </c>
      <c r="B203" t="s">
        <v>8568</v>
      </c>
    </row>
    <row r="204" spans="1:2" x14ac:dyDescent="0.4">
      <c r="A204" t="s">
        <v>788</v>
      </c>
      <c r="B204" t="s">
        <v>8568</v>
      </c>
    </row>
    <row r="205" spans="1:2" x14ac:dyDescent="0.4">
      <c r="A205" t="s">
        <v>791</v>
      </c>
      <c r="B205" t="s">
        <v>8568</v>
      </c>
    </row>
    <row r="206" spans="1:2" x14ac:dyDescent="0.4">
      <c r="A206" t="s">
        <v>794</v>
      </c>
      <c r="B206" t="s">
        <v>8568</v>
      </c>
    </row>
    <row r="207" spans="1:2" x14ac:dyDescent="0.4">
      <c r="A207" t="s">
        <v>797</v>
      </c>
      <c r="B207" t="s">
        <v>8568</v>
      </c>
    </row>
    <row r="208" spans="1:2" x14ac:dyDescent="0.4">
      <c r="A208" t="s">
        <v>734</v>
      </c>
      <c r="B208" t="s">
        <v>8568</v>
      </c>
    </row>
    <row r="209" spans="1:2" x14ac:dyDescent="0.4">
      <c r="A209" t="s">
        <v>741</v>
      </c>
      <c r="B209" t="s">
        <v>8568</v>
      </c>
    </row>
    <row r="210" spans="1:2" x14ac:dyDescent="0.4">
      <c r="A210" t="s">
        <v>744</v>
      </c>
      <c r="B210" t="s">
        <v>8568</v>
      </c>
    </row>
    <row r="211" spans="1:2" x14ac:dyDescent="0.4">
      <c r="A211" t="s">
        <v>747</v>
      </c>
      <c r="B211" t="s">
        <v>8568</v>
      </c>
    </row>
    <row r="212" spans="1:2" x14ac:dyDescent="0.4">
      <c r="A212" t="s">
        <v>750</v>
      </c>
      <c r="B212" t="s">
        <v>8568</v>
      </c>
    </row>
    <row r="213" spans="1:2" x14ac:dyDescent="0.4">
      <c r="A213" t="s">
        <v>753</v>
      </c>
      <c r="B213" t="s">
        <v>8568</v>
      </c>
    </row>
    <row r="214" spans="1:2" x14ac:dyDescent="0.4">
      <c r="A214" t="s">
        <v>756</v>
      </c>
      <c r="B214" t="s">
        <v>8568</v>
      </c>
    </row>
    <row r="215" spans="1:2" x14ac:dyDescent="0.4">
      <c r="A215" t="s">
        <v>759</v>
      </c>
      <c r="B215" t="s">
        <v>8568</v>
      </c>
    </row>
    <row r="216" spans="1:2" x14ac:dyDescent="0.4">
      <c r="A216" t="s">
        <v>762</v>
      </c>
      <c r="B216" t="s">
        <v>8568</v>
      </c>
    </row>
    <row r="217" spans="1:2" x14ac:dyDescent="0.4">
      <c r="A217" t="s">
        <v>765</v>
      </c>
      <c r="B217" t="s">
        <v>8568</v>
      </c>
    </row>
    <row r="218" spans="1:2" x14ac:dyDescent="0.4">
      <c r="A218" t="s">
        <v>830</v>
      </c>
      <c r="B218" t="s">
        <v>8568</v>
      </c>
    </row>
    <row r="219" spans="1:2" x14ac:dyDescent="0.4">
      <c r="A219" t="s">
        <v>834</v>
      </c>
      <c r="B219" t="s">
        <v>8568</v>
      </c>
    </row>
    <row r="220" spans="1:2" x14ac:dyDescent="0.4">
      <c r="A220" t="s">
        <v>838</v>
      </c>
      <c r="B220" t="s">
        <v>8568</v>
      </c>
    </row>
    <row r="221" spans="1:2" x14ac:dyDescent="0.4">
      <c r="A221" t="s">
        <v>841</v>
      </c>
      <c r="B221" t="s">
        <v>8568</v>
      </c>
    </row>
    <row r="222" spans="1:2" x14ac:dyDescent="0.4">
      <c r="A222" t="s">
        <v>844</v>
      </c>
      <c r="B222" t="s">
        <v>8568</v>
      </c>
    </row>
    <row r="223" spans="1:2" x14ac:dyDescent="0.4">
      <c r="A223" t="s">
        <v>847</v>
      </c>
      <c r="B223" t="s">
        <v>8568</v>
      </c>
    </row>
    <row r="224" spans="1:2" x14ac:dyDescent="0.4">
      <c r="A224" t="s">
        <v>855</v>
      </c>
      <c r="B224" t="s">
        <v>8614</v>
      </c>
    </row>
    <row r="225" spans="1:2" x14ac:dyDescent="0.4">
      <c r="A225" t="s">
        <v>858</v>
      </c>
      <c r="B225" t="s">
        <v>8614</v>
      </c>
    </row>
    <row r="226" spans="1:2" x14ac:dyDescent="0.4">
      <c r="A226" t="s">
        <v>861</v>
      </c>
      <c r="B226" t="s">
        <v>8568</v>
      </c>
    </row>
    <row r="227" spans="1:2" x14ac:dyDescent="0.4">
      <c r="A227" t="s">
        <v>864</v>
      </c>
      <c r="B227" t="s">
        <v>8568</v>
      </c>
    </row>
    <row r="228" spans="1:2" x14ac:dyDescent="0.4">
      <c r="A228" t="s">
        <v>867</v>
      </c>
      <c r="B228" t="s">
        <v>8568</v>
      </c>
    </row>
    <row r="229" spans="1:2" x14ac:dyDescent="0.4">
      <c r="A229" t="s">
        <v>870</v>
      </c>
      <c r="B229" t="s">
        <v>8568</v>
      </c>
    </row>
    <row r="230" spans="1:2" x14ac:dyDescent="0.4">
      <c r="A230" t="s">
        <v>874</v>
      </c>
      <c r="B230" t="s">
        <v>8568</v>
      </c>
    </row>
    <row r="231" spans="1:2" x14ac:dyDescent="0.4">
      <c r="A231" t="s">
        <v>877</v>
      </c>
      <c r="B231" t="s">
        <v>8568</v>
      </c>
    </row>
    <row r="232" spans="1:2" x14ac:dyDescent="0.4">
      <c r="A232" t="s">
        <v>810</v>
      </c>
      <c r="B232" t="s">
        <v>8568</v>
      </c>
    </row>
    <row r="233" spans="1:2" x14ac:dyDescent="0.4">
      <c r="A233" t="s">
        <v>817</v>
      </c>
      <c r="B233" t="s">
        <v>8568</v>
      </c>
    </row>
    <row r="234" spans="1:2" x14ac:dyDescent="0.4">
      <c r="A234" t="s">
        <v>820</v>
      </c>
      <c r="B234" t="s">
        <v>8568</v>
      </c>
    </row>
    <row r="235" spans="1:2" x14ac:dyDescent="0.4">
      <c r="A235" t="s">
        <v>823</v>
      </c>
      <c r="B235" t="s">
        <v>8568</v>
      </c>
    </row>
    <row r="236" spans="1:2" x14ac:dyDescent="0.4">
      <c r="A236" t="s">
        <v>827</v>
      </c>
      <c r="B236" t="s">
        <v>8568</v>
      </c>
    </row>
    <row r="237" spans="1:2" x14ac:dyDescent="0.4">
      <c r="A237" t="s">
        <v>2326</v>
      </c>
      <c r="B237" t="s">
        <v>8568</v>
      </c>
    </row>
    <row r="238" spans="1:2" x14ac:dyDescent="0.4">
      <c r="A238" t="s">
        <v>2330</v>
      </c>
      <c r="B238" t="s">
        <v>8568</v>
      </c>
    </row>
    <row r="239" spans="1:2" x14ac:dyDescent="0.4">
      <c r="A239" t="s">
        <v>2333</v>
      </c>
      <c r="B239" t="s">
        <v>8568</v>
      </c>
    </row>
    <row r="240" spans="1:2" x14ac:dyDescent="0.4">
      <c r="A240" t="s">
        <v>2336</v>
      </c>
      <c r="B240" t="s">
        <v>8568</v>
      </c>
    </row>
    <row r="241" spans="1:2" x14ac:dyDescent="0.4">
      <c r="A241" t="s">
        <v>2339</v>
      </c>
      <c r="B241" t="s">
        <v>8568</v>
      </c>
    </row>
    <row r="242" spans="1:2" x14ac:dyDescent="0.4">
      <c r="A242" t="s">
        <v>2342</v>
      </c>
      <c r="B242" t="s">
        <v>8568</v>
      </c>
    </row>
    <row r="243" spans="1:2" x14ac:dyDescent="0.4">
      <c r="A243" t="s">
        <v>1291</v>
      </c>
      <c r="B243" t="s">
        <v>8568</v>
      </c>
    </row>
    <row r="244" spans="1:2" x14ac:dyDescent="0.4">
      <c r="A244" t="s">
        <v>1296</v>
      </c>
      <c r="B244" t="s">
        <v>8568</v>
      </c>
    </row>
    <row r="245" spans="1:2" x14ac:dyDescent="0.4">
      <c r="A245" t="s">
        <v>1299</v>
      </c>
      <c r="B245" t="s">
        <v>8568</v>
      </c>
    </row>
    <row r="246" spans="1:2" x14ac:dyDescent="0.4">
      <c r="A246" t="s">
        <v>1302</v>
      </c>
      <c r="B246" t="s">
        <v>8568</v>
      </c>
    </row>
    <row r="247" spans="1:2" x14ac:dyDescent="0.4">
      <c r="A247" t="s">
        <v>1305</v>
      </c>
      <c r="B247" t="s">
        <v>8568</v>
      </c>
    </row>
    <row r="248" spans="1:2" x14ac:dyDescent="0.4">
      <c r="A248" t="s">
        <v>1308</v>
      </c>
      <c r="B248" t="s">
        <v>8568</v>
      </c>
    </row>
    <row r="249" spans="1:2" x14ac:dyDescent="0.4">
      <c r="A249" t="s">
        <v>1311</v>
      </c>
      <c r="B249" t="s">
        <v>8568</v>
      </c>
    </row>
    <row r="250" spans="1:2" x14ac:dyDescent="0.4">
      <c r="A250" t="s">
        <v>1314</v>
      </c>
      <c r="B250" t="s">
        <v>8568</v>
      </c>
    </row>
    <row r="251" spans="1:2" x14ac:dyDescent="0.4">
      <c r="A251" t="s">
        <v>2296</v>
      </c>
      <c r="B251" t="s">
        <v>8568</v>
      </c>
    </row>
    <row r="252" spans="1:2" x14ac:dyDescent="0.4">
      <c r="A252" t="s">
        <v>2302</v>
      </c>
      <c r="B252" t="s">
        <v>8568</v>
      </c>
    </row>
    <row r="253" spans="1:2" x14ac:dyDescent="0.4">
      <c r="A253" t="s">
        <v>2305</v>
      </c>
      <c r="B253" t="s">
        <v>8568</v>
      </c>
    </row>
    <row r="254" spans="1:2" x14ac:dyDescent="0.4">
      <c r="A254" t="s">
        <v>2308</v>
      </c>
      <c r="B254" t="s">
        <v>8568</v>
      </c>
    </row>
    <row r="255" spans="1:2" x14ac:dyDescent="0.4">
      <c r="A255" t="s">
        <v>2311</v>
      </c>
      <c r="B255" t="s">
        <v>8568</v>
      </c>
    </row>
    <row r="256" spans="1:2" x14ac:dyDescent="0.4">
      <c r="A256" t="s">
        <v>2314</v>
      </c>
      <c r="B256" t="s">
        <v>8568</v>
      </c>
    </row>
    <row r="257" spans="1:2" x14ac:dyDescent="0.4">
      <c r="A257" t="s">
        <v>2317</v>
      </c>
      <c r="B257" t="s">
        <v>8568</v>
      </c>
    </row>
    <row r="258" spans="1:2" x14ac:dyDescent="0.4">
      <c r="A258" t="s">
        <v>2320</v>
      </c>
      <c r="B258" t="s">
        <v>8568</v>
      </c>
    </row>
    <row r="259" spans="1:2" x14ac:dyDescent="0.4">
      <c r="A259" t="s">
        <v>2323</v>
      </c>
      <c r="B259" t="s">
        <v>8568</v>
      </c>
    </row>
    <row r="260" spans="1:2" x14ac:dyDescent="0.4">
      <c r="A260" t="s">
        <v>2345</v>
      </c>
      <c r="B260" t="s">
        <v>8568</v>
      </c>
    </row>
    <row r="261" spans="1:2" x14ac:dyDescent="0.4">
      <c r="A261" t="s">
        <v>2350</v>
      </c>
      <c r="B261" t="s">
        <v>8568</v>
      </c>
    </row>
    <row r="262" spans="1:2" x14ac:dyDescent="0.4">
      <c r="A262" t="s">
        <v>2353</v>
      </c>
      <c r="B262" t="s">
        <v>8568</v>
      </c>
    </row>
    <row r="263" spans="1:2" x14ac:dyDescent="0.4">
      <c r="A263" t="s">
        <v>2356</v>
      </c>
      <c r="B263" t="s">
        <v>8568</v>
      </c>
    </row>
    <row r="264" spans="1:2" x14ac:dyDescent="0.4">
      <c r="A264" t="s">
        <v>2359</v>
      </c>
      <c r="B264" t="s">
        <v>8568</v>
      </c>
    </row>
    <row r="265" spans="1:2" x14ac:dyDescent="0.4">
      <c r="A265" t="s">
        <v>2362</v>
      </c>
      <c r="B265" t="s">
        <v>8568</v>
      </c>
    </row>
    <row r="266" spans="1:2" x14ac:dyDescent="0.4">
      <c r="A266" t="s">
        <v>2365</v>
      </c>
      <c r="B266" t="s">
        <v>8568</v>
      </c>
    </row>
    <row r="267" spans="1:2" x14ac:dyDescent="0.4">
      <c r="A267" t="s">
        <v>2368</v>
      </c>
      <c r="B267" t="s">
        <v>8568</v>
      </c>
    </row>
    <row r="268" spans="1:2" x14ac:dyDescent="0.4">
      <c r="A268" t="s">
        <v>2371</v>
      </c>
      <c r="B268" t="s">
        <v>8568</v>
      </c>
    </row>
    <row r="269" spans="1:2" x14ac:dyDescent="0.4">
      <c r="A269" t="s">
        <v>1818</v>
      </c>
      <c r="B269" t="s">
        <v>8614</v>
      </c>
    </row>
    <row r="270" spans="1:2" x14ac:dyDescent="0.4">
      <c r="A270" t="s">
        <v>1824</v>
      </c>
      <c r="B270" t="s">
        <v>8568</v>
      </c>
    </row>
    <row r="271" spans="1:2" x14ac:dyDescent="0.4">
      <c r="A271" t="s">
        <v>1828</v>
      </c>
      <c r="B271" t="s">
        <v>8568</v>
      </c>
    </row>
    <row r="272" spans="1:2" x14ac:dyDescent="0.4">
      <c r="A272" t="s">
        <v>1831</v>
      </c>
      <c r="B272" t="s">
        <v>8568</v>
      </c>
    </row>
    <row r="273" spans="1:2" x14ac:dyDescent="0.4">
      <c r="A273" t="s">
        <v>1834</v>
      </c>
      <c r="B273" t="s">
        <v>8568</v>
      </c>
    </row>
    <row r="274" spans="1:2" x14ac:dyDescent="0.4">
      <c r="A274" t="s">
        <v>1837</v>
      </c>
      <c r="B274" t="s">
        <v>8568</v>
      </c>
    </row>
    <row r="275" spans="1:2" x14ac:dyDescent="0.4">
      <c r="A275" t="s">
        <v>1840</v>
      </c>
      <c r="B275" t="s">
        <v>8568</v>
      </c>
    </row>
    <row r="276" spans="1:2" x14ac:dyDescent="0.4">
      <c r="A276" t="s">
        <v>1843</v>
      </c>
      <c r="B276" t="s">
        <v>8568</v>
      </c>
    </row>
    <row r="277" spans="1:2" x14ac:dyDescent="0.4">
      <c r="A277" t="s">
        <v>1846</v>
      </c>
      <c r="B277" t="s">
        <v>8568</v>
      </c>
    </row>
    <row r="278" spans="1:2" x14ac:dyDescent="0.4">
      <c r="A278" t="s">
        <v>1849</v>
      </c>
      <c r="B278" t="s">
        <v>8568</v>
      </c>
    </row>
    <row r="279" spans="1:2" x14ac:dyDescent="0.4">
      <c r="A279" t="s">
        <v>1852</v>
      </c>
      <c r="B279" t="s">
        <v>8568</v>
      </c>
    </row>
    <row r="280" spans="1:2" x14ac:dyDescent="0.4">
      <c r="A280" t="s">
        <v>1855</v>
      </c>
      <c r="B280" t="s">
        <v>8568</v>
      </c>
    </row>
    <row r="281" spans="1:2" x14ac:dyDescent="0.4">
      <c r="A281" t="s">
        <v>1858</v>
      </c>
      <c r="B281" t="s">
        <v>8568</v>
      </c>
    </row>
    <row r="282" spans="1:2" x14ac:dyDescent="0.4">
      <c r="A282" t="s">
        <v>1861</v>
      </c>
      <c r="B282" t="s">
        <v>8568</v>
      </c>
    </row>
    <row r="283" spans="1:2" x14ac:dyDescent="0.4">
      <c r="A283" t="s">
        <v>1864</v>
      </c>
      <c r="B283" t="s">
        <v>8614</v>
      </c>
    </row>
    <row r="284" spans="1:2" x14ac:dyDescent="0.4">
      <c r="A284" t="s">
        <v>1123</v>
      </c>
      <c r="B284" t="s">
        <v>8568</v>
      </c>
    </row>
    <row r="285" spans="1:2" x14ac:dyDescent="0.4">
      <c r="A285" t="s">
        <v>1128</v>
      </c>
      <c r="B285" t="s">
        <v>8568</v>
      </c>
    </row>
    <row r="286" spans="1:2" x14ac:dyDescent="0.4">
      <c r="A286" t="s">
        <v>1131</v>
      </c>
      <c r="B286" t="s">
        <v>8568</v>
      </c>
    </row>
    <row r="287" spans="1:2" x14ac:dyDescent="0.4">
      <c r="A287" t="s">
        <v>1134</v>
      </c>
      <c r="B287" t="s">
        <v>8568</v>
      </c>
    </row>
    <row r="288" spans="1:2" x14ac:dyDescent="0.4">
      <c r="A288" t="s">
        <v>1137</v>
      </c>
      <c r="B288" t="s">
        <v>8568</v>
      </c>
    </row>
    <row r="289" spans="1:2" x14ac:dyDescent="0.4">
      <c r="A289" t="s">
        <v>1140</v>
      </c>
      <c r="B289" t="s">
        <v>8568</v>
      </c>
    </row>
    <row r="290" spans="1:2" x14ac:dyDescent="0.4">
      <c r="A290" t="s">
        <v>1143</v>
      </c>
      <c r="B290" t="s">
        <v>8568</v>
      </c>
    </row>
    <row r="291" spans="1:2" x14ac:dyDescent="0.4">
      <c r="A291" t="s">
        <v>1146</v>
      </c>
      <c r="B291" t="s">
        <v>8568</v>
      </c>
    </row>
    <row r="292" spans="1:2" x14ac:dyDescent="0.4">
      <c r="A292" t="s">
        <v>1149</v>
      </c>
      <c r="B292" t="s">
        <v>8568</v>
      </c>
    </row>
    <row r="293" spans="1:2" x14ac:dyDescent="0.4">
      <c r="A293" t="s">
        <v>1152</v>
      </c>
      <c r="B293" t="s">
        <v>8614</v>
      </c>
    </row>
    <row r="294" spans="1:2" x14ac:dyDescent="0.4">
      <c r="A294" t="s">
        <v>1155</v>
      </c>
      <c r="B294" t="s">
        <v>8568</v>
      </c>
    </row>
    <row r="295" spans="1:2" x14ac:dyDescent="0.4">
      <c r="A295" t="s">
        <v>1158</v>
      </c>
      <c r="B295" t="s">
        <v>8568</v>
      </c>
    </row>
    <row r="296" spans="1:2" x14ac:dyDescent="0.4">
      <c r="A296" t="s">
        <v>1161</v>
      </c>
      <c r="B296" t="s">
        <v>8568</v>
      </c>
    </row>
    <row r="297" spans="1:2" x14ac:dyDescent="0.4">
      <c r="A297" t="s">
        <v>1164</v>
      </c>
      <c r="B297" t="s">
        <v>8568</v>
      </c>
    </row>
    <row r="298" spans="1:2" x14ac:dyDescent="0.4">
      <c r="A298" t="s">
        <v>1167</v>
      </c>
      <c r="B298" t="s">
        <v>8568</v>
      </c>
    </row>
    <row r="299" spans="1:2" x14ac:dyDescent="0.4">
      <c r="A299" t="s">
        <v>1171</v>
      </c>
      <c r="B299" t="s">
        <v>8568</v>
      </c>
    </row>
    <row r="300" spans="1:2" x14ac:dyDescent="0.4">
      <c r="A300" t="s">
        <v>1174</v>
      </c>
      <c r="B300" t="s">
        <v>8568</v>
      </c>
    </row>
    <row r="301" spans="1:2" x14ac:dyDescent="0.4">
      <c r="A301" t="s">
        <v>1177</v>
      </c>
      <c r="B301" t="s">
        <v>8568</v>
      </c>
    </row>
    <row r="302" spans="1:2" x14ac:dyDescent="0.4">
      <c r="A302" t="s">
        <v>1180</v>
      </c>
      <c r="B302" t="s">
        <v>8568</v>
      </c>
    </row>
    <row r="303" spans="1:2" x14ac:dyDescent="0.4">
      <c r="A303" t="s">
        <v>1087</v>
      </c>
      <c r="B303" t="s">
        <v>8568</v>
      </c>
    </row>
    <row r="304" spans="1:2" x14ac:dyDescent="0.4">
      <c r="A304" t="s">
        <v>1093</v>
      </c>
      <c r="B304" t="s">
        <v>8568</v>
      </c>
    </row>
    <row r="305" spans="1:2" x14ac:dyDescent="0.4">
      <c r="A305" t="s">
        <v>1096</v>
      </c>
      <c r="B305" t="s">
        <v>8568</v>
      </c>
    </row>
    <row r="306" spans="1:2" x14ac:dyDescent="0.4">
      <c r="A306" t="s">
        <v>1099</v>
      </c>
      <c r="B306" t="s">
        <v>8568</v>
      </c>
    </row>
    <row r="307" spans="1:2" x14ac:dyDescent="0.4">
      <c r="A307" t="s">
        <v>1102</v>
      </c>
      <c r="B307" t="s">
        <v>8568</v>
      </c>
    </row>
    <row r="308" spans="1:2" x14ac:dyDescent="0.4">
      <c r="A308" t="s">
        <v>1105</v>
      </c>
      <c r="B308" t="s">
        <v>8568</v>
      </c>
    </row>
    <row r="309" spans="1:2" x14ac:dyDescent="0.4">
      <c r="A309" t="s">
        <v>1108</v>
      </c>
      <c r="B309" t="s">
        <v>8568</v>
      </c>
    </row>
    <row r="310" spans="1:2" x14ac:dyDescent="0.4">
      <c r="A310" t="s">
        <v>1111</v>
      </c>
      <c r="B310" t="s">
        <v>8568</v>
      </c>
    </row>
    <row r="311" spans="1:2" x14ac:dyDescent="0.4">
      <c r="A311" t="s">
        <v>1114</v>
      </c>
      <c r="B311" t="s">
        <v>8568</v>
      </c>
    </row>
    <row r="312" spans="1:2" x14ac:dyDescent="0.4">
      <c r="A312" t="s">
        <v>1117</v>
      </c>
      <c r="B312" t="s">
        <v>8568</v>
      </c>
    </row>
    <row r="313" spans="1:2" x14ac:dyDescent="0.4">
      <c r="A313" t="s">
        <v>1120</v>
      </c>
      <c r="B313" t="s">
        <v>8568</v>
      </c>
    </row>
    <row r="314" spans="1:2" x14ac:dyDescent="0.4">
      <c r="A314" t="s">
        <v>672</v>
      </c>
      <c r="B314" t="s">
        <v>8614</v>
      </c>
    </row>
    <row r="315" spans="1:2" x14ac:dyDescent="0.4">
      <c r="A315" t="s">
        <v>676</v>
      </c>
      <c r="B315" t="s">
        <v>8568</v>
      </c>
    </row>
    <row r="316" spans="1:2" x14ac:dyDescent="0.4">
      <c r="A316" t="s">
        <v>680</v>
      </c>
      <c r="B316" t="s">
        <v>8568</v>
      </c>
    </row>
    <row r="317" spans="1:2" x14ac:dyDescent="0.4">
      <c r="A317" t="s">
        <v>683</v>
      </c>
      <c r="B317" t="s">
        <v>8568</v>
      </c>
    </row>
    <row r="318" spans="1:2" x14ac:dyDescent="0.4">
      <c r="A318" t="s">
        <v>686</v>
      </c>
      <c r="B318" t="s">
        <v>8568</v>
      </c>
    </row>
    <row r="319" spans="1:2" x14ac:dyDescent="0.4">
      <c r="A319" t="s">
        <v>689</v>
      </c>
      <c r="B319" t="s">
        <v>8568</v>
      </c>
    </row>
    <row r="320" spans="1:2" x14ac:dyDescent="0.4">
      <c r="A320" t="s">
        <v>692</v>
      </c>
      <c r="B320" t="s">
        <v>8568</v>
      </c>
    </row>
    <row r="321" spans="1:2" x14ac:dyDescent="0.4">
      <c r="A321" t="s">
        <v>695</v>
      </c>
      <c r="B321" t="s">
        <v>8568</v>
      </c>
    </row>
    <row r="322" spans="1:2" x14ac:dyDescent="0.4">
      <c r="A322" t="s">
        <v>698</v>
      </c>
      <c r="B322" t="s">
        <v>8568</v>
      </c>
    </row>
    <row r="323" spans="1:2" x14ac:dyDescent="0.4">
      <c r="A323" t="s">
        <v>701</v>
      </c>
      <c r="B323" t="s">
        <v>8568</v>
      </c>
    </row>
    <row r="324" spans="1:2" x14ac:dyDescent="0.4">
      <c r="A324" t="s">
        <v>704</v>
      </c>
      <c r="B324" t="s">
        <v>8568</v>
      </c>
    </row>
    <row r="325" spans="1:2" x14ac:dyDescent="0.4">
      <c r="A325" t="s">
        <v>707</v>
      </c>
      <c r="B325" t="s">
        <v>8568</v>
      </c>
    </row>
    <row r="326" spans="1:2" x14ac:dyDescent="0.4">
      <c r="A326" t="s">
        <v>710</v>
      </c>
      <c r="B326" t="s">
        <v>8568</v>
      </c>
    </row>
    <row r="327" spans="1:2" x14ac:dyDescent="0.4">
      <c r="A327" t="s">
        <v>713</v>
      </c>
      <c r="B327" t="s">
        <v>8568</v>
      </c>
    </row>
    <row r="328" spans="1:2" x14ac:dyDescent="0.4">
      <c r="A328" t="s">
        <v>716</v>
      </c>
      <c r="B328" t="s">
        <v>8568</v>
      </c>
    </row>
    <row r="329" spans="1:2" x14ac:dyDescent="0.4">
      <c r="A329" t="s">
        <v>719</v>
      </c>
      <c r="B329" t="s">
        <v>8568</v>
      </c>
    </row>
    <row r="330" spans="1:2" x14ac:dyDescent="0.4">
      <c r="A330" t="s">
        <v>722</v>
      </c>
      <c r="B330" t="s">
        <v>8568</v>
      </c>
    </row>
    <row r="331" spans="1:2" x14ac:dyDescent="0.4">
      <c r="A331" t="s">
        <v>725</v>
      </c>
      <c r="B331" t="s">
        <v>8568</v>
      </c>
    </row>
    <row r="332" spans="1:2" x14ac:dyDescent="0.4">
      <c r="A332" t="s">
        <v>728</v>
      </c>
      <c r="B332" t="s">
        <v>8568</v>
      </c>
    </row>
    <row r="333" spans="1:2" x14ac:dyDescent="0.4">
      <c r="A333" t="s">
        <v>731</v>
      </c>
      <c r="B333" t="s">
        <v>8568</v>
      </c>
    </row>
    <row r="334" spans="1:2" x14ac:dyDescent="0.4">
      <c r="A334" t="s">
        <v>630</v>
      </c>
      <c r="B334" t="s">
        <v>8568</v>
      </c>
    </row>
    <row r="335" spans="1:2" x14ac:dyDescent="0.4">
      <c r="A335" t="s">
        <v>637</v>
      </c>
      <c r="B335" t="s">
        <v>8568</v>
      </c>
    </row>
    <row r="336" spans="1:2" x14ac:dyDescent="0.4">
      <c r="A336" t="s">
        <v>640</v>
      </c>
      <c r="B336" t="s">
        <v>8568</v>
      </c>
    </row>
    <row r="337" spans="1:2" x14ac:dyDescent="0.4">
      <c r="A337" t="s">
        <v>645</v>
      </c>
      <c r="B337" t="s">
        <v>8568</v>
      </c>
    </row>
    <row r="338" spans="1:2" x14ac:dyDescent="0.4">
      <c r="A338" t="s">
        <v>648</v>
      </c>
      <c r="B338" t="s">
        <v>8568</v>
      </c>
    </row>
    <row r="339" spans="1:2" x14ac:dyDescent="0.4">
      <c r="A339" t="s">
        <v>651</v>
      </c>
      <c r="B339" t="s">
        <v>8568</v>
      </c>
    </row>
    <row r="340" spans="1:2" x14ac:dyDescent="0.4">
      <c r="A340" t="s">
        <v>654</v>
      </c>
      <c r="B340" t="s">
        <v>8568</v>
      </c>
    </row>
    <row r="341" spans="1:2" x14ac:dyDescent="0.4">
      <c r="A341" t="s">
        <v>657</v>
      </c>
      <c r="B341" t="s">
        <v>8568</v>
      </c>
    </row>
    <row r="342" spans="1:2" x14ac:dyDescent="0.4">
      <c r="A342" t="s">
        <v>660</v>
      </c>
      <c r="B342" t="s">
        <v>8568</v>
      </c>
    </row>
    <row r="343" spans="1:2" x14ac:dyDescent="0.4">
      <c r="A343" t="s">
        <v>663</v>
      </c>
      <c r="B343" t="s">
        <v>8568</v>
      </c>
    </row>
    <row r="344" spans="1:2" x14ac:dyDescent="0.4">
      <c r="A344" t="s">
        <v>666</v>
      </c>
      <c r="B344" t="s">
        <v>8568</v>
      </c>
    </row>
    <row r="345" spans="1:2" x14ac:dyDescent="0.4">
      <c r="A345" t="s">
        <v>669</v>
      </c>
      <c r="B345" t="s">
        <v>8614</v>
      </c>
    </row>
    <row r="346" spans="1:2" x14ac:dyDescent="0.4">
      <c r="A346" t="s">
        <v>1683</v>
      </c>
      <c r="B346" t="s">
        <v>8568</v>
      </c>
    </row>
    <row r="347" spans="1:2" x14ac:dyDescent="0.4">
      <c r="A347" t="s">
        <v>1688</v>
      </c>
      <c r="B347" t="s">
        <v>8568</v>
      </c>
    </row>
    <row r="348" spans="1:2" x14ac:dyDescent="0.4">
      <c r="A348" t="s">
        <v>1691</v>
      </c>
      <c r="B348" t="s">
        <v>8568</v>
      </c>
    </row>
    <row r="349" spans="1:2" x14ac:dyDescent="0.4">
      <c r="A349" t="s">
        <v>1694</v>
      </c>
      <c r="B349" t="s">
        <v>8568</v>
      </c>
    </row>
    <row r="350" spans="1:2" x14ac:dyDescent="0.4">
      <c r="A350" t="s">
        <v>1697</v>
      </c>
      <c r="B350" t="s">
        <v>8568</v>
      </c>
    </row>
    <row r="351" spans="1:2" x14ac:dyDescent="0.4">
      <c r="A351" t="s">
        <v>1700</v>
      </c>
      <c r="B351" t="s">
        <v>8568</v>
      </c>
    </row>
    <row r="352" spans="1:2" x14ac:dyDescent="0.4">
      <c r="A352" t="s">
        <v>1703</v>
      </c>
      <c r="B352" t="s">
        <v>8568</v>
      </c>
    </row>
    <row r="353" spans="1:2" x14ac:dyDescent="0.4">
      <c r="A353" t="s">
        <v>1706</v>
      </c>
      <c r="B353" t="s">
        <v>8568</v>
      </c>
    </row>
    <row r="354" spans="1:2" x14ac:dyDescent="0.4">
      <c r="A354" t="s">
        <v>1709</v>
      </c>
      <c r="B354" t="s">
        <v>8568</v>
      </c>
    </row>
    <row r="355" spans="1:2" x14ac:dyDescent="0.4">
      <c r="A355" t="s">
        <v>1712</v>
      </c>
      <c r="B355" t="s">
        <v>8568</v>
      </c>
    </row>
    <row r="356" spans="1:2" x14ac:dyDescent="0.4">
      <c r="A356" t="s">
        <v>1715</v>
      </c>
      <c r="B356" t="s">
        <v>8568</v>
      </c>
    </row>
    <row r="357" spans="1:2" x14ac:dyDescent="0.4">
      <c r="A357" t="s">
        <v>1721</v>
      </c>
      <c r="B357" t="s">
        <v>8568</v>
      </c>
    </row>
    <row r="358" spans="1:2" x14ac:dyDescent="0.4">
      <c r="A358" t="s">
        <v>1724</v>
      </c>
      <c r="B358" t="s">
        <v>8568</v>
      </c>
    </row>
    <row r="359" spans="1:2" x14ac:dyDescent="0.4">
      <c r="A359" t="s">
        <v>1786</v>
      </c>
      <c r="B359" t="s">
        <v>8614</v>
      </c>
    </row>
    <row r="360" spans="1:2" x14ac:dyDescent="0.4">
      <c r="A360" t="s">
        <v>1791</v>
      </c>
      <c r="B360" t="s">
        <v>8568</v>
      </c>
    </row>
    <row r="361" spans="1:2" x14ac:dyDescent="0.4">
      <c r="A361" t="s">
        <v>1797</v>
      </c>
      <c r="B361" t="s">
        <v>8568</v>
      </c>
    </row>
    <row r="362" spans="1:2" x14ac:dyDescent="0.4">
      <c r="A362" t="s">
        <v>1800</v>
      </c>
      <c r="B362" t="s">
        <v>8568</v>
      </c>
    </row>
    <row r="363" spans="1:2" x14ac:dyDescent="0.4">
      <c r="A363" t="s">
        <v>1803</v>
      </c>
      <c r="B363" t="s">
        <v>8568</v>
      </c>
    </row>
    <row r="364" spans="1:2" x14ac:dyDescent="0.4">
      <c r="A364" t="s">
        <v>1806</v>
      </c>
      <c r="B364" t="s">
        <v>8568</v>
      </c>
    </row>
    <row r="365" spans="1:2" x14ac:dyDescent="0.4">
      <c r="A365" t="s">
        <v>1809</v>
      </c>
      <c r="B365" t="s">
        <v>8568</v>
      </c>
    </row>
    <row r="366" spans="1:2" x14ac:dyDescent="0.4">
      <c r="A366" t="s">
        <v>1812</v>
      </c>
      <c r="B366" t="s">
        <v>8568</v>
      </c>
    </row>
    <row r="367" spans="1:2" x14ac:dyDescent="0.4">
      <c r="A367" t="s">
        <v>1815</v>
      </c>
      <c r="B367" t="s">
        <v>8568</v>
      </c>
    </row>
    <row r="368" spans="1:2" x14ac:dyDescent="0.4">
      <c r="A368" t="s">
        <v>1753</v>
      </c>
      <c r="B368" t="s">
        <v>8568</v>
      </c>
    </row>
    <row r="369" spans="1:2" x14ac:dyDescent="0.4">
      <c r="A369" t="s">
        <v>1758</v>
      </c>
      <c r="B369" t="s">
        <v>8568</v>
      </c>
    </row>
    <row r="370" spans="1:2" x14ac:dyDescent="0.4">
      <c r="A370" t="s">
        <v>1762</v>
      </c>
      <c r="B370" t="s">
        <v>8568</v>
      </c>
    </row>
    <row r="371" spans="1:2" x14ac:dyDescent="0.4">
      <c r="A371" t="s">
        <v>1765</v>
      </c>
      <c r="B371" t="s">
        <v>8568</v>
      </c>
    </row>
    <row r="372" spans="1:2" x14ac:dyDescent="0.4">
      <c r="A372" t="s">
        <v>1768</v>
      </c>
      <c r="B372" t="s">
        <v>8568</v>
      </c>
    </row>
    <row r="373" spans="1:2" x14ac:dyDescent="0.4">
      <c r="A373" t="s">
        <v>1771</v>
      </c>
      <c r="B373" t="s">
        <v>8568</v>
      </c>
    </row>
    <row r="374" spans="1:2" x14ac:dyDescent="0.4">
      <c r="A374" t="s">
        <v>1774</v>
      </c>
      <c r="B374" t="s">
        <v>8568</v>
      </c>
    </row>
    <row r="375" spans="1:2" x14ac:dyDescent="0.4">
      <c r="A375" t="s">
        <v>1777</v>
      </c>
      <c r="B375" t="s">
        <v>8568</v>
      </c>
    </row>
    <row r="376" spans="1:2" x14ac:dyDescent="0.4">
      <c r="A376" t="s">
        <v>1780</v>
      </c>
      <c r="B376" t="s">
        <v>8568</v>
      </c>
    </row>
    <row r="377" spans="1:2" x14ac:dyDescent="0.4">
      <c r="A377" t="s">
        <v>1783</v>
      </c>
      <c r="B377" t="s">
        <v>8614</v>
      </c>
    </row>
    <row r="378" spans="1:2" x14ac:dyDescent="0.4">
      <c r="A378" t="s">
        <v>2266</v>
      </c>
      <c r="B378" t="s">
        <v>8568</v>
      </c>
    </row>
    <row r="379" spans="1:2" x14ac:dyDescent="0.4">
      <c r="A379" t="s">
        <v>2272</v>
      </c>
      <c r="B379" t="s">
        <v>8568</v>
      </c>
    </row>
    <row r="380" spans="1:2" x14ac:dyDescent="0.4">
      <c r="A380" t="s">
        <v>2275</v>
      </c>
      <c r="B380" t="s">
        <v>8568</v>
      </c>
    </row>
    <row r="381" spans="1:2" x14ac:dyDescent="0.4">
      <c r="A381" t="s">
        <v>2278</v>
      </c>
      <c r="B381" t="s">
        <v>8568</v>
      </c>
    </row>
    <row r="382" spans="1:2" x14ac:dyDescent="0.4">
      <c r="A382" t="s">
        <v>2281</v>
      </c>
      <c r="B382" t="s">
        <v>8568</v>
      </c>
    </row>
    <row r="383" spans="1:2" x14ac:dyDescent="0.4">
      <c r="A383" t="s">
        <v>2284</v>
      </c>
      <c r="B383" t="s">
        <v>8568</v>
      </c>
    </row>
    <row r="384" spans="1:2" x14ac:dyDescent="0.4">
      <c r="A384" t="s">
        <v>2287</v>
      </c>
      <c r="B384" t="s">
        <v>8568</v>
      </c>
    </row>
    <row r="385" spans="1:2" x14ac:dyDescent="0.4">
      <c r="A385" t="s">
        <v>2290</v>
      </c>
      <c r="B385" t="s">
        <v>8568</v>
      </c>
    </row>
    <row r="386" spans="1:2" x14ac:dyDescent="0.4">
      <c r="A386" t="s">
        <v>2293</v>
      </c>
      <c r="B386" t="s">
        <v>8568</v>
      </c>
    </row>
    <row r="387" spans="1:2" x14ac:dyDescent="0.4">
      <c r="A387" t="s">
        <v>1727</v>
      </c>
      <c r="B387" t="s">
        <v>8614</v>
      </c>
    </row>
    <row r="388" spans="1:2" x14ac:dyDescent="0.4">
      <c r="A388" t="s">
        <v>1734</v>
      </c>
      <c r="B388" t="s">
        <v>8568</v>
      </c>
    </row>
    <row r="389" spans="1:2" x14ac:dyDescent="0.4">
      <c r="A389" t="s">
        <v>1738</v>
      </c>
      <c r="B389" t="s">
        <v>8614</v>
      </c>
    </row>
    <row r="390" spans="1:2" x14ac:dyDescent="0.4">
      <c r="A390" t="s">
        <v>1741</v>
      </c>
      <c r="B390" t="s">
        <v>8568</v>
      </c>
    </row>
    <row r="391" spans="1:2" x14ac:dyDescent="0.4">
      <c r="A391" t="s">
        <v>1744</v>
      </c>
      <c r="B391" t="s">
        <v>8614</v>
      </c>
    </row>
    <row r="392" spans="1:2" x14ac:dyDescent="0.4">
      <c r="A392" t="s">
        <v>1747</v>
      </c>
      <c r="B392" t="s">
        <v>8568</v>
      </c>
    </row>
    <row r="393" spans="1:2" x14ac:dyDescent="0.4">
      <c r="A393" t="s">
        <v>1658</v>
      </c>
      <c r="B393" t="s">
        <v>8568</v>
      </c>
    </row>
    <row r="394" spans="1:2" x14ac:dyDescent="0.4">
      <c r="A394" t="s">
        <v>1652</v>
      </c>
      <c r="B394" t="s">
        <v>8568</v>
      </c>
    </row>
    <row r="395" spans="1:2" x14ac:dyDescent="0.4">
      <c r="A395" t="s">
        <v>1662</v>
      </c>
      <c r="B395" t="s">
        <v>8568</v>
      </c>
    </row>
    <row r="396" spans="1:2" x14ac:dyDescent="0.4">
      <c r="A396" t="s">
        <v>1665</v>
      </c>
      <c r="B396" t="s">
        <v>8568</v>
      </c>
    </row>
    <row r="397" spans="1:2" x14ac:dyDescent="0.4">
      <c r="A397" t="s">
        <v>1668</v>
      </c>
      <c r="B397" t="s">
        <v>8568</v>
      </c>
    </row>
    <row r="398" spans="1:2" x14ac:dyDescent="0.4">
      <c r="A398" t="s">
        <v>1674</v>
      </c>
      <c r="B398" t="s">
        <v>8568</v>
      </c>
    </row>
    <row r="399" spans="1:2" x14ac:dyDescent="0.4">
      <c r="A399" t="s">
        <v>1677</v>
      </c>
      <c r="B399" t="s">
        <v>8568</v>
      </c>
    </row>
    <row r="400" spans="1:2" x14ac:dyDescent="0.4">
      <c r="A400" t="s">
        <v>1680</v>
      </c>
      <c r="B400" t="s">
        <v>8568</v>
      </c>
    </row>
    <row r="401" spans="1:2" x14ac:dyDescent="0.4">
      <c r="A401" t="s">
        <v>1750</v>
      </c>
      <c r="B401" t="s">
        <v>8568</v>
      </c>
    </row>
    <row r="402" spans="1:2" x14ac:dyDescent="0.4">
      <c r="A402" t="s">
        <v>894</v>
      </c>
      <c r="B402" t="s">
        <v>8568</v>
      </c>
    </row>
    <row r="403" spans="1:2" x14ac:dyDescent="0.4">
      <c r="A403" t="s">
        <v>900</v>
      </c>
      <c r="B403" t="s">
        <v>8568</v>
      </c>
    </row>
    <row r="404" spans="1:2" x14ac:dyDescent="0.4">
      <c r="A404" t="s">
        <v>903</v>
      </c>
      <c r="B404" t="s">
        <v>8568</v>
      </c>
    </row>
    <row r="405" spans="1:2" x14ac:dyDescent="0.4">
      <c r="A405" t="s">
        <v>906</v>
      </c>
      <c r="B405" t="s">
        <v>8568</v>
      </c>
    </row>
    <row r="406" spans="1:2" x14ac:dyDescent="0.4">
      <c r="A406" t="s">
        <v>909</v>
      </c>
      <c r="B406" t="s">
        <v>8568</v>
      </c>
    </row>
    <row r="407" spans="1:2" x14ac:dyDescent="0.4">
      <c r="A407" t="s">
        <v>912</v>
      </c>
      <c r="B407" t="s">
        <v>8568</v>
      </c>
    </row>
    <row r="408" spans="1:2" x14ac:dyDescent="0.4">
      <c r="A408" t="s">
        <v>915</v>
      </c>
      <c r="B408" t="s">
        <v>8568</v>
      </c>
    </row>
    <row r="409" spans="1:2" x14ac:dyDescent="0.4">
      <c r="A409" t="s">
        <v>934</v>
      </c>
      <c r="B409" t="s">
        <v>8568</v>
      </c>
    </row>
    <row r="410" spans="1:2" x14ac:dyDescent="0.4">
      <c r="A410" t="s">
        <v>938</v>
      </c>
      <c r="B410" t="s">
        <v>8568</v>
      </c>
    </row>
    <row r="411" spans="1:2" x14ac:dyDescent="0.4">
      <c r="A411" t="s">
        <v>941</v>
      </c>
      <c r="B411" t="s">
        <v>8568</v>
      </c>
    </row>
    <row r="412" spans="1:2" x14ac:dyDescent="0.4">
      <c r="A412" t="s">
        <v>944</v>
      </c>
      <c r="B412" t="s">
        <v>8568</v>
      </c>
    </row>
    <row r="413" spans="1:2" x14ac:dyDescent="0.4">
      <c r="A413" t="s">
        <v>947</v>
      </c>
      <c r="B413" t="s">
        <v>8568</v>
      </c>
    </row>
    <row r="414" spans="1:2" x14ac:dyDescent="0.4">
      <c r="A414" t="s">
        <v>921</v>
      </c>
      <c r="B414" t="s">
        <v>8568</v>
      </c>
    </row>
    <row r="415" spans="1:2" x14ac:dyDescent="0.4">
      <c r="A415" t="s">
        <v>925</v>
      </c>
      <c r="B415" t="s">
        <v>8614</v>
      </c>
    </row>
    <row r="416" spans="1:2" x14ac:dyDescent="0.4">
      <c r="A416" t="s">
        <v>928</v>
      </c>
      <c r="B416" t="s">
        <v>8568</v>
      </c>
    </row>
    <row r="417" spans="1:2" x14ac:dyDescent="0.4">
      <c r="A417" t="s">
        <v>931</v>
      </c>
      <c r="B417" t="s">
        <v>8568</v>
      </c>
    </row>
    <row r="418" spans="1:2" x14ac:dyDescent="0.4">
      <c r="A418" t="s">
        <v>950</v>
      </c>
      <c r="B418" t="s">
        <v>8568</v>
      </c>
    </row>
    <row r="419" spans="1:2" x14ac:dyDescent="0.4">
      <c r="A419" t="s">
        <v>954</v>
      </c>
      <c r="B419" t="s">
        <v>8568</v>
      </c>
    </row>
    <row r="420" spans="1:2" x14ac:dyDescent="0.4">
      <c r="A420" t="s">
        <v>957</v>
      </c>
      <c r="B420" t="s">
        <v>8568</v>
      </c>
    </row>
    <row r="421" spans="1:2" x14ac:dyDescent="0.4">
      <c r="A421" t="s">
        <v>960</v>
      </c>
      <c r="B421" t="s">
        <v>8568</v>
      </c>
    </row>
    <row r="422" spans="1:2" x14ac:dyDescent="0.4">
      <c r="A422" t="s">
        <v>963</v>
      </c>
      <c r="B422" t="s">
        <v>8568</v>
      </c>
    </row>
    <row r="423" spans="1:2" x14ac:dyDescent="0.4">
      <c r="A423" t="s">
        <v>966</v>
      </c>
      <c r="B423" t="s">
        <v>8568</v>
      </c>
    </row>
    <row r="424" spans="1:2" x14ac:dyDescent="0.4">
      <c r="A424" t="s">
        <v>28</v>
      </c>
      <c r="B424" t="s">
        <v>8568</v>
      </c>
    </row>
    <row r="425" spans="1:2" x14ac:dyDescent="0.4">
      <c r="A425" t="s">
        <v>43</v>
      </c>
      <c r="B425" t="s">
        <v>8568</v>
      </c>
    </row>
    <row r="426" spans="1:2" x14ac:dyDescent="0.4">
      <c r="A426" t="s">
        <v>48</v>
      </c>
      <c r="B426" t="s">
        <v>8568</v>
      </c>
    </row>
    <row r="427" spans="1:2" x14ac:dyDescent="0.4">
      <c r="A427" t="s">
        <v>53</v>
      </c>
      <c r="B427" t="s">
        <v>8568</v>
      </c>
    </row>
    <row r="428" spans="1:2" x14ac:dyDescent="0.4">
      <c r="A428" t="s">
        <v>56</v>
      </c>
      <c r="B428" t="s">
        <v>8568</v>
      </c>
    </row>
    <row r="429" spans="1:2" x14ac:dyDescent="0.4">
      <c r="A429" t="s">
        <v>59</v>
      </c>
      <c r="B429" t="s">
        <v>8614</v>
      </c>
    </row>
    <row r="430" spans="1:2" x14ac:dyDescent="0.4">
      <c r="A430" t="s">
        <v>62</v>
      </c>
      <c r="B430" t="s">
        <v>8568</v>
      </c>
    </row>
    <row r="431" spans="1:2" x14ac:dyDescent="0.4">
      <c r="A431" t="s">
        <v>67</v>
      </c>
      <c r="B431" t="s">
        <v>8568</v>
      </c>
    </row>
    <row r="432" spans="1:2" x14ac:dyDescent="0.4">
      <c r="A432" t="s">
        <v>70</v>
      </c>
      <c r="B432" t="s">
        <v>8568</v>
      </c>
    </row>
    <row r="433" spans="1:2" x14ac:dyDescent="0.4">
      <c r="A433" t="s">
        <v>73</v>
      </c>
      <c r="B433" t="s">
        <v>8568</v>
      </c>
    </row>
    <row r="434" spans="1:2" x14ac:dyDescent="0.4">
      <c r="A434" t="s">
        <v>76</v>
      </c>
      <c r="B434" t="s">
        <v>8568</v>
      </c>
    </row>
    <row r="435" spans="1:2" x14ac:dyDescent="0.4">
      <c r="A435" t="s">
        <v>79</v>
      </c>
      <c r="B435" t="s">
        <v>8568</v>
      </c>
    </row>
    <row r="436" spans="1:2" x14ac:dyDescent="0.4">
      <c r="A436" t="s">
        <v>82</v>
      </c>
      <c r="B436" t="s">
        <v>8568</v>
      </c>
    </row>
    <row r="437" spans="1:2" x14ac:dyDescent="0.4">
      <c r="A437" t="s">
        <v>87</v>
      </c>
      <c r="B437" t="s">
        <v>8568</v>
      </c>
    </row>
    <row r="438" spans="1:2" x14ac:dyDescent="0.4">
      <c r="A438" t="s">
        <v>90</v>
      </c>
      <c r="B438" t="s">
        <v>8568</v>
      </c>
    </row>
    <row r="439" spans="1:2" x14ac:dyDescent="0.4">
      <c r="A439" t="s">
        <v>93</v>
      </c>
      <c r="B439" t="s">
        <v>8568</v>
      </c>
    </row>
    <row r="440" spans="1:2" x14ac:dyDescent="0.4">
      <c r="A440" t="s">
        <v>96</v>
      </c>
      <c r="B440" t="s">
        <v>8568</v>
      </c>
    </row>
    <row r="441" spans="1:2" x14ac:dyDescent="0.4">
      <c r="A441" t="s">
        <v>99</v>
      </c>
      <c r="B441" t="s">
        <v>8568</v>
      </c>
    </row>
    <row r="442" spans="1:2" x14ac:dyDescent="0.4">
      <c r="A442" t="s">
        <v>102</v>
      </c>
      <c r="B442" t="s">
        <v>8568</v>
      </c>
    </row>
    <row r="443" spans="1:2" x14ac:dyDescent="0.4">
      <c r="A443" t="s">
        <v>105</v>
      </c>
      <c r="B443" t="s">
        <v>8568</v>
      </c>
    </row>
    <row r="444" spans="1:2" x14ac:dyDescent="0.4">
      <c r="A444" t="s">
        <v>108</v>
      </c>
      <c r="B444" t="s">
        <v>8568</v>
      </c>
    </row>
    <row r="445" spans="1:2" x14ac:dyDescent="0.4">
      <c r="A445" t="s">
        <v>2167</v>
      </c>
      <c r="B445" t="s">
        <v>8568</v>
      </c>
    </row>
    <row r="446" spans="1:2" x14ac:dyDescent="0.4">
      <c r="A446" t="s">
        <v>2173</v>
      </c>
      <c r="B446" t="s">
        <v>8568</v>
      </c>
    </row>
    <row r="447" spans="1:2" x14ac:dyDescent="0.4">
      <c r="A447" t="s">
        <v>2176</v>
      </c>
      <c r="B447" t="s">
        <v>8614</v>
      </c>
    </row>
    <row r="448" spans="1:2" x14ac:dyDescent="0.4">
      <c r="A448" t="s">
        <v>2179</v>
      </c>
      <c r="B448" t="s">
        <v>8614</v>
      </c>
    </row>
    <row r="449" spans="1:2" x14ac:dyDescent="0.4">
      <c r="A449" t="s">
        <v>2182</v>
      </c>
      <c r="B449" t="s">
        <v>8614</v>
      </c>
    </row>
    <row r="450" spans="1:2" x14ac:dyDescent="0.4">
      <c r="A450" t="s">
        <v>2185</v>
      </c>
      <c r="B450" t="s">
        <v>8568</v>
      </c>
    </row>
    <row r="451" spans="1:2" x14ac:dyDescent="0.4">
      <c r="A451" t="s">
        <v>2188</v>
      </c>
      <c r="B451" t="s">
        <v>8568</v>
      </c>
    </row>
    <row r="452" spans="1:2" x14ac:dyDescent="0.4">
      <c r="A452" t="s">
        <v>2191</v>
      </c>
      <c r="B452" t="s">
        <v>8568</v>
      </c>
    </row>
    <row r="453" spans="1:2" x14ac:dyDescent="0.4">
      <c r="A453" t="s">
        <v>2232</v>
      </c>
      <c r="B453" t="s">
        <v>8568</v>
      </c>
    </row>
    <row r="454" spans="1:2" x14ac:dyDescent="0.4">
      <c r="A454" t="s">
        <v>2236</v>
      </c>
      <c r="B454" t="s">
        <v>8568</v>
      </c>
    </row>
    <row r="455" spans="1:2" x14ac:dyDescent="0.4">
      <c r="A455" t="s">
        <v>2239</v>
      </c>
      <c r="B455" t="s">
        <v>8614</v>
      </c>
    </row>
    <row r="456" spans="1:2" x14ac:dyDescent="0.4">
      <c r="A456" t="s">
        <v>2242</v>
      </c>
      <c r="B456" t="s">
        <v>8568</v>
      </c>
    </row>
    <row r="457" spans="1:2" x14ac:dyDescent="0.4">
      <c r="A457" t="s">
        <v>2245</v>
      </c>
      <c r="B457" t="s">
        <v>8614</v>
      </c>
    </row>
    <row r="458" spans="1:2" x14ac:dyDescent="0.4">
      <c r="A458" t="s">
        <v>2248</v>
      </c>
      <c r="B458" t="s">
        <v>8568</v>
      </c>
    </row>
    <row r="459" spans="1:2" x14ac:dyDescent="0.4">
      <c r="A459" t="s">
        <v>2251</v>
      </c>
      <c r="B459" t="s">
        <v>8568</v>
      </c>
    </row>
    <row r="460" spans="1:2" x14ac:dyDescent="0.4">
      <c r="A460" t="s">
        <v>2254</v>
      </c>
      <c r="B460" t="s">
        <v>8568</v>
      </c>
    </row>
    <row r="461" spans="1:2" x14ac:dyDescent="0.4">
      <c r="A461" t="s">
        <v>2257</v>
      </c>
      <c r="B461" t="s">
        <v>8614</v>
      </c>
    </row>
    <row r="462" spans="1:2" x14ac:dyDescent="0.4">
      <c r="A462" t="s">
        <v>2260</v>
      </c>
      <c r="B462" t="s">
        <v>8614</v>
      </c>
    </row>
    <row r="463" spans="1:2" x14ac:dyDescent="0.4">
      <c r="A463" t="s">
        <v>2263</v>
      </c>
      <c r="B463" t="s">
        <v>8568</v>
      </c>
    </row>
    <row r="464" spans="1:2" x14ac:dyDescent="0.4">
      <c r="A464" t="s">
        <v>2194</v>
      </c>
      <c r="B464" t="s">
        <v>8568</v>
      </c>
    </row>
    <row r="465" spans="1:2" x14ac:dyDescent="0.4">
      <c r="A465" t="s">
        <v>2200</v>
      </c>
      <c r="B465" t="s">
        <v>8568</v>
      </c>
    </row>
    <row r="466" spans="1:2" x14ac:dyDescent="0.4">
      <c r="A466" t="s">
        <v>2203</v>
      </c>
      <c r="B466" t="s">
        <v>8568</v>
      </c>
    </row>
    <row r="467" spans="1:2" x14ac:dyDescent="0.4">
      <c r="A467" t="s">
        <v>2206</v>
      </c>
      <c r="B467" t="s">
        <v>8568</v>
      </c>
    </row>
    <row r="468" spans="1:2" x14ac:dyDescent="0.4">
      <c r="A468" t="s">
        <v>2209</v>
      </c>
      <c r="B468" t="s">
        <v>8614</v>
      </c>
    </row>
    <row r="469" spans="1:2" x14ac:dyDescent="0.4">
      <c r="A469" t="s">
        <v>2212</v>
      </c>
      <c r="B469" t="s">
        <v>8568</v>
      </c>
    </row>
    <row r="470" spans="1:2" x14ac:dyDescent="0.4">
      <c r="A470" t="s">
        <v>2215</v>
      </c>
      <c r="B470" t="s">
        <v>8568</v>
      </c>
    </row>
    <row r="471" spans="1:2" x14ac:dyDescent="0.4">
      <c r="A471" t="s">
        <v>2218</v>
      </c>
      <c r="B471" t="s">
        <v>8568</v>
      </c>
    </row>
    <row r="472" spans="1:2" x14ac:dyDescent="0.4">
      <c r="A472" t="s">
        <v>2221</v>
      </c>
      <c r="B472" t="s">
        <v>8568</v>
      </c>
    </row>
    <row r="473" spans="1:2" x14ac:dyDescent="0.4">
      <c r="A473" t="s">
        <v>2224</v>
      </c>
      <c r="B473" t="s">
        <v>8614</v>
      </c>
    </row>
    <row r="474" spans="1:2" x14ac:dyDescent="0.4">
      <c r="A474" t="s">
        <v>2229</v>
      </c>
      <c r="B474" t="s">
        <v>8568</v>
      </c>
    </row>
    <row r="475" spans="1:2" x14ac:dyDescent="0.4">
      <c r="A475" t="s">
        <v>348</v>
      </c>
      <c r="B475" t="s">
        <v>8568</v>
      </c>
    </row>
    <row r="476" spans="1:2" x14ac:dyDescent="0.4">
      <c r="A476" t="s">
        <v>353</v>
      </c>
      <c r="B476" t="s">
        <v>8568</v>
      </c>
    </row>
    <row r="477" spans="1:2" x14ac:dyDescent="0.4">
      <c r="A477" t="s">
        <v>357</v>
      </c>
      <c r="B477" t="s">
        <v>8568</v>
      </c>
    </row>
    <row r="478" spans="1:2" x14ac:dyDescent="0.4">
      <c r="A478" t="s">
        <v>360</v>
      </c>
      <c r="B478" t="s">
        <v>8568</v>
      </c>
    </row>
    <row r="479" spans="1:2" x14ac:dyDescent="0.4">
      <c r="A479" t="s">
        <v>363</v>
      </c>
      <c r="B479" t="s">
        <v>8568</v>
      </c>
    </row>
    <row r="480" spans="1:2" x14ac:dyDescent="0.4">
      <c r="A480" t="s">
        <v>366</v>
      </c>
      <c r="B480" t="s">
        <v>8614</v>
      </c>
    </row>
    <row r="481" spans="1:2" x14ac:dyDescent="0.4">
      <c r="A481" t="s">
        <v>369</v>
      </c>
      <c r="B481" t="s">
        <v>8568</v>
      </c>
    </row>
    <row r="482" spans="1:2" x14ac:dyDescent="0.4">
      <c r="A482" t="s">
        <v>372</v>
      </c>
      <c r="B482" t="s">
        <v>8568</v>
      </c>
    </row>
    <row r="483" spans="1:2" x14ac:dyDescent="0.4">
      <c r="A483" t="s">
        <v>375</v>
      </c>
      <c r="B483" t="s">
        <v>8568</v>
      </c>
    </row>
    <row r="484" spans="1:2" x14ac:dyDescent="0.4">
      <c r="A484" t="s">
        <v>378</v>
      </c>
      <c r="B484" t="s">
        <v>8568</v>
      </c>
    </row>
    <row r="485" spans="1:2" x14ac:dyDescent="0.4">
      <c r="A485" t="s">
        <v>381</v>
      </c>
      <c r="B485" t="s">
        <v>8568</v>
      </c>
    </row>
    <row r="486" spans="1:2" x14ac:dyDescent="0.4">
      <c r="A486" t="s">
        <v>384</v>
      </c>
      <c r="B486" t="s">
        <v>8568</v>
      </c>
    </row>
    <row r="487" spans="1:2" x14ac:dyDescent="0.4">
      <c r="A487" t="s">
        <v>390</v>
      </c>
      <c r="B487" t="s">
        <v>8568</v>
      </c>
    </row>
    <row r="488" spans="1:2" x14ac:dyDescent="0.4">
      <c r="A488" t="s">
        <v>393</v>
      </c>
      <c r="B488" t="s">
        <v>8568</v>
      </c>
    </row>
    <row r="489" spans="1:2" x14ac:dyDescent="0.4">
      <c r="A489" t="s">
        <v>448</v>
      </c>
      <c r="B489" t="s">
        <v>8568</v>
      </c>
    </row>
    <row r="490" spans="1:2" x14ac:dyDescent="0.4">
      <c r="A490" t="s">
        <v>453</v>
      </c>
      <c r="B490" t="s">
        <v>8614</v>
      </c>
    </row>
    <row r="491" spans="1:2" x14ac:dyDescent="0.4">
      <c r="A491" t="s">
        <v>456</v>
      </c>
      <c r="B491" t="s">
        <v>8568</v>
      </c>
    </row>
    <row r="492" spans="1:2" x14ac:dyDescent="0.4">
      <c r="A492" t="s">
        <v>459</v>
      </c>
      <c r="B492" t="s">
        <v>8568</v>
      </c>
    </row>
    <row r="493" spans="1:2" x14ac:dyDescent="0.4">
      <c r="A493" t="s">
        <v>462</v>
      </c>
      <c r="B493" t="s">
        <v>8568</v>
      </c>
    </row>
    <row r="494" spans="1:2" x14ac:dyDescent="0.4">
      <c r="A494" t="s">
        <v>465</v>
      </c>
      <c r="B494" t="s">
        <v>8568</v>
      </c>
    </row>
    <row r="495" spans="1:2" x14ac:dyDescent="0.4">
      <c r="A495" t="s">
        <v>468</v>
      </c>
      <c r="B495" t="s">
        <v>8568</v>
      </c>
    </row>
    <row r="496" spans="1:2" x14ac:dyDescent="0.4">
      <c r="A496" t="s">
        <v>471</v>
      </c>
      <c r="B496" t="s">
        <v>8568</v>
      </c>
    </row>
    <row r="497" spans="1:2" x14ac:dyDescent="0.4">
      <c r="A497" t="s">
        <v>474</v>
      </c>
      <c r="B497" t="s">
        <v>8568</v>
      </c>
    </row>
    <row r="498" spans="1:2" x14ac:dyDescent="0.4">
      <c r="A498" t="s">
        <v>477</v>
      </c>
      <c r="B498" t="s">
        <v>8568</v>
      </c>
    </row>
    <row r="499" spans="1:2" x14ac:dyDescent="0.4">
      <c r="A499" t="s">
        <v>480</v>
      </c>
      <c r="B499" t="s">
        <v>8614</v>
      </c>
    </row>
    <row r="500" spans="1:2" x14ac:dyDescent="0.4">
      <c r="A500" t="s">
        <v>485</v>
      </c>
      <c r="B500" t="s">
        <v>8568</v>
      </c>
    </row>
    <row r="501" spans="1:2" x14ac:dyDescent="0.4">
      <c r="A501" t="s">
        <v>488</v>
      </c>
      <c r="B501" t="s">
        <v>8568</v>
      </c>
    </row>
    <row r="502" spans="1:2" x14ac:dyDescent="0.4">
      <c r="A502" t="s">
        <v>491</v>
      </c>
      <c r="B502" t="s">
        <v>8568</v>
      </c>
    </row>
    <row r="503" spans="1:2" x14ac:dyDescent="0.4">
      <c r="A503" t="s">
        <v>494</v>
      </c>
      <c r="B503" t="s">
        <v>8568</v>
      </c>
    </row>
    <row r="504" spans="1:2" x14ac:dyDescent="0.4">
      <c r="A504" t="s">
        <v>497</v>
      </c>
      <c r="B504" t="s">
        <v>8568</v>
      </c>
    </row>
    <row r="505" spans="1:2" x14ac:dyDescent="0.4">
      <c r="A505" t="s">
        <v>503</v>
      </c>
      <c r="B505" t="s">
        <v>8614</v>
      </c>
    </row>
    <row r="506" spans="1:2" x14ac:dyDescent="0.4">
      <c r="A506" t="s">
        <v>506</v>
      </c>
      <c r="B506" t="s">
        <v>8568</v>
      </c>
    </row>
    <row r="507" spans="1:2" x14ac:dyDescent="0.4">
      <c r="A507" t="s">
        <v>509</v>
      </c>
      <c r="B507" t="s">
        <v>8568</v>
      </c>
    </row>
    <row r="508" spans="1:2" x14ac:dyDescent="0.4">
      <c r="A508" t="s">
        <v>512</v>
      </c>
      <c r="B508" t="s">
        <v>8614</v>
      </c>
    </row>
    <row r="509" spans="1:2" x14ac:dyDescent="0.4">
      <c r="A509" t="s">
        <v>515</v>
      </c>
      <c r="B509" t="s">
        <v>8568</v>
      </c>
    </row>
    <row r="510" spans="1:2" x14ac:dyDescent="0.4">
      <c r="A510" t="s">
        <v>518</v>
      </c>
      <c r="B510" t="s">
        <v>8568</v>
      </c>
    </row>
    <row r="511" spans="1:2" x14ac:dyDescent="0.4">
      <c r="A511" t="s">
        <v>521</v>
      </c>
      <c r="B511" t="s">
        <v>8568</v>
      </c>
    </row>
    <row r="512" spans="1:2" x14ac:dyDescent="0.4">
      <c r="A512" t="s">
        <v>396</v>
      </c>
      <c r="B512" t="s">
        <v>8568</v>
      </c>
    </row>
    <row r="513" spans="1:2" x14ac:dyDescent="0.4">
      <c r="A513" t="s">
        <v>403</v>
      </c>
      <c r="B513" t="s">
        <v>8568</v>
      </c>
    </row>
    <row r="514" spans="1:2" x14ac:dyDescent="0.4">
      <c r="A514" t="s">
        <v>426</v>
      </c>
      <c r="B514" t="s">
        <v>8568</v>
      </c>
    </row>
    <row r="515" spans="1:2" x14ac:dyDescent="0.4">
      <c r="A515" t="s">
        <v>430</v>
      </c>
      <c r="B515" t="s">
        <v>8568</v>
      </c>
    </row>
    <row r="516" spans="1:2" x14ac:dyDescent="0.4">
      <c r="A516" t="s">
        <v>433</v>
      </c>
      <c r="B516" t="s">
        <v>8568</v>
      </c>
    </row>
    <row r="517" spans="1:2" x14ac:dyDescent="0.4">
      <c r="A517" t="s">
        <v>436</v>
      </c>
      <c r="B517" t="s">
        <v>8568</v>
      </c>
    </row>
    <row r="518" spans="1:2" x14ac:dyDescent="0.4">
      <c r="A518" t="s">
        <v>439</v>
      </c>
      <c r="B518" t="s">
        <v>8568</v>
      </c>
    </row>
    <row r="519" spans="1:2" x14ac:dyDescent="0.4">
      <c r="A519" t="s">
        <v>442</v>
      </c>
      <c r="B519" t="s">
        <v>8568</v>
      </c>
    </row>
    <row r="520" spans="1:2" x14ac:dyDescent="0.4">
      <c r="A520" t="s">
        <v>445</v>
      </c>
      <c r="B520" t="s">
        <v>8568</v>
      </c>
    </row>
    <row r="521" spans="1:2" x14ac:dyDescent="0.4">
      <c r="A521" t="s">
        <v>406</v>
      </c>
      <c r="B521" t="s">
        <v>8568</v>
      </c>
    </row>
    <row r="522" spans="1:2" x14ac:dyDescent="0.4">
      <c r="A522" t="s">
        <v>410</v>
      </c>
      <c r="B522" t="s">
        <v>8568</v>
      </c>
    </row>
    <row r="523" spans="1:2" x14ac:dyDescent="0.4">
      <c r="A523" t="s">
        <v>413</v>
      </c>
      <c r="B523" t="s">
        <v>8568</v>
      </c>
    </row>
    <row r="524" spans="1:2" x14ac:dyDescent="0.4">
      <c r="A524" t="s">
        <v>416</v>
      </c>
      <c r="B524" t="s">
        <v>8568</v>
      </c>
    </row>
    <row r="525" spans="1:2" x14ac:dyDescent="0.4">
      <c r="A525" t="s">
        <v>419</v>
      </c>
      <c r="B525" t="s">
        <v>8568</v>
      </c>
    </row>
    <row r="526" spans="1:2" x14ac:dyDescent="0.4">
      <c r="A526" t="s">
        <v>422</v>
      </c>
      <c r="B526" t="s">
        <v>8568</v>
      </c>
    </row>
    <row r="527" spans="1:2" x14ac:dyDescent="0.4">
      <c r="A527" t="s">
        <v>1867</v>
      </c>
      <c r="B527" t="s">
        <v>8568</v>
      </c>
    </row>
    <row r="528" spans="1:2" x14ac:dyDescent="0.4">
      <c r="A528" t="s">
        <v>1872</v>
      </c>
      <c r="B528" t="s">
        <v>8568</v>
      </c>
    </row>
    <row r="529" spans="1:2" x14ac:dyDescent="0.4">
      <c r="A529" t="s">
        <v>1875</v>
      </c>
      <c r="B529" t="s">
        <v>8568</v>
      </c>
    </row>
    <row r="530" spans="1:2" x14ac:dyDescent="0.4">
      <c r="A530" t="s">
        <v>1878</v>
      </c>
      <c r="B530" t="s">
        <v>8568</v>
      </c>
    </row>
    <row r="531" spans="1:2" x14ac:dyDescent="0.4">
      <c r="A531" t="s">
        <v>1881</v>
      </c>
      <c r="B531" t="s">
        <v>8568</v>
      </c>
    </row>
    <row r="532" spans="1:2" x14ac:dyDescent="0.4">
      <c r="A532" t="s">
        <v>1884</v>
      </c>
      <c r="B532" t="s">
        <v>8614</v>
      </c>
    </row>
    <row r="533" spans="1:2" x14ac:dyDescent="0.4">
      <c r="A533" t="s">
        <v>1887</v>
      </c>
      <c r="B533" t="s">
        <v>8614</v>
      </c>
    </row>
    <row r="534" spans="1:2" x14ac:dyDescent="0.4">
      <c r="A534" t="s">
        <v>201</v>
      </c>
      <c r="B534" t="s">
        <v>8568</v>
      </c>
    </row>
    <row r="535" spans="1:2" x14ac:dyDescent="0.4">
      <c r="A535" t="s">
        <v>209</v>
      </c>
      <c r="B535" t="s">
        <v>8568</v>
      </c>
    </row>
    <row r="536" spans="1:2" x14ac:dyDescent="0.4">
      <c r="A536" t="s">
        <v>212</v>
      </c>
      <c r="B536" t="s">
        <v>8568</v>
      </c>
    </row>
    <row r="537" spans="1:2" x14ac:dyDescent="0.4">
      <c r="A537" t="s">
        <v>215</v>
      </c>
      <c r="B537" t="s">
        <v>8568</v>
      </c>
    </row>
    <row r="538" spans="1:2" x14ac:dyDescent="0.4">
      <c r="A538" t="s">
        <v>218</v>
      </c>
      <c r="B538" t="s">
        <v>8568</v>
      </c>
    </row>
    <row r="539" spans="1:2" x14ac:dyDescent="0.4">
      <c r="A539" t="s">
        <v>221</v>
      </c>
      <c r="B539" t="s">
        <v>8568</v>
      </c>
    </row>
    <row r="540" spans="1:2" x14ac:dyDescent="0.4">
      <c r="A540" t="s">
        <v>224</v>
      </c>
      <c r="B540" t="s">
        <v>8568</v>
      </c>
    </row>
    <row r="541" spans="1:2" x14ac:dyDescent="0.4">
      <c r="A541" t="s">
        <v>227</v>
      </c>
      <c r="B541" t="s">
        <v>8568</v>
      </c>
    </row>
    <row r="542" spans="1:2" x14ac:dyDescent="0.4">
      <c r="A542" t="s">
        <v>230</v>
      </c>
      <c r="B542" t="s">
        <v>8568</v>
      </c>
    </row>
    <row r="543" spans="1:2" x14ac:dyDescent="0.4">
      <c r="A543" t="s">
        <v>233</v>
      </c>
      <c r="B543" t="s">
        <v>8568</v>
      </c>
    </row>
    <row r="544" spans="1:2" x14ac:dyDescent="0.4">
      <c r="A544" t="s">
        <v>1257</v>
      </c>
      <c r="B544" t="s">
        <v>8568</v>
      </c>
    </row>
    <row r="545" spans="1:2" x14ac:dyDescent="0.4">
      <c r="A545" t="s">
        <v>1264</v>
      </c>
      <c r="B545" t="s">
        <v>8568</v>
      </c>
    </row>
    <row r="546" spans="1:2" x14ac:dyDescent="0.4">
      <c r="A546" t="s">
        <v>1267</v>
      </c>
      <c r="B546" t="s">
        <v>8568</v>
      </c>
    </row>
    <row r="547" spans="1:2" x14ac:dyDescent="0.4">
      <c r="A547" t="s">
        <v>1270</v>
      </c>
      <c r="B547" t="s">
        <v>8568</v>
      </c>
    </row>
    <row r="548" spans="1:2" x14ac:dyDescent="0.4">
      <c r="A548" t="s">
        <v>1273</v>
      </c>
      <c r="B548" t="s">
        <v>8614</v>
      </c>
    </row>
    <row r="549" spans="1:2" x14ac:dyDescent="0.4">
      <c r="A549" t="s">
        <v>1288</v>
      </c>
      <c r="B549" t="s">
        <v>8568</v>
      </c>
    </row>
    <row r="550" spans="1:2" x14ac:dyDescent="0.4">
      <c r="A550" t="s">
        <v>1279</v>
      </c>
      <c r="B550" t="s">
        <v>8568</v>
      </c>
    </row>
    <row r="551" spans="1:2" x14ac:dyDescent="0.4">
      <c r="A551" t="s">
        <v>1282</v>
      </c>
      <c r="B551" t="s">
        <v>8568</v>
      </c>
    </row>
    <row r="552" spans="1:2" x14ac:dyDescent="0.4">
      <c r="A552" t="s">
        <v>1285</v>
      </c>
      <c r="B552" t="s">
        <v>8568</v>
      </c>
    </row>
    <row r="553" spans="1:2" x14ac:dyDescent="0.4">
      <c r="A553" t="s">
        <v>969</v>
      </c>
      <c r="B553" t="s">
        <v>8568</v>
      </c>
    </row>
    <row r="554" spans="1:2" x14ac:dyDescent="0.4">
      <c r="A554" t="s">
        <v>977</v>
      </c>
      <c r="B554" t="s">
        <v>8568</v>
      </c>
    </row>
    <row r="555" spans="1:2" x14ac:dyDescent="0.4">
      <c r="A555" t="s">
        <v>980</v>
      </c>
      <c r="B555" t="s">
        <v>8568</v>
      </c>
    </row>
    <row r="556" spans="1:2" x14ac:dyDescent="0.4">
      <c r="A556" t="s">
        <v>984</v>
      </c>
      <c r="B556" t="s">
        <v>8568</v>
      </c>
    </row>
    <row r="557" spans="1:2" x14ac:dyDescent="0.4">
      <c r="A557" t="s">
        <v>987</v>
      </c>
      <c r="B557" t="s">
        <v>8568</v>
      </c>
    </row>
    <row r="558" spans="1:2" x14ac:dyDescent="0.4">
      <c r="A558" t="s">
        <v>990</v>
      </c>
      <c r="B558" t="s">
        <v>8568</v>
      </c>
    </row>
    <row r="559" spans="1:2" x14ac:dyDescent="0.4">
      <c r="A559" t="s">
        <v>993</v>
      </c>
      <c r="B559" t="s">
        <v>8568</v>
      </c>
    </row>
    <row r="560" spans="1:2" x14ac:dyDescent="0.4">
      <c r="A560" t="s">
        <v>996</v>
      </c>
      <c r="B560" t="s">
        <v>8568</v>
      </c>
    </row>
    <row r="561" spans="1:2" x14ac:dyDescent="0.4">
      <c r="A561" t="s">
        <v>999</v>
      </c>
      <c r="B561" t="s">
        <v>8568</v>
      </c>
    </row>
    <row r="562" spans="1:2" x14ac:dyDescent="0.4">
      <c r="A562" t="s">
        <v>1002</v>
      </c>
      <c r="B562" t="s">
        <v>8568</v>
      </c>
    </row>
    <row r="563" spans="1:2" x14ac:dyDescent="0.4">
      <c r="A563" t="s">
        <v>1005</v>
      </c>
      <c r="B563" t="s">
        <v>8568</v>
      </c>
    </row>
    <row r="564" spans="1:2" x14ac:dyDescent="0.4">
      <c r="A564" t="s">
        <v>1010</v>
      </c>
      <c r="B564" t="s">
        <v>8568</v>
      </c>
    </row>
    <row r="565" spans="1:2" x14ac:dyDescent="0.4">
      <c r="A565" t="s">
        <v>1013</v>
      </c>
      <c r="B565" t="s">
        <v>8568</v>
      </c>
    </row>
    <row r="566" spans="1:2" x14ac:dyDescent="0.4">
      <c r="A566" t="s">
        <v>1016</v>
      </c>
      <c r="B566" t="s">
        <v>8568</v>
      </c>
    </row>
    <row r="567" spans="1:2" x14ac:dyDescent="0.4">
      <c r="A567" t="s">
        <v>1020</v>
      </c>
      <c r="B567" t="s">
        <v>8568</v>
      </c>
    </row>
    <row r="568" spans="1:2" x14ac:dyDescent="0.4">
      <c r="A568" t="s">
        <v>1025</v>
      </c>
      <c r="B568" t="s">
        <v>8568</v>
      </c>
    </row>
    <row r="569" spans="1:2" x14ac:dyDescent="0.4">
      <c r="A569" t="s">
        <v>1028</v>
      </c>
      <c r="B569" t="s">
        <v>8568</v>
      </c>
    </row>
    <row r="570" spans="1:2" x14ac:dyDescent="0.4">
      <c r="A570" t="s">
        <v>1031</v>
      </c>
      <c r="B570" t="s">
        <v>8568</v>
      </c>
    </row>
    <row r="571" spans="1:2" x14ac:dyDescent="0.4">
      <c r="A571" t="s">
        <v>1035</v>
      </c>
      <c r="B571" t="s">
        <v>8568</v>
      </c>
    </row>
    <row r="572" spans="1:2" x14ac:dyDescent="0.4">
      <c r="A572" t="s">
        <v>1038</v>
      </c>
      <c r="B572" t="s">
        <v>8568</v>
      </c>
    </row>
    <row r="573" spans="1:2" x14ac:dyDescent="0.4">
      <c r="A573" t="s">
        <v>1041</v>
      </c>
      <c r="B573" t="s">
        <v>8568</v>
      </c>
    </row>
    <row r="574" spans="1:2" x14ac:dyDescent="0.4">
      <c r="A574" t="s">
        <v>1046</v>
      </c>
      <c r="B574" t="s">
        <v>8568</v>
      </c>
    </row>
    <row r="575" spans="1:2" x14ac:dyDescent="0.4">
      <c r="A575" t="s">
        <v>1050</v>
      </c>
      <c r="B575" t="s">
        <v>8568</v>
      </c>
    </row>
    <row r="576" spans="1:2" x14ac:dyDescent="0.4">
      <c r="A576" t="s">
        <v>1055</v>
      </c>
      <c r="B576" t="s">
        <v>8568</v>
      </c>
    </row>
    <row r="577" spans="1:2" x14ac:dyDescent="0.4">
      <c r="A577" t="s">
        <v>1059</v>
      </c>
      <c r="B577" t="s">
        <v>8568</v>
      </c>
    </row>
    <row r="578" spans="1:2" x14ac:dyDescent="0.4">
      <c r="A578" t="s">
        <v>1062</v>
      </c>
      <c r="B578" t="s">
        <v>8568</v>
      </c>
    </row>
    <row r="579" spans="1:2" x14ac:dyDescent="0.4">
      <c r="A579" t="s">
        <v>1065</v>
      </c>
      <c r="B579" t="s">
        <v>8568</v>
      </c>
    </row>
    <row r="580" spans="1:2" x14ac:dyDescent="0.4">
      <c r="A580" t="s">
        <v>1068</v>
      </c>
      <c r="B580" t="s">
        <v>8568</v>
      </c>
    </row>
    <row r="581" spans="1:2" x14ac:dyDescent="0.4">
      <c r="A581" t="s">
        <v>1071</v>
      </c>
      <c r="B581" t="s">
        <v>8614</v>
      </c>
    </row>
    <row r="582" spans="1:2" x14ac:dyDescent="0.4">
      <c r="A582" t="s">
        <v>1074</v>
      </c>
      <c r="B582" t="s">
        <v>8568</v>
      </c>
    </row>
    <row r="583" spans="1:2" x14ac:dyDescent="0.4">
      <c r="A583" t="s">
        <v>2377</v>
      </c>
      <c r="B583" t="s">
        <v>8614</v>
      </c>
    </row>
    <row r="584" spans="1:2" x14ac:dyDescent="0.4">
      <c r="A584" t="s">
        <v>2383</v>
      </c>
      <c r="B584" t="s">
        <v>8568</v>
      </c>
    </row>
    <row r="585" spans="1:2" x14ac:dyDescent="0.4">
      <c r="A585" t="s">
        <v>2387</v>
      </c>
      <c r="B585" t="s">
        <v>8568</v>
      </c>
    </row>
    <row r="586" spans="1:2" x14ac:dyDescent="0.4">
      <c r="A586" t="s">
        <v>2391</v>
      </c>
      <c r="B586" t="s">
        <v>8568</v>
      </c>
    </row>
    <row r="587" spans="1:2" x14ac:dyDescent="0.4">
      <c r="A587" t="s">
        <v>2394</v>
      </c>
      <c r="B587" t="s">
        <v>8568</v>
      </c>
    </row>
    <row r="588" spans="1:2" x14ac:dyDescent="0.4">
      <c r="A588" t="s">
        <v>2398</v>
      </c>
      <c r="B588" t="s">
        <v>8568</v>
      </c>
    </row>
    <row r="589" spans="1:2" x14ac:dyDescent="0.4">
      <c r="A589" t="s">
        <v>1223</v>
      </c>
      <c r="B589" t="s">
        <v>8568</v>
      </c>
    </row>
    <row r="590" spans="1:2" x14ac:dyDescent="0.4">
      <c r="A590" t="s">
        <v>1233</v>
      </c>
      <c r="B590" t="s">
        <v>8568</v>
      </c>
    </row>
    <row r="591" spans="1:2" x14ac:dyDescent="0.4">
      <c r="A591" t="s">
        <v>1236</v>
      </c>
      <c r="B591" t="s">
        <v>8568</v>
      </c>
    </row>
    <row r="592" spans="1:2" x14ac:dyDescent="0.4">
      <c r="A592" t="s">
        <v>1239</v>
      </c>
      <c r="B592" t="s">
        <v>8568</v>
      </c>
    </row>
    <row r="593" spans="1:2" x14ac:dyDescent="0.4">
      <c r="A593" t="s">
        <v>1242</v>
      </c>
      <c r="B593" t="s">
        <v>8568</v>
      </c>
    </row>
    <row r="594" spans="1:2" x14ac:dyDescent="0.4">
      <c r="A594" t="s">
        <v>1245</v>
      </c>
      <c r="B594" t="s">
        <v>8568</v>
      </c>
    </row>
    <row r="595" spans="1:2" x14ac:dyDescent="0.4">
      <c r="A595" t="s">
        <v>1248</v>
      </c>
      <c r="B595" t="s">
        <v>8568</v>
      </c>
    </row>
    <row r="596" spans="1:2" x14ac:dyDescent="0.4">
      <c r="A596" t="s">
        <v>1251</v>
      </c>
      <c r="B596" t="s">
        <v>8568</v>
      </c>
    </row>
    <row r="597" spans="1:2" x14ac:dyDescent="0.4">
      <c r="A597" t="s">
        <v>1254</v>
      </c>
      <c r="B597" t="s">
        <v>8568</v>
      </c>
    </row>
    <row r="598" spans="1:2" x14ac:dyDescent="0.4">
      <c r="A598" t="s">
        <v>1230</v>
      </c>
      <c r="B598" t="s">
        <v>8568</v>
      </c>
    </row>
    <row r="599" spans="1:2" x14ac:dyDescent="0.4">
      <c r="A599" t="s">
        <v>2080</v>
      </c>
      <c r="B599" t="s">
        <v>8568</v>
      </c>
    </row>
    <row r="600" spans="1:2" x14ac:dyDescent="0.4">
      <c r="A600" t="s">
        <v>2086</v>
      </c>
      <c r="B600" t="s">
        <v>8568</v>
      </c>
    </row>
    <row r="601" spans="1:2" x14ac:dyDescent="0.4">
      <c r="A601" t="s">
        <v>2089</v>
      </c>
      <c r="B601" t="s">
        <v>8568</v>
      </c>
    </row>
    <row r="602" spans="1:2" x14ac:dyDescent="0.4">
      <c r="A602" t="s">
        <v>2092</v>
      </c>
      <c r="B602" t="s">
        <v>8568</v>
      </c>
    </row>
    <row r="603" spans="1:2" x14ac:dyDescent="0.4">
      <c r="A603" t="s">
        <v>2095</v>
      </c>
      <c r="B603" t="s">
        <v>8568</v>
      </c>
    </row>
    <row r="604" spans="1:2" x14ac:dyDescent="0.4">
      <c r="A604" t="s">
        <v>2098</v>
      </c>
      <c r="B604" t="s">
        <v>8568</v>
      </c>
    </row>
    <row r="605" spans="1:2" x14ac:dyDescent="0.4">
      <c r="A605" t="s">
        <v>2045</v>
      </c>
      <c r="B605" t="s">
        <v>8568</v>
      </c>
    </row>
    <row r="606" spans="1:2" x14ac:dyDescent="0.4">
      <c r="A606" t="s">
        <v>2052</v>
      </c>
      <c r="B606" t="s">
        <v>8568</v>
      </c>
    </row>
    <row r="607" spans="1:2" x14ac:dyDescent="0.4">
      <c r="A607" t="s">
        <v>2056</v>
      </c>
      <c r="B607" t="s">
        <v>8614</v>
      </c>
    </row>
    <row r="608" spans="1:2" x14ac:dyDescent="0.4">
      <c r="A608" t="s">
        <v>2059</v>
      </c>
      <c r="B608" t="s">
        <v>8568</v>
      </c>
    </row>
    <row r="609" spans="1:2" x14ac:dyDescent="0.4">
      <c r="A609" t="s">
        <v>2062</v>
      </c>
      <c r="B609" t="s">
        <v>8614</v>
      </c>
    </row>
    <row r="610" spans="1:2" x14ac:dyDescent="0.4">
      <c r="A610" t="s">
        <v>2065</v>
      </c>
      <c r="B610" t="s">
        <v>8568</v>
      </c>
    </row>
    <row r="611" spans="1:2" x14ac:dyDescent="0.4">
      <c r="A611" t="s">
        <v>2068</v>
      </c>
      <c r="B611" t="s">
        <v>8568</v>
      </c>
    </row>
    <row r="612" spans="1:2" x14ac:dyDescent="0.4">
      <c r="A612" t="s">
        <v>2071</v>
      </c>
      <c r="B612" t="s">
        <v>8568</v>
      </c>
    </row>
    <row r="613" spans="1:2" x14ac:dyDescent="0.4">
      <c r="A613" t="s">
        <v>2074</v>
      </c>
      <c r="B613" t="s">
        <v>8568</v>
      </c>
    </row>
    <row r="614" spans="1:2" x14ac:dyDescent="0.4">
      <c r="A614" t="s">
        <v>2077</v>
      </c>
      <c r="B614" t="s">
        <v>8568</v>
      </c>
    </row>
    <row r="615" spans="1:2" x14ac:dyDescent="0.4">
      <c r="A615" t="s">
        <v>1629</v>
      </c>
      <c r="B615" t="s">
        <v>8568</v>
      </c>
    </row>
    <row r="616" spans="1:2" x14ac:dyDescent="0.4">
      <c r="A616" t="s">
        <v>1635</v>
      </c>
      <c r="B616" t="s">
        <v>8568</v>
      </c>
    </row>
    <row r="617" spans="1:2" x14ac:dyDescent="0.4">
      <c r="A617" t="s">
        <v>1639</v>
      </c>
      <c r="B617" t="s">
        <v>8568</v>
      </c>
    </row>
    <row r="618" spans="1:2" x14ac:dyDescent="0.4">
      <c r="A618" t="s">
        <v>1642</v>
      </c>
      <c r="B618" t="s">
        <v>8568</v>
      </c>
    </row>
    <row r="619" spans="1:2" x14ac:dyDescent="0.4">
      <c r="A619" t="s">
        <v>1646</v>
      </c>
      <c r="B619" t="s">
        <v>8568</v>
      </c>
    </row>
    <row r="620" spans="1:2" x14ac:dyDescent="0.4">
      <c r="A620" t="s">
        <v>1649</v>
      </c>
      <c r="B620" t="s">
        <v>8568</v>
      </c>
    </row>
    <row r="621" spans="1:2" x14ac:dyDescent="0.4">
      <c r="A621" t="s">
        <v>524</v>
      </c>
      <c r="B621" t="s">
        <v>8568</v>
      </c>
    </row>
    <row r="622" spans="1:2" x14ac:dyDescent="0.4">
      <c r="A622" t="s">
        <v>530</v>
      </c>
      <c r="B622" t="s">
        <v>8568</v>
      </c>
    </row>
    <row r="623" spans="1:2" x14ac:dyDescent="0.4">
      <c r="A623" t="s">
        <v>533</v>
      </c>
      <c r="B623" t="s">
        <v>8568</v>
      </c>
    </row>
    <row r="624" spans="1:2" x14ac:dyDescent="0.4">
      <c r="A624" t="s">
        <v>536</v>
      </c>
      <c r="B624" t="s">
        <v>8568</v>
      </c>
    </row>
    <row r="625" spans="1:2" x14ac:dyDescent="0.4">
      <c r="A625" t="s">
        <v>539</v>
      </c>
      <c r="B625" t="s">
        <v>8568</v>
      </c>
    </row>
    <row r="626" spans="1:2" x14ac:dyDescent="0.4">
      <c r="A626" t="s">
        <v>542</v>
      </c>
      <c r="B626" t="s">
        <v>8568</v>
      </c>
    </row>
    <row r="627" spans="1:2" x14ac:dyDescent="0.4">
      <c r="A627" t="s">
        <v>545</v>
      </c>
      <c r="B627" t="s">
        <v>8568</v>
      </c>
    </row>
    <row r="628" spans="1:2" x14ac:dyDescent="0.4">
      <c r="A628" t="s">
        <v>548</v>
      </c>
      <c r="B628" t="s">
        <v>8568</v>
      </c>
    </row>
    <row r="629" spans="1:2" x14ac:dyDescent="0.4">
      <c r="A629" t="s">
        <v>551</v>
      </c>
      <c r="B629" t="s">
        <v>8568</v>
      </c>
    </row>
    <row r="630" spans="1:2" x14ac:dyDescent="0.4">
      <c r="A630" t="s">
        <v>554</v>
      </c>
      <c r="B630" t="s">
        <v>8568</v>
      </c>
    </row>
    <row r="631" spans="1:2" x14ac:dyDescent="0.4">
      <c r="A631" t="s">
        <v>1183</v>
      </c>
      <c r="B631" t="s">
        <v>8568</v>
      </c>
    </row>
    <row r="632" spans="1:2" x14ac:dyDescent="0.4">
      <c r="A632" t="s">
        <v>1190</v>
      </c>
      <c r="B632" t="s">
        <v>8568</v>
      </c>
    </row>
    <row r="633" spans="1:2" x14ac:dyDescent="0.4">
      <c r="A633" t="s">
        <v>1193</v>
      </c>
      <c r="B633" t="s">
        <v>8568</v>
      </c>
    </row>
    <row r="634" spans="1:2" x14ac:dyDescent="0.4">
      <c r="A634" t="s">
        <v>1196</v>
      </c>
      <c r="B634" t="s">
        <v>8568</v>
      </c>
    </row>
    <row r="635" spans="1:2" x14ac:dyDescent="0.4">
      <c r="A635" t="s">
        <v>1200</v>
      </c>
      <c r="B635" t="s">
        <v>8568</v>
      </c>
    </row>
    <row r="636" spans="1:2" x14ac:dyDescent="0.4">
      <c r="A636" t="s">
        <v>1204</v>
      </c>
      <c r="B636" t="s">
        <v>8568</v>
      </c>
    </row>
    <row r="637" spans="1:2" x14ac:dyDescent="0.4">
      <c r="A637" t="s">
        <v>1207</v>
      </c>
      <c r="B637" t="s">
        <v>8568</v>
      </c>
    </row>
    <row r="638" spans="1:2" x14ac:dyDescent="0.4">
      <c r="A638" t="s">
        <v>1210</v>
      </c>
      <c r="B638" t="s">
        <v>8568</v>
      </c>
    </row>
    <row r="639" spans="1:2" x14ac:dyDescent="0.4">
      <c r="A639" t="s">
        <v>1213</v>
      </c>
      <c r="B639" t="s">
        <v>8568</v>
      </c>
    </row>
    <row r="640" spans="1:2" x14ac:dyDescent="0.4">
      <c r="A640" t="s">
        <v>1217</v>
      </c>
      <c r="B640" t="s">
        <v>8568</v>
      </c>
    </row>
    <row r="641" spans="1:2" x14ac:dyDescent="0.4">
      <c r="A641" t="s">
        <v>1220</v>
      </c>
      <c r="B641" t="s">
        <v>8568</v>
      </c>
    </row>
    <row r="642" spans="1:2" x14ac:dyDescent="0.4">
      <c r="A642" t="s">
        <v>1317</v>
      </c>
      <c r="B642" t="s">
        <v>8568</v>
      </c>
    </row>
    <row r="643" spans="1:2" x14ac:dyDescent="0.4">
      <c r="A643" t="s">
        <v>1324</v>
      </c>
      <c r="B643" t="s">
        <v>8568</v>
      </c>
    </row>
    <row r="644" spans="1:2" x14ac:dyDescent="0.4">
      <c r="A644" t="s">
        <v>1327</v>
      </c>
      <c r="B644" t="s">
        <v>8568</v>
      </c>
    </row>
    <row r="645" spans="1:2" x14ac:dyDescent="0.4">
      <c r="A645" t="s">
        <v>1330</v>
      </c>
      <c r="B645" t="s">
        <v>8568</v>
      </c>
    </row>
    <row r="646" spans="1:2" x14ac:dyDescent="0.4">
      <c r="A646" t="s">
        <v>1333</v>
      </c>
      <c r="B646" t="s">
        <v>8568</v>
      </c>
    </row>
    <row r="647" spans="1:2" x14ac:dyDescent="0.4">
      <c r="A647" t="s">
        <v>1336</v>
      </c>
      <c r="B647" t="s">
        <v>8568</v>
      </c>
    </row>
    <row r="648" spans="1:2" x14ac:dyDescent="0.4">
      <c r="A648" t="s">
        <v>1339</v>
      </c>
      <c r="B648" t="s">
        <v>8568</v>
      </c>
    </row>
    <row r="649" spans="1:2" x14ac:dyDescent="0.4">
      <c r="A649" t="s">
        <v>1342</v>
      </c>
      <c r="B649" t="s">
        <v>8568</v>
      </c>
    </row>
    <row r="650" spans="1:2" x14ac:dyDescent="0.4">
      <c r="A650" t="s">
        <v>1345</v>
      </c>
      <c r="B650" t="s">
        <v>8568</v>
      </c>
    </row>
    <row r="651" spans="1:2" x14ac:dyDescent="0.4">
      <c r="A651" t="s">
        <v>1348</v>
      </c>
      <c r="B651" t="s">
        <v>8568</v>
      </c>
    </row>
    <row r="652" spans="1:2" x14ac:dyDescent="0.4">
      <c r="A652" t="s">
        <v>1354</v>
      </c>
      <c r="B652" t="s">
        <v>8568</v>
      </c>
    </row>
    <row r="653" spans="1:2" x14ac:dyDescent="0.4">
      <c r="A653" t="s">
        <v>1357</v>
      </c>
      <c r="B653" t="s">
        <v>8568</v>
      </c>
    </row>
    <row r="654" spans="1:2" x14ac:dyDescent="0.4">
      <c r="A654" t="s">
        <v>1360</v>
      </c>
      <c r="B654" t="s">
        <v>8568</v>
      </c>
    </row>
    <row r="655" spans="1:2" x14ac:dyDescent="0.4">
      <c r="A655" t="s">
        <v>1363</v>
      </c>
      <c r="B655" t="s">
        <v>8614</v>
      </c>
    </row>
    <row r="656" spans="1:2" x14ac:dyDescent="0.4">
      <c r="A656" t="s">
        <v>1366</v>
      </c>
      <c r="B656" t="s">
        <v>8568</v>
      </c>
    </row>
    <row r="657" spans="1:2" x14ac:dyDescent="0.4">
      <c r="A657" t="s">
        <v>1369</v>
      </c>
      <c r="B657" t="s">
        <v>8568</v>
      </c>
    </row>
    <row r="658" spans="1:2" x14ac:dyDescent="0.4">
      <c r="A658" t="s">
        <v>1372</v>
      </c>
      <c r="B658" t="s">
        <v>8568</v>
      </c>
    </row>
    <row r="659" spans="1:2" x14ac:dyDescent="0.4">
      <c r="A659" t="s">
        <v>1375</v>
      </c>
      <c r="B659" t="s">
        <v>8568</v>
      </c>
    </row>
    <row r="660" spans="1:2" x14ac:dyDescent="0.4">
      <c r="A660" t="s">
        <v>1379</v>
      </c>
      <c r="B660" t="s">
        <v>8614</v>
      </c>
    </row>
    <row r="661" spans="1:2" x14ac:dyDescent="0.4">
      <c r="A661" t="s">
        <v>1382</v>
      </c>
      <c r="B661" t="s">
        <v>8568</v>
      </c>
    </row>
    <row r="662" spans="1:2" x14ac:dyDescent="0.4">
      <c r="A662" t="s">
        <v>1890</v>
      </c>
      <c r="B662" t="s">
        <v>8568</v>
      </c>
    </row>
    <row r="663" spans="1:2" x14ac:dyDescent="0.4">
      <c r="A663" t="s">
        <v>1897</v>
      </c>
      <c r="B663" t="s">
        <v>8568</v>
      </c>
    </row>
    <row r="664" spans="1:2" x14ac:dyDescent="0.4">
      <c r="A664" t="s">
        <v>1900</v>
      </c>
      <c r="B664" t="s">
        <v>8568</v>
      </c>
    </row>
    <row r="665" spans="1:2" x14ac:dyDescent="0.4">
      <c r="A665" t="s">
        <v>1903</v>
      </c>
      <c r="B665" t="s">
        <v>8568</v>
      </c>
    </row>
    <row r="666" spans="1:2" x14ac:dyDescent="0.4">
      <c r="A666" t="s">
        <v>1906</v>
      </c>
      <c r="B666" t="s">
        <v>8568</v>
      </c>
    </row>
    <row r="667" spans="1:2" x14ac:dyDescent="0.4">
      <c r="A667" t="s">
        <v>1909</v>
      </c>
      <c r="B667" t="s">
        <v>8568</v>
      </c>
    </row>
    <row r="668" spans="1:2" x14ac:dyDescent="0.4">
      <c r="A668" t="s">
        <v>1912</v>
      </c>
      <c r="B668" t="s">
        <v>8568</v>
      </c>
    </row>
    <row r="669" spans="1:2" x14ac:dyDescent="0.4">
      <c r="A669" t="s">
        <v>1915</v>
      </c>
      <c r="B669" t="s">
        <v>8568</v>
      </c>
    </row>
    <row r="670" spans="1:2" x14ac:dyDescent="0.4">
      <c r="A670" t="s">
        <v>1918</v>
      </c>
      <c r="B670" t="s">
        <v>8568</v>
      </c>
    </row>
    <row r="671" spans="1:2" x14ac:dyDescent="0.4">
      <c r="A671" t="s">
        <v>1921</v>
      </c>
      <c r="B671" t="s">
        <v>8568</v>
      </c>
    </row>
    <row r="672" spans="1:2" x14ac:dyDescent="0.4">
      <c r="A672" t="s">
        <v>1924</v>
      </c>
      <c r="B672" t="s">
        <v>8568</v>
      </c>
    </row>
    <row r="673" spans="1:2" x14ac:dyDescent="0.4">
      <c r="A673" t="s">
        <v>1929</v>
      </c>
      <c r="B673" t="s">
        <v>8568</v>
      </c>
    </row>
    <row r="674" spans="1:2" x14ac:dyDescent="0.4">
      <c r="A674" t="s">
        <v>1932</v>
      </c>
      <c r="B674" t="s">
        <v>8568</v>
      </c>
    </row>
    <row r="675" spans="1:2" x14ac:dyDescent="0.4">
      <c r="A675" t="s">
        <v>1935</v>
      </c>
      <c r="B675" t="s">
        <v>8568</v>
      </c>
    </row>
    <row r="676" spans="1:2" x14ac:dyDescent="0.4">
      <c r="A676" t="s">
        <v>1938</v>
      </c>
      <c r="B676" t="s">
        <v>8568</v>
      </c>
    </row>
    <row r="677" spans="1:2" x14ac:dyDescent="0.4">
      <c r="A677" t="s">
        <v>1941</v>
      </c>
      <c r="B677" t="s">
        <v>8568</v>
      </c>
    </row>
    <row r="678" spans="1:2" x14ac:dyDescent="0.4">
      <c r="A678" t="s">
        <v>1944</v>
      </c>
      <c r="B678" t="s">
        <v>8568</v>
      </c>
    </row>
    <row r="679" spans="1:2" x14ac:dyDescent="0.4">
      <c r="A679" t="s">
        <v>1947</v>
      </c>
      <c r="B679" t="s">
        <v>8568</v>
      </c>
    </row>
    <row r="680" spans="1:2" x14ac:dyDescent="0.4">
      <c r="A680" t="s">
        <v>1950</v>
      </c>
      <c r="B680" t="s">
        <v>8568</v>
      </c>
    </row>
    <row r="681" spans="1:2" x14ac:dyDescent="0.4">
      <c r="A681" t="s">
        <v>1953</v>
      </c>
      <c r="B681" t="s">
        <v>8568</v>
      </c>
    </row>
    <row r="682" spans="1:2" x14ac:dyDescent="0.4">
      <c r="A682" t="s">
        <v>557</v>
      </c>
      <c r="B682" t="s">
        <v>8568</v>
      </c>
    </row>
    <row r="683" spans="1:2" x14ac:dyDescent="0.4">
      <c r="A683" t="s">
        <v>565</v>
      </c>
      <c r="B683" t="s">
        <v>8568</v>
      </c>
    </row>
    <row r="684" spans="1:2" x14ac:dyDescent="0.4">
      <c r="A684" t="s">
        <v>568</v>
      </c>
      <c r="B684" t="s">
        <v>8568</v>
      </c>
    </row>
    <row r="685" spans="1:2" x14ac:dyDescent="0.4">
      <c r="A685" t="s">
        <v>571</v>
      </c>
      <c r="B685" t="s">
        <v>8568</v>
      </c>
    </row>
    <row r="686" spans="1:2" x14ac:dyDescent="0.4">
      <c r="A686" t="s">
        <v>574</v>
      </c>
      <c r="B686" t="s">
        <v>8568</v>
      </c>
    </row>
    <row r="687" spans="1:2" x14ac:dyDescent="0.4">
      <c r="A687" t="s">
        <v>577</v>
      </c>
      <c r="B687" t="s">
        <v>8568</v>
      </c>
    </row>
    <row r="688" spans="1:2" x14ac:dyDescent="0.4">
      <c r="A688" t="s">
        <v>580</v>
      </c>
      <c r="B688" t="s">
        <v>8568</v>
      </c>
    </row>
    <row r="689" spans="1:2" x14ac:dyDescent="0.4">
      <c r="A689" t="s">
        <v>583</v>
      </c>
      <c r="B689" t="s">
        <v>8568</v>
      </c>
    </row>
    <row r="690" spans="1:2" x14ac:dyDescent="0.4">
      <c r="A690" t="s">
        <v>586</v>
      </c>
      <c r="B690" t="s">
        <v>8568</v>
      </c>
    </row>
    <row r="691" spans="1:2" x14ac:dyDescent="0.4">
      <c r="A691" t="s">
        <v>626</v>
      </c>
      <c r="B691" t="s">
        <v>8568</v>
      </c>
    </row>
    <row r="692" spans="1:2" x14ac:dyDescent="0.4">
      <c r="A692" t="s">
        <v>590</v>
      </c>
      <c r="B692" t="s">
        <v>8568</v>
      </c>
    </row>
    <row r="693" spans="1:2" x14ac:dyDescent="0.4">
      <c r="A693" t="s">
        <v>595</v>
      </c>
      <c r="B693" t="s">
        <v>8568</v>
      </c>
    </row>
    <row r="694" spans="1:2" x14ac:dyDescent="0.4">
      <c r="A694" t="s">
        <v>599</v>
      </c>
      <c r="B694" t="s">
        <v>8568</v>
      </c>
    </row>
    <row r="695" spans="1:2" x14ac:dyDescent="0.4">
      <c r="A695" t="s">
        <v>602</v>
      </c>
      <c r="B695" t="s">
        <v>8568</v>
      </c>
    </row>
    <row r="696" spans="1:2" x14ac:dyDescent="0.4">
      <c r="A696" t="s">
        <v>606</v>
      </c>
      <c r="B696" t="s">
        <v>8568</v>
      </c>
    </row>
    <row r="697" spans="1:2" x14ac:dyDescent="0.4">
      <c r="A697" t="s">
        <v>610</v>
      </c>
      <c r="B697" t="s">
        <v>8568</v>
      </c>
    </row>
    <row r="698" spans="1:2" x14ac:dyDescent="0.4">
      <c r="A698" t="s">
        <v>613</v>
      </c>
      <c r="B698" t="s">
        <v>8568</v>
      </c>
    </row>
    <row r="699" spans="1:2" x14ac:dyDescent="0.4">
      <c r="A699" t="s">
        <v>617</v>
      </c>
      <c r="B699" t="s">
        <v>8568</v>
      </c>
    </row>
    <row r="700" spans="1:2" x14ac:dyDescent="0.4">
      <c r="A700" t="s">
        <v>620</v>
      </c>
      <c r="B700" t="s">
        <v>8568</v>
      </c>
    </row>
    <row r="701" spans="1:2" x14ac:dyDescent="0.4">
      <c r="A701" t="s">
        <v>623</v>
      </c>
      <c r="B701" t="s">
        <v>8568</v>
      </c>
    </row>
  </sheetData>
  <sortState xmlns:xlrd2="http://schemas.microsoft.com/office/spreadsheetml/2017/richdata2" ref="A2:B702">
    <sortCondition ref="A2:A702"/>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3CBD-2C58-4725-8657-5F851E0EACBC}">
  <dimension ref="A1:H61"/>
  <sheetViews>
    <sheetView topLeftCell="A49" workbookViewId="0">
      <selection activeCell="F52" sqref="F52"/>
    </sheetView>
  </sheetViews>
  <sheetFormatPr defaultRowHeight="14.6" x14ac:dyDescent="0.4"/>
  <cols>
    <col min="1" max="2" width="21.3828125" bestFit="1" customWidth="1"/>
    <col min="4" max="4" width="18.765625" bestFit="1" customWidth="1"/>
    <col min="6" max="6" width="35.53515625" bestFit="1" customWidth="1"/>
  </cols>
  <sheetData>
    <row r="1" spans="1:8" x14ac:dyDescent="0.4">
      <c r="A1" t="s">
        <v>9054</v>
      </c>
      <c r="B1" t="s">
        <v>9054</v>
      </c>
      <c r="C1" t="s">
        <v>9053</v>
      </c>
    </row>
    <row r="2" spans="1:8" x14ac:dyDescent="0.4">
      <c r="A2" t="s">
        <v>925</v>
      </c>
      <c r="B2" t="s">
        <v>8597</v>
      </c>
      <c r="C2" t="s">
        <v>2599</v>
      </c>
      <c r="D2" t="str">
        <f>VLOOKUP(A2,Sheet1!C:P,3,FALSE)</f>
        <v>MA_LKN_400_MG</v>
      </c>
      <c r="E2" t="str">
        <f>VLOOKUP($A2,Sheet1!$C:$P,9,FALSE)</f>
        <v>Quercus alba L.</v>
      </c>
      <c r="F2" t="str">
        <f t="shared" ref="F2:F33" si="0">IF(D2=0,_xlfn.CONCAT(H2," ",A2),_xlfn.CONCAT(H2," ",D2))</f>
        <v>Quercus alba MA_LKN_400_MG</v>
      </c>
      <c r="G2">
        <f t="shared" ref="G2:G33" si="1">FIND(" ",E2,9)</f>
        <v>13</v>
      </c>
      <c r="H2" t="str">
        <f t="shared" ref="H2:H33" si="2">LEFT(E2,G2-1)</f>
        <v>Quercus alba</v>
      </c>
    </row>
    <row r="3" spans="1:8" x14ac:dyDescent="0.4">
      <c r="A3" t="s">
        <v>1576</v>
      </c>
      <c r="B3" t="s">
        <v>8596</v>
      </c>
      <c r="C3" t="s">
        <v>2599</v>
      </c>
      <c r="D3" t="str">
        <f>VLOOKUP(A3,Sheet1!C:P,3,FALSE)</f>
        <v>MO_SH_019_All</v>
      </c>
      <c r="E3" t="str">
        <f>VLOOKUP($A3,Sheet1!$C:$P,9,FALSE)</f>
        <v>Quercus alba L.</v>
      </c>
      <c r="F3" t="str">
        <f t="shared" si="0"/>
        <v>Quercus alba MO_SH_019_All</v>
      </c>
      <c r="G3">
        <f t="shared" si="1"/>
        <v>13</v>
      </c>
      <c r="H3" t="str">
        <f t="shared" si="2"/>
        <v>Quercus alba</v>
      </c>
    </row>
    <row r="4" spans="1:8" x14ac:dyDescent="0.4">
      <c r="A4" t="s">
        <v>1783</v>
      </c>
      <c r="B4" t="s">
        <v>8594</v>
      </c>
      <c r="C4" t="s">
        <v>2599</v>
      </c>
      <c r="D4" t="str">
        <f>VLOOKUP(A4,Sheet1!C:P,3,FALSE)</f>
        <v>NY_CMB_360_MG</v>
      </c>
      <c r="E4" t="str">
        <f>VLOOKUP($A4,Sheet1!$C:$P,9,FALSE)</f>
        <v>Quercus alba L.</v>
      </c>
      <c r="F4" t="str">
        <f t="shared" si="0"/>
        <v>Quercus alba NY_CMB_360_MG</v>
      </c>
      <c r="G4">
        <f t="shared" si="1"/>
        <v>13</v>
      </c>
      <c r="H4" t="str">
        <f t="shared" si="2"/>
        <v>Quercus alba</v>
      </c>
    </row>
    <row r="5" spans="1:8" x14ac:dyDescent="0.4">
      <c r="A5" t="s">
        <v>1786</v>
      </c>
      <c r="B5" t="s">
        <v>8595</v>
      </c>
      <c r="C5" t="s">
        <v>2599</v>
      </c>
      <c r="D5" t="str">
        <f>VLOOKUP(A5,Sheet1!C:P,3,FALSE)</f>
        <v>NY_SSP_341_MG</v>
      </c>
      <c r="E5" t="str">
        <f>VLOOKUP($A5,Sheet1!$C:$P,9,FALSE)</f>
        <v>Quercus alba L.</v>
      </c>
      <c r="F5" t="str">
        <f t="shared" si="0"/>
        <v>Quercus alba NY_SSP_341_MG</v>
      </c>
      <c r="G5">
        <f t="shared" si="1"/>
        <v>13</v>
      </c>
      <c r="H5" t="str">
        <f t="shared" si="2"/>
        <v>Quercus alba</v>
      </c>
    </row>
    <row r="6" spans="1:8" x14ac:dyDescent="0.4">
      <c r="A6" t="s">
        <v>1864</v>
      </c>
      <c r="B6" t="s">
        <v>8598</v>
      </c>
      <c r="C6" t="s">
        <v>2599</v>
      </c>
      <c r="D6" t="str">
        <f>VLOOKUP(A6,Sheet1!C:P,3,FALSE)</f>
        <v>OH_GLW_264_MG</v>
      </c>
      <c r="E6" t="str">
        <f>VLOOKUP($A6,Sheet1!$C:$P,9,FALSE)</f>
        <v>Quercus alba L.</v>
      </c>
      <c r="F6" t="str">
        <f t="shared" si="0"/>
        <v>Quercus alba OH_GLW_264_MG</v>
      </c>
      <c r="G6">
        <f t="shared" si="1"/>
        <v>13</v>
      </c>
      <c r="H6" t="str">
        <f t="shared" si="2"/>
        <v>Quercus alba</v>
      </c>
    </row>
    <row r="7" spans="1:8" x14ac:dyDescent="0.4">
      <c r="A7" t="s">
        <v>366</v>
      </c>
      <c r="B7" t="s">
        <v>8570</v>
      </c>
      <c r="C7" t="s">
        <v>2601</v>
      </c>
      <c r="D7" t="str">
        <f>VLOOKUP(A7,Sheet1!C:P,3,FALSE)</f>
        <v>IL_RCA_465_MG</v>
      </c>
      <c r="E7" t="str">
        <f>VLOOKUP($A7,Sheet1!$C:$P,9,FALSE)</f>
        <v>Quercus bicolor Willd.</v>
      </c>
      <c r="F7" t="str">
        <f t="shared" si="0"/>
        <v>Quercus bicolor IL_RCA_465_MG</v>
      </c>
      <c r="G7">
        <f t="shared" si="1"/>
        <v>16</v>
      </c>
      <c r="H7" t="str">
        <f t="shared" si="2"/>
        <v>Quercus bicolor</v>
      </c>
    </row>
    <row r="8" spans="1:8" x14ac:dyDescent="0.4">
      <c r="A8" t="s">
        <v>453</v>
      </c>
      <c r="B8" t="s">
        <v>8573</v>
      </c>
      <c r="C8" t="s">
        <v>2601</v>
      </c>
      <c r="D8" t="str">
        <f>VLOOKUP(A8,Sheet1!C:P,3,FALSE)</f>
        <v>IN_MWT_476_MG</v>
      </c>
      <c r="E8" t="str">
        <f>VLOOKUP($A8,Sheet1!$C:$P,9,FALSE)</f>
        <v>Quercus bicolor Willd.</v>
      </c>
      <c r="F8" t="str">
        <f t="shared" si="0"/>
        <v>Quercus bicolor IN_MWT_476_MG</v>
      </c>
      <c r="G8">
        <f t="shared" si="1"/>
        <v>16</v>
      </c>
      <c r="H8" t="str">
        <f t="shared" si="2"/>
        <v>Quercus bicolor</v>
      </c>
    </row>
    <row r="9" spans="1:8" x14ac:dyDescent="0.4">
      <c r="A9" t="s">
        <v>503</v>
      </c>
      <c r="B9" t="s">
        <v>8569</v>
      </c>
      <c r="C9" t="s">
        <v>2601</v>
      </c>
      <c r="D9" t="str">
        <f>VLOOKUP(A9,Sheet1!C:P,3,FALSE)</f>
        <v>IN_TYL_492_MG</v>
      </c>
      <c r="E9" t="str">
        <f>VLOOKUP($A9,Sheet1!$C:$P,9,FALSE)</f>
        <v>Quercus bicolor Willd.</v>
      </c>
      <c r="F9" t="str">
        <f t="shared" si="0"/>
        <v>Quercus bicolor IN_TYL_492_MG</v>
      </c>
      <c r="G9">
        <f t="shared" si="1"/>
        <v>16</v>
      </c>
      <c r="H9" t="str">
        <f t="shared" si="2"/>
        <v>Quercus bicolor</v>
      </c>
    </row>
    <row r="10" spans="1:8" x14ac:dyDescent="0.4">
      <c r="A10" t="s">
        <v>1152</v>
      </c>
      <c r="B10" t="s">
        <v>8571</v>
      </c>
      <c r="C10" t="s">
        <v>2601</v>
      </c>
      <c r="D10" t="str">
        <f>VLOOKUP(A10,Sheet1!C:P,3,FALSE)</f>
        <v>MI_PRA_274_MG</v>
      </c>
      <c r="E10" t="str">
        <f>VLOOKUP($A10,Sheet1!$C:$P,9,FALSE)</f>
        <v>Quercus bicolor Willd.</v>
      </c>
      <c r="F10" t="str">
        <f t="shared" si="0"/>
        <v>Quercus bicolor MI_PRA_274_MG</v>
      </c>
      <c r="G10">
        <f t="shared" si="1"/>
        <v>16</v>
      </c>
      <c r="H10" t="str">
        <f t="shared" si="2"/>
        <v>Quercus bicolor</v>
      </c>
    </row>
    <row r="11" spans="1:8" x14ac:dyDescent="0.4">
      <c r="A11" t="s">
        <v>1818</v>
      </c>
      <c r="B11" t="s">
        <v>8572</v>
      </c>
      <c r="C11" t="s">
        <v>2601</v>
      </c>
      <c r="D11" t="str">
        <f>VLOOKUP(A11,Sheet1!C:P,3,FALSE)</f>
        <v>OH_GLW_250_MG</v>
      </c>
      <c r="E11" t="str">
        <f>VLOOKUP($A11,Sheet1!$C:$P,9,FALSE)</f>
        <v>Quercus bicolor Willd.</v>
      </c>
      <c r="F11" t="str">
        <f t="shared" si="0"/>
        <v>Quercus bicolor OH_GLW_250_MG</v>
      </c>
      <c r="G11">
        <f t="shared" si="1"/>
        <v>16</v>
      </c>
      <c r="H11" t="str">
        <f t="shared" si="2"/>
        <v>Quercus bicolor</v>
      </c>
    </row>
    <row r="12" spans="1:8" x14ac:dyDescent="0.4">
      <c r="A12" t="s">
        <v>2568</v>
      </c>
      <c r="B12" t="s">
        <v>8582</v>
      </c>
      <c r="C12" t="s">
        <v>2606</v>
      </c>
      <c r="D12">
        <f>VLOOKUP($A12,Sheet1!$C:$P,3,FALSE)</f>
        <v>0</v>
      </c>
      <c r="E12" t="str">
        <f>VLOOKUP($A12,Sheet1!$C:$P,9,FALSE)</f>
        <v>Quercus lobata  Nee.</v>
      </c>
      <c r="F12" t="str">
        <f t="shared" si="0"/>
        <v>Quercus lobata SRR14632928</v>
      </c>
      <c r="G12">
        <f t="shared" si="1"/>
        <v>15</v>
      </c>
      <c r="H12" t="str">
        <f t="shared" si="2"/>
        <v>Quercus lobata</v>
      </c>
    </row>
    <row r="13" spans="1:8" x14ac:dyDescent="0.4">
      <c r="A13" t="s">
        <v>2571</v>
      </c>
      <c r="B13" t="s">
        <v>8581</v>
      </c>
      <c r="C13" t="s">
        <v>2606</v>
      </c>
      <c r="D13">
        <f>VLOOKUP(A13,Sheet1!C:P,3,FALSE)</f>
        <v>0</v>
      </c>
      <c r="E13" t="str">
        <f>VLOOKUP($A13,Sheet1!$C:$P,9,FALSE)</f>
        <v>Quercus lobata  Nee.</v>
      </c>
      <c r="F13" t="str">
        <f t="shared" si="0"/>
        <v>Quercus lobata SRR14632932</v>
      </c>
      <c r="G13">
        <f t="shared" si="1"/>
        <v>15</v>
      </c>
      <c r="H13" t="str">
        <f t="shared" si="2"/>
        <v>Quercus lobata</v>
      </c>
    </row>
    <row r="14" spans="1:8" x14ac:dyDescent="0.4">
      <c r="A14" t="s">
        <v>2573</v>
      </c>
      <c r="B14" t="s">
        <v>8580</v>
      </c>
      <c r="C14" t="s">
        <v>2606</v>
      </c>
      <c r="D14">
        <f>VLOOKUP(A14,Sheet1!C:P,3,FALSE)</f>
        <v>0</v>
      </c>
      <c r="E14" t="str">
        <f>VLOOKUP($A14,Sheet1!$C:$P,9,FALSE)</f>
        <v>Quercus lobata  Nee.</v>
      </c>
      <c r="F14" t="str">
        <f t="shared" si="0"/>
        <v>Quercus lobata SRR14632950</v>
      </c>
      <c r="G14">
        <f t="shared" si="1"/>
        <v>15</v>
      </c>
      <c r="H14" t="str">
        <f t="shared" si="2"/>
        <v>Quercus lobata</v>
      </c>
    </row>
    <row r="15" spans="1:8" x14ac:dyDescent="0.4">
      <c r="A15" t="s">
        <v>2575</v>
      </c>
      <c r="B15" t="s">
        <v>8579</v>
      </c>
      <c r="C15" t="s">
        <v>2606</v>
      </c>
      <c r="D15">
        <f>VLOOKUP(A15,Sheet1!C:P,3,FALSE)</f>
        <v>0</v>
      </c>
      <c r="E15" t="str">
        <f>VLOOKUP($A15,Sheet1!$C:$P,9,FALSE)</f>
        <v>Quercus lobata  Nee.</v>
      </c>
      <c r="F15" t="str">
        <f t="shared" si="0"/>
        <v>Quercus lobata SRR14632961</v>
      </c>
      <c r="G15">
        <f t="shared" si="1"/>
        <v>15</v>
      </c>
      <c r="H15" t="str">
        <f t="shared" si="2"/>
        <v>Quercus lobata</v>
      </c>
    </row>
    <row r="16" spans="1:8" x14ac:dyDescent="0.4">
      <c r="A16" t="s">
        <v>2578</v>
      </c>
      <c r="B16" t="s">
        <v>8583</v>
      </c>
      <c r="C16" t="s">
        <v>2606</v>
      </c>
      <c r="D16">
        <f>VLOOKUP(A16,Sheet1!C:P,3,FALSE)</f>
        <v>0</v>
      </c>
      <c r="E16" t="str">
        <f>VLOOKUP($A16,Sheet1!$C:$P,9,FALSE)</f>
        <v>Quercus lobata  Nee.</v>
      </c>
      <c r="F16" t="str">
        <f t="shared" si="0"/>
        <v>Quercus lobata SRR14632968</v>
      </c>
      <c r="G16">
        <f t="shared" si="1"/>
        <v>15</v>
      </c>
      <c r="H16" t="str">
        <f t="shared" si="2"/>
        <v>Quercus lobata</v>
      </c>
    </row>
    <row r="17" spans="1:8" x14ac:dyDescent="0.4">
      <c r="A17" t="s">
        <v>59</v>
      </c>
      <c r="B17" t="s">
        <v>8575</v>
      </c>
      <c r="C17" t="s">
        <v>2596</v>
      </c>
      <c r="D17" t="str">
        <f>VLOOKUP(A17,Sheet1!C:P,3,FALSE)</f>
        <v>AR_BRP_414_MG</v>
      </c>
      <c r="E17" t="str">
        <f>VLOOKUP($A17,Sheet1!$C:$P,9,FALSE)</f>
        <v>Quercus lyrata Walt.</v>
      </c>
      <c r="F17" t="str">
        <f t="shared" si="0"/>
        <v>Quercus lyrata AR_BRP_414_MG</v>
      </c>
      <c r="G17">
        <f t="shared" si="1"/>
        <v>15</v>
      </c>
      <c r="H17" t="str">
        <f t="shared" si="2"/>
        <v>Quercus lyrata</v>
      </c>
    </row>
    <row r="18" spans="1:8" x14ac:dyDescent="0.4">
      <c r="A18" t="s">
        <v>317</v>
      </c>
      <c r="B18" t="s">
        <v>8577</v>
      </c>
      <c r="C18" t="s">
        <v>2596</v>
      </c>
      <c r="D18" t="str">
        <f>VLOOKUP(A18,Sheet1!C:P,3,FALSE)</f>
        <v>IL_OB_022_All</v>
      </c>
      <c r="E18" t="str">
        <f>VLOOKUP($A18,Sheet1!$C:$P,9,FALSE)</f>
        <v>Quercus lyrata Walt.</v>
      </c>
      <c r="F18" t="str">
        <f t="shared" si="0"/>
        <v>Quercus lyrata IL_OB_022_All</v>
      </c>
      <c r="G18">
        <f t="shared" si="1"/>
        <v>15</v>
      </c>
      <c r="H18" t="str">
        <f t="shared" si="2"/>
        <v>Quercus lyrata</v>
      </c>
    </row>
    <row r="19" spans="1:8" x14ac:dyDescent="0.4">
      <c r="A19" t="s">
        <v>336</v>
      </c>
      <c r="B19" t="s">
        <v>8578</v>
      </c>
      <c r="C19" t="s">
        <v>2596</v>
      </c>
      <c r="D19" t="str">
        <f>VLOOKUP(A19,Sheet1!C:P,3,FALSE)</f>
        <v>IL_OB_028_All</v>
      </c>
      <c r="E19" t="str">
        <f>VLOOKUP($A19,Sheet1!$C:$P,9,FALSE)</f>
        <v>Quercus lyrata Walt.</v>
      </c>
      <c r="F19" t="str">
        <f t="shared" si="0"/>
        <v>Quercus lyrata IL_OB_028_All</v>
      </c>
      <c r="G19">
        <f t="shared" si="1"/>
        <v>15</v>
      </c>
      <c r="H19" t="str">
        <f t="shared" si="2"/>
        <v>Quercus lyrata</v>
      </c>
    </row>
    <row r="20" spans="1:8" x14ac:dyDescent="0.4">
      <c r="A20" t="s">
        <v>858</v>
      </c>
      <c r="B20" t="s">
        <v>8574</v>
      </c>
      <c r="C20" t="s">
        <v>2596</v>
      </c>
      <c r="D20" t="str">
        <f>VLOOKUP(A20,Sheet1!C:P,3,FALSE)</f>
        <v>KY_JJA_203_MG</v>
      </c>
      <c r="E20" t="str">
        <f>VLOOKUP($A20,Sheet1!$C:$P,9,FALSE)</f>
        <v>Quercus lyrata Walt.</v>
      </c>
      <c r="F20" t="str">
        <f t="shared" si="0"/>
        <v>Quercus lyrata KY_JJA_203_MG</v>
      </c>
      <c r="G20">
        <f t="shared" si="1"/>
        <v>15</v>
      </c>
      <c r="H20" t="str">
        <f t="shared" si="2"/>
        <v>Quercus lyrata</v>
      </c>
    </row>
    <row r="21" spans="1:8" x14ac:dyDescent="0.4">
      <c r="A21" t="s">
        <v>1403</v>
      </c>
      <c r="B21" t="s">
        <v>8576</v>
      </c>
      <c r="C21" t="s">
        <v>2596</v>
      </c>
      <c r="D21" t="str">
        <f>VLOOKUP(A21,Sheet1!C:P,3,FALSE)</f>
        <v>MO_BOT_036_All</v>
      </c>
      <c r="E21" t="str">
        <f>VLOOKUP($A21,Sheet1!$C:$P,9,FALSE)</f>
        <v>Quercus lyrata Walt.</v>
      </c>
      <c r="F21" t="str">
        <f t="shared" si="0"/>
        <v>Quercus lyrata MO_BOT_036_All</v>
      </c>
      <c r="G21">
        <f t="shared" si="1"/>
        <v>15</v>
      </c>
      <c r="H21" t="str">
        <f t="shared" si="2"/>
        <v>Quercus lyrata</v>
      </c>
    </row>
    <row r="22" spans="1:8" x14ac:dyDescent="0.4">
      <c r="A22" t="s">
        <v>1071</v>
      </c>
      <c r="B22" t="s">
        <v>8857</v>
      </c>
      <c r="C22" t="s">
        <v>9055</v>
      </c>
      <c r="D22" t="str">
        <f>VLOOKUP(A22,Sheet1!C:P,3,FALSE)</f>
        <v>MB-MG534</v>
      </c>
      <c r="E22" t="str">
        <f>VLOOKUP($A22,Sheet1!$C:$P,9,FALSE)</f>
        <v>Quercus macrocarpa Michx.</v>
      </c>
      <c r="F22" t="str">
        <f t="shared" si="0"/>
        <v>Quercus macrocarpa MB-MG534</v>
      </c>
      <c r="G22">
        <f t="shared" si="1"/>
        <v>19</v>
      </c>
      <c r="H22" t="str">
        <f t="shared" si="2"/>
        <v>Quercus macrocarpa</v>
      </c>
    </row>
    <row r="23" spans="1:8" x14ac:dyDescent="0.4">
      <c r="A23" t="s">
        <v>1273</v>
      </c>
      <c r="B23" t="s">
        <v>8828</v>
      </c>
      <c r="C23" t="s">
        <v>9055</v>
      </c>
      <c r="D23" t="str">
        <f>VLOOKUP(A23,Sheet1!C:P,3,FALSE)</f>
        <v>MN_CDR_219_BF</v>
      </c>
      <c r="E23" t="str">
        <f>VLOOKUP($A23,Sheet1!$C:$P,9,FALSE)</f>
        <v>Quercus macrocarpa Michx.</v>
      </c>
      <c r="F23" t="str">
        <f t="shared" si="0"/>
        <v>Quercus macrocarpa MN_CDR_219_BF</v>
      </c>
      <c r="G23">
        <f t="shared" si="1"/>
        <v>19</v>
      </c>
      <c r="H23" t="str">
        <f t="shared" si="2"/>
        <v>Quercus macrocarpa</v>
      </c>
    </row>
    <row r="24" spans="1:8" x14ac:dyDescent="0.4">
      <c r="A24" t="s">
        <v>1363</v>
      </c>
      <c r="B24" t="s">
        <v>8908</v>
      </c>
      <c r="C24" t="s">
        <v>9055</v>
      </c>
      <c r="D24" t="str">
        <f>VLOOKUP(A24,Sheet1!C:P,3,FALSE)</f>
        <v>MN-MG774</v>
      </c>
      <c r="E24" t="str">
        <f>VLOOKUP($A24,Sheet1!$C:$P,9,FALSE)</f>
        <v>Quercus macrocarpa Michx.</v>
      </c>
      <c r="F24" t="str">
        <f t="shared" si="0"/>
        <v>Quercus macrocarpa MN-MG774</v>
      </c>
      <c r="G24">
        <f t="shared" si="1"/>
        <v>19</v>
      </c>
      <c r="H24" t="str">
        <f t="shared" si="2"/>
        <v>Quercus macrocarpa</v>
      </c>
    </row>
    <row r="25" spans="1:8" x14ac:dyDescent="0.4">
      <c r="A25" t="s">
        <v>1379</v>
      </c>
      <c r="B25" t="s">
        <v>8913</v>
      </c>
      <c r="C25" t="s">
        <v>9055</v>
      </c>
      <c r="D25" t="str">
        <f>VLOOKUP(A25,Sheet1!C:P,3,FALSE)</f>
        <v>MN-MG779</v>
      </c>
      <c r="E25" t="str">
        <f>VLOOKUP($A25,Sheet1!$C:$P,9,FALSE)</f>
        <v>Quercus macrocarpa Michx.</v>
      </c>
      <c r="F25" t="str">
        <f t="shared" si="0"/>
        <v>Quercus macrocarpa MN-MG779</v>
      </c>
      <c r="G25">
        <f t="shared" si="1"/>
        <v>19</v>
      </c>
      <c r="H25" t="str">
        <f t="shared" si="2"/>
        <v>Quercus macrocarpa</v>
      </c>
    </row>
    <row r="26" spans="1:8" x14ac:dyDescent="0.4">
      <c r="A26" t="s">
        <v>2056</v>
      </c>
      <c r="B26" t="s">
        <v>8867</v>
      </c>
      <c r="C26" t="s">
        <v>9056</v>
      </c>
      <c r="D26" t="str">
        <f>VLOOKUP(A26,Sheet1!C:P,3,FALSE)</f>
        <v>OK-MG374</v>
      </c>
      <c r="E26" t="str">
        <f>VLOOKUP($A26,Sheet1!$C:$P,9,FALSE)</f>
        <v>Quercus macrocarpa Michx.</v>
      </c>
      <c r="F26" t="str">
        <f t="shared" si="0"/>
        <v>Quercus macrocarpa OK-MG374</v>
      </c>
      <c r="G26">
        <f t="shared" si="1"/>
        <v>19</v>
      </c>
      <c r="H26" t="str">
        <f t="shared" si="2"/>
        <v>Quercus macrocarpa</v>
      </c>
    </row>
    <row r="27" spans="1:8" x14ac:dyDescent="0.4">
      <c r="A27" t="s">
        <v>2062</v>
      </c>
      <c r="B27" t="s">
        <v>8869</v>
      </c>
      <c r="C27" t="s">
        <v>9056</v>
      </c>
      <c r="D27" t="str">
        <f>VLOOKUP(A27,Sheet1!C:P,3,FALSE)</f>
        <v>OK-MG376</v>
      </c>
      <c r="E27" t="str">
        <f>VLOOKUP($A27,Sheet1!$C:$P,9,FALSE)</f>
        <v>Quercus macrocarpa Michx.</v>
      </c>
      <c r="F27" t="str">
        <f t="shared" si="0"/>
        <v>Quercus macrocarpa OK-MG376</v>
      </c>
      <c r="G27">
        <f t="shared" si="1"/>
        <v>19</v>
      </c>
      <c r="H27" t="str">
        <f t="shared" si="2"/>
        <v>Quercus macrocarpa</v>
      </c>
    </row>
    <row r="28" spans="1:8" x14ac:dyDescent="0.4">
      <c r="A28" t="s">
        <v>2114</v>
      </c>
      <c r="B28" t="s">
        <v>8688</v>
      </c>
      <c r="C28" t="s">
        <v>9056</v>
      </c>
      <c r="D28" t="str">
        <f>VLOOKUP(A28,Sheet1!C:P,3,FALSE)</f>
        <v>TN_BCP_151_MG</v>
      </c>
      <c r="E28" t="str">
        <f>VLOOKUP($A28,Sheet1!$C:$P,9,FALSE)</f>
        <v>Quercus macrocarpa Michx.</v>
      </c>
      <c r="F28" t="str">
        <f t="shared" si="0"/>
        <v>Quercus macrocarpa TN_BCP_151_MG</v>
      </c>
      <c r="G28">
        <f t="shared" si="1"/>
        <v>19</v>
      </c>
      <c r="H28" t="str">
        <f t="shared" si="2"/>
        <v>Quercus macrocarpa</v>
      </c>
    </row>
    <row r="29" spans="1:8" x14ac:dyDescent="0.4">
      <c r="A29" t="s">
        <v>2176</v>
      </c>
      <c r="B29" t="s">
        <v>8787</v>
      </c>
      <c r="C29" t="s">
        <v>9056</v>
      </c>
      <c r="D29" t="str">
        <f>VLOOKUP(A29,Sheet1!C:P,3,FALSE)</f>
        <v>TX_BRZ_432_MG</v>
      </c>
      <c r="E29" t="str">
        <f>VLOOKUP($A29,Sheet1!$C:$P,9,FALSE)</f>
        <v>Quercus macrocarpa Michx.</v>
      </c>
      <c r="F29" t="str">
        <f t="shared" si="0"/>
        <v>Quercus macrocarpa TX_BRZ_432_MG</v>
      </c>
      <c r="G29">
        <f t="shared" si="1"/>
        <v>19</v>
      </c>
      <c r="H29" t="str">
        <f t="shared" si="2"/>
        <v>Quercus macrocarpa</v>
      </c>
    </row>
    <row r="30" spans="1:8" x14ac:dyDescent="0.4">
      <c r="A30" t="s">
        <v>2179</v>
      </c>
      <c r="B30" t="s">
        <v>8788</v>
      </c>
      <c r="C30" t="s">
        <v>9056</v>
      </c>
      <c r="D30" t="str">
        <f>VLOOKUP(A30,Sheet1!C:P,3,FALSE)</f>
        <v>TX_BRZ_433_MG</v>
      </c>
      <c r="E30" t="str">
        <f>VLOOKUP($A30,Sheet1!$C:$P,9,FALSE)</f>
        <v>Quercus macrocarpa Michx.</v>
      </c>
      <c r="F30" t="str">
        <f t="shared" si="0"/>
        <v>Quercus macrocarpa TX_BRZ_433_MG</v>
      </c>
      <c r="G30">
        <f t="shared" si="1"/>
        <v>19</v>
      </c>
      <c r="H30" t="str">
        <f t="shared" si="2"/>
        <v>Quercus macrocarpa</v>
      </c>
    </row>
    <row r="31" spans="1:8" x14ac:dyDescent="0.4">
      <c r="A31" t="s">
        <v>2377</v>
      </c>
      <c r="B31" t="s">
        <v>8859</v>
      </c>
      <c r="C31" t="s">
        <v>9055</v>
      </c>
      <c r="D31" t="str">
        <f>VLOOKUP(A31,Sheet1!C:P,3,FALSE)</f>
        <v>WI-MG536</v>
      </c>
      <c r="E31" t="str">
        <f>VLOOKUP($A31,Sheet1!$C:$P,9,FALSE)</f>
        <v>Quercus macrocarpa Michx.</v>
      </c>
      <c r="F31" t="str">
        <f t="shared" si="0"/>
        <v>Quercus macrocarpa WI-MG536</v>
      </c>
      <c r="G31">
        <f t="shared" si="1"/>
        <v>19</v>
      </c>
      <c r="H31" t="str">
        <f t="shared" si="2"/>
        <v>Quercus macrocarpa</v>
      </c>
    </row>
    <row r="32" spans="1:8" x14ac:dyDescent="0.4">
      <c r="A32" t="s">
        <v>236</v>
      </c>
      <c r="B32" t="s">
        <v>8589</v>
      </c>
      <c r="C32" t="s">
        <v>2602</v>
      </c>
      <c r="D32" t="str">
        <f>VLOOKUP(A32,Sheet1!C:P,3,FALSE)</f>
        <v>IL_HP_MG919_MG</v>
      </c>
      <c r="E32" t="str">
        <f>VLOOKUP($A32,Sheet1!$C:$P,9,FALSE)</f>
        <v>Quercus michauxii Nutt.</v>
      </c>
      <c r="F32" t="str">
        <f t="shared" si="0"/>
        <v>Quercus michauxii IL_HP_MG919_MG</v>
      </c>
      <c r="G32">
        <f t="shared" si="1"/>
        <v>18</v>
      </c>
      <c r="H32" t="str">
        <f t="shared" si="2"/>
        <v>Quercus michauxii</v>
      </c>
    </row>
    <row r="33" spans="1:8" x14ac:dyDescent="0.4">
      <c r="A33" t="s">
        <v>246</v>
      </c>
      <c r="B33" t="s">
        <v>8592</v>
      </c>
      <c r="C33" t="s">
        <v>2602</v>
      </c>
      <c r="D33" t="str">
        <f>VLOOKUP(A33,Sheet1!C:P,3,FALSE)</f>
        <v>IL_HP_MG920_MG</v>
      </c>
      <c r="E33" t="str">
        <f>VLOOKUP($A33,Sheet1!$C:$P,9,FALSE)</f>
        <v>Quercus michauxii Nutt.</v>
      </c>
      <c r="F33" t="str">
        <f t="shared" si="0"/>
        <v>Quercus michauxii IL_HP_MG920_MG</v>
      </c>
      <c r="G33">
        <f t="shared" si="1"/>
        <v>18</v>
      </c>
      <c r="H33" t="str">
        <f t="shared" si="2"/>
        <v>Quercus michauxii</v>
      </c>
    </row>
    <row r="34" spans="1:8" x14ac:dyDescent="0.4">
      <c r="A34" t="s">
        <v>855</v>
      </c>
      <c r="B34" t="s">
        <v>8591</v>
      </c>
      <c r="C34" t="s">
        <v>2602</v>
      </c>
      <c r="D34" t="str">
        <f>VLOOKUP(A34,Sheet1!C:P,3,FALSE)</f>
        <v>KY_JJA_202_MG</v>
      </c>
      <c r="E34" t="str">
        <f>VLOOKUP($A34,Sheet1!$C:$P,9,FALSE)</f>
        <v>Quercus michauxii Nutt.</v>
      </c>
      <c r="F34" t="str">
        <f t="shared" ref="F34:F61" si="3">IF(D34=0,_xlfn.CONCAT(H34," ",A34),_xlfn.CONCAT(H34," ",D34))</f>
        <v>Quercus michauxii KY_JJA_202_MG</v>
      </c>
      <c r="G34">
        <f t="shared" ref="G34:G61" si="4">FIND(" ",E34,9)</f>
        <v>18</v>
      </c>
      <c r="H34" t="str">
        <f t="shared" ref="H34:H65" si="5">LEFT(E34,G34-1)</f>
        <v>Quercus michauxii</v>
      </c>
    </row>
    <row r="35" spans="1:8" x14ac:dyDescent="0.4">
      <c r="A35" t="s">
        <v>1420</v>
      </c>
      <c r="B35" t="s">
        <v>8593</v>
      </c>
      <c r="C35" t="s">
        <v>2602</v>
      </c>
      <c r="D35" t="str">
        <f>VLOOKUP(A35,Sheet1!C:P,3,FALSE)</f>
        <v>MO_BOT_041_All</v>
      </c>
      <c r="E35" t="str">
        <f>VLOOKUP($A35,Sheet1!$C:$P,9,FALSE)</f>
        <v>Quercus michauxii Nutt.</v>
      </c>
      <c r="F35" t="str">
        <f t="shared" si="3"/>
        <v>Quercus michauxii MO_BOT_041_All</v>
      </c>
      <c r="G35">
        <f t="shared" si="4"/>
        <v>18</v>
      </c>
      <c r="H35" t="str">
        <f t="shared" si="5"/>
        <v>Quercus michauxii</v>
      </c>
    </row>
    <row r="36" spans="1:8" x14ac:dyDescent="0.4">
      <c r="A36" t="s">
        <v>2182</v>
      </c>
      <c r="B36" t="s">
        <v>8590</v>
      </c>
      <c r="C36" t="s">
        <v>2602</v>
      </c>
      <c r="D36" t="str">
        <f>VLOOKUP(A36,Sheet1!C:P,3,FALSE)</f>
        <v>TX_BRZ_434_MG</v>
      </c>
      <c r="E36" t="str">
        <f>VLOOKUP($A36,Sheet1!$C:$P,9,FALSE)</f>
        <v>Quercus michauxii Nutt.</v>
      </c>
      <c r="F36" t="str">
        <f t="shared" si="3"/>
        <v>Quercus michauxii TX_BRZ_434_MG</v>
      </c>
      <c r="G36">
        <f t="shared" si="4"/>
        <v>18</v>
      </c>
      <c r="H36" t="str">
        <f t="shared" si="5"/>
        <v>Quercus michauxii</v>
      </c>
    </row>
    <row r="37" spans="1:8" x14ac:dyDescent="0.4">
      <c r="A37" t="s">
        <v>1727</v>
      </c>
      <c r="B37" t="s">
        <v>8602</v>
      </c>
      <c r="C37" t="s">
        <v>2604</v>
      </c>
      <c r="D37" t="str">
        <f>VLOOKUP(A37,Sheet1!C:P,3,FALSE)</f>
        <v>NY_BKF_370_MG</v>
      </c>
      <c r="E37" t="str">
        <f>VLOOKUP($A37,Sheet1!$C:$P,9,FALSE)</f>
        <v>Quercus montana Willd.</v>
      </c>
      <c r="F37" t="str">
        <f t="shared" si="3"/>
        <v>Quercus montana NY_BKF_370_MG</v>
      </c>
      <c r="G37">
        <f t="shared" si="4"/>
        <v>16</v>
      </c>
      <c r="H37" t="str">
        <f t="shared" si="5"/>
        <v>Quercus montana</v>
      </c>
    </row>
    <row r="38" spans="1:8" x14ac:dyDescent="0.4">
      <c r="A38" t="s">
        <v>1738</v>
      </c>
      <c r="B38" t="s">
        <v>8603</v>
      </c>
      <c r="C38" t="s">
        <v>2604</v>
      </c>
      <c r="D38" t="str">
        <f>VLOOKUP(A38,Sheet1!C:P,3,FALSE)</f>
        <v>NY_BKF_372_MG</v>
      </c>
      <c r="E38" t="str">
        <f>VLOOKUP($A38,Sheet1!$C:$P,9,FALSE)</f>
        <v>Quercus montana Willd.</v>
      </c>
      <c r="F38" t="str">
        <f t="shared" si="3"/>
        <v>Quercus montana NY_BKF_372_MG</v>
      </c>
      <c r="G38">
        <f t="shared" si="4"/>
        <v>16</v>
      </c>
      <c r="H38" t="str">
        <f t="shared" si="5"/>
        <v>Quercus montana</v>
      </c>
    </row>
    <row r="39" spans="1:8" x14ac:dyDescent="0.4">
      <c r="A39" t="s">
        <v>1744</v>
      </c>
      <c r="B39" t="s">
        <v>8599</v>
      </c>
      <c r="C39" t="s">
        <v>2604</v>
      </c>
      <c r="D39" t="str">
        <f>VLOOKUP(A39,Sheet1!C:P,3,FALSE)</f>
        <v>NY_BKF_374_MG</v>
      </c>
      <c r="E39" t="str">
        <f>VLOOKUP($A39,Sheet1!$C:$P,9,FALSE)</f>
        <v>Quercus montana Willd.</v>
      </c>
      <c r="F39" t="str">
        <f t="shared" si="3"/>
        <v>Quercus montana NY_BKF_374_MG</v>
      </c>
      <c r="G39">
        <f t="shared" si="4"/>
        <v>16</v>
      </c>
      <c r="H39" t="str">
        <f t="shared" si="5"/>
        <v>Quercus montana</v>
      </c>
    </row>
    <row r="40" spans="1:8" x14ac:dyDescent="0.4">
      <c r="A40" t="s">
        <v>1884</v>
      </c>
      <c r="B40" t="s">
        <v>8601</v>
      </c>
      <c r="C40" t="s">
        <v>2604</v>
      </c>
      <c r="D40" t="str">
        <f>VLOOKUP(A40,Sheet1!C:P,3,FALSE)</f>
        <v>OH_STR_519_MG</v>
      </c>
      <c r="E40" t="str">
        <f>VLOOKUP($A40,Sheet1!$C:$P,9,FALSE)</f>
        <v>Quercus montana Willd.</v>
      </c>
      <c r="F40" t="str">
        <f t="shared" si="3"/>
        <v>Quercus montana OH_STR_519_MG</v>
      </c>
      <c r="G40">
        <f t="shared" si="4"/>
        <v>16</v>
      </c>
      <c r="H40" t="str">
        <f t="shared" si="5"/>
        <v>Quercus montana</v>
      </c>
    </row>
    <row r="41" spans="1:8" x14ac:dyDescent="0.4">
      <c r="A41" t="s">
        <v>1887</v>
      </c>
      <c r="B41" t="s">
        <v>8600</v>
      </c>
      <c r="C41" t="s">
        <v>2604</v>
      </c>
      <c r="D41" t="str">
        <f>VLOOKUP(A41,Sheet1!C:P,3,FALSE)</f>
        <v>OH_STR_520_MG</v>
      </c>
      <c r="E41" t="str">
        <f>VLOOKUP($A41,Sheet1!$C:$P,9,FALSE)</f>
        <v>Quercus montana Willd.</v>
      </c>
      <c r="F41" t="str">
        <f t="shared" si="3"/>
        <v>Quercus montana OH_STR_520_MG</v>
      </c>
      <c r="G41">
        <f t="shared" si="4"/>
        <v>16</v>
      </c>
      <c r="H41" t="str">
        <f t="shared" si="5"/>
        <v>Quercus montana</v>
      </c>
    </row>
    <row r="42" spans="1:8" x14ac:dyDescent="0.4">
      <c r="A42" t="s">
        <v>168</v>
      </c>
      <c r="B42" t="s">
        <v>8586</v>
      </c>
      <c r="C42" t="s">
        <v>2600</v>
      </c>
      <c r="D42" t="str">
        <f>VLOOKUP(A42,Sheet1!C:P,3,FALSE)</f>
        <v>IA_LNW_055_MG</v>
      </c>
      <c r="E42" t="str">
        <f>VLOOKUP($A42,Sheet1!$C:$P,9,FALSE)</f>
        <v>Quercus muehlenbergii Engelm.</v>
      </c>
      <c r="F42" t="str">
        <f t="shared" si="3"/>
        <v>Quercus muehlenbergii IA_LNW_055_MG</v>
      </c>
      <c r="G42">
        <f t="shared" si="4"/>
        <v>22</v>
      </c>
      <c r="H42" t="str">
        <f t="shared" si="5"/>
        <v>Quercus muehlenbergii</v>
      </c>
    </row>
    <row r="43" spans="1:8" x14ac:dyDescent="0.4">
      <c r="A43" t="s">
        <v>480</v>
      </c>
      <c r="B43" t="s">
        <v>8587</v>
      </c>
      <c r="C43" t="s">
        <v>2600</v>
      </c>
      <c r="D43" t="str">
        <f>VLOOKUP(A43,Sheet1!C:P,3,FALSE)</f>
        <v>IN_TYL_485_MG</v>
      </c>
      <c r="E43" t="str">
        <f>VLOOKUP($A43,Sheet1!$C:$P,9,FALSE)</f>
        <v>Quercus muehlenbergii Engelm.</v>
      </c>
      <c r="F43" t="str">
        <f t="shared" si="3"/>
        <v>Quercus muehlenbergii IN_TYL_485_MG</v>
      </c>
      <c r="G43">
        <f t="shared" si="4"/>
        <v>22</v>
      </c>
      <c r="H43" t="str">
        <f t="shared" si="5"/>
        <v>Quercus muehlenbergii</v>
      </c>
    </row>
    <row r="44" spans="1:8" x14ac:dyDescent="0.4">
      <c r="A44" t="s">
        <v>512</v>
      </c>
      <c r="B44" t="s">
        <v>8585</v>
      </c>
      <c r="C44" t="s">
        <v>2600</v>
      </c>
      <c r="D44" t="str">
        <f>VLOOKUP(A44,Sheet1!C:P,3,FALSE)</f>
        <v>IN_TYL_495_MG</v>
      </c>
      <c r="E44" t="str">
        <f>VLOOKUP($A44,Sheet1!$C:$P,9,FALSE)</f>
        <v>Quercus muehlenbergii Engelm.</v>
      </c>
      <c r="F44" t="str">
        <f t="shared" si="3"/>
        <v>Quercus muehlenbergii IN_TYL_495_MG</v>
      </c>
      <c r="G44">
        <f t="shared" si="4"/>
        <v>22</v>
      </c>
      <c r="H44" t="str">
        <f t="shared" si="5"/>
        <v>Quercus muehlenbergii</v>
      </c>
    </row>
    <row r="45" spans="1:8" x14ac:dyDescent="0.4">
      <c r="A45" t="s">
        <v>669</v>
      </c>
      <c r="B45" t="s">
        <v>8584</v>
      </c>
      <c r="C45" t="s">
        <v>2600</v>
      </c>
      <c r="D45" t="str">
        <f>VLOOKUP(A45,Sheet1!C:P,3,FALSE)</f>
        <v>KS_KZP_326_MG</v>
      </c>
      <c r="E45" t="str">
        <f>VLOOKUP($A45,Sheet1!$C:$P,9,FALSE)</f>
        <v>Quercus muehlenbergii Engelm.</v>
      </c>
      <c r="F45" t="str">
        <f t="shared" si="3"/>
        <v>Quercus muehlenbergii KS_KZP_326_MG</v>
      </c>
      <c r="G45">
        <f t="shared" si="4"/>
        <v>22</v>
      </c>
      <c r="H45" t="str">
        <f t="shared" si="5"/>
        <v>Quercus muehlenbergii</v>
      </c>
    </row>
    <row r="46" spans="1:8" x14ac:dyDescent="0.4">
      <c r="A46" t="s">
        <v>672</v>
      </c>
      <c r="B46" t="s">
        <v>8588</v>
      </c>
      <c r="C46" t="s">
        <v>2600</v>
      </c>
      <c r="D46" t="str">
        <f>VLOOKUP(A46,Sheet1!C:P,3,FALSE)</f>
        <v>KS_SMP_295_MG</v>
      </c>
      <c r="E46" t="str">
        <f>VLOOKUP($A46,Sheet1!$C:$P,9,FALSE)</f>
        <v>Quercus muehlenbergii Engelm.</v>
      </c>
      <c r="F46" t="str">
        <f t="shared" si="3"/>
        <v>Quercus muehlenbergii KS_SMP_295_MG</v>
      </c>
      <c r="G46">
        <f t="shared" si="4"/>
        <v>22</v>
      </c>
      <c r="H46" t="str">
        <f t="shared" si="5"/>
        <v>Quercus muehlenbergii</v>
      </c>
    </row>
    <row r="47" spans="1:8" x14ac:dyDescent="0.4">
      <c r="A47" t="s">
        <v>1123</v>
      </c>
      <c r="B47" t="s">
        <v>8737</v>
      </c>
      <c r="C47" t="s">
        <v>2603</v>
      </c>
      <c r="D47" t="str">
        <f>VLOOKUP(A47,Sheet1!C:P,3,FALSE)</f>
        <v>MI_PRA_265_MG</v>
      </c>
      <c r="E47" t="str">
        <f>VLOOKUP($A47,Sheet1!$C:$P,9,FALSE)</f>
        <v>Quercus prinoides Willd.</v>
      </c>
      <c r="F47" t="str">
        <f t="shared" si="3"/>
        <v>Quercus prinoides MI_PRA_265_MG</v>
      </c>
      <c r="G47">
        <f t="shared" si="4"/>
        <v>18</v>
      </c>
      <c r="H47" t="str">
        <f t="shared" si="5"/>
        <v>Quercus prinoides</v>
      </c>
    </row>
    <row r="48" spans="1:8" x14ac:dyDescent="0.4">
      <c r="A48" t="s">
        <v>1128</v>
      </c>
      <c r="B48" t="s">
        <v>8738</v>
      </c>
      <c r="C48" t="s">
        <v>2603</v>
      </c>
      <c r="D48" t="str">
        <f>VLOOKUP(A48,Sheet1!C:P,3,FALSE)</f>
        <v>MI_PRA_266_MG</v>
      </c>
      <c r="E48" t="str">
        <f>VLOOKUP($A48,Sheet1!$C:$P,9,FALSE)</f>
        <v>Quercus prinoides Willd.</v>
      </c>
      <c r="F48" t="str">
        <f t="shared" si="3"/>
        <v>Quercus prinoides MI_PRA_266_MG</v>
      </c>
      <c r="G48">
        <f t="shared" si="4"/>
        <v>18</v>
      </c>
      <c r="H48" t="str">
        <f t="shared" si="5"/>
        <v>Quercus prinoides</v>
      </c>
    </row>
    <row r="49" spans="1:8" x14ac:dyDescent="0.4">
      <c r="A49" t="s">
        <v>1498</v>
      </c>
      <c r="B49" t="s">
        <v>9057</v>
      </c>
      <c r="C49" t="s">
        <v>2603</v>
      </c>
      <c r="D49" t="str">
        <f>VLOOKUP(A49,Sheet1!C:P,3,FALSE)</f>
        <v>MO_PSP_MG923_MG</v>
      </c>
      <c r="E49" t="str">
        <f>VLOOKUP($A49,Sheet1!$C:$P,9,FALSE)</f>
        <v>Quercus prinoides Willd.</v>
      </c>
      <c r="F49" t="str">
        <f t="shared" si="3"/>
        <v>Quercus prinoides MO_PSP_MG923_MG</v>
      </c>
      <c r="G49">
        <f t="shared" si="4"/>
        <v>18</v>
      </c>
      <c r="H49" t="str">
        <f t="shared" si="5"/>
        <v>Quercus prinoides</v>
      </c>
    </row>
    <row r="50" spans="1:8" x14ac:dyDescent="0.4">
      <c r="A50" t="s">
        <v>1668</v>
      </c>
      <c r="B50" t="s">
        <v>9059</v>
      </c>
      <c r="C50" t="s">
        <v>2603</v>
      </c>
      <c r="D50" t="str">
        <f>VLOOKUP(A50,Sheet1!C:P,3,FALSE)</f>
        <v>NY_APB_380_MG</v>
      </c>
      <c r="E50" t="str">
        <f>VLOOKUP($A50,Sheet1!$C:$P,9,FALSE)</f>
        <v>Quercus prinoides Willd.</v>
      </c>
      <c r="F50" t="str">
        <f t="shared" si="3"/>
        <v>Quercus prinoides NY_APB_380_MG</v>
      </c>
      <c r="G50">
        <f t="shared" si="4"/>
        <v>18</v>
      </c>
      <c r="H50" t="str">
        <f t="shared" si="5"/>
        <v>Quercus prinoides</v>
      </c>
    </row>
    <row r="51" spans="1:8" x14ac:dyDescent="0.4">
      <c r="A51" t="s">
        <v>1680</v>
      </c>
      <c r="B51" t="s">
        <v>9058</v>
      </c>
      <c r="C51" t="s">
        <v>2603</v>
      </c>
      <c r="D51" t="str">
        <f>VLOOKUP(A51,Sheet1!C:P,3,FALSE)</f>
        <v>NY_APB_384_MG</v>
      </c>
      <c r="E51" t="str">
        <f>VLOOKUP($A51,Sheet1!$C:$P,9,FALSE)</f>
        <v>Quercus prinoides Willd.</v>
      </c>
      <c r="F51" t="str">
        <f t="shared" si="3"/>
        <v>Quercus prinoides NY_APB_384_MG</v>
      </c>
      <c r="G51">
        <f t="shared" si="4"/>
        <v>18</v>
      </c>
      <c r="H51" t="str">
        <f t="shared" si="5"/>
        <v>Quercus prinoides</v>
      </c>
    </row>
    <row r="52" spans="1:8" x14ac:dyDescent="0.4">
      <c r="A52" t="s">
        <v>2224</v>
      </c>
      <c r="B52" t="s">
        <v>8613</v>
      </c>
      <c r="C52" t="s">
        <v>2605</v>
      </c>
      <c r="D52" t="str">
        <f>VLOOKUP(A52,Sheet1!C:P,3,FALSE)</f>
        <v>TX_CHP_458_MG</v>
      </c>
      <c r="E52" t="str">
        <f>VLOOKUP($A52,Sheet1!$C:$P,9,FALSE)</f>
        <v>Quercus sinuata Walt.</v>
      </c>
      <c r="F52" t="str">
        <f t="shared" si="3"/>
        <v>Quercus sinuata TX_CHP_458_MG</v>
      </c>
      <c r="G52">
        <f t="shared" si="4"/>
        <v>16</v>
      </c>
      <c r="H52" t="str">
        <f t="shared" si="5"/>
        <v>Quercus sinuata</v>
      </c>
    </row>
    <row r="53" spans="1:8" x14ac:dyDescent="0.4">
      <c r="A53" t="s">
        <v>2239</v>
      </c>
      <c r="B53" t="s">
        <v>8611</v>
      </c>
      <c r="C53" t="s">
        <v>2605</v>
      </c>
      <c r="D53" t="str">
        <f>VLOOKUP(A53,Sheet1!C:P,3,FALSE)</f>
        <v>TX_PLM_440_MG</v>
      </c>
      <c r="E53" t="str">
        <f>VLOOKUP($A53,Sheet1!$C:$P,9,FALSE)</f>
        <v>Quercus sinuata Walt.</v>
      </c>
      <c r="F53" t="str">
        <f t="shared" si="3"/>
        <v>Quercus sinuata TX_PLM_440_MG</v>
      </c>
      <c r="G53">
        <f t="shared" si="4"/>
        <v>16</v>
      </c>
      <c r="H53" t="str">
        <f t="shared" si="5"/>
        <v>Quercus sinuata</v>
      </c>
    </row>
    <row r="54" spans="1:8" x14ac:dyDescent="0.4">
      <c r="A54" t="s">
        <v>2245</v>
      </c>
      <c r="B54" t="s">
        <v>8612</v>
      </c>
      <c r="C54" t="s">
        <v>2605</v>
      </c>
      <c r="D54" t="str">
        <f>VLOOKUP(A54,Sheet1!C:P,3,FALSE)</f>
        <v>TX_PLM_442_MG</v>
      </c>
      <c r="E54" t="str">
        <f>VLOOKUP($A54,Sheet1!$C:$P,9,FALSE)</f>
        <v>Quercus sinuata Walt.</v>
      </c>
      <c r="F54" t="str">
        <f t="shared" si="3"/>
        <v>Quercus sinuata TX_PLM_442_MG</v>
      </c>
      <c r="G54">
        <f t="shared" si="4"/>
        <v>16</v>
      </c>
      <c r="H54" t="str">
        <f t="shared" si="5"/>
        <v>Quercus sinuata</v>
      </c>
    </row>
    <row r="55" spans="1:8" x14ac:dyDescent="0.4">
      <c r="A55" t="s">
        <v>2257</v>
      </c>
      <c r="B55" t="s">
        <v>8609</v>
      </c>
      <c r="C55" t="s">
        <v>2605</v>
      </c>
      <c r="D55" t="str">
        <f>VLOOKUP(A55,Sheet1!C:P,3,FALSE)</f>
        <v>TX_PLM_446_MG</v>
      </c>
      <c r="E55" t="str">
        <f>VLOOKUP($A55,Sheet1!$C:$P,9,FALSE)</f>
        <v>Quercus sinuata Walt.</v>
      </c>
      <c r="F55" t="str">
        <f t="shared" si="3"/>
        <v>Quercus sinuata TX_PLM_446_MG</v>
      </c>
      <c r="G55">
        <f t="shared" si="4"/>
        <v>16</v>
      </c>
      <c r="H55" t="str">
        <f t="shared" si="5"/>
        <v>Quercus sinuata</v>
      </c>
    </row>
    <row r="56" spans="1:8" x14ac:dyDescent="0.4">
      <c r="A56" t="s">
        <v>2260</v>
      </c>
      <c r="B56" t="s">
        <v>8610</v>
      </c>
      <c r="C56" t="s">
        <v>2605</v>
      </c>
      <c r="D56" t="str">
        <f>VLOOKUP(A56,Sheet1!C:P,3,FALSE)</f>
        <v>TX_PLM_447_MG</v>
      </c>
      <c r="E56" t="str">
        <f>VLOOKUP($A56,Sheet1!$C:$P,9,FALSE)</f>
        <v>Quercus sinuata Walt.</v>
      </c>
      <c r="F56" t="str">
        <f t="shared" si="3"/>
        <v>Quercus sinuata TX_PLM_447_MG</v>
      </c>
      <c r="G56">
        <f t="shared" si="4"/>
        <v>16</v>
      </c>
      <c r="H56" t="str">
        <f t="shared" si="5"/>
        <v>Quercus sinuata</v>
      </c>
    </row>
    <row r="57" spans="1:8" x14ac:dyDescent="0.4">
      <c r="A57" t="s">
        <v>1549</v>
      </c>
      <c r="B57" t="s">
        <v>8605</v>
      </c>
      <c r="C57" t="s">
        <v>2598</v>
      </c>
      <c r="D57" t="str">
        <f>VLOOKUP(A57,Sheet1!C:P,3,FALSE)</f>
        <v>MO_SH_010_All</v>
      </c>
      <c r="E57" t="str">
        <f>VLOOKUP($A57,Sheet1!$C:$P,9,FALSE)</f>
        <v>Quercus stellata Wangenh.</v>
      </c>
      <c r="F57" t="str">
        <f t="shared" si="3"/>
        <v>Quercus stellata MO_SH_010_All</v>
      </c>
      <c r="G57">
        <f t="shared" si="4"/>
        <v>17</v>
      </c>
      <c r="H57" t="str">
        <f t="shared" si="5"/>
        <v>Quercus stellata</v>
      </c>
    </row>
    <row r="58" spans="1:8" x14ac:dyDescent="0.4">
      <c r="A58" t="s">
        <v>1570</v>
      </c>
      <c r="B58" t="s">
        <v>8607</v>
      </c>
      <c r="C58" t="s">
        <v>2598</v>
      </c>
      <c r="D58" t="str">
        <f>VLOOKUP(A58,Sheet1!C:P,3,FALSE)</f>
        <v>MO_SH_017_All</v>
      </c>
      <c r="E58" t="str">
        <f>VLOOKUP($A58,Sheet1!$C:$P,9,FALSE)</f>
        <v>Quercus stellata Wangenh.</v>
      </c>
      <c r="F58" t="str">
        <f t="shared" si="3"/>
        <v>Quercus stellata MO_SH_017_All</v>
      </c>
      <c r="G58">
        <f t="shared" si="4"/>
        <v>17</v>
      </c>
      <c r="H58" t="str">
        <f t="shared" si="5"/>
        <v>Quercus stellata</v>
      </c>
    </row>
    <row r="59" spans="1:8" x14ac:dyDescent="0.4">
      <c r="A59" t="s">
        <v>2030</v>
      </c>
      <c r="B59" t="s">
        <v>8604</v>
      </c>
      <c r="C59" t="s">
        <v>2598</v>
      </c>
      <c r="D59" t="str">
        <f>VLOOKUP(A59,Sheet1!C:P,3,FALSE)</f>
        <v>OK_TGP_130_MG</v>
      </c>
      <c r="E59" t="str">
        <f>VLOOKUP($A59,Sheet1!$C:$P,9,FALSE)</f>
        <v>Quercus stellata Wangenh.</v>
      </c>
      <c r="F59" t="str">
        <f t="shared" si="3"/>
        <v>Quercus stellata OK_TGP_130_MG</v>
      </c>
      <c r="G59">
        <f t="shared" si="4"/>
        <v>17</v>
      </c>
      <c r="H59" t="str">
        <f t="shared" si="5"/>
        <v>Quercus stellata</v>
      </c>
    </row>
    <row r="60" spans="1:8" x14ac:dyDescent="0.4">
      <c r="A60" t="s">
        <v>2155</v>
      </c>
      <c r="B60" t="s">
        <v>8606</v>
      </c>
      <c r="C60" t="s">
        <v>2598</v>
      </c>
      <c r="D60" t="str">
        <f>VLOOKUP(A60,Sheet1!C:P,3,FALSE)</f>
        <v>TN_CLP_164_MG</v>
      </c>
      <c r="E60" t="str">
        <f>VLOOKUP($A60,Sheet1!$C:$P,9,FALSE)</f>
        <v>Quercus stellata Wangenh.</v>
      </c>
      <c r="F60" t="str">
        <f t="shared" si="3"/>
        <v>Quercus stellata TN_CLP_164_MG</v>
      </c>
      <c r="G60">
        <f t="shared" si="4"/>
        <v>17</v>
      </c>
      <c r="H60" t="str">
        <f t="shared" si="5"/>
        <v>Quercus stellata</v>
      </c>
    </row>
    <row r="61" spans="1:8" x14ac:dyDescent="0.4">
      <c r="A61" t="s">
        <v>2209</v>
      </c>
      <c r="B61" t="s">
        <v>8608</v>
      </c>
      <c r="C61" t="s">
        <v>2598</v>
      </c>
      <c r="D61" t="str">
        <f>VLOOKUP(A61,Sheet1!C:P,3,FALSE)</f>
        <v>TX_CHP_453_MG</v>
      </c>
      <c r="E61" t="str">
        <f>VLOOKUP($A61,Sheet1!$C:$P,9,FALSE)</f>
        <v>Quercus stellata Wangenh.</v>
      </c>
      <c r="F61" t="str">
        <f t="shared" si="3"/>
        <v>Quercus stellata TX_CHP_453_MG</v>
      </c>
      <c r="G61">
        <f t="shared" si="4"/>
        <v>17</v>
      </c>
      <c r="H61" t="str">
        <f t="shared" si="5"/>
        <v>Quercus stellata</v>
      </c>
    </row>
  </sheetData>
  <sortState xmlns:xlrd2="http://schemas.microsoft.com/office/spreadsheetml/2017/richdata2" ref="A2:H61">
    <sortCondition ref="F2:F61"/>
  </sortState>
  <phoneticPr fontId="1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7AFB6-8276-40B2-AD1F-8E40A8654F03}">
  <dimension ref="A1:E71"/>
  <sheetViews>
    <sheetView topLeftCell="A55" workbookViewId="0">
      <selection activeCell="G26" sqref="G26"/>
    </sheetView>
  </sheetViews>
  <sheetFormatPr defaultRowHeight="14.6" x14ac:dyDescent="0.4"/>
  <sheetData>
    <row r="1" spans="1:5" x14ac:dyDescent="0.4">
      <c r="A1" t="s">
        <v>9054</v>
      </c>
      <c r="B1" t="s">
        <v>9054</v>
      </c>
      <c r="C1" t="s">
        <v>9053</v>
      </c>
    </row>
    <row r="2" spans="1:5" x14ac:dyDescent="0.4">
      <c r="A2" t="s">
        <v>2135</v>
      </c>
      <c r="B2" t="s">
        <v>8691</v>
      </c>
      <c r="C2" t="s">
        <v>2600</v>
      </c>
      <c r="D2" t="str">
        <f>VLOOKUP(A2,Sheet1!C:Q,3,FALSE)</f>
        <v>TN_BCP_158_MG</v>
      </c>
      <c r="E2" t="s">
        <v>9113</v>
      </c>
    </row>
    <row r="3" spans="1:5" x14ac:dyDescent="0.4">
      <c r="A3" t="s">
        <v>1818</v>
      </c>
      <c r="B3" t="s">
        <v>8572</v>
      </c>
      <c r="C3" t="s">
        <v>2601</v>
      </c>
      <c r="D3" t="str">
        <f>VLOOKUP(A3,Sheet1!C:Q,3,FALSE)</f>
        <v>OH_GLW_250_MG</v>
      </c>
      <c r="E3" t="s">
        <v>9123</v>
      </c>
    </row>
    <row r="4" spans="1:5" x14ac:dyDescent="0.4">
      <c r="A4" t="s">
        <v>448</v>
      </c>
      <c r="B4" t="s">
        <v>8807</v>
      </c>
      <c r="C4" t="s">
        <v>2599</v>
      </c>
      <c r="D4" t="str">
        <f>VLOOKUP(A4,Sheet1!C:Q,3,FALSE)</f>
        <v>IN_MWT_475_MG</v>
      </c>
      <c r="E4" t="s">
        <v>9118</v>
      </c>
    </row>
    <row r="5" spans="1:5" x14ac:dyDescent="0.4">
      <c r="A5" t="s">
        <v>894</v>
      </c>
      <c r="B5" t="s">
        <v>8770</v>
      </c>
      <c r="C5" t="s">
        <v>2603</v>
      </c>
      <c r="D5" t="str">
        <f>VLOOKUP(A5,Sheet1!C:Q,3,FALSE)</f>
        <v>MA_BTC_386_MG</v>
      </c>
      <c r="E5" t="s">
        <v>9163</v>
      </c>
    </row>
    <row r="6" spans="1:5" x14ac:dyDescent="0.4">
      <c r="A6" t="s">
        <v>1727</v>
      </c>
      <c r="B6" t="s">
        <v>8602</v>
      </c>
      <c r="C6" t="s">
        <v>2604</v>
      </c>
      <c r="D6" t="str">
        <f>VLOOKUP(A6,Sheet1!C:Q,3,FALSE)</f>
        <v>NY_BKF_370_MG</v>
      </c>
      <c r="E6" t="s">
        <v>9158</v>
      </c>
    </row>
    <row r="7" spans="1:5" x14ac:dyDescent="0.4">
      <c r="A7" t="s">
        <v>2027</v>
      </c>
      <c r="B7" t="s">
        <v>8682</v>
      </c>
      <c r="C7" t="s">
        <v>2598</v>
      </c>
      <c r="D7" t="str">
        <f>VLOOKUP(A7,Sheet1!C:Q,3,FALSE)</f>
        <v>OK_TGP_129_MG</v>
      </c>
      <c r="E7" t="s">
        <v>9173</v>
      </c>
    </row>
    <row r="8" spans="1:5" x14ac:dyDescent="0.4">
      <c r="A8" t="s">
        <v>324</v>
      </c>
      <c r="B8" t="s">
        <v>8640</v>
      </c>
      <c r="C8" t="s">
        <v>2596</v>
      </c>
      <c r="D8" t="str">
        <f>VLOOKUP(A8,Sheet1!C:Q,3,FALSE)</f>
        <v>IL_OB_024_All</v>
      </c>
      <c r="E8" t="s">
        <v>9128</v>
      </c>
    </row>
    <row r="9" spans="1:5" x14ac:dyDescent="0.4">
      <c r="A9" t="s">
        <v>250</v>
      </c>
      <c r="B9" t="s">
        <v>8625</v>
      </c>
      <c r="C9" t="s">
        <v>2602</v>
      </c>
      <c r="D9" t="str">
        <f>VLOOKUP(A9,Sheet1!C:Q,3,FALSE)</f>
        <v>IL_HP_MG921_MG</v>
      </c>
      <c r="E9" t="s">
        <v>9153</v>
      </c>
    </row>
    <row r="10" spans="1:5" x14ac:dyDescent="0.4">
      <c r="A10" t="s">
        <v>2245</v>
      </c>
      <c r="B10" t="s">
        <v>8612</v>
      </c>
      <c r="C10" t="s">
        <v>2605</v>
      </c>
      <c r="D10" t="str">
        <f>VLOOKUP(A10,Sheet1!C:Q,3,FALSE)</f>
        <v>TX_PLM_442_MG</v>
      </c>
      <c r="E10" t="s">
        <v>9168</v>
      </c>
    </row>
    <row r="11" spans="1:5" x14ac:dyDescent="0.4">
      <c r="A11" t="s">
        <v>1968</v>
      </c>
      <c r="B11" t="s">
        <v>8672</v>
      </c>
      <c r="C11" t="s">
        <v>2621</v>
      </c>
      <c r="D11" t="str">
        <f>VLOOKUP(A11,Sheet1!C:Q,3,FALSE)</f>
        <v>OK_RRC_110_MG</v>
      </c>
      <c r="E11" t="s">
        <v>9148</v>
      </c>
    </row>
    <row r="12" spans="1:5" x14ac:dyDescent="0.4">
      <c r="A12" t="s">
        <v>2562</v>
      </c>
      <c r="B12" t="s">
        <v>8618</v>
      </c>
      <c r="C12" t="s">
        <v>2606</v>
      </c>
      <c r="D12">
        <f>VLOOKUP(A12,Sheet1!C:Q,3,FALSE)</f>
        <v>0</v>
      </c>
      <c r="E12" t="s">
        <v>9133</v>
      </c>
    </row>
    <row r="13" spans="1:5" x14ac:dyDescent="0.4">
      <c r="A13" t="s">
        <v>2593</v>
      </c>
      <c r="B13" t="s">
        <v>8624</v>
      </c>
      <c r="C13" t="s">
        <v>2607</v>
      </c>
      <c r="D13">
        <f>VLOOKUP(A13,Sheet1!C:Q,3,FALSE)</f>
        <v>0</v>
      </c>
      <c r="E13" t="s">
        <v>9178</v>
      </c>
    </row>
    <row r="14" spans="1:5" x14ac:dyDescent="0.4">
      <c r="A14" t="s">
        <v>1333</v>
      </c>
      <c r="B14" t="s">
        <v>8899</v>
      </c>
      <c r="C14" t="s">
        <v>9055</v>
      </c>
      <c r="D14" t="str">
        <f>VLOOKUP(A14,Sheet1!C:Q,3,FALSE)</f>
        <v>MN-MG765</v>
      </c>
      <c r="E14" t="s">
        <v>9138</v>
      </c>
    </row>
    <row r="15" spans="1:5" x14ac:dyDescent="0.4">
      <c r="A15" t="s">
        <v>2179</v>
      </c>
      <c r="B15" t="s">
        <v>8788</v>
      </c>
      <c r="C15" t="s">
        <v>9056</v>
      </c>
      <c r="D15" t="str">
        <f>VLOOKUP(A15,Sheet1!C:Q,3,FALSE)</f>
        <v>TX_BRZ_433_MG</v>
      </c>
      <c r="E15" t="s">
        <v>9143</v>
      </c>
    </row>
    <row r="16" spans="1:5" x14ac:dyDescent="0.4">
      <c r="A16" t="s">
        <v>494</v>
      </c>
      <c r="B16" t="s">
        <v>8812</v>
      </c>
      <c r="C16" t="s">
        <v>2600</v>
      </c>
      <c r="D16" t="str">
        <f>VLOOKUP(A16,Sheet1!C:Q,3,FALSE)</f>
        <v>IN_TYL_489_MG</v>
      </c>
      <c r="E16" t="s">
        <v>9114</v>
      </c>
    </row>
    <row r="17" spans="1:5" x14ac:dyDescent="0.4">
      <c r="A17" t="s">
        <v>1102</v>
      </c>
      <c r="B17" t="s">
        <v>8745</v>
      </c>
      <c r="C17" t="s">
        <v>2601</v>
      </c>
      <c r="D17" t="str">
        <f>VLOOKUP(A17,Sheet1!C:Q,3,FALSE)</f>
        <v>MI_LLP_288_MG</v>
      </c>
      <c r="E17" t="s">
        <v>9124</v>
      </c>
    </row>
    <row r="18" spans="1:5" x14ac:dyDescent="0.4">
      <c r="A18" t="s">
        <v>363</v>
      </c>
      <c r="B18" t="s">
        <v>8803</v>
      </c>
      <c r="C18" t="s">
        <v>2599</v>
      </c>
      <c r="D18" t="str">
        <f>VLOOKUP(A18,Sheet1!C:Q,3,FALSE)</f>
        <v>IL_RCA_464_MG</v>
      </c>
      <c r="E18" t="s">
        <v>9119</v>
      </c>
    </row>
    <row r="19" spans="1:5" x14ac:dyDescent="0.4">
      <c r="A19" t="s">
        <v>1128</v>
      </c>
      <c r="B19" t="s">
        <v>8738</v>
      </c>
      <c r="C19" t="s">
        <v>2603</v>
      </c>
      <c r="D19" t="str">
        <f>VLOOKUP(A19,Sheet1!C:Q,3,FALSE)</f>
        <v>MI_PRA_266_MG</v>
      </c>
      <c r="E19" t="s">
        <v>9164</v>
      </c>
    </row>
    <row r="20" spans="1:5" x14ac:dyDescent="0.4">
      <c r="A20" t="s">
        <v>1738</v>
      </c>
      <c r="B20" t="s">
        <v>8603</v>
      </c>
      <c r="C20" t="s">
        <v>2604</v>
      </c>
      <c r="D20" t="str">
        <f>VLOOKUP(A20,Sheet1!C:Q,3,FALSE)</f>
        <v>NY_BKF_372_MG</v>
      </c>
      <c r="E20" t="s">
        <v>9159</v>
      </c>
    </row>
    <row r="21" spans="1:5" x14ac:dyDescent="0.4">
      <c r="A21" t="s">
        <v>1608</v>
      </c>
      <c r="B21" t="s">
        <v>8668</v>
      </c>
      <c r="C21" t="s">
        <v>2598</v>
      </c>
      <c r="D21" t="str">
        <f>VLOOKUP(A21,Sheet1!C:Q,3,FALSE)</f>
        <v>MO_TRC_082_MG</v>
      </c>
      <c r="E21" t="s">
        <v>9174</v>
      </c>
    </row>
    <row r="22" spans="1:5" x14ac:dyDescent="0.4">
      <c r="A22" t="s">
        <v>1397</v>
      </c>
      <c r="B22" t="s">
        <v>8647</v>
      </c>
      <c r="C22" t="s">
        <v>2596</v>
      </c>
      <c r="D22" t="str">
        <f>VLOOKUP(A22,Sheet1!C:Q,3,FALSE)</f>
        <v>MO_BOT_034_All</v>
      </c>
      <c r="E22" t="s">
        <v>9129</v>
      </c>
    </row>
    <row r="23" spans="1:5" x14ac:dyDescent="0.4">
      <c r="A23" t="s">
        <v>1420</v>
      </c>
      <c r="B23" t="s">
        <v>8593</v>
      </c>
      <c r="C23" t="s">
        <v>2602</v>
      </c>
      <c r="D23" t="str">
        <f>VLOOKUP(A23,Sheet1!C:Q,3,FALSE)</f>
        <v>MO_BOT_041_All</v>
      </c>
      <c r="E23" t="s">
        <v>9154</v>
      </c>
    </row>
    <row r="24" spans="1:5" x14ac:dyDescent="0.4">
      <c r="A24" t="s">
        <v>2239</v>
      </c>
      <c r="B24" t="s">
        <v>8611</v>
      </c>
      <c r="C24" t="s">
        <v>2605</v>
      </c>
      <c r="D24" t="str">
        <f>VLOOKUP(A24,Sheet1!C:Q,3,FALSE)</f>
        <v>TX_PLM_440_MG</v>
      </c>
      <c r="E24" t="s">
        <v>9169</v>
      </c>
    </row>
    <row r="25" spans="1:5" x14ac:dyDescent="0.4">
      <c r="A25" t="s">
        <v>2036</v>
      </c>
      <c r="B25" t="s">
        <v>8684</v>
      </c>
      <c r="C25" t="s">
        <v>2621</v>
      </c>
      <c r="D25" t="str">
        <f>VLOOKUP(A25,Sheet1!C:Q,3,FALSE)</f>
        <v>OK_TGP_132_MG</v>
      </c>
      <c r="E25" t="s">
        <v>9149</v>
      </c>
    </row>
    <row r="26" spans="1:5" x14ac:dyDescent="0.4">
      <c r="A26" t="s">
        <v>2575</v>
      </c>
      <c r="B26" t="s">
        <v>8579</v>
      </c>
      <c r="C26" t="s">
        <v>2606</v>
      </c>
      <c r="D26">
        <f>VLOOKUP(A26,Sheet1!C:Q,3,FALSE)</f>
        <v>0</v>
      </c>
      <c r="E26" t="s">
        <v>9134</v>
      </c>
    </row>
    <row r="27" spans="1:5" x14ac:dyDescent="0.4">
      <c r="A27" t="s">
        <v>2588</v>
      </c>
      <c r="B27" t="s">
        <v>8621</v>
      </c>
      <c r="C27" t="s">
        <v>2607</v>
      </c>
      <c r="D27">
        <f>VLOOKUP(A27,Sheet1!C:Q,3,FALSE)</f>
        <v>0</v>
      </c>
      <c r="E27" t="s">
        <v>9179</v>
      </c>
    </row>
    <row r="28" spans="1:5" x14ac:dyDescent="0.4">
      <c r="A28" t="s">
        <v>1233</v>
      </c>
      <c r="B28" t="s">
        <v>9020</v>
      </c>
      <c r="C28" t="s">
        <v>9055</v>
      </c>
      <c r="D28" t="str">
        <f>VLOOKUP(A28,Sheet1!C:Q,3,FALSE)</f>
        <v>Minooka 2</v>
      </c>
      <c r="E28" t="s">
        <v>9139</v>
      </c>
    </row>
    <row r="29" spans="1:5" x14ac:dyDescent="0.4">
      <c r="A29" t="s">
        <v>1417</v>
      </c>
      <c r="B29" t="s">
        <v>8650</v>
      </c>
      <c r="C29" t="s">
        <v>9056</v>
      </c>
      <c r="D29" t="str">
        <f>VLOOKUP(A29,Sheet1!C:Q,3,FALSE)</f>
        <v>MO_BOT_040_All</v>
      </c>
      <c r="E29" t="s">
        <v>9144</v>
      </c>
    </row>
    <row r="30" spans="1:5" x14ac:dyDescent="0.4">
      <c r="A30" t="s">
        <v>692</v>
      </c>
      <c r="B30" t="s">
        <v>8750</v>
      </c>
      <c r="C30" t="s">
        <v>2600</v>
      </c>
      <c r="D30" t="str">
        <f>VLOOKUP(A30,Sheet1!C:Q,3,FALSE)</f>
        <v>KS_SMP_301_MG</v>
      </c>
      <c r="E30" t="s">
        <v>9115</v>
      </c>
    </row>
    <row r="31" spans="1:5" x14ac:dyDescent="0.4">
      <c r="A31" t="s">
        <v>503</v>
      </c>
      <c r="B31" t="s">
        <v>8569</v>
      </c>
      <c r="C31" t="s">
        <v>2601</v>
      </c>
      <c r="D31" t="str">
        <f>VLOOKUP(A31,Sheet1!C:Q,3,FALSE)</f>
        <v>IN_TYL_492_MG</v>
      </c>
      <c r="E31" t="s">
        <v>9125</v>
      </c>
    </row>
    <row r="32" spans="1:5" x14ac:dyDescent="0.4">
      <c r="A32" t="s">
        <v>906</v>
      </c>
      <c r="B32" t="s">
        <v>8771</v>
      </c>
      <c r="C32" t="s">
        <v>2599</v>
      </c>
      <c r="D32" t="str">
        <f>VLOOKUP(A32,Sheet1!C:Q,3,FALSE)</f>
        <v>MA_BTC_389_MG</v>
      </c>
      <c r="E32" t="s">
        <v>9120</v>
      </c>
    </row>
    <row r="33" spans="1:5" x14ac:dyDescent="0.4">
      <c r="A33" t="s">
        <v>1134</v>
      </c>
      <c r="B33" t="s">
        <v>8739</v>
      </c>
      <c r="C33" t="s">
        <v>2603</v>
      </c>
      <c r="D33" t="str">
        <f>VLOOKUP(A33,Sheet1!C:Q,3,FALSE)</f>
        <v>MI_PRA_268_MG</v>
      </c>
      <c r="E33" t="s">
        <v>9165</v>
      </c>
    </row>
    <row r="34" spans="1:5" x14ac:dyDescent="0.4">
      <c r="A34" t="s">
        <v>1744</v>
      </c>
      <c r="B34" t="s">
        <v>8599</v>
      </c>
      <c r="C34" t="s">
        <v>2604</v>
      </c>
      <c r="D34" t="str">
        <f>VLOOKUP(A34,Sheet1!C:Q,3,FALSE)</f>
        <v>NY_BKF_374_MG</v>
      </c>
      <c r="E34" t="s">
        <v>9160</v>
      </c>
    </row>
    <row r="35" spans="1:5" x14ac:dyDescent="0.4">
      <c r="A35" t="s">
        <v>716</v>
      </c>
      <c r="B35" t="s">
        <v>8753</v>
      </c>
      <c r="C35" t="s">
        <v>2598</v>
      </c>
      <c r="D35" t="str">
        <f>VLOOKUP(A35,Sheet1!C:Q,3,FALSE)</f>
        <v>KS_SMP_309_MG</v>
      </c>
      <c r="E35" t="s">
        <v>9175</v>
      </c>
    </row>
    <row r="36" spans="1:5" x14ac:dyDescent="0.4">
      <c r="A36" t="s">
        <v>858</v>
      </c>
      <c r="B36" t="s">
        <v>8574</v>
      </c>
      <c r="C36" t="s">
        <v>2596</v>
      </c>
      <c r="D36" t="str">
        <f>VLOOKUP(A36,Sheet1!C:Q,3,FALSE)</f>
        <v>KY_JJA_203_MG</v>
      </c>
      <c r="E36" t="s">
        <v>9130</v>
      </c>
    </row>
    <row r="37" spans="1:5" x14ac:dyDescent="0.4">
      <c r="A37" t="s">
        <v>2182</v>
      </c>
      <c r="B37" t="s">
        <v>8590</v>
      </c>
      <c r="C37" t="s">
        <v>2602</v>
      </c>
      <c r="D37" t="str">
        <f>VLOOKUP(A37,Sheet1!C:Q,3,FALSE)</f>
        <v>TX_BRZ_434_MG</v>
      </c>
      <c r="E37" t="s">
        <v>9155</v>
      </c>
    </row>
    <row r="38" spans="1:5" x14ac:dyDescent="0.4">
      <c r="A38" t="s">
        <v>2254</v>
      </c>
      <c r="B38" t="s">
        <v>8794</v>
      </c>
      <c r="C38" t="s">
        <v>2605</v>
      </c>
      <c r="D38" t="str">
        <f>VLOOKUP(A38,Sheet1!C:Q,3,FALSE)</f>
        <v>TX_PLM_445_MG</v>
      </c>
      <c r="E38" t="s">
        <v>9170</v>
      </c>
    </row>
    <row r="39" spans="1:5" x14ac:dyDescent="0.4">
      <c r="A39" t="s">
        <v>1971</v>
      </c>
      <c r="B39" t="s">
        <v>8673</v>
      </c>
      <c r="C39" t="s">
        <v>2621</v>
      </c>
      <c r="D39" t="str">
        <f>VLOOKUP(A39,Sheet1!C:Q,3,FALSE)</f>
        <v>OK_RRC_111_MG</v>
      </c>
      <c r="E39" t="s">
        <v>9150</v>
      </c>
    </row>
    <row r="40" spans="1:5" x14ac:dyDescent="0.4">
      <c r="A40" t="s">
        <v>2568</v>
      </c>
      <c r="B40" t="s">
        <v>8582</v>
      </c>
      <c r="C40" t="s">
        <v>2606</v>
      </c>
      <c r="D40">
        <f>VLOOKUP(A40,Sheet1!C:Q,3,FALSE)</f>
        <v>0</v>
      </c>
      <c r="E40" t="s">
        <v>9135</v>
      </c>
    </row>
    <row r="41" spans="1:5" x14ac:dyDescent="0.4">
      <c r="A41" t="s">
        <v>2592</v>
      </c>
      <c r="B41" t="s">
        <v>8623</v>
      </c>
      <c r="C41" t="s">
        <v>2607</v>
      </c>
      <c r="D41">
        <f>VLOOKUP(A41,Sheet1!C:Q,3,FALSE)</f>
        <v>0</v>
      </c>
      <c r="E41" t="s">
        <v>9180</v>
      </c>
    </row>
    <row r="42" spans="1:5" x14ac:dyDescent="0.4">
      <c r="A42" t="s">
        <v>1366</v>
      </c>
      <c r="B42" t="s">
        <v>8909</v>
      </c>
      <c r="C42" t="s">
        <v>9055</v>
      </c>
      <c r="D42" t="str">
        <f>VLOOKUP(A42,Sheet1!C:Q,3,FALSE)</f>
        <v>MN-MG775</v>
      </c>
      <c r="E42" t="s">
        <v>9140</v>
      </c>
    </row>
    <row r="43" spans="1:5" x14ac:dyDescent="0.4">
      <c r="A43" t="s">
        <v>2248</v>
      </c>
      <c r="B43" t="s">
        <v>8792</v>
      </c>
      <c r="C43" t="s">
        <v>9056</v>
      </c>
      <c r="D43" t="str">
        <f>VLOOKUP(A43,Sheet1!C:Q,3,FALSE)</f>
        <v>TX_PLM_443_MG</v>
      </c>
      <c r="E43" t="s">
        <v>9145</v>
      </c>
    </row>
    <row r="44" spans="1:5" x14ac:dyDescent="0.4">
      <c r="A44" t="s">
        <v>773</v>
      </c>
      <c r="B44" t="s">
        <v>8698</v>
      </c>
      <c r="C44" t="s">
        <v>2600</v>
      </c>
      <c r="D44" t="str">
        <f>VLOOKUP(A44,Sheet1!C:Q,3,FALSE)</f>
        <v>KY_BBF_176_MG</v>
      </c>
      <c r="E44" t="s">
        <v>9116</v>
      </c>
    </row>
    <row r="45" spans="1:5" x14ac:dyDescent="0.4">
      <c r="A45" t="s">
        <v>453</v>
      </c>
      <c r="B45" t="s">
        <v>8573</v>
      </c>
      <c r="C45" t="s">
        <v>2601</v>
      </c>
      <c r="D45" t="str">
        <f>VLOOKUP(A45,Sheet1!C:Q,3,FALSE)</f>
        <v>IN_MWT_476_MG</v>
      </c>
      <c r="E45" t="s">
        <v>9126</v>
      </c>
    </row>
    <row r="46" spans="1:5" x14ac:dyDescent="0.4">
      <c r="A46" t="s">
        <v>1579</v>
      </c>
      <c r="B46" t="s">
        <v>8637</v>
      </c>
      <c r="C46" t="s">
        <v>2599</v>
      </c>
      <c r="D46" t="str">
        <f>VLOOKUP(A46,Sheet1!C:Q,3,FALSE)</f>
        <v>MO_SH_020_All</v>
      </c>
      <c r="E46" t="s">
        <v>9121</v>
      </c>
    </row>
    <row r="47" spans="1:5" x14ac:dyDescent="0.4">
      <c r="A47" t="s">
        <v>1662</v>
      </c>
      <c r="B47" t="s">
        <v>8769</v>
      </c>
      <c r="C47" t="s">
        <v>2603</v>
      </c>
      <c r="D47" t="str">
        <f>VLOOKUP(A47,Sheet1!C:Q,3,FALSE)</f>
        <v>NY_APB_378_MG</v>
      </c>
      <c r="E47" t="s">
        <v>9166</v>
      </c>
    </row>
    <row r="48" spans="1:5" x14ac:dyDescent="0.4">
      <c r="A48" t="s">
        <v>1887</v>
      </c>
      <c r="B48" t="s">
        <v>8600</v>
      </c>
      <c r="C48" t="s">
        <v>2604</v>
      </c>
      <c r="D48" t="str">
        <f>VLOOKUP(A48,Sheet1!C:Q,3,FALSE)</f>
        <v>OH_STR_520_MG</v>
      </c>
      <c r="E48" t="s">
        <v>9161</v>
      </c>
    </row>
    <row r="49" spans="1:5" x14ac:dyDescent="0.4">
      <c r="A49" t="s">
        <v>2039</v>
      </c>
      <c r="B49" t="s">
        <v>8685</v>
      </c>
      <c r="C49" t="s">
        <v>2598</v>
      </c>
      <c r="D49" t="str">
        <f>VLOOKUP(A49,Sheet1!C:Q,3,FALSE)</f>
        <v>OK_TGP_133_MG</v>
      </c>
      <c r="E49" t="s">
        <v>9176</v>
      </c>
    </row>
    <row r="50" spans="1:5" x14ac:dyDescent="0.4">
      <c r="A50" t="s">
        <v>102</v>
      </c>
      <c r="B50" t="s">
        <v>8784</v>
      </c>
      <c r="C50" t="s">
        <v>2596</v>
      </c>
      <c r="D50" t="str">
        <f>VLOOKUP(A50,Sheet1!C:Q,3,FALSE)</f>
        <v>AR_BRP_427_MG</v>
      </c>
      <c r="E50" t="s">
        <v>9131</v>
      </c>
    </row>
    <row r="51" spans="1:5" x14ac:dyDescent="0.4">
      <c r="A51" t="s">
        <v>236</v>
      </c>
      <c r="B51" t="s">
        <v>8589</v>
      </c>
      <c r="C51" t="s">
        <v>2602</v>
      </c>
      <c r="D51" t="str">
        <f>VLOOKUP(A51,Sheet1!C:Q,3,FALSE)</f>
        <v>IL_HP_MG919_MG</v>
      </c>
      <c r="E51" t="s">
        <v>9156</v>
      </c>
    </row>
    <row r="52" spans="1:5" x14ac:dyDescent="0.4">
      <c r="A52" t="s">
        <v>2257</v>
      </c>
      <c r="B52" t="s">
        <v>8609</v>
      </c>
      <c r="C52" t="s">
        <v>2605</v>
      </c>
      <c r="D52" t="str">
        <f>VLOOKUP(A52,Sheet1!C:Q,3,FALSE)</f>
        <v>TX_PLM_446_MG</v>
      </c>
      <c r="E52" t="s">
        <v>9171</v>
      </c>
    </row>
    <row r="53" spans="1:5" x14ac:dyDescent="0.4">
      <c r="A53" t="s">
        <v>2001</v>
      </c>
      <c r="B53" t="s">
        <v>8677</v>
      </c>
      <c r="C53" t="s">
        <v>2621</v>
      </c>
      <c r="D53" t="str">
        <f>VLOOKUP(A53,Sheet1!C:Q,3,FALSE)</f>
        <v>OK_RRC_121_MG</v>
      </c>
      <c r="E53" t="s">
        <v>9151</v>
      </c>
    </row>
    <row r="54" spans="1:5" x14ac:dyDescent="0.4">
      <c r="A54" t="s">
        <v>2571</v>
      </c>
      <c r="B54" t="s">
        <v>8581</v>
      </c>
      <c r="C54" t="s">
        <v>2606</v>
      </c>
      <c r="D54">
        <f>VLOOKUP(A54,Sheet1!C:Q,3,FALSE)</f>
        <v>0</v>
      </c>
      <c r="E54" t="s">
        <v>9136</v>
      </c>
    </row>
    <row r="55" spans="1:5" x14ac:dyDescent="0.4">
      <c r="A55" t="s">
        <v>2586</v>
      </c>
      <c r="B55" t="s">
        <v>8619</v>
      </c>
      <c r="C55" t="s">
        <v>2607</v>
      </c>
      <c r="D55">
        <f>VLOOKUP(A55,Sheet1!C:Q,3,FALSE)</f>
        <v>0</v>
      </c>
      <c r="E55" t="s">
        <v>9181</v>
      </c>
    </row>
    <row r="56" spans="1:5" x14ac:dyDescent="0.4">
      <c r="A56" t="s">
        <v>1041</v>
      </c>
      <c r="B56" t="s">
        <v>8849</v>
      </c>
      <c r="C56" t="s">
        <v>9055</v>
      </c>
      <c r="D56" t="str">
        <f>VLOOKUP(A56,Sheet1!C:Q,3,FALSE)</f>
        <v>MB-MG526</v>
      </c>
      <c r="E56" t="s">
        <v>9141</v>
      </c>
    </row>
    <row r="57" spans="1:5" x14ac:dyDescent="0.4">
      <c r="A57" t="s">
        <v>2188</v>
      </c>
      <c r="B57" t="s">
        <v>8789</v>
      </c>
      <c r="C57" t="s">
        <v>9056</v>
      </c>
      <c r="D57" t="str">
        <f>VLOOKUP(A57,Sheet1!C:Q,3,FALSE)</f>
        <v>TX_BRZ_436_MG</v>
      </c>
      <c r="E57" t="s">
        <v>9146</v>
      </c>
    </row>
    <row r="58" spans="1:5" x14ac:dyDescent="0.4">
      <c r="A58" t="s">
        <v>1605</v>
      </c>
      <c r="B58" t="s">
        <v>8667</v>
      </c>
      <c r="C58" t="s">
        <v>2600</v>
      </c>
      <c r="D58" t="str">
        <f>VLOOKUP(A58,Sheet1!C:Q,3,FALSE)</f>
        <v>MO_TRC_081_MG</v>
      </c>
      <c r="E58" t="s">
        <v>9117</v>
      </c>
    </row>
    <row r="59" spans="1:5" x14ac:dyDescent="0.4">
      <c r="A59" t="s">
        <v>1087</v>
      </c>
      <c r="B59" t="s">
        <v>8744</v>
      </c>
      <c r="C59" t="s">
        <v>2601</v>
      </c>
      <c r="D59" t="str">
        <f>VLOOKUP(A59,Sheet1!C:Q,3,FALSE)</f>
        <v>MI_LLP_284_MG</v>
      </c>
      <c r="E59" t="s">
        <v>9127</v>
      </c>
    </row>
    <row r="60" spans="1:5" x14ac:dyDescent="0.4">
      <c r="A60" t="s">
        <v>2336</v>
      </c>
      <c r="B60" t="s">
        <v>8715</v>
      </c>
      <c r="C60" t="s">
        <v>2599</v>
      </c>
      <c r="D60" t="str">
        <f>VLOOKUP(A60,Sheet1!C:Q,3,FALSE)</f>
        <v>WI_THB_218_MG</v>
      </c>
      <c r="E60" t="s">
        <v>9122</v>
      </c>
    </row>
    <row r="61" spans="1:5" x14ac:dyDescent="0.4">
      <c r="A61" t="s">
        <v>1123</v>
      </c>
      <c r="B61" t="s">
        <v>8737</v>
      </c>
      <c r="C61" t="s">
        <v>2603</v>
      </c>
      <c r="D61" t="str">
        <f>VLOOKUP(A61,Sheet1!C:Q,3,FALSE)</f>
        <v>MI_PRA_265_MG</v>
      </c>
      <c r="E61" t="s">
        <v>9167</v>
      </c>
    </row>
    <row r="62" spans="1:5" x14ac:dyDescent="0.4">
      <c r="A62" t="s">
        <v>1881</v>
      </c>
      <c r="B62" t="s">
        <v>8818</v>
      </c>
      <c r="C62" t="s">
        <v>2604</v>
      </c>
      <c r="D62" t="str">
        <f>VLOOKUP(A62,Sheet1!C:Q,3,FALSE)</f>
        <v>OH_STR_518_MG</v>
      </c>
      <c r="E62" t="s">
        <v>9162</v>
      </c>
    </row>
    <row r="63" spans="1:5" x14ac:dyDescent="0.4">
      <c r="A63" t="s">
        <v>2155</v>
      </c>
      <c r="B63" t="s">
        <v>8606</v>
      </c>
      <c r="C63" t="s">
        <v>2598</v>
      </c>
      <c r="D63" t="str">
        <f>VLOOKUP(A63,Sheet1!C:Q,3,FALSE)</f>
        <v>TN_CLP_164_MG</v>
      </c>
      <c r="E63" t="s">
        <v>9177</v>
      </c>
    </row>
    <row r="64" spans="1:5" x14ac:dyDescent="0.4">
      <c r="A64" t="s">
        <v>844</v>
      </c>
      <c r="B64" t="s">
        <v>8708</v>
      </c>
      <c r="C64" t="s">
        <v>2596</v>
      </c>
      <c r="D64" t="str">
        <f>VLOOKUP(A64,Sheet1!C:Q,3,FALSE)</f>
        <v>KY_JJA_199_MG</v>
      </c>
      <c r="E64" t="s">
        <v>9132</v>
      </c>
    </row>
    <row r="65" spans="1:5" x14ac:dyDescent="0.4">
      <c r="A65" t="s">
        <v>855</v>
      </c>
      <c r="B65" t="s">
        <v>8591</v>
      </c>
      <c r="C65" t="s">
        <v>2602</v>
      </c>
      <c r="D65" t="str">
        <f>VLOOKUP(A65,Sheet1!C:Q,3,FALSE)</f>
        <v>KY_JJA_202_MG</v>
      </c>
      <c r="E65" t="s">
        <v>9157</v>
      </c>
    </row>
    <row r="66" spans="1:5" x14ac:dyDescent="0.4">
      <c r="A66" t="s">
        <v>2224</v>
      </c>
      <c r="B66" t="s">
        <v>8613</v>
      </c>
      <c r="C66" t="s">
        <v>2605</v>
      </c>
      <c r="D66" t="str">
        <f>VLOOKUP(A66,Sheet1!C:Q,3,FALSE)</f>
        <v>TX_CHP_458_MG</v>
      </c>
      <c r="E66" t="s">
        <v>9172</v>
      </c>
    </row>
    <row r="67" spans="1:5" x14ac:dyDescent="0.4">
      <c r="A67" t="s">
        <v>1959</v>
      </c>
      <c r="B67" t="s">
        <v>8670</v>
      </c>
      <c r="C67" t="s">
        <v>2621</v>
      </c>
      <c r="D67" t="str">
        <f>VLOOKUP(A67,Sheet1!C:Q,3,FALSE)</f>
        <v>OK_RRC_107_MG</v>
      </c>
      <c r="E67" t="s">
        <v>9152</v>
      </c>
    </row>
    <row r="68" spans="1:5" x14ac:dyDescent="0.4">
      <c r="A68" t="s">
        <v>2573</v>
      </c>
      <c r="B68" t="s">
        <v>8580</v>
      </c>
      <c r="C68" t="s">
        <v>2606</v>
      </c>
      <c r="D68">
        <f>VLOOKUP(A68,Sheet1!C:Q,3,FALSE)</f>
        <v>0</v>
      </c>
      <c r="E68" t="s">
        <v>9137</v>
      </c>
    </row>
    <row r="69" spans="1:5" x14ac:dyDescent="0.4">
      <c r="A69" t="s">
        <v>2590</v>
      </c>
      <c r="B69" t="s">
        <v>8622</v>
      </c>
      <c r="C69" t="s">
        <v>2607</v>
      </c>
      <c r="D69">
        <f>VLOOKUP(A69,Sheet1!C:Q,3,FALSE)</f>
        <v>0</v>
      </c>
      <c r="E69" t="s">
        <v>9182</v>
      </c>
    </row>
    <row r="70" spans="1:5" x14ac:dyDescent="0.4">
      <c r="A70" t="s">
        <v>1357</v>
      </c>
      <c r="B70" t="s">
        <v>8906</v>
      </c>
      <c r="C70" t="s">
        <v>9055</v>
      </c>
      <c r="D70" t="str">
        <f>VLOOKUP(A70,Sheet1!C:Q,3,FALSE)</f>
        <v>MN-MG772</v>
      </c>
      <c r="E70" t="s">
        <v>9142</v>
      </c>
    </row>
    <row r="71" spans="1:5" x14ac:dyDescent="0.4">
      <c r="A71" t="s">
        <v>2173</v>
      </c>
      <c r="B71" t="s">
        <v>8786</v>
      </c>
      <c r="C71" t="s">
        <v>9056</v>
      </c>
      <c r="D71" t="str">
        <f>VLOOKUP(A71,Sheet1!C:Q,3,FALSE)</f>
        <v>TX_BRZ_431_MG</v>
      </c>
      <c r="E71" t="s">
        <v>9147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29EE4-6098-4C19-9186-FC9A076C3329}">
  <dimension ref="A1:C348"/>
  <sheetViews>
    <sheetView workbookViewId="0">
      <selection activeCell="F349" sqref="F349"/>
    </sheetView>
  </sheetViews>
  <sheetFormatPr defaultRowHeight="14.6" x14ac:dyDescent="0.4"/>
  <sheetData>
    <row r="1" spans="1:3" x14ac:dyDescent="0.4">
      <c r="A1" t="s">
        <v>8998</v>
      </c>
      <c r="B1" t="s">
        <v>8946</v>
      </c>
      <c r="C1" t="s">
        <v>8999</v>
      </c>
    </row>
    <row r="2" spans="1:3" x14ac:dyDescent="0.4">
      <c r="A2" t="s">
        <v>2562</v>
      </c>
      <c r="B2" t="s">
        <v>8618</v>
      </c>
      <c r="C2" t="s">
        <v>2606</v>
      </c>
    </row>
    <row r="3" spans="1:3" x14ac:dyDescent="0.4">
      <c r="A3" t="s">
        <v>2568</v>
      </c>
      <c r="B3" t="s">
        <v>8582</v>
      </c>
      <c r="C3" t="s">
        <v>2606</v>
      </c>
    </row>
    <row r="4" spans="1:3" x14ac:dyDescent="0.4">
      <c r="A4" t="s">
        <v>2571</v>
      </c>
      <c r="B4" t="s">
        <v>8581</v>
      </c>
      <c r="C4" t="s">
        <v>2606</v>
      </c>
    </row>
    <row r="5" spans="1:3" x14ac:dyDescent="0.4">
      <c r="A5" t="s">
        <v>2573</v>
      </c>
      <c r="B5" t="s">
        <v>8580</v>
      </c>
      <c r="C5" t="s">
        <v>2606</v>
      </c>
    </row>
    <row r="6" spans="1:3" x14ac:dyDescent="0.4">
      <c r="A6" t="s">
        <v>2575</v>
      </c>
      <c r="B6" t="s">
        <v>8579</v>
      </c>
      <c r="C6" t="s">
        <v>2606</v>
      </c>
    </row>
    <row r="7" spans="1:3" x14ac:dyDescent="0.4">
      <c r="A7" t="s">
        <v>2586</v>
      </c>
      <c r="B7" t="s">
        <v>8619</v>
      </c>
      <c r="C7" t="s">
        <v>8620</v>
      </c>
    </row>
    <row r="8" spans="1:3" x14ac:dyDescent="0.4">
      <c r="A8" t="s">
        <v>2588</v>
      </c>
      <c r="B8" t="s">
        <v>8621</v>
      </c>
      <c r="C8" t="s">
        <v>8620</v>
      </c>
    </row>
    <row r="9" spans="1:3" x14ac:dyDescent="0.4">
      <c r="A9" t="s">
        <v>2590</v>
      </c>
      <c r="B9" t="s">
        <v>8622</v>
      </c>
      <c r="C9" t="s">
        <v>8620</v>
      </c>
    </row>
    <row r="10" spans="1:3" x14ac:dyDescent="0.4">
      <c r="A10" t="s">
        <v>2592</v>
      </c>
      <c r="B10" t="s">
        <v>8623</v>
      </c>
      <c r="C10" t="s">
        <v>8620</v>
      </c>
    </row>
    <row r="11" spans="1:3" x14ac:dyDescent="0.4">
      <c r="A11" t="s">
        <v>2593</v>
      </c>
      <c r="B11" t="s">
        <v>8624</v>
      </c>
      <c r="C11" t="s">
        <v>8620</v>
      </c>
    </row>
    <row r="12" spans="1:3" x14ac:dyDescent="0.4">
      <c r="A12" t="s">
        <v>236</v>
      </c>
      <c r="B12" t="s">
        <v>8589</v>
      </c>
      <c r="C12" t="s">
        <v>8652</v>
      </c>
    </row>
    <row r="13" spans="1:3" x14ac:dyDescent="0.4">
      <c r="A13" t="s">
        <v>250</v>
      </c>
      <c r="B13" t="s">
        <v>8625</v>
      </c>
      <c r="C13" t="s">
        <v>8652</v>
      </c>
    </row>
    <row r="14" spans="1:3" x14ac:dyDescent="0.4">
      <c r="A14" t="s">
        <v>1525</v>
      </c>
      <c r="B14" t="s">
        <v>8626</v>
      </c>
      <c r="C14" t="s">
        <v>8947</v>
      </c>
    </row>
    <row r="15" spans="1:3" x14ac:dyDescent="0.4">
      <c r="A15" t="s">
        <v>1528</v>
      </c>
      <c r="B15" t="s">
        <v>8627</v>
      </c>
      <c r="C15" t="s">
        <v>8947</v>
      </c>
    </row>
    <row r="16" spans="1:3" x14ac:dyDescent="0.4">
      <c r="A16" t="s">
        <v>1531</v>
      </c>
      <c r="B16" t="s">
        <v>8628</v>
      </c>
      <c r="C16" t="s">
        <v>8947</v>
      </c>
    </row>
    <row r="17" spans="1:3" x14ac:dyDescent="0.4">
      <c r="A17" t="s">
        <v>1534</v>
      </c>
      <c r="B17" t="s">
        <v>8629</v>
      </c>
      <c r="C17" t="s">
        <v>8947</v>
      </c>
    </row>
    <row r="18" spans="1:3" x14ac:dyDescent="0.4">
      <c r="A18" t="s">
        <v>1537</v>
      </c>
      <c r="B18" t="s">
        <v>8630</v>
      </c>
      <c r="C18" t="s">
        <v>8947</v>
      </c>
    </row>
    <row r="19" spans="1:3" x14ac:dyDescent="0.4">
      <c r="A19" t="s">
        <v>254</v>
      </c>
      <c r="B19" t="s">
        <v>8631</v>
      </c>
      <c r="C19" t="s">
        <v>8948</v>
      </c>
    </row>
    <row r="20" spans="1:3" x14ac:dyDescent="0.4">
      <c r="A20" t="s">
        <v>265</v>
      </c>
      <c r="B20" t="s">
        <v>8632</v>
      </c>
      <c r="C20" t="s">
        <v>8948</v>
      </c>
    </row>
    <row r="21" spans="1:3" x14ac:dyDescent="0.4">
      <c r="A21" t="s">
        <v>287</v>
      </c>
      <c r="B21" t="s">
        <v>8633</v>
      </c>
      <c r="C21" t="s">
        <v>8948</v>
      </c>
    </row>
    <row r="22" spans="1:3" x14ac:dyDescent="0.4">
      <c r="A22" t="s">
        <v>291</v>
      </c>
      <c r="B22" t="s">
        <v>8634</v>
      </c>
      <c r="C22" t="s">
        <v>8948</v>
      </c>
    </row>
    <row r="23" spans="1:3" x14ac:dyDescent="0.4">
      <c r="A23" t="s">
        <v>299</v>
      </c>
      <c r="B23" t="s">
        <v>8635</v>
      </c>
      <c r="C23" t="s">
        <v>8948</v>
      </c>
    </row>
    <row r="24" spans="1:3" x14ac:dyDescent="0.4">
      <c r="A24" t="s">
        <v>303</v>
      </c>
      <c r="B24" t="s">
        <v>8636</v>
      </c>
      <c r="C24" t="s">
        <v>8948</v>
      </c>
    </row>
    <row r="25" spans="1:3" x14ac:dyDescent="0.4">
      <c r="A25" t="s">
        <v>1579</v>
      </c>
      <c r="B25" t="s">
        <v>8637</v>
      </c>
      <c r="C25" t="s">
        <v>2599</v>
      </c>
    </row>
    <row r="26" spans="1:3" x14ac:dyDescent="0.4">
      <c r="A26" t="s">
        <v>311</v>
      </c>
      <c r="B26" t="s">
        <v>8638</v>
      </c>
      <c r="C26" t="s">
        <v>8949</v>
      </c>
    </row>
    <row r="27" spans="1:3" x14ac:dyDescent="0.4">
      <c r="A27" t="s">
        <v>321</v>
      </c>
      <c r="B27" t="s">
        <v>8639</v>
      </c>
      <c r="C27" t="s">
        <v>8949</v>
      </c>
    </row>
    <row r="28" spans="1:3" x14ac:dyDescent="0.4">
      <c r="A28" t="s">
        <v>324</v>
      </c>
      <c r="B28" t="s">
        <v>8640</v>
      </c>
      <c r="C28" t="s">
        <v>2596</v>
      </c>
    </row>
    <row r="29" spans="1:3" x14ac:dyDescent="0.4">
      <c r="A29" t="s">
        <v>330</v>
      </c>
      <c r="B29" t="s">
        <v>8641</v>
      </c>
      <c r="C29" t="s">
        <v>8949</v>
      </c>
    </row>
    <row r="30" spans="1:3" x14ac:dyDescent="0.4">
      <c r="A30" t="s">
        <v>333</v>
      </c>
      <c r="B30" t="s">
        <v>8642</v>
      </c>
      <c r="C30" t="s">
        <v>8949</v>
      </c>
    </row>
    <row r="31" spans="1:3" x14ac:dyDescent="0.4">
      <c r="A31" t="s">
        <v>339</v>
      </c>
      <c r="B31" t="s">
        <v>8643</v>
      </c>
      <c r="C31" t="s">
        <v>8949</v>
      </c>
    </row>
    <row r="32" spans="1:3" x14ac:dyDescent="0.4">
      <c r="A32" t="s">
        <v>1385</v>
      </c>
      <c r="B32" t="s">
        <v>8644</v>
      </c>
      <c r="C32" t="s">
        <v>8950</v>
      </c>
    </row>
    <row r="33" spans="1:3" x14ac:dyDescent="0.4">
      <c r="A33" t="s">
        <v>1391</v>
      </c>
      <c r="B33" t="s">
        <v>8645</v>
      </c>
      <c r="C33" t="s">
        <v>8950</v>
      </c>
    </row>
    <row r="34" spans="1:3" x14ac:dyDescent="0.4">
      <c r="A34" t="s">
        <v>1394</v>
      </c>
      <c r="B34" t="s">
        <v>8646</v>
      </c>
      <c r="C34" t="s">
        <v>8950</v>
      </c>
    </row>
    <row r="35" spans="1:3" x14ac:dyDescent="0.4">
      <c r="A35" t="s">
        <v>1397</v>
      </c>
      <c r="B35" t="s">
        <v>8647</v>
      </c>
      <c r="C35" t="s">
        <v>2596</v>
      </c>
    </row>
    <row r="36" spans="1:3" x14ac:dyDescent="0.4">
      <c r="A36" t="s">
        <v>1400</v>
      </c>
      <c r="B36" t="s">
        <v>8648</v>
      </c>
      <c r="C36" t="s">
        <v>8950</v>
      </c>
    </row>
    <row r="37" spans="1:3" x14ac:dyDescent="0.4">
      <c r="A37" t="s">
        <v>1409</v>
      </c>
      <c r="B37" t="s">
        <v>8649</v>
      </c>
      <c r="C37" t="s">
        <v>8950</v>
      </c>
    </row>
    <row r="38" spans="1:3" x14ac:dyDescent="0.4">
      <c r="A38" t="s">
        <v>1417</v>
      </c>
      <c r="B38" t="s">
        <v>8650</v>
      </c>
      <c r="C38" t="s">
        <v>8950</v>
      </c>
    </row>
    <row r="39" spans="1:3" x14ac:dyDescent="0.4">
      <c r="A39" t="s">
        <v>1420</v>
      </c>
      <c r="B39" t="s">
        <v>8593</v>
      </c>
      <c r="C39" t="s">
        <v>8652</v>
      </c>
    </row>
    <row r="40" spans="1:3" x14ac:dyDescent="0.4">
      <c r="A40" t="s">
        <v>1426</v>
      </c>
      <c r="B40" t="s">
        <v>8651</v>
      </c>
      <c r="C40" t="s">
        <v>8652</v>
      </c>
    </row>
    <row r="41" spans="1:3" x14ac:dyDescent="0.4">
      <c r="A41" t="s">
        <v>111</v>
      </c>
      <c r="B41" t="s">
        <v>8653</v>
      </c>
      <c r="C41" t="s">
        <v>8951</v>
      </c>
    </row>
    <row r="42" spans="1:3" x14ac:dyDescent="0.4">
      <c r="A42" t="s">
        <v>120</v>
      </c>
      <c r="B42" t="s">
        <v>8654</v>
      </c>
      <c r="C42" t="s">
        <v>8951</v>
      </c>
    </row>
    <row r="43" spans="1:3" x14ac:dyDescent="0.4">
      <c r="A43" t="s">
        <v>123</v>
      </c>
      <c r="B43" t="s">
        <v>8655</v>
      </c>
      <c r="C43" t="s">
        <v>8951</v>
      </c>
    </row>
    <row r="44" spans="1:3" x14ac:dyDescent="0.4">
      <c r="A44" t="s">
        <v>126</v>
      </c>
      <c r="B44" t="s">
        <v>8656</v>
      </c>
      <c r="C44" t="s">
        <v>8951</v>
      </c>
    </row>
    <row r="45" spans="1:3" x14ac:dyDescent="0.4">
      <c r="A45" t="s">
        <v>129</v>
      </c>
      <c r="B45" t="s">
        <v>8657</v>
      </c>
      <c r="C45" t="s">
        <v>8951</v>
      </c>
    </row>
    <row r="46" spans="1:3" x14ac:dyDescent="0.4">
      <c r="A46" t="s">
        <v>180</v>
      </c>
      <c r="B46" t="s">
        <v>8658</v>
      </c>
      <c r="C46" t="s">
        <v>8952</v>
      </c>
    </row>
    <row r="47" spans="1:3" x14ac:dyDescent="0.4">
      <c r="A47" t="s">
        <v>183</v>
      </c>
      <c r="B47" t="s">
        <v>8659</v>
      </c>
      <c r="C47" t="s">
        <v>8952</v>
      </c>
    </row>
    <row r="48" spans="1:3" x14ac:dyDescent="0.4">
      <c r="A48" t="s">
        <v>132</v>
      </c>
      <c r="B48" t="s">
        <v>8660</v>
      </c>
      <c r="C48" t="s">
        <v>8953</v>
      </c>
    </row>
    <row r="49" spans="1:3" x14ac:dyDescent="0.4">
      <c r="A49" t="s">
        <v>137</v>
      </c>
      <c r="B49" t="s">
        <v>8661</v>
      </c>
      <c r="C49" t="s">
        <v>8953</v>
      </c>
    </row>
    <row r="50" spans="1:3" x14ac:dyDescent="0.4">
      <c r="A50" t="s">
        <v>147</v>
      </c>
      <c r="B50" t="s">
        <v>8662</v>
      </c>
      <c r="C50" t="s">
        <v>8953</v>
      </c>
    </row>
    <row r="51" spans="1:3" x14ac:dyDescent="0.4">
      <c r="A51" t="s">
        <v>150</v>
      </c>
      <c r="B51" t="s">
        <v>8663</v>
      </c>
      <c r="C51" t="s">
        <v>8953</v>
      </c>
    </row>
    <row r="52" spans="1:3" x14ac:dyDescent="0.4">
      <c r="A52" t="s">
        <v>1437</v>
      </c>
      <c r="B52" t="s">
        <v>8664</v>
      </c>
      <c r="C52" t="s">
        <v>8954</v>
      </c>
    </row>
    <row r="53" spans="1:3" x14ac:dyDescent="0.4">
      <c r="A53" t="s">
        <v>1441</v>
      </c>
      <c r="B53" t="s">
        <v>8665</v>
      </c>
      <c r="C53" t="s">
        <v>8954</v>
      </c>
    </row>
    <row r="54" spans="1:3" x14ac:dyDescent="0.4">
      <c r="A54" t="s">
        <v>1444</v>
      </c>
      <c r="B54" t="s">
        <v>8666</v>
      </c>
      <c r="C54" t="s">
        <v>8954</v>
      </c>
    </row>
    <row r="55" spans="1:3" x14ac:dyDescent="0.4">
      <c r="A55" t="s">
        <v>1605</v>
      </c>
      <c r="B55" t="s">
        <v>8667</v>
      </c>
      <c r="C55" t="s">
        <v>2600</v>
      </c>
    </row>
    <row r="56" spans="1:3" x14ac:dyDescent="0.4">
      <c r="A56" t="s">
        <v>1608</v>
      </c>
      <c r="B56" t="s">
        <v>8668</v>
      </c>
      <c r="C56" t="s">
        <v>2598</v>
      </c>
    </row>
    <row r="57" spans="1:3" x14ac:dyDescent="0.4">
      <c r="A57" t="s">
        <v>1447</v>
      </c>
      <c r="B57" t="s">
        <v>8669</v>
      </c>
      <c r="C57" t="s">
        <v>8652</v>
      </c>
    </row>
    <row r="58" spans="1:3" x14ac:dyDescent="0.4">
      <c r="A58" t="s">
        <v>1959</v>
      </c>
      <c r="B58" t="s">
        <v>8670</v>
      </c>
      <c r="C58" t="s">
        <v>8652</v>
      </c>
    </row>
    <row r="59" spans="1:3" x14ac:dyDescent="0.4">
      <c r="A59" t="s">
        <v>1965</v>
      </c>
      <c r="B59" t="s">
        <v>8671</v>
      </c>
      <c r="C59" t="s">
        <v>8955</v>
      </c>
    </row>
    <row r="60" spans="1:3" x14ac:dyDescent="0.4">
      <c r="A60" t="s">
        <v>1968</v>
      </c>
      <c r="B60" t="s">
        <v>8672</v>
      </c>
      <c r="C60" t="s">
        <v>8652</v>
      </c>
    </row>
    <row r="61" spans="1:3" x14ac:dyDescent="0.4">
      <c r="A61" t="s">
        <v>1971</v>
      </c>
      <c r="B61" t="s">
        <v>8673</v>
      </c>
      <c r="C61" t="s">
        <v>8652</v>
      </c>
    </row>
    <row r="62" spans="1:3" x14ac:dyDescent="0.4">
      <c r="A62" t="s">
        <v>1989</v>
      </c>
      <c r="B62" t="s">
        <v>8674</v>
      </c>
      <c r="C62" t="s">
        <v>8955</v>
      </c>
    </row>
    <row r="63" spans="1:3" x14ac:dyDescent="0.4">
      <c r="A63" t="s">
        <v>1992</v>
      </c>
      <c r="B63" t="s">
        <v>8675</v>
      </c>
      <c r="C63" t="s">
        <v>8955</v>
      </c>
    </row>
    <row r="64" spans="1:3" x14ac:dyDescent="0.4">
      <c r="A64" t="s">
        <v>1995</v>
      </c>
      <c r="B64" t="s">
        <v>8676</v>
      </c>
      <c r="C64" t="s">
        <v>8955</v>
      </c>
    </row>
    <row r="65" spans="1:3" x14ac:dyDescent="0.4">
      <c r="A65" t="s">
        <v>2001</v>
      </c>
      <c r="B65" t="s">
        <v>8677</v>
      </c>
      <c r="C65" t="s">
        <v>8652</v>
      </c>
    </row>
    <row r="66" spans="1:3" x14ac:dyDescent="0.4">
      <c r="A66" t="s">
        <v>2004</v>
      </c>
      <c r="B66" t="s">
        <v>8678</v>
      </c>
      <c r="C66" t="s">
        <v>8956</v>
      </c>
    </row>
    <row r="67" spans="1:3" x14ac:dyDescent="0.4">
      <c r="A67" t="s">
        <v>2009</v>
      </c>
      <c r="B67" t="s">
        <v>8679</v>
      </c>
      <c r="C67" t="s">
        <v>8956</v>
      </c>
    </row>
    <row r="68" spans="1:3" x14ac:dyDescent="0.4">
      <c r="A68" t="s">
        <v>2018</v>
      </c>
      <c r="B68" t="s">
        <v>8680</v>
      </c>
      <c r="C68" t="s">
        <v>8956</v>
      </c>
    </row>
    <row r="69" spans="1:3" x14ac:dyDescent="0.4">
      <c r="A69" t="s">
        <v>2021</v>
      </c>
      <c r="B69" t="s">
        <v>8681</v>
      </c>
      <c r="C69" t="s">
        <v>8956</v>
      </c>
    </row>
    <row r="70" spans="1:3" x14ac:dyDescent="0.4">
      <c r="A70" t="s">
        <v>2027</v>
      </c>
      <c r="B70" t="s">
        <v>8682</v>
      </c>
      <c r="C70" t="s">
        <v>2598</v>
      </c>
    </row>
    <row r="71" spans="1:3" x14ac:dyDescent="0.4">
      <c r="A71" t="s">
        <v>2033</v>
      </c>
      <c r="B71" t="s">
        <v>8683</v>
      </c>
      <c r="C71" t="s">
        <v>8956</v>
      </c>
    </row>
    <row r="72" spans="1:3" x14ac:dyDescent="0.4">
      <c r="A72" t="s">
        <v>2036</v>
      </c>
      <c r="B72" t="s">
        <v>8684</v>
      </c>
      <c r="C72" t="s">
        <v>8652</v>
      </c>
    </row>
    <row r="73" spans="1:3" x14ac:dyDescent="0.4">
      <c r="A73" t="s">
        <v>2039</v>
      </c>
      <c r="B73" t="s">
        <v>8685</v>
      </c>
      <c r="C73" t="s">
        <v>2598</v>
      </c>
    </row>
    <row r="74" spans="1:3" x14ac:dyDescent="0.4">
      <c r="A74" t="s">
        <v>2101</v>
      </c>
      <c r="B74" t="s">
        <v>8686</v>
      </c>
      <c r="C74" t="s">
        <v>8957</v>
      </c>
    </row>
    <row r="75" spans="1:3" x14ac:dyDescent="0.4">
      <c r="A75" t="s">
        <v>2111</v>
      </c>
      <c r="B75" t="s">
        <v>8687</v>
      </c>
      <c r="C75" t="s">
        <v>8957</v>
      </c>
    </row>
    <row r="76" spans="1:3" x14ac:dyDescent="0.4">
      <c r="A76" t="s">
        <v>2114</v>
      </c>
      <c r="B76" t="s">
        <v>8688</v>
      </c>
      <c r="C76" t="s">
        <v>8957</v>
      </c>
    </row>
    <row r="77" spans="1:3" x14ac:dyDescent="0.4">
      <c r="A77" t="s">
        <v>2120</v>
      </c>
      <c r="B77" t="s">
        <v>8689</v>
      </c>
      <c r="C77" t="s">
        <v>8957</v>
      </c>
    </row>
    <row r="78" spans="1:3" x14ac:dyDescent="0.4">
      <c r="A78" t="s">
        <v>2129</v>
      </c>
      <c r="B78" t="s">
        <v>8690</v>
      </c>
      <c r="C78" t="s">
        <v>8957</v>
      </c>
    </row>
    <row r="79" spans="1:3" x14ac:dyDescent="0.4">
      <c r="A79" t="s">
        <v>2135</v>
      </c>
      <c r="B79" t="s">
        <v>8691</v>
      </c>
      <c r="C79" t="s">
        <v>2600</v>
      </c>
    </row>
    <row r="80" spans="1:3" x14ac:dyDescent="0.4">
      <c r="A80" t="s">
        <v>2155</v>
      </c>
      <c r="B80" t="s">
        <v>8606</v>
      </c>
      <c r="C80" t="s">
        <v>2598</v>
      </c>
    </row>
    <row r="81" spans="1:3" x14ac:dyDescent="0.4">
      <c r="A81" t="s">
        <v>881</v>
      </c>
      <c r="B81" t="s">
        <v>8692</v>
      </c>
      <c r="C81" t="s">
        <v>8958</v>
      </c>
    </row>
    <row r="82" spans="1:3" x14ac:dyDescent="0.4">
      <c r="A82" t="s">
        <v>885</v>
      </c>
      <c r="B82" t="s">
        <v>8693</v>
      </c>
      <c r="C82" t="s">
        <v>8958</v>
      </c>
    </row>
    <row r="83" spans="1:3" x14ac:dyDescent="0.4">
      <c r="A83" t="s">
        <v>888</v>
      </c>
      <c r="B83" t="s">
        <v>8694</v>
      </c>
      <c r="C83" t="s">
        <v>8958</v>
      </c>
    </row>
    <row r="84" spans="1:3" x14ac:dyDescent="0.4">
      <c r="A84" t="s">
        <v>891</v>
      </c>
      <c r="B84" t="s">
        <v>8695</v>
      </c>
      <c r="C84" t="s">
        <v>8958</v>
      </c>
    </row>
    <row r="85" spans="1:3" x14ac:dyDescent="0.4">
      <c r="A85" t="s">
        <v>800</v>
      </c>
      <c r="B85" t="s">
        <v>8696</v>
      </c>
      <c r="C85" t="s">
        <v>8652</v>
      </c>
    </row>
    <row r="86" spans="1:3" x14ac:dyDescent="0.4">
      <c r="A86" t="s">
        <v>768</v>
      </c>
      <c r="B86" t="s">
        <v>8697</v>
      </c>
      <c r="C86" t="s">
        <v>8959</v>
      </c>
    </row>
    <row r="87" spans="1:3" x14ac:dyDescent="0.4">
      <c r="A87" t="s">
        <v>773</v>
      </c>
      <c r="B87" t="s">
        <v>8698</v>
      </c>
      <c r="C87" t="s">
        <v>2600</v>
      </c>
    </row>
    <row r="88" spans="1:3" x14ac:dyDescent="0.4">
      <c r="A88" t="s">
        <v>776</v>
      </c>
      <c r="B88" t="s">
        <v>8699</v>
      </c>
      <c r="C88" t="s">
        <v>8959</v>
      </c>
    </row>
    <row r="89" spans="1:3" x14ac:dyDescent="0.4">
      <c r="A89" t="s">
        <v>788</v>
      </c>
      <c r="B89" t="s">
        <v>8700</v>
      </c>
      <c r="C89" t="s">
        <v>8959</v>
      </c>
    </row>
    <row r="90" spans="1:3" x14ac:dyDescent="0.4">
      <c r="A90" t="s">
        <v>791</v>
      </c>
      <c r="B90" t="s">
        <v>8701</v>
      </c>
      <c r="C90" t="s">
        <v>8959</v>
      </c>
    </row>
    <row r="91" spans="1:3" x14ac:dyDescent="0.4">
      <c r="A91" t="s">
        <v>797</v>
      </c>
      <c r="B91" t="s">
        <v>8702</v>
      </c>
      <c r="C91" t="s">
        <v>8959</v>
      </c>
    </row>
    <row r="92" spans="1:3" x14ac:dyDescent="0.4">
      <c r="A92" t="s">
        <v>734</v>
      </c>
      <c r="B92" t="s">
        <v>8703</v>
      </c>
      <c r="C92" t="s">
        <v>8960</v>
      </c>
    </row>
    <row r="93" spans="1:3" x14ac:dyDescent="0.4">
      <c r="A93" t="s">
        <v>741</v>
      </c>
      <c r="B93" t="s">
        <v>8704</v>
      </c>
      <c r="C93" t="s">
        <v>8960</v>
      </c>
    </row>
    <row r="94" spans="1:3" x14ac:dyDescent="0.4">
      <c r="A94" t="s">
        <v>744</v>
      </c>
      <c r="B94" t="s">
        <v>8705</v>
      </c>
      <c r="C94" t="s">
        <v>8960</v>
      </c>
    </row>
    <row r="95" spans="1:3" x14ac:dyDescent="0.4">
      <c r="A95" t="s">
        <v>750</v>
      </c>
      <c r="B95" t="s">
        <v>8706</v>
      </c>
      <c r="C95" t="s">
        <v>8960</v>
      </c>
    </row>
    <row r="96" spans="1:3" x14ac:dyDescent="0.4">
      <c r="A96" t="s">
        <v>753</v>
      </c>
      <c r="B96" t="s">
        <v>8707</v>
      </c>
      <c r="C96" t="s">
        <v>8960</v>
      </c>
    </row>
    <row r="97" spans="1:3" x14ac:dyDescent="0.4">
      <c r="A97" t="s">
        <v>844</v>
      </c>
      <c r="B97" t="s">
        <v>8708</v>
      </c>
      <c r="C97" t="s">
        <v>2596</v>
      </c>
    </row>
    <row r="98" spans="1:3" x14ac:dyDescent="0.4">
      <c r="A98" t="s">
        <v>855</v>
      </c>
      <c r="B98" t="s">
        <v>8591</v>
      </c>
      <c r="C98" t="s">
        <v>8652</v>
      </c>
    </row>
    <row r="99" spans="1:3" x14ac:dyDescent="0.4">
      <c r="A99" t="s">
        <v>858</v>
      </c>
      <c r="B99" t="s">
        <v>8574</v>
      </c>
      <c r="C99" t="s">
        <v>2596</v>
      </c>
    </row>
    <row r="100" spans="1:3" x14ac:dyDescent="0.4">
      <c r="A100" t="s">
        <v>810</v>
      </c>
      <c r="B100" t="s">
        <v>8709</v>
      </c>
      <c r="C100" t="s">
        <v>8961</v>
      </c>
    </row>
    <row r="101" spans="1:3" x14ac:dyDescent="0.4">
      <c r="A101" t="s">
        <v>817</v>
      </c>
      <c r="B101" t="s">
        <v>8710</v>
      </c>
      <c r="C101" t="s">
        <v>8961</v>
      </c>
    </row>
    <row r="102" spans="1:3" x14ac:dyDescent="0.4">
      <c r="A102" t="s">
        <v>820</v>
      </c>
      <c r="B102" t="s">
        <v>8711</v>
      </c>
      <c r="C102" t="s">
        <v>8961</v>
      </c>
    </row>
    <row r="103" spans="1:3" x14ac:dyDescent="0.4">
      <c r="A103" t="s">
        <v>823</v>
      </c>
      <c r="B103" t="s">
        <v>8712</v>
      </c>
      <c r="C103" t="s">
        <v>8961</v>
      </c>
    </row>
    <row r="104" spans="1:3" x14ac:dyDescent="0.4">
      <c r="A104" t="s">
        <v>827</v>
      </c>
      <c r="B104" t="s">
        <v>8713</v>
      </c>
      <c r="C104" t="s">
        <v>8961</v>
      </c>
    </row>
    <row r="105" spans="1:3" x14ac:dyDescent="0.4">
      <c r="A105" t="s">
        <v>2326</v>
      </c>
      <c r="B105" t="s">
        <v>8714</v>
      </c>
      <c r="C105" t="s">
        <v>8962</v>
      </c>
    </row>
    <row r="106" spans="1:3" x14ac:dyDescent="0.4">
      <c r="A106" t="s">
        <v>2336</v>
      </c>
      <c r="B106" t="s">
        <v>8715</v>
      </c>
      <c r="C106" t="s">
        <v>2599</v>
      </c>
    </row>
    <row r="107" spans="1:3" x14ac:dyDescent="0.4">
      <c r="A107" t="s">
        <v>2342</v>
      </c>
      <c r="B107" t="s">
        <v>8716</v>
      </c>
      <c r="C107" t="s">
        <v>8962</v>
      </c>
    </row>
    <row r="108" spans="1:3" x14ac:dyDescent="0.4">
      <c r="A108" t="s">
        <v>1291</v>
      </c>
      <c r="B108" t="s">
        <v>8717</v>
      </c>
      <c r="C108" t="s">
        <v>8963</v>
      </c>
    </row>
    <row r="109" spans="1:3" x14ac:dyDescent="0.4">
      <c r="A109" t="s">
        <v>1296</v>
      </c>
      <c r="B109" t="s">
        <v>8718</v>
      </c>
      <c r="C109" t="s">
        <v>8963</v>
      </c>
    </row>
    <row r="110" spans="1:3" x14ac:dyDescent="0.4">
      <c r="A110" t="s">
        <v>1299</v>
      </c>
      <c r="B110" t="s">
        <v>8719</v>
      </c>
      <c r="C110" t="s">
        <v>8963</v>
      </c>
    </row>
    <row r="111" spans="1:3" x14ac:dyDescent="0.4">
      <c r="A111" t="s">
        <v>1305</v>
      </c>
      <c r="B111" t="s">
        <v>8720</v>
      </c>
      <c r="C111" t="s">
        <v>8963</v>
      </c>
    </row>
    <row r="112" spans="1:3" x14ac:dyDescent="0.4">
      <c r="A112" t="s">
        <v>1308</v>
      </c>
      <c r="B112" t="s">
        <v>8721</v>
      </c>
      <c r="C112" t="s">
        <v>8963</v>
      </c>
    </row>
    <row r="113" spans="1:3" x14ac:dyDescent="0.4">
      <c r="A113" t="s">
        <v>2311</v>
      </c>
      <c r="B113" t="s">
        <v>8722</v>
      </c>
      <c r="C113" t="s">
        <v>8964</v>
      </c>
    </row>
    <row r="114" spans="1:3" x14ac:dyDescent="0.4">
      <c r="A114" t="s">
        <v>2314</v>
      </c>
      <c r="B114" t="s">
        <v>8723</v>
      </c>
      <c r="C114" t="s">
        <v>8964</v>
      </c>
    </row>
    <row r="115" spans="1:3" x14ac:dyDescent="0.4">
      <c r="A115" t="s">
        <v>2317</v>
      </c>
      <c r="B115" t="s">
        <v>8724</v>
      </c>
      <c r="C115" t="s">
        <v>8964</v>
      </c>
    </row>
    <row r="116" spans="1:3" x14ac:dyDescent="0.4">
      <c r="A116" t="s">
        <v>2320</v>
      </c>
      <c r="B116" t="s">
        <v>8725</v>
      </c>
      <c r="C116" t="s">
        <v>8964</v>
      </c>
    </row>
    <row r="117" spans="1:3" x14ac:dyDescent="0.4">
      <c r="A117" t="s">
        <v>2323</v>
      </c>
      <c r="B117" t="s">
        <v>8726</v>
      </c>
      <c r="C117" t="s">
        <v>8964</v>
      </c>
    </row>
    <row r="118" spans="1:3" x14ac:dyDescent="0.4">
      <c r="A118" t="s">
        <v>2345</v>
      </c>
      <c r="B118" t="s">
        <v>8727</v>
      </c>
      <c r="C118" t="s">
        <v>8965</v>
      </c>
    </row>
    <row r="119" spans="1:3" x14ac:dyDescent="0.4">
      <c r="A119" t="s">
        <v>2350</v>
      </c>
      <c r="B119" t="s">
        <v>8728</v>
      </c>
      <c r="C119" t="s">
        <v>8965</v>
      </c>
    </row>
    <row r="120" spans="1:3" x14ac:dyDescent="0.4">
      <c r="A120" t="s">
        <v>2353</v>
      </c>
      <c r="B120" t="s">
        <v>8729</v>
      </c>
      <c r="C120" t="s">
        <v>8965</v>
      </c>
    </row>
    <row r="121" spans="1:3" x14ac:dyDescent="0.4">
      <c r="A121" t="s">
        <v>2356</v>
      </c>
      <c r="B121" t="s">
        <v>8730</v>
      </c>
      <c r="C121" t="s">
        <v>8965</v>
      </c>
    </row>
    <row r="122" spans="1:3" x14ac:dyDescent="0.4">
      <c r="A122" t="s">
        <v>2371</v>
      </c>
      <c r="B122" t="s">
        <v>8731</v>
      </c>
      <c r="C122" t="s">
        <v>8965</v>
      </c>
    </row>
    <row r="123" spans="1:3" x14ac:dyDescent="0.4">
      <c r="A123" t="s">
        <v>1818</v>
      </c>
      <c r="B123" t="s">
        <v>8572</v>
      </c>
      <c r="C123" t="s">
        <v>2601</v>
      </c>
    </row>
    <row r="124" spans="1:3" x14ac:dyDescent="0.4">
      <c r="A124" t="s">
        <v>1831</v>
      </c>
      <c r="B124" t="s">
        <v>8732</v>
      </c>
      <c r="C124" t="s">
        <v>8966</v>
      </c>
    </row>
    <row r="125" spans="1:3" x14ac:dyDescent="0.4">
      <c r="A125" t="s">
        <v>1837</v>
      </c>
      <c r="B125" t="s">
        <v>8733</v>
      </c>
      <c r="C125" t="s">
        <v>8966</v>
      </c>
    </row>
    <row r="126" spans="1:3" x14ac:dyDescent="0.4">
      <c r="A126" t="s">
        <v>1843</v>
      </c>
      <c r="B126" t="s">
        <v>8734</v>
      </c>
      <c r="C126" t="s">
        <v>8966</v>
      </c>
    </row>
    <row r="127" spans="1:3" x14ac:dyDescent="0.4">
      <c r="A127" t="s">
        <v>1849</v>
      </c>
      <c r="B127" t="s">
        <v>8735</v>
      </c>
      <c r="C127" t="s">
        <v>8966</v>
      </c>
    </row>
    <row r="128" spans="1:3" x14ac:dyDescent="0.4">
      <c r="A128" t="s">
        <v>1852</v>
      </c>
      <c r="B128" t="s">
        <v>8736</v>
      </c>
      <c r="C128" t="s">
        <v>8966</v>
      </c>
    </row>
    <row r="129" spans="1:3" x14ac:dyDescent="0.4">
      <c r="A129" t="s">
        <v>1123</v>
      </c>
      <c r="B129" t="s">
        <v>8737</v>
      </c>
      <c r="C129" t="s">
        <v>8652</v>
      </c>
    </row>
    <row r="130" spans="1:3" x14ac:dyDescent="0.4">
      <c r="A130" t="s">
        <v>1128</v>
      </c>
      <c r="B130" t="s">
        <v>8738</v>
      </c>
      <c r="C130" t="s">
        <v>8652</v>
      </c>
    </row>
    <row r="131" spans="1:3" x14ac:dyDescent="0.4">
      <c r="A131" t="s">
        <v>1134</v>
      </c>
      <c r="B131" t="s">
        <v>8739</v>
      </c>
      <c r="C131" t="s">
        <v>8652</v>
      </c>
    </row>
    <row r="132" spans="1:3" x14ac:dyDescent="0.4">
      <c r="A132" t="s">
        <v>1167</v>
      </c>
      <c r="B132" t="s">
        <v>8740</v>
      </c>
      <c r="C132" t="s">
        <v>8967</v>
      </c>
    </row>
    <row r="133" spans="1:3" x14ac:dyDescent="0.4">
      <c r="A133" t="s">
        <v>1174</v>
      </c>
      <c r="B133" t="s">
        <v>8741</v>
      </c>
      <c r="C133" t="s">
        <v>8967</v>
      </c>
    </row>
    <row r="134" spans="1:3" x14ac:dyDescent="0.4">
      <c r="A134" t="s">
        <v>1177</v>
      </c>
      <c r="B134" t="s">
        <v>8742</v>
      </c>
      <c r="C134" t="s">
        <v>8967</v>
      </c>
    </row>
    <row r="135" spans="1:3" x14ac:dyDescent="0.4">
      <c r="A135" t="s">
        <v>1180</v>
      </c>
      <c r="B135" t="s">
        <v>8743</v>
      </c>
      <c r="C135" t="s">
        <v>8967</v>
      </c>
    </row>
    <row r="136" spans="1:3" x14ac:dyDescent="0.4">
      <c r="A136" t="s">
        <v>1087</v>
      </c>
      <c r="B136" t="s">
        <v>8744</v>
      </c>
      <c r="C136" t="s">
        <v>2601</v>
      </c>
    </row>
    <row r="137" spans="1:3" x14ac:dyDescent="0.4">
      <c r="A137" t="s">
        <v>1102</v>
      </c>
      <c r="B137" t="s">
        <v>8745</v>
      </c>
      <c r="C137" t="s">
        <v>2601</v>
      </c>
    </row>
    <row r="138" spans="1:3" x14ac:dyDescent="0.4">
      <c r="A138" t="s">
        <v>1120</v>
      </c>
      <c r="B138" t="s">
        <v>8746</v>
      </c>
      <c r="C138" t="s">
        <v>8652</v>
      </c>
    </row>
    <row r="139" spans="1:3" x14ac:dyDescent="0.4">
      <c r="A139" t="s">
        <v>676</v>
      </c>
      <c r="B139" t="s">
        <v>8747</v>
      </c>
      <c r="C139" t="s">
        <v>8968</v>
      </c>
    </row>
    <row r="140" spans="1:3" x14ac:dyDescent="0.4">
      <c r="A140" t="s">
        <v>683</v>
      </c>
      <c r="B140" t="s">
        <v>8748</v>
      </c>
      <c r="C140" t="s">
        <v>8968</v>
      </c>
    </row>
    <row r="141" spans="1:3" x14ac:dyDescent="0.4">
      <c r="A141" t="s">
        <v>689</v>
      </c>
      <c r="B141" t="s">
        <v>8749</v>
      </c>
      <c r="C141" t="s">
        <v>8968</v>
      </c>
    </row>
    <row r="142" spans="1:3" x14ac:dyDescent="0.4">
      <c r="A142" t="s">
        <v>692</v>
      </c>
      <c r="B142" t="s">
        <v>8750</v>
      </c>
      <c r="C142" t="s">
        <v>2600</v>
      </c>
    </row>
    <row r="143" spans="1:3" x14ac:dyDescent="0.4">
      <c r="A143" t="s">
        <v>695</v>
      </c>
      <c r="B143" t="s">
        <v>8751</v>
      </c>
      <c r="C143" t="s">
        <v>8968</v>
      </c>
    </row>
    <row r="144" spans="1:3" x14ac:dyDescent="0.4">
      <c r="A144" t="s">
        <v>701</v>
      </c>
      <c r="B144" t="s">
        <v>8752</v>
      </c>
      <c r="C144" t="s">
        <v>8968</v>
      </c>
    </row>
    <row r="145" spans="1:3" x14ac:dyDescent="0.4">
      <c r="A145" t="s">
        <v>716</v>
      </c>
      <c r="B145" t="s">
        <v>8753</v>
      </c>
      <c r="C145" t="s">
        <v>2598</v>
      </c>
    </row>
    <row r="146" spans="1:3" x14ac:dyDescent="0.4">
      <c r="A146" t="s">
        <v>640</v>
      </c>
      <c r="B146" t="s">
        <v>8754</v>
      </c>
      <c r="C146" t="s">
        <v>8969</v>
      </c>
    </row>
    <row r="147" spans="1:3" x14ac:dyDescent="0.4">
      <c r="A147" t="s">
        <v>645</v>
      </c>
      <c r="B147" t="s">
        <v>8755</v>
      </c>
      <c r="C147" t="s">
        <v>8969</v>
      </c>
    </row>
    <row r="148" spans="1:3" x14ac:dyDescent="0.4">
      <c r="A148" t="s">
        <v>651</v>
      </c>
      <c r="B148" t="s">
        <v>8756</v>
      </c>
      <c r="C148" t="s">
        <v>8969</v>
      </c>
    </row>
    <row r="149" spans="1:3" x14ac:dyDescent="0.4">
      <c r="A149" t="s">
        <v>657</v>
      </c>
      <c r="B149" t="s">
        <v>8757</v>
      </c>
      <c r="C149" t="s">
        <v>8969</v>
      </c>
    </row>
    <row r="150" spans="1:3" x14ac:dyDescent="0.4">
      <c r="A150" t="s">
        <v>666</v>
      </c>
      <c r="B150" t="s">
        <v>8758</v>
      </c>
      <c r="C150" t="s">
        <v>8969</v>
      </c>
    </row>
    <row r="151" spans="1:3" x14ac:dyDescent="0.4">
      <c r="A151" t="s">
        <v>1691</v>
      </c>
      <c r="B151" t="s">
        <v>8759</v>
      </c>
      <c r="C151" t="s">
        <v>8652</v>
      </c>
    </row>
    <row r="152" spans="1:3" x14ac:dyDescent="0.4">
      <c r="A152" t="s">
        <v>1803</v>
      </c>
      <c r="B152" t="s">
        <v>8760</v>
      </c>
      <c r="C152" t="s">
        <v>8970</v>
      </c>
    </row>
    <row r="153" spans="1:3" x14ac:dyDescent="0.4">
      <c r="A153" t="s">
        <v>1812</v>
      </c>
      <c r="B153" t="s">
        <v>8761</v>
      </c>
      <c r="C153" t="s">
        <v>8970</v>
      </c>
    </row>
    <row r="154" spans="1:3" x14ac:dyDescent="0.4">
      <c r="A154" t="s">
        <v>1815</v>
      </c>
      <c r="B154" t="s">
        <v>8762</v>
      </c>
      <c r="C154" t="s">
        <v>8970</v>
      </c>
    </row>
    <row r="155" spans="1:3" x14ac:dyDescent="0.4">
      <c r="A155" t="s">
        <v>1753</v>
      </c>
      <c r="B155" t="s">
        <v>8763</v>
      </c>
      <c r="C155" t="s">
        <v>8971</v>
      </c>
    </row>
    <row r="156" spans="1:3" x14ac:dyDescent="0.4">
      <c r="A156" t="s">
        <v>1758</v>
      </c>
      <c r="B156" t="s">
        <v>8764</v>
      </c>
      <c r="C156" t="s">
        <v>8971</v>
      </c>
    </row>
    <row r="157" spans="1:3" x14ac:dyDescent="0.4">
      <c r="A157" t="s">
        <v>1762</v>
      </c>
      <c r="B157" t="s">
        <v>8765</v>
      </c>
      <c r="C157" t="s">
        <v>8971</v>
      </c>
    </row>
    <row r="158" spans="1:3" x14ac:dyDescent="0.4">
      <c r="A158" t="s">
        <v>1771</v>
      </c>
      <c r="B158" t="s">
        <v>8766</v>
      </c>
      <c r="C158" t="s">
        <v>8971</v>
      </c>
    </row>
    <row r="159" spans="1:3" x14ac:dyDescent="0.4">
      <c r="A159" t="s">
        <v>2281</v>
      </c>
      <c r="B159" t="s">
        <v>8767</v>
      </c>
      <c r="C159" t="s">
        <v>8972</v>
      </c>
    </row>
    <row r="160" spans="1:3" x14ac:dyDescent="0.4">
      <c r="A160" t="s">
        <v>2284</v>
      </c>
      <c r="B160" t="s">
        <v>8768</v>
      </c>
      <c r="C160" t="s">
        <v>8972</v>
      </c>
    </row>
    <row r="161" spans="1:3" x14ac:dyDescent="0.4">
      <c r="A161" t="s">
        <v>1727</v>
      </c>
      <c r="B161" t="s">
        <v>8602</v>
      </c>
      <c r="C161" t="s">
        <v>8652</v>
      </c>
    </row>
    <row r="162" spans="1:3" x14ac:dyDescent="0.4">
      <c r="A162" t="s">
        <v>1738</v>
      </c>
      <c r="B162" t="s">
        <v>8603</v>
      </c>
      <c r="C162" t="s">
        <v>8652</v>
      </c>
    </row>
    <row r="163" spans="1:3" x14ac:dyDescent="0.4">
      <c r="A163" t="s">
        <v>1744</v>
      </c>
      <c r="B163" t="s">
        <v>8599</v>
      </c>
      <c r="C163" t="s">
        <v>8652</v>
      </c>
    </row>
    <row r="164" spans="1:3" x14ac:dyDescent="0.4">
      <c r="A164" t="s">
        <v>1662</v>
      </c>
      <c r="B164" t="s">
        <v>8769</v>
      </c>
      <c r="C164" t="s">
        <v>8652</v>
      </c>
    </row>
    <row r="165" spans="1:3" x14ac:dyDescent="0.4">
      <c r="A165" t="s">
        <v>894</v>
      </c>
      <c r="B165" t="s">
        <v>8770</v>
      </c>
      <c r="C165" t="s">
        <v>8652</v>
      </c>
    </row>
    <row r="166" spans="1:3" x14ac:dyDescent="0.4">
      <c r="A166" t="s">
        <v>906</v>
      </c>
      <c r="B166" t="s">
        <v>8771</v>
      </c>
      <c r="C166" t="s">
        <v>2599</v>
      </c>
    </row>
    <row r="167" spans="1:3" x14ac:dyDescent="0.4">
      <c r="A167" t="s">
        <v>915</v>
      </c>
      <c r="B167" t="s">
        <v>8772</v>
      </c>
      <c r="C167" t="s">
        <v>8652</v>
      </c>
    </row>
    <row r="168" spans="1:3" x14ac:dyDescent="0.4">
      <c r="A168" t="s">
        <v>938</v>
      </c>
      <c r="B168" t="s">
        <v>8773</v>
      </c>
      <c r="C168" t="s">
        <v>8973</v>
      </c>
    </row>
    <row r="169" spans="1:3" x14ac:dyDescent="0.4">
      <c r="A169" t="s">
        <v>941</v>
      </c>
      <c r="B169" t="s">
        <v>8774</v>
      </c>
      <c r="C169" t="s">
        <v>8973</v>
      </c>
    </row>
    <row r="170" spans="1:3" x14ac:dyDescent="0.4">
      <c r="A170" t="s">
        <v>944</v>
      </c>
      <c r="B170" t="s">
        <v>8775</v>
      </c>
      <c r="C170" t="s">
        <v>8973</v>
      </c>
    </row>
    <row r="171" spans="1:3" x14ac:dyDescent="0.4">
      <c r="A171" t="s">
        <v>947</v>
      </c>
      <c r="B171" t="s">
        <v>8776</v>
      </c>
      <c r="C171" t="s">
        <v>8973</v>
      </c>
    </row>
    <row r="172" spans="1:3" x14ac:dyDescent="0.4">
      <c r="A172" t="s">
        <v>950</v>
      </c>
      <c r="B172" t="s">
        <v>8777</v>
      </c>
      <c r="C172" t="s">
        <v>8974</v>
      </c>
    </row>
    <row r="173" spans="1:3" x14ac:dyDescent="0.4">
      <c r="A173" t="s">
        <v>960</v>
      </c>
      <c r="B173" t="s">
        <v>8778</v>
      </c>
      <c r="C173" t="s">
        <v>8974</v>
      </c>
    </row>
    <row r="174" spans="1:3" x14ac:dyDescent="0.4">
      <c r="A174" t="s">
        <v>43</v>
      </c>
      <c r="B174" t="s">
        <v>8779</v>
      </c>
      <c r="C174" t="s">
        <v>8975</v>
      </c>
    </row>
    <row r="175" spans="1:3" x14ac:dyDescent="0.4">
      <c r="A175" t="s">
        <v>53</v>
      </c>
      <c r="B175" t="s">
        <v>8780</v>
      </c>
      <c r="C175" t="s">
        <v>8975</v>
      </c>
    </row>
    <row r="176" spans="1:3" x14ac:dyDescent="0.4">
      <c r="A176" t="s">
        <v>70</v>
      </c>
      <c r="B176" t="s">
        <v>8781</v>
      </c>
      <c r="C176" t="s">
        <v>8975</v>
      </c>
    </row>
    <row r="177" spans="1:3" x14ac:dyDescent="0.4">
      <c r="A177" t="s">
        <v>90</v>
      </c>
      <c r="B177" t="s">
        <v>8782</v>
      </c>
      <c r="C177" t="s">
        <v>8975</v>
      </c>
    </row>
    <row r="178" spans="1:3" x14ac:dyDescent="0.4">
      <c r="A178" t="s">
        <v>99</v>
      </c>
      <c r="B178" t="s">
        <v>8783</v>
      </c>
      <c r="C178" t="s">
        <v>8975</v>
      </c>
    </row>
    <row r="179" spans="1:3" x14ac:dyDescent="0.4">
      <c r="A179" t="s">
        <v>102</v>
      </c>
      <c r="B179" t="s">
        <v>8784</v>
      </c>
      <c r="C179" t="s">
        <v>2596</v>
      </c>
    </row>
    <row r="180" spans="1:3" x14ac:dyDescent="0.4">
      <c r="A180" t="s">
        <v>2167</v>
      </c>
      <c r="B180" t="s">
        <v>8785</v>
      </c>
      <c r="C180" t="s">
        <v>8976</v>
      </c>
    </row>
    <row r="181" spans="1:3" x14ac:dyDescent="0.4">
      <c r="A181" t="s">
        <v>2173</v>
      </c>
      <c r="B181" t="s">
        <v>8786</v>
      </c>
      <c r="C181" t="s">
        <v>8976</v>
      </c>
    </row>
    <row r="182" spans="1:3" x14ac:dyDescent="0.4">
      <c r="A182" t="s">
        <v>2176</v>
      </c>
      <c r="B182" t="s">
        <v>8787</v>
      </c>
      <c r="C182" t="s">
        <v>8976</v>
      </c>
    </row>
    <row r="183" spans="1:3" x14ac:dyDescent="0.4">
      <c r="A183" t="s">
        <v>2179</v>
      </c>
      <c r="B183" t="s">
        <v>8788</v>
      </c>
      <c r="C183" t="s">
        <v>8976</v>
      </c>
    </row>
    <row r="184" spans="1:3" x14ac:dyDescent="0.4">
      <c r="A184" t="s">
        <v>2182</v>
      </c>
      <c r="B184" t="s">
        <v>8590</v>
      </c>
      <c r="C184" t="s">
        <v>8652</v>
      </c>
    </row>
    <row r="185" spans="1:3" x14ac:dyDescent="0.4">
      <c r="A185" t="s">
        <v>2188</v>
      </c>
      <c r="B185" t="s">
        <v>8789</v>
      </c>
      <c r="C185" t="s">
        <v>8976</v>
      </c>
    </row>
    <row r="186" spans="1:3" x14ac:dyDescent="0.4">
      <c r="A186" t="s">
        <v>2236</v>
      </c>
      <c r="B186" t="s">
        <v>8790</v>
      </c>
      <c r="C186" t="s">
        <v>8977</v>
      </c>
    </row>
    <row r="187" spans="1:3" x14ac:dyDescent="0.4">
      <c r="A187" t="s">
        <v>2239</v>
      </c>
      <c r="B187" t="s">
        <v>8611</v>
      </c>
      <c r="C187" t="s">
        <v>8652</v>
      </c>
    </row>
    <row r="188" spans="1:3" x14ac:dyDescent="0.4">
      <c r="A188" t="s">
        <v>2242</v>
      </c>
      <c r="B188" t="s">
        <v>8791</v>
      </c>
      <c r="C188" t="s">
        <v>8977</v>
      </c>
    </row>
    <row r="189" spans="1:3" x14ac:dyDescent="0.4">
      <c r="A189" t="s">
        <v>2245</v>
      </c>
      <c r="B189" t="s">
        <v>8612</v>
      </c>
      <c r="C189" t="s">
        <v>8652</v>
      </c>
    </row>
    <row r="190" spans="1:3" x14ac:dyDescent="0.4">
      <c r="A190" t="s">
        <v>2248</v>
      </c>
      <c r="B190" t="s">
        <v>8792</v>
      </c>
      <c r="C190" t="s">
        <v>8977</v>
      </c>
    </row>
    <row r="191" spans="1:3" x14ac:dyDescent="0.4">
      <c r="A191" t="s">
        <v>2251</v>
      </c>
      <c r="B191" t="s">
        <v>8793</v>
      </c>
      <c r="C191" t="s">
        <v>8977</v>
      </c>
    </row>
    <row r="192" spans="1:3" x14ac:dyDescent="0.4">
      <c r="A192" t="s">
        <v>2254</v>
      </c>
      <c r="B192" t="s">
        <v>8794</v>
      </c>
      <c r="C192" t="s">
        <v>8652</v>
      </c>
    </row>
    <row r="193" spans="1:3" x14ac:dyDescent="0.4">
      <c r="A193" t="s">
        <v>2257</v>
      </c>
      <c r="B193" t="s">
        <v>8609</v>
      </c>
      <c r="C193" t="s">
        <v>8652</v>
      </c>
    </row>
    <row r="194" spans="1:3" x14ac:dyDescent="0.4">
      <c r="A194" t="s">
        <v>2263</v>
      </c>
      <c r="B194" t="s">
        <v>8795</v>
      </c>
      <c r="C194" t="s">
        <v>8977</v>
      </c>
    </row>
    <row r="195" spans="1:3" x14ac:dyDescent="0.4">
      <c r="A195" t="s">
        <v>2203</v>
      </c>
      <c r="B195" t="s">
        <v>8796</v>
      </c>
      <c r="C195" t="s">
        <v>8978</v>
      </c>
    </row>
    <row r="196" spans="1:3" x14ac:dyDescent="0.4">
      <c r="A196" t="s">
        <v>2212</v>
      </c>
      <c r="B196" t="s">
        <v>8797</v>
      </c>
      <c r="C196" t="s">
        <v>8978</v>
      </c>
    </row>
    <row r="197" spans="1:3" x14ac:dyDescent="0.4">
      <c r="A197" t="s">
        <v>2218</v>
      </c>
      <c r="B197" t="s">
        <v>8798</v>
      </c>
      <c r="C197" t="s">
        <v>8978</v>
      </c>
    </row>
    <row r="198" spans="1:3" x14ac:dyDescent="0.4">
      <c r="A198" t="s">
        <v>2221</v>
      </c>
      <c r="B198" t="s">
        <v>8799</v>
      </c>
      <c r="C198" t="s">
        <v>8978</v>
      </c>
    </row>
    <row r="199" spans="1:3" x14ac:dyDescent="0.4">
      <c r="A199" t="s">
        <v>2224</v>
      </c>
      <c r="B199" t="s">
        <v>8613</v>
      </c>
      <c r="C199" t="s">
        <v>8652</v>
      </c>
    </row>
    <row r="200" spans="1:3" x14ac:dyDescent="0.4">
      <c r="A200" t="s">
        <v>2229</v>
      </c>
      <c r="B200" t="s">
        <v>8800</v>
      </c>
      <c r="C200" t="s">
        <v>8978</v>
      </c>
    </row>
    <row r="201" spans="1:3" x14ac:dyDescent="0.4">
      <c r="A201" t="s">
        <v>353</v>
      </c>
      <c r="B201" t="s">
        <v>8801</v>
      </c>
      <c r="C201" t="s">
        <v>8979</v>
      </c>
    </row>
    <row r="202" spans="1:3" x14ac:dyDescent="0.4">
      <c r="A202" t="s">
        <v>360</v>
      </c>
      <c r="B202" t="s">
        <v>8802</v>
      </c>
      <c r="C202" t="s">
        <v>8979</v>
      </c>
    </row>
    <row r="203" spans="1:3" x14ac:dyDescent="0.4">
      <c r="A203" t="s">
        <v>363</v>
      </c>
      <c r="B203" t="s">
        <v>8803</v>
      </c>
      <c r="C203" t="s">
        <v>2599</v>
      </c>
    </row>
    <row r="204" spans="1:3" x14ac:dyDescent="0.4">
      <c r="A204" t="s">
        <v>375</v>
      </c>
      <c r="B204" t="s">
        <v>8804</v>
      </c>
      <c r="C204" t="s">
        <v>8979</v>
      </c>
    </row>
    <row r="205" spans="1:3" x14ac:dyDescent="0.4">
      <c r="A205" t="s">
        <v>381</v>
      </c>
      <c r="B205" t="s">
        <v>8805</v>
      </c>
      <c r="C205" t="s">
        <v>8979</v>
      </c>
    </row>
    <row r="206" spans="1:3" x14ac:dyDescent="0.4">
      <c r="A206" t="s">
        <v>390</v>
      </c>
      <c r="B206" t="s">
        <v>8806</v>
      </c>
      <c r="C206" t="s">
        <v>8979</v>
      </c>
    </row>
    <row r="207" spans="1:3" x14ac:dyDescent="0.4">
      <c r="A207" t="s">
        <v>448</v>
      </c>
      <c r="B207" t="s">
        <v>8807</v>
      </c>
      <c r="C207" t="s">
        <v>2599</v>
      </c>
    </row>
    <row r="208" spans="1:3" x14ac:dyDescent="0.4">
      <c r="A208" t="s">
        <v>453</v>
      </c>
      <c r="B208" t="s">
        <v>8573</v>
      </c>
      <c r="C208" t="s">
        <v>2601</v>
      </c>
    </row>
    <row r="209" spans="1:3" x14ac:dyDescent="0.4">
      <c r="A209" t="s">
        <v>465</v>
      </c>
      <c r="B209" t="s">
        <v>8808</v>
      </c>
      <c r="C209" t="s">
        <v>8652</v>
      </c>
    </row>
    <row r="210" spans="1:3" x14ac:dyDescent="0.4">
      <c r="A210" t="s">
        <v>485</v>
      </c>
      <c r="B210" t="s">
        <v>8809</v>
      </c>
      <c r="C210" t="s">
        <v>8980</v>
      </c>
    </row>
    <row r="211" spans="1:3" x14ac:dyDescent="0.4">
      <c r="A211" t="s">
        <v>488</v>
      </c>
      <c r="B211" t="s">
        <v>8810</v>
      </c>
      <c r="C211" t="s">
        <v>8980</v>
      </c>
    </row>
    <row r="212" spans="1:3" x14ac:dyDescent="0.4">
      <c r="A212" t="s">
        <v>491</v>
      </c>
      <c r="B212" t="s">
        <v>8811</v>
      </c>
      <c r="C212" t="s">
        <v>8980</v>
      </c>
    </row>
    <row r="213" spans="1:3" x14ac:dyDescent="0.4">
      <c r="A213" t="s">
        <v>494</v>
      </c>
      <c r="B213" t="s">
        <v>8812</v>
      </c>
      <c r="C213" t="s">
        <v>2600</v>
      </c>
    </row>
    <row r="214" spans="1:3" x14ac:dyDescent="0.4">
      <c r="A214" t="s">
        <v>503</v>
      </c>
      <c r="B214" t="s">
        <v>8569</v>
      </c>
      <c r="C214" t="s">
        <v>2601</v>
      </c>
    </row>
    <row r="215" spans="1:3" x14ac:dyDescent="0.4">
      <c r="A215" t="s">
        <v>396</v>
      </c>
      <c r="B215" t="s">
        <v>8813</v>
      </c>
      <c r="C215" t="s">
        <v>8981</v>
      </c>
    </row>
    <row r="216" spans="1:3" x14ac:dyDescent="0.4">
      <c r="A216" t="s">
        <v>403</v>
      </c>
      <c r="B216" t="s">
        <v>8814</v>
      </c>
      <c r="C216" t="s">
        <v>8981</v>
      </c>
    </row>
    <row r="217" spans="1:3" x14ac:dyDescent="0.4">
      <c r="A217" t="s">
        <v>426</v>
      </c>
      <c r="B217" t="s">
        <v>8815</v>
      </c>
      <c r="C217" t="s">
        <v>8982</v>
      </c>
    </row>
    <row r="218" spans="1:3" x14ac:dyDescent="0.4">
      <c r="A218" t="s">
        <v>430</v>
      </c>
      <c r="B218" t="s">
        <v>8816</v>
      </c>
      <c r="C218" t="s">
        <v>8982</v>
      </c>
    </row>
    <row r="219" spans="1:3" x14ac:dyDescent="0.4">
      <c r="A219" t="s">
        <v>422</v>
      </c>
      <c r="B219" t="s">
        <v>8817</v>
      </c>
      <c r="C219" t="s">
        <v>8652</v>
      </c>
    </row>
    <row r="220" spans="1:3" x14ac:dyDescent="0.4">
      <c r="A220" t="s">
        <v>1881</v>
      </c>
      <c r="B220" t="s">
        <v>8818</v>
      </c>
      <c r="C220" t="s">
        <v>8652</v>
      </c>
    </row>
    <row r="221" spans="1:3" x14ac:dyDescent="0.4">
      <c r="A221" t="s">
        <v>1887</v>
      </c>
      <c r="B221" t="s">
        <v>8600</v>
      </c>
      <c r="C221" t="s">
        <v>8652</v>
      </c>
    </row>
    <row r="222" spans="1:3" x14ac:dyDescent="0.4">
      <c r="A222" t="s">
        <v>201</v>
      </c>
      <c r="B222" t="s">
        <v>8819</v>
      </c>
      <c r="C222" t="s">
        <v>8983</v>
      </c>
    </row>
    <row r="223" spans="1:3" x14ac:dyDescent="0.4">
      <c r="A223" t="s">
        <v>209</v>
      </c>
      <c r="B223" t="s">
        <v>8820</v>
      </c>
      <c r="C223" t="s">
        <v>8983</v>
      </c>
    </row>
    <row r="224" spans="1:3" x14ac:dyDescent="0.4">
      <c r="A224" t="s">
        <v>212</v>
      </c>
      <c r="B224" t="s">
        <v>8821</v>
      </c>
      <c r="C224" t="s">
        <v>8983</v>
      </c>
    </row>
    <row r="225" spans="1:3" x14ac:dyDescent="0.4">
      <c r="A225" t="s">
        <v>221</v>
      </c>
      <c r="B225" t="s">
        <v>8822</v>
      </c>
      <c r="C225" t="s">
        <v>8983</v>
      </c>
    </row>
    <row r="226" spans="1:3" x14ac:dyDescent="0.4">
      <c r="A226" t="s">
        <v>224</v>
      </c>
      <c r="B226" t="s">
        <v>8823</v>
      </c>
      <c r="C226" t="s">
        <v>8983</v>
      </c>
    </row>
    <row r="227" spans="1:3" x14ac:dyDescent="0.4">
      <c r="A227" t="s">
        <v>1257</v>
      </c>
      <c r="B227" t="s">
        <v>8824</v>
      </c>
      <c r="C227" t="s">
        <v>8984</v>
      </c>
    </row>
    <row r="228" spans="1:3" x14ac:dyDescent="0.4">
      <c r="A228" t="s">
        <v>1264</v>
      </c>
      <c r="B228" t="s">
        <v>8825</v>
      </c>
      <c r="C228" t="s">
        <v>8984</v>
      </c>
    </row>
    <row r="229" spans="1:3" x14ac:dyDescent="0.4">
      <c r="A229" t="s">
        <v>1267</v>
      </c>
      <c r="B229" t="s">
        <v>8826</v>
      </c>
      <c r="C229" t="s">
        <v>8984</v>
      </c>
    </row>
    <row r="230" spans="1:3" x14ac:dyDescent="0.4">
      <c r="A230" t="s">
        <v>1270</v>
      </c>
      <c r="B230" t="s">
        <v>8827</v>
      </c>
      <c r="C230" t="s">
        <v>8984</v>
      </c>
    </row>
    <row r="231" spans="1:3" x14ac:dyDescent="0.4">
      <c r="A231" t="s">
        <v>1273</v>
      </c>
      <c r="B231" t="s">
        <v>8828</v>
      </c>
      <c r="C231" t="s">
        <v>8984</v>
      </c>
    </row>
    <row r="232" spans="1:3" x14ac:dyDescent="0.4">
      <c r="A232" t="s">
        <v>969</v>
      </c>
      <c r="B232" t="s">
        <v>8829</v>
      </c>
      <c r="C232" t="s">
        <v>8985</v>
      </c>
    </row>
    <row r="233" spans="1:3" x14ac:dyDescent="0.4">
      <c r="A233" t="s">
        <v>977</v>
      </c>
      <c r="B233" t="s">
        <v>8830</v>
      </c>
      <c r="C233" t="s">
        <v>8985</v>
      </c>
    </row>
    <row r="234" spans="1:3" x14ac:dyDescent="0.4">
      <c r="A234" t="s">
        <v>980</v>
      </c>
      <c r="B234" t="s">
        <v>8831</v>
      </c>
      <c r="C234" t="s">
        <v>8985</v>
      </c>
    </row>
    <row r="235" spans="1:3" x14ac:dyDescent="0.4">
      <c r="A235" t="s">
        <v>984</v>
      </c>
      <c r="B235" t="s">
        <v>8832</v>
      </c>
      <c r="C235" t="s">
        <v>8985</v>
      </c>
    </row>
    <row r="236" spans="1:3" x14ac:dyDescent="0.4">
      <c r="A236" t="s">
        <v>987</v>
      </c>
      <c r="B236" t="s">
        <v>8833</v>
      </c>
      <c r="C236" t="s">
        <v>8985</v>
      </c>
    </row>
    <row r="237" spans="1:3" x14ac:dyDescent="0.4">
      <c r="A237" t="s">
        <v>990</v>
      </c>
      <c r="B237" t="s">
        <v>8834</v>
      </c>
      <c r="C237" t="s">
        <v>8985</v>
      </c>
    </row>
    <row r="238" spans="1:3" x14ac:dyDescent="0.4">
      <c r="A238" t="s">
        <v>993</v>
      </c>
      <c r="B238" t="s">
        <v>8835</v>
      </c>
      <c r="C238" t="s">
        <v>8985</v>
      </c>
    </row>
    <row r="239" spans="1:3" x14ac:dyDescent="0.4">
      <c r="A239" t="s">
        <v>996</v>
      </c>
      <c r="B239" t="s">
        <v>8836</v>
      </c>
      <c r="C239" t="s">
        <v>8985</v>
      </c>
    </row>
    <row r="240" spans="1:3" x14ac:dyDescent="0.4">
      <c r="A240" t="s">
        <v>999</v>
      </c>
      <c r="B240" t="s">
        <v>8837</v>
      </c>
      <c r="C240" t="s">
        <v>8985</v>
      </c>
    </row>
    <row r="241" spans="1:3" x14ac:dyDescent="0.4">
      <c r="A241" t="s">
        <v>1002</v>
      </c>
      <c r="B241" t="s">
        <v>8838</v>
      </c>
      <c r="C241" t="s">
        <v>8985</v>
      </c>
    </row>
    <row r="242" spans="1:3" x14ac:dyDescent="0.4">
      <c r="A242" t="s">
        <v>1005</v>
      </c>
      <c r="B242" t="s">
        <v>8839</v>
      </c>
      <c r="C242" t="s">
        <v>8986</v>
      </c>
    </row>
    <row r="243" spans="1:3" x14ac:dyDescent="0.4">
      <c r="A243" t="s">
        <v>1010</v>
      </c>
      <c r="B243" t="s">
        <v>8840</v>
      </c>
      <c r="C243" t="s">
        <v>8986</v>
      </c>
    </row>
    <row r="244" spans="1:3" x14ac:dyDescent="0.4">
      <c r="A244" t="s">
        <v>1013</v>
      </c>
      <c r="B244" t="s">
        <v>8841</v>
      </c>
      <c r="C244" t="s">
        <v>8986</v>
      </c>
    </row>
    <row r="245" spans="1:3" x14ac:dyDescent="0.4">
      <c r="A245" t="s">
        <v>1016</v>
      </c>
      <c r="B245" t="s">
        <v>8842</v>
      </c>
      <c r="C245" t="s">
        <v>8986</v>
      </c>
    </row>
    <row r="246" spans="1:3" x14ac:dyDescent="0.4">
      <c r="A246" t="s">
        <v>1020</v>
      </c>
      <c r="B246" t="s">
        <v>8843</v>
      </c>
      <c r="C246" t="s">
        <v>8986</v>
      </c>
    </row>
    <row r="247" spans="1:3" x14ac:dyDescent="0.4">
      <c r="A247" t="s">
        <v>1025</v>
      </c>
      <c r="B247" t="s">
        <v>8844</v>
      </c>
      <c r="C247" t="s">
        <v>8986</v>
      </c>
    </row>
    <row r="248" spans="1:3" x14ac:dyDescent="0.4">
      <c r="A248" t="s">
        <v>1028</v>
      </c>
      <c r="B248" t="s">
        <v>8845</v>
      </c>
      <c r="C248" t="s">
        <v>8986</v>
      </c>
    </row>
    <row r="249" spans="1:3" x14ac:dyDescent="0.4">
      <c r="A249" t="s">
        <v>1031</v>
      </c>
      <c r="B249" t="s">
        <v>8846</v>
      </c>
      <c r="C249" t="s">
        <v>8986</v>
      </c>
    </row>
    <row r="250" spans="1:3" x14ac:dyDescent="0.4">
      <c r="A250" t="s">
        <v>1035</v>
      </c>
      <c r="B250" t="s">
        <v>8847</v>
      </c>
      <c r="C250" t="s">
        <v>8986</v>
      </c>
    </row>
    <row r="251" spans="1:3" x14ac:dyDescent="0.4">
      <c r="A251" t="s">
        <v>1038</v>
      </c>
      <c r="B251" t="s">
        <v>8848</v>
      </c>
      <c r="C251" t="s">
        <v>8986</v>
      </c>
    </row>
    <row r="252" spans="1:3" x14ac:dyDescent="0.4">
      <c r="A252" t="s">
        <v>1041</v>
      </c>
      <c r="B252" t="s">
        <v>8849</v>
      </c>
      <c r="C252" t="s">
        <v>8987</v>
      </c>
    </row>
    <row r="253" spans="1:3" x14ac:dyDescent="0.4">
      <c r="A253" t="s">
        <v>1046</v>
      </c>
      <c r="B253" t="s">
        <v>8850</v>
      </c>
      <c r="C253" t="s">
        <v>8987</v>
      </c>
    </row>
    <row r="254" spans="1:3" x14ac:dyDescent="0.4">
      <c r="A254" t="s">
        <v>1050</v>
      </c>
      <c r="B254" t="s">
        <v>8851</v>
      </c>
      <c r="C254" t="s">
        <v>8987</v>
      </c>
    </row>
    <row r="255" spans="1:3" x14ac:dyDescent="0.4">
      <c r="A255" t="s">
        <v>1055</v>
      </c>
      <c r="B255" t="s">
        <v>8852</v>
      </c>
      <c r="C255" t="s">
        <v>8987</v>
      </c>
    </row>
    <row r="256" spans="1:3" x14ac:dyDescent="0.4">
      <c r="A256" t="s">
        <v>1059</v>
      </c>
      <c r="B256" t="s">
        <v>8853</v>
      </c>
      <c r="C256" t="s">
        <v>8987</v>
      </c>
    </row>
    <row r="257" spans="1:3" x14ac:dyDescent="0.4">
      <c r="A257" t="s">
        <v>1062</v>
      </c>
      <c r="B257" t="s">
        <v>8854</v>
      </c>
      <c r="C257" t="s">
        <v>8987</v>
      </c>
    </row>
    <row r="258" spans="1:3" x14ac:dyDescent="0.4">
      <c r="A258" t="s">
        <v>1065</v>
      </c>
      <c r="B258" t="s">
        <v>8855</v>
      </c>
      <c r="C258" t="s">
        <v>8987</v>
      </c>
    </row>
    <row r="259" spans="1:3" x14ac:dyDescent="0.4">
      <c r="A259" t="s">
        <v>1068</v>
      </c>
      <c r="B259" t="s">
        <v>8856</v>
      </c>
      <c r="C259" t="s">
        <v>8987</v>
      </c>
    </row>
    <row r="260" spans="1:3" x14ac:dyDescent="0.4">
      <c r="A260" t="s">
        <v>1071</v>
      </c>
      <c r="B260" t="s">
        <v>8857</v>
      </c>
      <c r="C260" t="s">
        <v>8987</v>
      </c>
    </row>
    <row r="261" spans="1:3" x14ac:dyDescent="0.4">
      <c r="A261" t="s">
        <v>1074</v>
      </c>
      <c r="B261" t="s">
        <v>8858</v>
      </c>
      <c r="C261" t="s">
        <v>8987</v>
      </c>
    </row>
    <row r="262" spans="1:3" x14ac:dyDescent="0.4">
      <c r="A262" t="s">
        <v>2377</v>
      </c>
      <c r="B262" t="s">
        <v>8859</v>
      </c>
      <c r="C262" t="s">
        <v>8988</v>
      </c>
    </row>
    <row r="263" spans="1:3" x14ac:dyDescent="0.4">
      <c r="A263" t="s">
        <v>2383</v>
      </c>
      <c r="B263" t="s">
        <v>8860</v>
      </c>
      <c r="C263" t="s">
        <v>8988</v>
      </c>
    </row>
    <row r="264" spans="1:3" x14ac:dyDescent="0.4">
      <c r="A264" t="s">
        <v>2387</v>
      </c>
      <c r="B264" t="s">
        <v>8861</v>
      </c>
      <c r="C264" t="s">
        <v>8988</v>
      </c>
    </row>
    <row r="265" spans="1:3" x14ac:dyDescent="0.4">
      <c r="A265" t="s">
        <v>2391</v>
      </c>
      <c r="B265" t="s">
        <v>8862</v>
      </c>
      <c r="C265" t="s">
        <v>8988</v>
      </c>
    </row>
    <row r="266" spans="1:3" x14ac:dyDescent="0.4">
      <c r="A266" t="s">
        <v>2394</v>
      </c>
      <c r="B266" t="s">
        <v>8863</v>
      </c>
      <c r="C266" t="s">
        <v>8988</v>
      </c>
    </row>
    <row r="267" spans="1:3" x14ac:dyDescent="0.4">
      <c r="A267" t="s">
        <v>2398</v>
      </c>
      <c r="B267" t="s">
        <v>8864</v>
      </c>
      <c r="C267" t="s">
        <v>8988</v>
      </c>
    </row>
    <row r="268" spans="1:3" x14ac:dyDescent="0.4">
      <c r="A268" t="s">
        <v>2045</v>
      </c>
      <c r="B268" t="s">
        <v>8865</v>
      </c>
      <c r="C268" t="s">
        <v>8989</v>
      </c>
    </row>
    <row r="269" spans="1:3" x14ac:dyDescent="0.4">
      <c r="A269" t="s">
        <v>2052</v>
      </c>
      <c r="B269" t="s">
        <v>8866</v>
      </c>
      <c r="C269" t="s">
        <v>8989</v>
      </c>
    </row>
    <row r="270" spans="1:3" x14ac:dyDescent="0.4">
      <c r="A270" t="s">
        <v>2056</v>
      </c>
      <c r="B270" t="s">
        <v>8867</v>
      </c>
      <c r="C270" t="s">
        <v>8989</v>
      </c>
    </row>
    <row r="271" spans="1:3" x14ac:dyDescent="0.4">
      <c r="A271" t="s">
        <v>2059</v>
      </c>
      <c r="B271" t="s">
        <v>8868</v>
      </c>
      <c r="C271" t="s">
        <v>8989</v>
      </c>
    </row>
    <row r="272" spans="1:3" x14ac:dyDescent="0.4">
      <c r="A272" t="s">
        <v>2062</v>
      </c>
      <c r="B272" t="s">
        <v>8869</v>
      </c>
      <c r="C272" t="s">
        <v>8989</v>
      </c>
    </row>
    <row r="273" spans="1:3" x14ac:dyDescent="0.4">
      <c r="A273" t="s">
        <v>2065</v>
      </c>
      <c r="B273" t="s">
        <v>8870</v>
      </c>
      <c r="C273" t="s">
        <v>8989</v>
      </c>
    </row>
    <row r="274" spans="1:3" x14ac:dyDescent="0.4">
      <c r="A274" t="s">
        <v>2068</v>
      </c>
      <c r="B274" t="s">
        <v>8871</v>
      </c>
      <c r="C274" t="s">
        <v>8989</v>
      </c>
    </row>
    <row r="275" spans="1:3" x14ac:dyDescent="0.4">
      <c r="A275" t="s">
        <v>2071</v>
      </c>
      <c r="B275" t="s">
        <v>8872</v>
      </c>
      <c r="C275" t="s">
        <v>8989</v>
      </c>
    </row>
    <row r="276" spans="1:3" x14ac:dyDescent="0.4">
      <c r="A276" t="s">
        <v>2074</v>
      </c>
      <c r="B276" t="s">
        <v>8873</v>
      </c>
      <c r="C276" t="s">
        <v>8989</v>
      </c>
    </row>
    <row r="277" spans="1:3" x14ac:dyDescent="0.4">
      <c r="A277" t="s">
        <v>2077</v>
      </c>
      <c r="B277" t="s">
        <v>8874</v>
      </c>
      <c r="C277" t="s">
        <v>8989</v>
      </c>
    </row>
    <row r="278" spans="1:3" x14ac:dyDescent="0.4">
      <c r="A278" t="s">
        <v>1629</v>
      </c>
      <c r="B278" t="s">
        <v>8875</v>
      </c>
      <c r="C278" t="s">
        <v>8990</v>
      </c>
    </row>
    <row r="279" spans="1:3" x14ac:dyDescent="0.4">
      <c r="A279" t="s">
        <v>1635</v>
      </c>
      <c r="B279" t="s">
        <v>8876</v>
      </c>
      <c r="C279" t="s">
        <v>8990</v>
      </c>
    </row>
    <row r="280" spans="1:3" x14ac:dyDescent="0.4">
      <c r="A280" t="s">
        <v>1639</v>
      </c>
      <c r="B280" t="s">
        <v>8877</v>
      </c>
      <c r="C280" t="s">
        <v>8990</v>
      </c>
    </row>
    <row r="281" spans="1:3" x14ac:dyDescent="0.4">
      <c r="A281" t="s">
        <v>1642</v>
      </c>
      <c r="B281" t="s">
        <v>8878</v>
      </c>
      <c r="C281" t="s">
        <v>8990</v>
      </c>
    </row>
    <row r="282" spans="1:3" x14ac:dyDescent="0.4">
      <c r="A282" t="s">
        <v>1646</v>
      </c>
      <c r="B282" t="s">
        <v>8879</v>
      </c>
      <c r="C282" t="s">
        <v>8990</v>
      </c>
    </row>
    <row r="283" spans="1:3" x14ac:dyDescent="0.4">
      <c r="A283" t="s">
        <v>1649</v>
      </c>
      <c r="B283" t="s">
        <v>8880</v>
      </c>
      <c r="C283" t="s">
        <v>8990</v>
      </c>
    </row>
    <row r="284" spans="1:3" x14ac:dyDescent="0.4">
      <c r="A284" t="s">
        <v>524</v>
      </c>
      <c r="B284" t="s">
        <v>8881</v>
      </c>
      <c r="C284" t="s">
        <v>8991</v>
      </c>
    </row>
    <row r="285" spans="1:3" x14ac:dyDescent="0.4">
      <c r="A285" t="s">
        <v>530</v>
      </c>
      <c r="B285" t="s">
        <v>8882</v>
      </c>
      <c r="C285" t="s">
        <v>8991</v>
      </c>
    </row>
    <row r="286" spans="1:3" x14ac:dyDescent="0.4">
      <c r="A286" t="s">
        <v>533</v>
      </c>
      <c r="B286" t="s">
        <v>8883</v>
      </c>
      <c r="C286" t="s">
        <v>8991</v>
      </c>
    </row>
    <row r="287" spans="1:3" x14ac:dyDescent="0.4">
      <c r="A287" t="s">
        <v>536</v>
      </c>
      <c r="B287" t="s">
        <v>8884</v>
      </c>
      <c r="C287" t="s">
        <v>8991</v>
      </c>
    </row>
    <row r="288" spans="1:3" x14ac:dyDescent="0.4">
      <c r="A288" t="s">
        <v>539</v>
      </c>
      <c r="B288" t="s">
        <v>8885</v>
      </c>
      <c r="C288" t="s">
        <v>8991</v>
      </c>
    </row>
    <row r="289" spans="1:3" x14ac:dyDescent="0.4">
      <c r="A289" t="s">
        <v>542</v>
      </c>
      <c r="B289" t="s">
        <v>8886</v>
      </c>
      <c r="C289" t="s">
        <v>8991</v>
      </c>
    </row>
    <row r="290" spans="1:3" x14ac:dyDescent="0.4">
      <c r="A290" t="s">
        <v>545</v>
      </c>
      <c r="B290" t="s">
        <v>8887</v>
      </c>
      <c r="C290" t="s">
        <v>8991</v>
      </c>
    </row>
    <row r="291" spans="1:3" x14ac:dyDescent="0.4">
      <c r="A291" t="s">
        <v>548</v>
      </c>
      <c r="B291" t="s">
        <v>8888</v>
      </c>
      <c r="C291" t="s">
        <v>8991</v>
      </c>
    </row>
    <row r="292" spans="1:3" x14ac:dyDescent="0.4">
      <c r="A292" t="s">
        <v>551</v>
      </c>
      <c r="B292" t="s">
        <v>8889</v>
      </c>
      <c r="C292" t="s">
        <v>8991</v>
      </c>
    </row>
    <row r="293" spans="1:3" x14ac:dyDescent="0.4">
      <c r="A293" t="s">
        <v>554</v>
      </c>
      <c r="B293" t="s">
        <v>8890</v>
      </c>
      <c r="C293" t="s">
        <v>8991</v>
      </c>
    </row>
    <row r="294" spans="1:3" x14ac:dyDescent="0.4">
      <c r="A294" t="s">
        <v>1193</v>
      </c>
      <c r="B294" t="s">
        <v>8891</v>
      </c>
      <c r="C294" t="s">
        <v>8992</v>
      </c>
    </row>
    <row r="295" spans="1:3" x14ac:dyDescent="0.4">
      <c r="A295" t="s">
        <v>1204</v>
      </c>
      <c r="B295" t="s">
        <v>8892</v>
      </c>
      <c r="C295" t="s">
        <v>8992</v>
      </c>
    </row>
    <row r="296" spans="1:3" x14ac:dyDescent="0.4">
      <c r="A296" t="s">
        <v>1207</v>
      </c>
      <c r="B296" t="s">
        <v>8893</v>
      </c>
      <c r="C296" t="s">
        <v>8992</v>
      </c>
    </row>
    <row r="297" spans="1:3" x14ac:dyDescent="0.4">
      <c r="A297" t="s">
        <v>1217</v>
      </c>
      <c r="B297" t="s">
        <v>8894</v>
      </c>
      <c r="C297" t="s">
        <v>8992</v>
      </c>
    </row>
    <row r="298" spans="1:3" x14ac:dyDescent="0.4">
      <c r="A298" t="s">
        <v>1317</v>
      </c>
      <c r="B298" t="s">
        <v>8895</v>
      </c>
      <c r="C298" t="s">
        <v>8993</v>
      </c>
    </row>
    <row r="299" spans="1:3" x14ac:dyDescent="0.4">
      <c r="A299" t="s">
        <v>1324</v>
      </c>
      <c r="B299" t="s">
        <v>8896</v>
      </c>
      <c r="C299" t="s">
        <v>8993</v>
      </c>
    </row>
    <row r="300" spans="1:3" x14ac:dyDescent="0.4">
      <c r="A300" t="s">
        <v>1327</v>
      </c>
      <c r="B300" t="s">
        <v>8897</v>
      </c>
      <c r="C300" t="s">
        <v>8993</v>
      </c>
    </row>
    <row r="301" spans="1:3" x14ac:dyDescent="0.4">
      <c r="A301" t="s">
        <v>1330</v>
      </c>
      <c r="B301" t="s">
        <v>8898</v>
      </c>
      <c r="C301" t="s">
        <v>8993</v>
      </c>
    </row>
    <row r="302" spans="1:3" x14ac:dyDescent="0.4">
      <c r="A302" t="s">
        <v>1333</v>
      </c>
      <c r="B302" t="s">
        <v>8899</v>
      </c>
      <c r="C302" t="s">
        <v>8993</v>
      </c>
    </row>
    <row r="303" spans="1:3" x14ac:dyDescent="0.4">
      <c r="A303" t="s">
        <v>1336</v>
      </c>
      <c r="B303" t="s">
        <v>8900</v>
      </c>
      <c r="C303" t="s">
        <v>8993</v>
      </c>
    </row>
    <row r="304" spans="1:3" x14ac:dyDescent="0.4">
      <c r="A304" t="s">
        <v>1339</v>
      </c>
      <c r="B304" t="s">
        <v>8901</v>
      </c>
      <c r="C304" t="s">
        <v>8993</v>
      </c>
    </row>
    <row r="305" spans="1:3" x14ac:dyDescent="0.4">
      <c r="A305" t="s">
        <v>1342</v>
      </c>
      <c r="B305" t="s">
        <v>8902</v>
      </c>
      <c r="C305" t="s">
        <v>8993</v>
      </c>
    </row>
    <row r="306" spans="1:3" x14ac:dyDescent="0.4">
      <c r="A306" t="s">
        <v>1345</v>
      </c>
      <c r="B306" t="s">
        <v>8903</v>
      </c>
      <c r="C306" t="s">
        <v>8993</v>
      </c>
    </row>
    <row r="307" spans="1:3" x14ac:dyDescent="0.4">
      <c r="A307" t="s">
        <v>1348</v>
      </c>
      <c r="B307" t="s">
        <v>8904</v>
      </c>
      <c r="C307" t="s">
        <v>8993</v>
      </c>
    </row>
    <row r="308" spans="1:3" x14ac:dyDescent="0.4">
      <c r="A308" t="s">
        <v>1354</v>
      </c>
      <c r="B308" t="s">
        <v>8905</v>
      </c>
      <c r="C308" t="s">
        <v>8993</v>
      </c>
    </row>
    <row r="309" spans="1:3" x14ac:dyDescent="0.4">
      <c r="A309" t="s">
        <v>1357</v>
      </c>
      <c r="B309" t="s">
        <v>8906</v>
      </c>
      <c r="C309" t="s">
        <v>8993</v>
      </c>
    </row>
    <row r="310" spans="1:3" x14ac:dyDescent="0.4">
      <c r="A310" t="s">
        <v>1360</v>
      </c>
      <c r="B310" t="s">
        <v>8907</v>
      </c>
      <c r="C310" t="s">
        <v>8993</v>
      </c>
    </row>
    <row r="311" spans="1:3" x14ac:dyDescent="0.4">
      <c r="A311" t="s">
        <v>1363</v>
      </c>
      <c r="B311" t="s">
        <v>8908</v>
      </c>
      <c r="C311" t="s">
        <v>8993</v>
      </c>
    </row>
    <row r="312" spans="1:3" x14ac:dyDescent="0.4">
      <c r="A312" t="s">
        <v>1366</v>
      </c>
      <c r="B312" t="s">
        <v>8909</v>
      </c>
      <c r="C312" t="s">
        <v>8993</v>
      </c>
    </row>
    <row r="313" spans="1:3" x14ac:dyDescent="0.4">
      <c r="A313" t="s">
        <v>1369</v>
      </c>
      <c r="B313" t="s">
        <v>8910</v>
      </c>
      <c r="C313" t="s">
        <v>8993</v>
      </c>
    </row>
    <row r="314" spans="1:3" x14ac:dyDescent="0.4">
      <c r="A314" t="s">
        <v>1372</v>
      </c>
      <c r="B314" t="s">
        <v>8911</v>
      </c>
      <c r="C314" t="s">
        <v>8993</v>
      </c>
    </row>
    <row r="315" spans="1:3" x14ac:dyDescent="0.4">
      <c r="A315" t="s">
        <v>1375</v>
      </c>
      <c r="B315" t="s">
        <v>8912</v>
      </c>
      <c r="C315" t="s">
        <v>8993</v>
      </c>
    </row>
    <row r="316" spans="1:3" x14ac:dyDescent="0.4">
      <c r="A316" t="s">
        <v>1379</v>
      </c>
      <c r="B316" t="s">
        <v>8913</v>
      </c>
      <c r="C316" t="s">
        <v>8993</v>
      </c>
    </row>
    <row r="317" spans="1:3" x14ac:dyDescent="0.4">
      <c r="A317" t="s">
        <v>1382</v>
      </c>
      <c r="B317" t="s">
        <v>8914</v>
      </c>
      <c r="C317" t="s">
        <v>8993</v>
      </c>
    </row>
    <row r="318" spans="1:3" x14ac:dyDescent="0.4">
      <c r="A318" t="s">
        <v>1890</v>
      </c>
      <c r="B318" t="s">
        <v>8915</v>
      </c>
      <c r="C318" t="s">
        <v>8994</v>
      </c>
    </row>
    <row r="319" spans="1:3" x14ac:dyDescent="0.4">
      <c r="A319" t="s">
        <v>1897</v>
      </c>
      <c r="B319" t="s">
        <v>8916</v>
      </c>
      <c r="C319" t="s">
        <v>8994</v>
      </c>
    </row>
    <row r="320" spans="1:3" x14ac:dyDescent="0.4">
      <c r="A320" t="s">
        <v>1900</v>
      </c>
      <c r="B320" t="s">
        <v>8917</v>
      </c>
      <c r="C320" t="s">
        <v>8994</v>
      </c>
    </row>
    <row r="321" spans="1:3" x14ac:dyDescent="0.4">
      <c r="A321" t="s">
        <v>1903</v>
      </c>
      <c r="B321" t="s">
        <v>8918</v>
      </c>
      <c r="C321" t="s">
        <v>8994</v>
      </c>
    </row>
    <row r="322" spans="1:3" x14ac:dyDescent="0.4">
      <c r="A322" t="s">
        <v>1906</v>
      </c>
      <c r="B322" t="s">
        <v>8919</v>
      </c>
      <c r="C322" t="s">
        <v>8994</v>
      </c>
    </row>
    <row r="323" spans="1:3" x14ac:dyDescent="0.4">
      <c r="A323" t="s">
        <v>1912</v>
      </c>
      <c r="B323" t="s">
        <v>8920</v>
      </c>
      <c r="C323" t="s">
        <v>8994</v>
      </c>
    </row>
    <row r="324" spans="1:3" x14ac:dyDescent="0.4">
      <c r="A324" t="s">
        <v>1915</v>
      </c>
      <c r="B324" t="s">
        <v>8921</v>
      </c>
      <c r="C324" t="s">
        <v>8994</v>
      </c>
    </row>
    <row r="325" spans="1:3" x14ac:dyDescent="0.4">
      <c r="A325" t="s">
        <v>1918</v>
      </c>
      <c r="B325" t="s">
        <v>8922</v>
      </c>
      <c r="C325" t="s">
        <v>8994</v>
      </c>
    </row>
    <row r="326" spans="1:3" x14ac:dyDescent="0.4">
      <c r="A326" t="s">
        <v>1921</v>
      </c>
      <c r="B326" t="s">
        <v>8923</v>
      </c>
      <c r="C326" t="s">
        <v>8994</v>
      </c>
    </row>
    <row r="327" spans="1:3" x14ac:dyDescent="0.4">
      <c r="A327" t="s">
        <v>1924</v>
      </c>
      <c r="B327" t="s">
        <v>8924</v>
      </c>
      <c r="C327" t="s">
        <v>8995</v>
      </c>
    </row>
    <row r="328" spans="1:3" x14ac:dyDescent="0.4">
      <c r="A328" t="s">
        <v>1929</v>
      </c>
      <c r="B328" t="s">
        <v>8925</v>
      </c>
      <c r="C328" t="s">
        <v>8995</v>
      </c>
    </row>
    <row r="329" spans="1:3" x14ac:dyDescent="0.4">
      <c r="A329" t="s">
        <v>1932</v>
      </c>
      <c r="B329" t="s">
        <v>8926</v>
      </c>
      <c r="C329" t="s">
        <v>8995</v>
      </c>
    </row>
    <row r="330" spans="1:3" x14ac:dyDescent="0.4">
      <c r="A330" t="s">
        <v>1935</v>
      </c>
      <c r="B330" t="s">
        <v>8927</v>
      </c>
      <c r="C330" t="s">
        <v>8995</v>
      </c>
    </row>
    <row r="331" spans="1:3" x14ac:dyDescent="0.4">
      <c r="A331" t="s">
        <v>1938</v>
      </c>
      <c r="B331" t="s">
        <v>8928</v>
      </c>
      <c r="C331" t="s">
        <v>8995</v>
      </c>
    </row>
    <row r="332" spans="1:3" x14ac:dyDescent="0.4">
      <c r="A332" t="s">
        <v>1941</v>
      </c>
      <c r="B332" t="s">
        <v>8929</v>
      </c>
      <c r="C332" t="s">
        <v>8995</v>
      </c>
    </row>
    <row r="333" spans="1:3" x14ac:dyDescent="0.4">
      <c r="A333" t="s">
        <v>1944</v>
      </c>
      <c r="B333" t="s">
        <v>8930</v>
      </c>
      <c r="C333" t="s">
        <v>8995</v>
      </c>
    </row>
    <row r="334" spans="1:3" x14ac:dyDescent="0.4">
      <c r="A334" t="s">
        <v>1947</v>
      </c>
      <c r="B334" t="s">
        <v>8931</v>
      </c>
      <c r="C334" t="s">
        <v>8995</v>
      </c>
    </row>
    <row r="335" spans="1:3" x14ac:dyDescent="0.4">
      <c r="A335" t="s">
        <v>1950</v>
      </c>
      <c r="B335" t="s">
        <v>8932</v>
      </c>
      <c r="C335" t="s">
        <v>8995</v>
      </c>
    </row>
    <row r="336" spans="1:3" x14ac:dyDescent="0.4">
      <c r="A336" t="s">
        <v>1953</v>
      </c>
      <c r="B336" t="s">
        <v>8933</v>
      </c>
      <c r="C336" t="s">
        <v>8995</v>
      </c>
    </row>
    <row r="337" spans="1:3" x14ac:dyDescent="0.4">
      <c r="A337" t="s">
        <v>557</v>
      </c>
      <c r="B337" t="s">
        <v>8934</v>
      </c>
      <c r="C337" t="s">
        <v>8996</v>
      </c>
    </row>
    <row r="338" spans="1:3" x14ac:dyDescent="0.4">
      <c r="A338" t="s">
        <v>565</v>
      </c>
      <c r="B338" t="s">
        <v>8935</v>
      </c>
      <c r="C338" t="s">
        <v>8996</v>
      </c>
    </row>
    <row r="339" spans="1:3" x14ac:dyDescent="0.4">
      <c r="A339" t="s">
        <v>568</v>
      </c>
      <c r="B339" t="s">
        <v>8936</v>
      </c>
      <c r="C339" t="s">
        <v>8996</v>
      </c>
    </row>
    <row r="340" spans="1:3" x14ac:dyDescent="0.4">
      <c r="A340" t="s">
        <v>571</v>
      </c>
      <c r="B340" t="s">
        <v>8937</v>
      </c>
      <c r="C340" t="s">
        <v>8996</v>
      </c>
    </row>
    <row r="341" spans="1:3" x14ac:dyDescent="0.4">
      <c r="A341" t="s">
        <v>574</v>
      </c>
      <c r="B341" t="s">
        <v>8938</v>
      </c>
      <c r="C341" t="s">
        <v>8996</v>
      </c>
    </row>
    <row r="342" spans="1:3" x14ac:dyDescent="0.4">
      <c r="A342" t="s">
        <v>577</v>
      </c>
      <c r="B342" t="s">
        <v>8939</v>
      </c>
      <c r="C342" t="s">
        <v>8996</v>
      </c>
    </row>
    <row r="343" spans="1:3" x14ac:dyDescent="0.4">
      <c r="A343" t="s">
        <v>580</v>
      </c>
      <c r="B343" t="s">
        <v>8940</v>
      </c>
      <c r="C343" t="s">
        <v>8996</v>
      </c>
    </row>
    <row r="344" spans="1:3" x14ac:dyDescent="0.4">
      <c r="A344" t="s">
        <v>583</v>
      </c>
      <c r="B344" t="s">
        <v>8941</v>
      </c>
      <c r="C344" t="s">
        <v>8996</v>
      </c>
    </row>
    <row r="345" spans="1:3" x14ac:dyDescent="0.4">
      <c r="A345" t="s">
        <v>586</v>
      </c>
      <c r="B345" t="s">
        <v>8942</v>
      </c>
      <c r="C345" t="s">
        <v>8996</v>
      </c>
    </row>
    <row r="346" spans="1:3" x14ac:dyDescent="0.4">
      <c r="A346" t="s">
        <v>626</v>
      </c>
      <c r="B346" t="s">
        <v>8943</v>
      </c>
      <c r="C346" t="s">
        <v>8996</v>
      </c>
    </row>
    <row r="347" spans="1:3" x14ac:dyDescent="0.4">
      <c r="A347" t="s">
        <v>590</v>
      </c>
      <c r="B347" t="s">
        <v>8944</v>
      </c>
      <c r="C347" t="s">
        <v>8997</v>
      </c>
    </row>
    <row r="348" spans="1:3" x14ac:dyDescent="0.4">
      <c r="A348" t="s">
        <v>606</v>
      </c>
      <c r="B348" t="s">
        <v>8945</v>
      </c>
      <c r="C348" t="s">
        <v>8997</v>
      </c>
    </row>
  </sheetData>
  <autoFilter ref="A1:C348" xr:uid="{9B029EE4-6098-4C19-9186-FC9A076C3329}"/>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59AA1-A99C-4C28-A383-C42DAD1CE5F4}">
  <dimension ref="A1:C286"/>
  <sheetViews>
    <sheetView topLeftCell="A278" workbookViewId="0">
      <selection activeCell="C1" sqref="C1:C286"/>
    </sheetView>
  </sheetViews>
  <sheetFormatPr defaultRowHeight="14.6" x14ac:dyDescent="0.4"/>
  <sheetData>
    <row r="1" spans="1:3" x14ac:dyDescent="0.4">
      <c r="A1" t="s">
        <v>1525</v>
      </c>
      <c r="B1" t="s">
        <v>8626</v>
      </c>
      <c r="C1" t="s">
        <v>8565</v>
      </c>
    </row>
    <row r="2" spans="1:3" x14ac:dyDescent="0.4">
      <c r="A2" t="s">
        <v>1528</v>
      </c>
      <c r="B2" t="s">
        <v>8627</v>
      </c>
      <c r="C2" t="s">
        <v>8565</v>
      </c>
    </row>
    <row r="3" spans="1:3" x14ac:dyDescent="0.4">
      <c r="A3" t="s">
        <v>1531</v>
      </c>
      <c r="B3" t="s">
        <v>8628</v>
      </c>
      <c r="C3" t="s">
        <v>8565</v>
      </c>
    </row>
    <row r="4" spans="1:3" x14ac:dyDescent="0.4">
      <c r="A4" t="s">
        <v>1534</v>
      </c>
      <c r="B4" t="s">
        <v>8629</v>
      </c>
      <c r="C4" t="s">
        <v>8565</v>
      </c>
    </row>
    <row r="5" spans="1:3" x14ac:dyDescent="0.4">
      <c r="A5" t="s">
        <v>1537</v>
      </c>
      <c r="B5" t="s">
        <v>8630</v>
      </c>
      <c r="C5" t="s">
        <v>8565</v>
      </c>
    </row>
    <row r="6" spans="1:3" x14ac:dyDescent="0.4">
      <c r="A6" t="s">
        <v>254</v>
      </c>
      <c r="B6" t="s">
        <v>8631</v>
      </c>
      <c r="C6" t="s">
        <v>8565</v>
      </c>
    </row>
    <row r="7" spans="1:3" x14ac:dyDescent="0.4">
      <c r="A7" t="s">
        <v>265</v>
      </c>
      <c r="B7" t="s">
        <v>8632</v>
      </c>
      <c r="C7" t="s">
        <v>8565</v>
      </c>
    </row>
    <row r="8" spans="1:3" x14ac:dyDescent="0.4">
      <c r="A8" t="s">
        <v>287</v>
      </c>
      <c r="B8" t="s">
        <v>8633</v>
      </c>
      <c r="C8" t="s">
        <v>8565</v>
      </c>
    </row>
    <row r="9" spans="1:3" x14ac:dyDescent="0.4">
      <c r="A9" t="s">
        <v>291</v>
      </c>
      <c r="B9" t="s">
        <v>8634</v>
      </c>
      <c r="C9" t="s">
        <v>8565</v>
      </c>
    </row>
    <row r="10" spans="1:3" x14ac:dyDescent="0.4">
      <c r="A10" t="s">
        <v>299</v>
      </c>
      <c r="B10" t="s">
        <v>8635</v>
      </c>
      <c r="C10" t="s">
        <v>8565</v>
      </c>
    </row>
    <row r="11" spans="1:3" x14ac:dyDescent="0.4">
      <c r="A11" t="s">
        <v>303</v>
      </c>
      <c r="B11" t="s">
        <v>8636</v>
      </c>
      <c r="C11" t="s">
        <v>8565</v>
      </c>
    </row>
    <row r="12" spans="1:3" x14ac:dyDescent="0.4">
      <c r="A12" t="s">
        <v>311</v>
      </c>
      <c r="B12" t="s">
        <v>8638</v>
      </c>
      <c r="C12" t="s">
        <v>8565</v>
      </c>
    </row>
    <row r="13" spans="1:3" x14ac:dyDescent="0.4">
      <c r="A13" t="s">
        <v>321</v>
      </c>
      <c r="B13" t="s">
        <v>8639</v>
      </c>
      <c r="C13" t="s">
        <v>8565</v>
      </c>
    </row>
    <row r="14" spans="1:3" x14ac:dyDescent="0.4">
      <c r="A14" t="s">
        <v>330</v>
      </c>
      <c r="B14" t="s">
        <v>8641</v>
      </c>
      <c r="C14" t="s">
        <v>8565</v>
      </c>
    </row>
    <row r="15" spans="1:3" x14ac:dyDescent="0.4">
      <c r="A15" t="s">
        <v>333</v>
      </c>
      <c r="B15" t="s">
        <v>8642</v>
      </c>
      <c r="C15" t="s">
        <v>8565</v>
      </c>
    </row>
    <row r="16" spans="1:3" x14ac:dyDescent="0.4">
      <c r="A16" t="s">
        <v>339</v>
      </c>
      <c r="B16" t="s">
        <v>8643</v>
      </c>
      <c r="C16" t="s">
        <v>8565</v>
      </c>
    </row>
    <row r="17" spans="1:3" x14ac:dyDescent="0.4">
      <c r="A17" t="s">
        <v>1385</v>
      </c>
      <c r="B17" t="s">
        <v>8644</v>
      </c>
      <c r="C17" t="s">
        <v>8565</v>
      </c>
    </row>
    <row r="18" spans="1:3" x14ac:dyDescent="0.4">
      <c r="A18" t="s">
        <v>1391</v>
      </c>
      <c r="B18" t="s">
        <v>8645</v>
      </c>
      <c r="C18" t="s">
        <v>8565</v>
      </c>
    </row>
    <row r="19" spans="1:3" x14ac:dyDescent="0.4">
      <c r="A19" t="s">
        <v>1394</v>
      </c>
      <c r="B19" t="s">
        <v>8646</v>
      </c>
      <c r="C19" t="s">
        <v>8565</v>
      </c>
    </row>
    <row r="20" spans="1:3" x14ac:dyDescent="0.4">
      <c r="A20" t="s">
        <v>1400</v>
      </c>
      <c r="B20" t="s">
        <v>8648</v>
      </c>
      <c r="C20" t="s">
        <v>8565</v>
      </c>
    </row>
    <row r="21" spans="1:3" x14ac:dyDescent="0.4">
      <c r="A21" t="s">
        <v>1409</v>
      </c>
      <c r="B21" t="s">
        <v>8649</v>
      </c>
      <c r="C21" t="s">
        <v>8565</v>
      </c>
    </row>
    <row r="22" spans="1:3" x14ac:dyDescent="0.4">
      <c r="A22" t="s">
        <v>1417</v>
      </c>
      <c r="B22" t="s">
        <v>8650</v>
      </c>
      <c r="C22" t="s">
        <v>8565</v>
      </c>
    </row>
    <row r="23" spans="1:3" x14ac:dyDescent="0.4">
      <c r="A23" t="s">
        <v>1426</v>
      </c>
      <c r="B23" t="s">
        <v>8651</v>
      </c>
      <c r="C23" t="s">
        <v>8565</v>
      </c>
    </row>
    <row r="24" spans="1:3" x14ac:dyDescent="0.4">
      <c r="A24" t="s">
        <v>111</v>
      </c>
      <c r="B24" t="s">
        <v>8653</v>
      </c>
      <c r="C24" t="s">
        <v>8565</v>
      </c>
    </row>
    <row r="25" spans="1:3" x14ac:dyDescent="0.4">
      <c r="A25" t="s">
        <v>120</v>
      </c>
      <c r="B25" t="s">
        <v>8654</v>
      </c>
      <c r="C25" t="s">
        <v>8565</v>
      </c>
    </row>
    <row r="26" spans="1:3" x14ac:dyDescent="0.4">
      <c r="A26" t="s">
        <v>123</v>
      </c>
      <c r="B26" t="s">
        <v>8655</v>
      </c>
      <c r="C26" t="s">
        <v>8565</v>
      </c>
    </row>
    <row r="27" spans="1:3" x14ac:dyDescent="0.4">
      <c r="A27" t="s">
        <v>126</v>
      </c>
      <c r="B27" t="s">
        <v>8656</v>
      </c>
      <c r="C27" t="s">
        <v>8565</v>
      </c>
    </row>
    <row r="28" spans="1:3" x14ac:dyDescent="0.4">
      <c r="A28" t="s">
        <v>129</v>
      </c>
      <c r="B28" t="s">
        <v>8657</v>
      </c>
      <c r="C28" t="s">
        <v>8565</v>
      </c>
    </row>
    <row r="29" spans="1:3" x14ac:dyDescent="0.4">
      <c r="A29" t="s">
        <v>180</v>
      </c>
      <c r="B29" t="s">
        <v>8658</v>
      </c>
      <c r="C29" t="s">
        <v>8565</v>
      </c>
    </row>
    <row r="30" spans="1:3" x14ac:dyDescent="0.4">
      <c r="A30" t="s">
        <v>183</v>
      </c>
      <c r="B30" t="s">
        <v>8659</v>
      </c>
      <c r="C30" t="s">
        <v>8565</v>
      </c>
    </row>
    <row r="31" spans="1:3" x14ac:dyDescent="0.4">
      <c r="A31" t="s">
        <v>132</v>
      </c>
      <c r="B31" t="s">
        <v>8660</v>
      </c>
      <c r="C31" t="s">
        <v>8565</v>
      </c>
    </row>
    <row r="32" spans="1:3" x14ac:dyDescent="0.4">
      <c r="A32" t="s">
        <v>137</v>
      </c>
      <c r="B32" t="s">
        <v>8661</v>
      </c>
      <c r="C32" t="s">
        <v>8565</v>
      </c>
    </row>
    <row r="33" spans="1:3" x14ac:dyDescent="0.4">
      <c r="A33" t="s">
        <v>147</v>
      </c>
      <c r="B33" t="s">
        <v>8662</v>
      </c>
      <c r="C33" t="s">
        <v>8565</v>
      </c>
    </row>
    <row r="34" spans="1:3" x14ac:dyDescent="0.4">
      <c r="A34" t="s">
        <v>150</v>
      </c>
      <c r="B34" t="s">
        <v>8663</v>
      </c>
      <c r="C34" t="s">
        <v>8565</v>
      </c>
    </row>
    <row r="35" spans="1:3" x14ac:dyDescent="0.4">
      <c r="A35" t="s">
        <v>1437</v>
      </c>
      <c r="B35" t="s">
        <v>8664</v>
      </c>
      <c r="C35" t="s">
        <v>8565</v>
      </c>
    </row>
    <row r="36" spans="1:3" x14ac:dyDescent="0.4">
      <c r="A36" t="s">
        <v>1441</v>
      </c>
      <c r="B36" t="s">
        <v>8665</v>
      </c>
      <c r="C36" t="s">
        <v>8565</v>
      </c>
    </row>
    <row r="37" spans="1:3" x14ac:dyDescent="0.4">
      <c r="A37" t="s">
        <v>1444</v>
      </c>
      <c r="B37" t="s">
        <v>8666</v>
      </c>
      <c r="C37" t="s">
        <v>8565</v>
      </c>
    </row>
    <row r="38" spans="1:3" x14ac:dyDescent="0.4">
      <c r="A38" t="s">
        <v>1447</v>
      </c>
      <c r="B38" t="s">
        <v>8669</v>
      </c>
      <c r="C38" t="s">
        <v>8565</v>
      </c>
    </row>
    <row r="39" spans="1:3" x14ac:dyDescent="0.4">
      <c r="A39" t="s">
        <v>1965</v>
      </c>
      <c r="B39" t="s">
        <v>8671</v>
      </c>
      <c r="C39" t="s">
        <v>8565</v>
      </c>
    </row>
    <row r="40" spans="1:3" x14ac:dyDescent="0.4">
      <c r="A40" t="s">
        <v>1989</v>
      </c>
      <c r="B40" t="s">
        <v>8674</v>
      </c>
      <c r="C40" t="s">
        <v>8565</v>
      </c>
    </row>
    <row r="41" spans="1:3" x14ac:dyDescent="0.4">
      <c r="A41" t="s">
        <v>1992</v>
      </c>
      <c r="B41" t="s">
        <v>8675</v>
      </c>
      <c r="C41" t="s">
        <v>8565</v>
      </c>
    </row>
    <row r="42" spans="1:3" x14ac:dyDescent="0.4">
      <c r="A42" t="s">
        <v>1995</v>
      </c>
      <c r="B42" t="s">
        <v>8676</v>
      </c>
      <c r="C42" t="s">
        <v>8565</v>
      </c>
    </row>
    <row r="43" spans="1:3" x14ac:dyDescent="0.4">
      <c r="A43" t="s">
        <v>2004</v>
      </c>
      <c r="B43" t="s">
        <v>8678</v>
      </c>
      <c r="C43" t="s">
        <v>8565</v>
      </c>
    </row>
    <row r="44" spans="1:3" x14ac:dyDescent="0.4">
      <c r="A44" t="s">
        <v>2009</v>
      </c>
      <c r="B44" t="s">
        <v>8679</v>
      </c>
      <c r="C44" t="s">
        <v>8565</v>
      </c>
    </row>
    <row r="45" spans="1:3" x14ac:dyDescent="0.4">
      <c r="A45" t="s">
        <v>2018</v>
      </c>
      <c r="B45" t="s">
        <v>8680</v>
      </c>
      <c r="C45" t="s">
        <v>8565</v>
      </c>
    </row>
    <row r="46" spans="1:3" x14ac:dyDescent="0.4">
      <c r="A46" t="s">
        <v>2021</v>
      </c>
      <c r="B46" t="s">
        <v>8681</v>
      </c>
      <c r="C46" t="s">
        <v>8565</v>
      </c>
    </row>
    <row r="47" spans="1:3" x14ac:dyDescent="0.4">
      <c r="A47" t="s">
        <v>2033</v>
      </c>
      <c r="B47" t="s">
        <v>8683</v>
      </c>
      <c r="C47" t="s">
        <v>8565</v>
      </c>
    </row>
    <row r="48" spans="1:3" x14ac:dyDescent="0.4">
      <c r="A48" t="s">
        <v>2101</v>
      </c>
      <c r="B48" t="s">
        <v>8686</v>
      </c>
      <c r="C48" t="s">
        <v>8565</v>
      </c>
    </row>
    <row r="49" spans="1:3" x14ac:dyDescent="0.4">
      <c r="A49" t="s">
        <v>2111</v>
      </c>
      <c r="B49" t="s">
        <v>8687</v>
      </c>
      <c r="C49" t="s">
        <v>8565</v>
      </c>
    </row>
    <row r="50" spans="1:3" x14ac:dyDescent="0.4">
      <c r="A50" t="s">
        <v>2114</v>
      </c>
      <c r="B50" t="s">
        <v>8688</v>
      </c>
      <c r="C50" t="s">
        <v>8565</v>
      </c>
    </row>
    <row r="51" spans="1:3" x14ac:dyDescent="0.4">
      <c r="A51" t="s">
        <v>2120</v>
      </c>
      <c r="B51" t="s">
        <v>8689</v>
      </c>
      <c r="C51" t="s">
        <v>8565</v>
      </c>
    </row>
    <row r="52" spans="1:3" x14ac:dyDescent="0.4">
      <c r="A52" t="s">
        <v>2129</v>
      </c>
      <c r="B52" t="s">
        <v>8690</v>
      </c>
      <c r="C52" t="s">
        <v>8565</v>
      </c>
    </row>
    <row r="53" spans="1:3" x14ac:dyDescent="0.4">
      <c r="A53" t="s">
        <v>881</v>
      </c>
      <c r="B53" t="s">
        <v>8692</v>
      </c>
      <c r="C53" t="s">
        <v>8565</v>
      </c>
    </row>
    <row r="54" spans="1:3" x14ac:dyDescent="0.4">
      <c r="A54" t="s">
        <v>885</v>
      </c>
      <c r="B54" t="s">
        <v>8693</v>
      </c>
      <c r="C54" t="s">
        <v>8565</v>
      </c>
    </row>
    <row r="55" spans="1:3" x14ac:dyDescent="0.4">
      <c r="A55" t="s">
        <v>888</v>
      </c>
      <c r="B55" t="s">
        <v>8694</v>
      </c>
      <c r="C55" t="s">
        <v>8565</v>
      </c>
    </row>
    <row r="56" spans="1:3" x14ac:dyDescent="0.4">
      <c r="A56" t="s">
        <v>891</v>
      </c>
      <c r="B56" t="s">
        <v>8695</v>
      </c>
      <c r="C56" t="s">
        <v>8565</v>
      </c>
    </row>
    <row r="57" spans="1:3" x14ac:dyDescent="0.4">
      <c r="A57" t="s">
        <v>800</v>
      </c>
      <c r="B57" t="s">
        <v>8696</v>
      </c>
      <c r="C57" t="s">
        <v>8565</v>
      </c>
    </row>
    <row r="58" spans="1:3" x14ac:dyDescent="0.4">
      <c r="A58" t="s">
        <v>768</v>
      </c>
      <c r="B58" t="s">
        <v>8697</v>
      </c>
      <c r="C58" t="s">
        <v>8565</v>
      </c>
    </row>
    <row r="59" spans="1:3" x14ac:dyDescent="0.4">
      <c r="A59" t="s">
        <v>776</v>
      </c>
      <c r="B59" t="s">
        <v>8699</v>
      </c>
      <c r="C59" t="s">
        <v>8565</v>
      </c>
    </row>
    <row r="60" spans="1:3" x14ac:dyDescent="0.4">
      <c r="A60" t="s">
        <v>788</v>
      </c>
      <c r="B60" t="s">
        <v>8700</v>
      </c>
      <c r="C60" t="s">
        <v>8565</v>
      </c>
    </row>
    <row r="61" spans="1:3" x14ac:dyDescent="0.4">
      <c r="A61" t="s">
        <v>791</v>
      </c>
      <c r="B61" t="s">
        <v>8701</v>
      </c>
      <c r="C61" t="s">
        <v>8565</v>
      </c>
    </row>
    <row r="62" spans="1:3" x14ac:dyDescent="0.4">
      <c r="A62" t="s">
        <v>797</v>
      </c>
      <c r="B62" t="s">
        <v>8702</v>
      </c>
      <c r="C62" t="s">
        <v>8565</v>
      </c>
    </row>
    <row r="63" spans="1:3" x14ac:dyDescent="0.4">
      <c r="A63" t="s">
        <v>734</v>
      </c>
      <c r="B63" t="s">
        <v>8703</v>
      </c>
      <c r="C63" t="s">
        <v>8565</v>
      </c>
    </row>
    <row r="64" spans="1:3" x14ac:dyDescent="0.4">
      <c r="A64" t="s">
        <v>741</v>
      </c>
      <c r="B64" t="s">
        <v>8704</v>
      </c>
      <c r="C64" t="s">
        <v>8565</v>
      </c>
    </row>
    <row r="65" spans="1:3" x14ac:dyDescent="0.4">
      <c r="A65" t="s">
        <v>744</v>
      </c>
      <c r="B65" t="s">
        <v>8705</v>
      </c>
      <c r="C65" t="s">
        <v>8565</v>
      </c>
    </row>
    <row r="66" spans="1:3" x14ac:dyDescent="0.4">
      <c r="A66" t="s">
        <v>750</v>
      </c>
      <c r="B66" t="s">
        <v>8706</v>
      </c>
      <c r="C66" t="s">
        <v>8565</v>
      </c>
    </row>
    <row r="67" spans="1:3" x14ac:dyDescent="0.4">
      <c r="A67" t="s">
        <v>753</v>
      </c>
      <c r="B67" t="s">
        <v>8707</v>
      </c>
      <c r="C67" t="s">
        <v>8565</v>
      </c>
    </row>
    <row r="68" spans="1:3" x14ac:dyDescent="0.4">
      <c r="A68" t="s">
        <v>810</v>
      </c>
      <c r="B68" t="s">
        <v>8709</v>
      </c>
      <c r="C68" t="s">
        <v>8565</v>
      </c>
    </row>
    <row r="69" spans="1:3" x14ac:dyDescent="0.4">
      <c r="A69" t="s">
        <v>817</v>
      </c>
      <c r="B69" t="s">
        <v>8710</v>
      </c>
      <c r="C69" t="s">
        <v>8565</v>
      </c>
    </row>
    <row r="70" spans="1:3" x14ac:dyDescent="0.4">
      <c r="A70" t="s">
        <v>820</v>
      </c>
      <c r="B70" t="s">
        <v>8711</v>
      </c>
      <c r="C70" t="s">
        <v>8565</v>
      </c>
    </row>
    <row r="71" spans="1:3" x14ac:dyDescent="0.4">
      <c r="A71" t="s">
        <v>823</v>
      </c>
      <c r="B71" t="s">
        <v>8712</v>
      </c>
      <c r="C71" t="s">
        <v>8565</v>
      </c>
    </row>
    <row r="72" spans="1:3" x14ac:dyDescent="0.4">
      <c r="A72" t="s">
        <v>827</v>
      </c>
      <c r="B72" t="s">
        <v>8713</v>
      </c>
      <c r="C72" t="s">
        <v>8565</v>
      </c>
    </row>
    <row r="73" spans="1:3" x14ac:dyDescent="0.4">
      <c r="A73" t="s">
        <v>2326</v>
      </c>
      <c r="B73" t="s">
        <v>8714</v>
      </c>
      <c r="C73" t="s">
        <v>8565</v>
      </c>
    </row>
    <row r="74" spans="1:3" x14ac:dyDescent="0.4">
      <c r="A74" t="s">
        <v>2342</v>
      </c>
      <c r="B74" t="s">
        <v>8716</v>
      </c>
      <c r="C74" t="s">
        <v>8565</v>
      </c>
    </row>
    <row r="75" spans="1:3" x14ac:dyDescent="0.4">
      <c r="A75" t="s">
        <v>1291</v>
      </c>
      <c r="B75" t="s">
        <v>8717</v>
      </c>
      <c r="C75" t="s">
        <v>8565</v>
      </c>
    </row>
    <row r="76" spans="1:3" x14ac:dyDescent="0.4">
      <c r="A76" t="s">
        <v>1296</v>
      </c>
      <c r="B76" t="s">
        <v>8718</v>
      </c>
      <c r="C76" t="s">
        <v>8565</v>
      </c>
    </row>
    <row r="77" spans="1:3" x14ac:dyDescent="0.4">
      <c r="A77" t="s">
        <v>1299</v>
      </c>
      <c r="B77" t="s">
        <v>8719</v>
      </c>
      <c r="C77" t="s">
        <v>8565</v>
      </c>
    </row>
    <row r="78" spans="1:3" x14ac:dyDescent="0.4">
      <c r="A78" t="s">
        <v>1305</v>
      </c>
      <c r="B78" t="s">
        <v>8720</v>
      </c>
      <c r="C78" t="s">
        <v>8565</v>
      </c>
    </row>
    <row r="79" spans="1:3" x14ac:dyDescent="0.4">
      <c r="A79" t="s">
        <v>1308</v>
      </c>
      <c r="B79" t="s">
        <v>8721</v>
      </c>
      <c r="C79" t="s">
        <v>8565</v>
      </c>
    </row>
    <row r="80" spans="1:3" x14ac:dyDescent="0.4">
      <c r="A80" t="s">
        <v>2311</v>
      </c>
      <c r="B80" t="s">
        <v>8722</v>
      </c>
      <c r="C80" t="s">
        <v>8565</v>
      </c>
    </row>
    <row r="81" spans="1:3" x14ac:dyDescent="0.4">
      <c r="A81" t="s">
        <v>2314</v>
      </c>
      <c r="B81" t="s">
        <v>8723</v>
      </c>
      <c r="C81" t="s">
        <v>8565</v>
      </c>
    </row>
    <row r="82" spans="1:3" x14ac:dyDescent="0.4">
      <c r="A82" t="s">
        <v>2317</v>
      </c>
      <c r="B82" t="s">
        <v>8724</v>
      </c>
      <c r="C82" t="s">
        <v>8565</v>
      </c>
    </row>
    <row r="83" spans="1:3" x14ac:dyDescent="0.4">
      <c r="A83" t="s">
        <v>2320</v>
      </c>
      <c r="B83" t="s">
        <v>8725</v>
      </c>
      <c r="C83" t="s">
        <v>8565</v>
      </c>
    </row>
    <row r="84" spans="1:3" x14ac:dyDescent="0.4">
      <c r="A84" t="s">
        <v>2323</v>
      </c>
      <c r="B84" t="s">
        <v>8726</v>
      </c>
      <c r="C84" t="s">
        <v>8565</v>
      </c>
    </row>
    <row r="85" spans="1:3" x14ac:dyDescent="0.4">
      <c r="A85" t="s">
        <v>2345</v>
      </c>
      <c r="B85" t="s">
        <v>8727</v>
      </c>
      <c r="C85" t="s">
        <v>8565</v>
      </c>
    </row>
    <row r="86" spans="1:3" x14ac:dyDescent="0.4">
      <c r="A86" t="s">
        <v>2350</v>
      </c>
      <c r="B86" t="s">
        <v>8728</v>
      </c>
      <c r="C86" t="s">
        <v>8565</v>
      </c>
    </row>
    <row r="87" spans="1:3" x14ac:dyDescent="0.4">
      <c r="A87" t="s">
        <v>2353</v>
      </c>
      <c r="B87" t="s">
        <v>8729</v>
      </c>
      <c r="C87" t="s">
        <v>8565</v>
      </c>
    </row>
    <row r="88" spans="1:3" x14ac:dyDescent="0.4">
      <c r="A88" t="s">
        <v>2356</v>
      </c>
      <c r="B88" t="s">
        <v>8730</v>
      </c>
      <c r="C88" t="s">
        <v>8565</v>
      </c>
    </row>
    <row r="89" spans="1:3" x14ac:dyDescent="0.4">
      <c r="A89" t="s">
        <v>2371</v>
      </c>
      <c r="B89" t="s">
        <v>8731</v>
      </c>
      <c r="C89" t="s">
        <v>8565</v>
      </c>
    </row>
    <row r="90" spans="1:3" x14ac:dyDescent="0.4">
      <c r="A90" t="s">
        <v>1831</v>
      </c>
      <c r="B90" t="s">
        <v>8732</v>
      </c>
      <c r="C90" t="s">
        <v>8565</v>
      </c>
    </row>
    <row r="91" spans="1:3" x14ac:dyDescent="0.4">
      <c r="A91" t="s">
        <v>1837</v>
      </c>
      <c r="B91" t="s">
        <v>8733</v>
      </c>
      <c r="C91" t="s">
        <v>8565</v>
      </c>
    </row>
    <row r="92" spans="1:3" x14ac:dyDescent="0.4">
      <c r="A92" t="s">
        <v>1843</v>
      </c>
      <c r="B92" t="s">
        <v>8734</v>
      </c>
      <c r="C92" t="s">
        <v>8565</v>
      </c>
    </row>
    <row r="93" spans="1:3" x14ac:dyDescent="0.4">
      <c r="A93" t="s">
        <v>1849</v>
      </c>
      <c r="B93" t="s">
        <v>8735</v>
      </c>
      <c r="C93" t="s">
        <v>8565</v>
      </c>
    </row>
    <row r="94" spans="1:3" x14ac:dyDescent="0.4">
      <c r="A94" t="s">
        <v>1852</v>
      </c>
      <c r="B94" t="s">
        <v>8736</v>
      </c>
      <c r="C94" t="s">
        <v>8565</v>
      </c>
    </row>
    <row r="95" spans="1:3" x14ac:dyDescent="0.4">
      <c r="A95" t="s">
        <v>1167</v>
      </c>
      <c r="B95" t="s">
        <v>8740</v>
      </c>
      <c r="C95" t="s">
        <v>8565</v>
      </c>
    </row>
    <row r="96" spans="1:3" x14ac:dyDescent="0.4">
      <c r="A96" t="s">
        <v>1174</v>
      </c>
      <c r="B96" t="s">
        <v>8741</v>
      </c>
      <c r="C96" t="s">
        <v>8565</v>
      </c>
    </row>
    <row r="97" spans="1:3" x14ac:dyDescent="0.4">
      <c r="A97" t="s">
        <v>1177</v>
      </c>
      <c r="B97" t="s">
        <v>8742</v>
      </c>
      <c r="C97" t="s">
        <v>8565</v>
      </c>
    </row>
    <row r="98" spans="1:3" x14ac:dyDescent="0.4">
      <c r="A98" t="s">
        <v>1180</v>
      </c>
      <c r="B98" t="s">
        <v>8743</v>
      </c>
      <c r="C98" t="s">
        <v>8565</v>
      </c>
    </row>
    <row r="99" spans="1:3" x14ac:dyDescent="0.4">
      <c r="A99" t="s">
        <v>1120</v>
      </c>
      <c r="B99" t="s">
        <v>8746</v>
      </c>
      <c r="C99" t="s">
        <v>8565</v>
      </c>
    </row>
    <row r="100" spans="1:3" x14ac:dyDescent="0.4">
      <c r="A100" t="s">
        <v>676</v>
      </c>
      <c r="B100" t="s">
        <v>8747</v>
      </c>
      <c r="C100" t="s">
        <v>8565</v>
      </c>
    </row>
    <row r="101" spans="1:3" x14ac:dyDescent="0.4">
      <c r="A101" t="s">
        <v>683</v>
      </c>
      <c r="B101" t="s">
        <v>8748</v>
      </c>
      <c r="C101" t="s">
        <v>8565</v>
      </c>
    </row>
    <row r="102" spans="1:3" x14ac:dyDescent="0.4">
      <c r="A102" t="s">
        <v>689</v>
      </c>
      <c r="B102" t="s">
        <v>8749</v>
      </c>
      <c r="C102" t="s">
        <v>8565</v>
      </c>
    </row>
    <row r="103" spans="1:3" x14ac:dyDescent="0.4">
      <c r="A103" t="s">
        <v>695</v>
      </c>
      <c r="B103" t="s">
        <v>8751</v>
      </c>
      <c r="C103" t="s">
        <v>8565</v>
      </c>
    </row>
    <row r="104" spans="1:3" x14ac:dyDescent="0.4">
      <c r="A104" t="s">
        <v>701</v>
      </c>
      <c r="B104" t="s">
        <v>8752</v>
      </c>
      <c r="C104" t="s">
        <v>8565</v>
      </c>
    </row>
    <row r="105" spans="1:3" x14ac:dyDescent="0.4">
      <c r="A105" t="s">
        <v>640</v>
      </c>
      <c r="B105" t="s">
        <v>8754</v>
      </c>
      <c r="C105" t="s">
        <v>8565</v>
      </c>
    </row>
    <row r="106" spans="1:3" x14ac:dyDescent="0.4">
      <c r="A106" t="s">
        <v>645</v>
      </c>
      <c r="B106" t="s">
        <v>8755</v>
      </c>
      <c r="C106" t="s">
        <v>8565</v>
      </c>
    </row>
    <row r="107" spans="1:3" x14ac:dyDescent="0.4">
      <c r="A107" t="s">
        <v>651</v>
      </c>
      <c r="B107" t="s">
        <v>8756</v>
      </c>
      <c r="C107" t="s">
        <v>8565</v>
      </c>
    </row>
    <row r="108" spans="1:3" x14ac:dyDescent="0.4">
      <c r="A108" t="s">
        <v>657</v>
      </c>
      <c r="B108" t="s">
        <v>8757</v>
      </c>
      <c r="C108" t="s">
        <v>8565</v>
      </c>
    </row>
    <row r="109" spans="1:3" x14ac:dyDescent="0.4">
      <c r="A109" t="s">
        <v>666</v>
      </c>
      <c r="B109" t="s">
        <v>8758</v>
      </c>
      <c r="C109" t="s">
        <v>8565</v>
      </c>
    </row>
    <row r="110" spans="1:3" x14ac:dyDescent="0.4">
      <c r="A110" t="s">
        <v>1803</v>
      </c>
      <c r="B110" t="s">
        <v>8760</v>
      </c>
      <c r="C110" t="s">
        <v>8565</v>
      </c>
    </row>
    <row r="111" spans="1:3" x14ac:dyDescent="0.4">
      <c r="A111" t="s">
        <v>1812</v>
      </c>
      <c r="B111" t="s">
        <v>8761</v>
      </c>
      <c r="C111" t="s">
        <v>8565</v>
      </c>
    </row>
    <row r="112" spans="1:3" x14ac:dyDescent="0.4">
      <c r="A112" t="s">
        <v>1815</v>
      </c>
      <c r="B112" t="s">
        <v>8762</v>
      </c>
      <c r="C112" t="s">
        <v>8565</v>
      </c>
    </row>
    <row r="113" spans="1:3" x14ac:dyDescent="0.4">
      <c r="A113" t="s">
        <v>1753</v>
      </c>
      <c r="B113" t="s">
        <v>8763</v>
      </c>
      <c r="C113" t="s">
        <v>8565</v>
      </c>
    </row>
    <row r="114" spans="1:3" x14ac:dyDescent="0.4">
      <c r="A114" t="s">
        <v>1758</v>
      </c>
      <c r="B114" t="s">
        <v>8764</v>
      </c>
      <c r="C114" t="s">
        <v>8565</v>
      </c>
    </row>
    <row r="115" spans="1:3" x14ac:dyDescent="0.4">
      <c r="A115" t="s">
        <v>1762</v>
      </c>
      <c r="B115" t="s">
        <v>8765</v>
      </c>
      <c r="C115" t="s">
        <v>8565</v>
      </c>
    </row>
    <row r="116" spans="1:3" x14ac:dyDescent="0.4">
      <c r="A116" t="s">
        <v>1771</v>
      </c>
      <c r="B116" t="s">
        <v>8766</v>
      </c>
      <c r="C116" t="s">
        <v>8565</v>
      </c>
    </row>
    <row r="117" spans="1:3" x14ac:dyDescent="0.4">
      <c r="A117" t="s">
        <v>2281</v>
      </c>
      <c r="B117" t="s">
        <v>8767</v>
      </c>
      <c r="C117" t="s">
        <v>8565</v>
      </c>
    </row>
    <row r="118" spans="1:3" x14ac:dyDescent="0.4">
      <c r="A118" t="s">
        <v>2284</v>
      </c>
      <c r="B118" t="s">
        <v>8768</v>
      </c>
      <c r="C118" t="s">
        <v>8565</v>
      </c>
    </row>
    <row r="119" spans="1:3" x14ac:dyDescent="0.4">
      <c r="A119" t="s">
        <v>915</v>
      </c>
      <c r="B119" t="s">
        <v>8772</v>
      </c>
      <c r="C119" t="s">
        <v>8565</v>
      </c>
    </row>
    <row r="120" spans="1:3" x14ac:dyDescent="0.4">
      <c r="A120" t="s">
        <v>938</v>
      </c>
      <c r="B120" t="s">
        <v>8773</v>
      </c>
      <c r="C120" t="s">
        <v>8565</v>
      </c>
    </row>
    <row r="121" spans="1:3" x14ac:dyDescent="0.4">
      <c r="A121" t="s">
        <v>941</v>
      </c>
      <c r="B121" t="s">
        <v>8774</v>
      </c>
      <c r="C121" t="s">
        <v>8565</v>
      </c>
    </row>
    <row r="122" spans="1:3" x14ac:dyDescent="0.4">
      <c r="A122" t="s">
        <v>944</v>
      </c>
      <c r="B122" t="s">
        <v>8775</v>
      </c>
      <c r="C122" t="s">
        <v>8565</v>
      </c>
    </row>
    <row r="123" spans="1:3" x14ac:dyDescent="0.4">
      <c r="A123" t="s">
        <v>947</v>
      </c>
      <c r="B123" t="s">
        <v>8776</v>
      </c>
      <c r="C123" t="s">
        <v>8565</v>
      </c>
    </row>
    <row r="124" spans="1:3" x14ac:dyDescent="0.4">
      <c r="A124" t="s">
        <v>950</v>
      </c>
      <c r="B124" t="s">
        <v>8777</v>
      </c>
      <c r="C124" t="s">
        <v>8565</v>
      </c>
    </row>
    <row r="125" spans="1:3" x14ac:dyDescent="0.4">
      <c r="A125" t="s">
        <v>960</v>
      </c>
      <c r="B125" t="s">
        <v>8778</v>
      </c>
      <c r="C125" t="s">
        <v>8565</v>
      </c>
    </row>
    <row r="126" spans="1:3" x14ac:dyDescent="0.4">
      <c r="A126" t="s">
        <v>43</v>
      </c>
      <c r="B126" t="s">
        <v>8779</v>
      </c>
      <c r="C126" t="s">
        <v>8565</v>
      </c>
    </row>
    <row r="127" spans="1:3" x14ac:dyDescent="0.4">
      <c r="A127" t="s">
        <v>53</v>
      </c>
      <c r="B127" t="s">
        <v>8780</v>
      </c>
      <c r="C127" t="s">
        <v>8565</v>
      </c>
    </row>
    <row r="128" spans="1:3" x14ac:dyDescent="0.4">
      <c r="A128" t="s">
        <v>70</v>
      </c>
      <c r="B128" t="s">
        <v>8781</v>
      </c>
      <c r="C128" t="s">
        <v>8565</v>
      </c>
    </row>
    <row r="129" spans="1:3" x14ac:dyDescent="0.4">
      <c r="A129" t="s">
        <v>90</v>
      </c>
      <c r="B129" t="s">
        <v>8782</v>
      </c>
      <c r="C129" t="s">
        <v>8565</v>
      </c>
    </row>
    <row r="130" spans="1:3" x14ac:dyDescent="0.4">
      <c r="A130" t="s">
        <v>99</v>
      </c>
      <c r="B130" t="s">
        <v>8783</v>
      </c>
      <c r="C130" t="s">
        <v>8565</v>
      </c>
    </row>
    <row r="131" spans="1:3" x14ac:dyDescent="0.4">
      <c r="A131" t="s">
        <v>2167</v>
      </c>
      <c r="B131" t="s">
        <v>8785</v>
      </c>
      <c r="C131" t="s">
        <v>8565</v>
      </c>
    </row>
    <row r="132" spans="1:3" x14ac:dyDescent="0.4">
      <c r="A132" t="s">
        <v>2173</v>
      </c>
      <c r="B132" t="s">
        <v>8786</v>
      </c>
      <c r="C132" t="s">
        <v>8565</v>
      </c>
    </row>
    <row r="133" spans="1:3" x14ac:dyDescent="0.4">
      <c r="A133" t="s">
        <v>2176</v>
      </c>
      <c r="B133" t="s">
        <v>8787</v>
      </c>
      <c r="C133" t="s">
        <v>8565</v>
      </c>
    </row>
    <row r="134" spans="1:3" x14ac:dyDescent="0.4">
      <c r="A134" t="s">
        <v>2179</v>
      </c>
      <c r="B134" t="s">
        <v>8788</v>
      </c>
      <c r="C134" t="s">
        <v>8565</v>
      </c>
    </row>
    <row r="135" spans="1:3" x14ac:dyDescent="0.4">
      <c r="A135" t="s">
        <v>2188</v>
      </c>
      <c r="B135" t="s">
        <v>8789</v>
      </c>
      <c r="C135" t="s">
        <v>8565</v>
      </c>
    </row>
    <row r="136" spans="1:3" x14ac:dyDescent="0.4">
      <c r="A136" t="s">
        <v>2236</v>
      </c>
      <c r="B136" t="s">
        <v>8790</v>
      </c>
      <c r="C136" t="s">
        <v>8565</v>
      </c>
    </row>
    <row r="137" spans="1:3" x14ac:dyDescent="0.4">
      <c r="A137" t="s">
        <v>2242</v>
      </c>
      <c r="B137" t="s">
        <v>8791</v>
      </c>
      <c r="C137" t="s">
        <v>8565</v>
      </c>
    </row>
    <row r="138" spans="1:3" x14ac:dyDescent="0.4">
      <c r="A138" t="s">
        <v>2248</v>
      </c>
      <c r="B138" t="s">
        <v>8792</v>
      </c>
      <c r="C138" t="s">
        <v>8565</v>
      </c>
    </row>
    <row r="139" spans="1:3" x14ac:dyDescent="0.4">
      <c r="A139" t="s">
        <v>2251</v>
      </c>
      <c r="B139" t="s">
        <v>8793</v>
      </c>
      <c r="C139" t="s">
        <v>8565</v>
      </c>
    </row>
    <row r="140" spans="1:3" x14ac:dyDescent="0.4">
      <c r="A140" t="s">
        <v>2263</v>
      </c>
      <c r="B140" t="s">
        <v>8795</v>
      </c>
      <c r="C140" t="s">
        <v>8565</v>
      </c>
    </row>
    <row r="141" spans="1:3" x14ac:dyDescent="0.4">
      <c r="A141" t="s">
        <v>2203</v>
      </c>
      <c r="B141" t="s">
        <v>8796</v>
      </c>
      <c r="C141" t="s">
        <v>8565</v>
      </c>
    </row>
    <row r="142" spans="1:3" x14ac:dyDescent="0.4">
      <c r="A142" t="s">
        <v>2212</v>
      </c>
      <c r="B142" t="s">
        <v>8797</v>
      </c>
      <c r="C142" t="s">
        <v>8565</v>
      </c>
    </row>
    <row r="143" spans="1:3" x14ac:dyDescent="0.4">
      <c r="A143" t="s">
        <v>2218</v>
      </c>
      <c r="B143" t="s">
        <v>8798</v>
      </c>
      <c r="C143" t="s">
        <v>8565</v>
      </c>
    </row>
    <row r="144" spans="1:3" x14ac:dyDescent="0.4">
      <c r="A144" t="s">
        <v>2221</v>
      </c>
      <c r="B144" t="s">
        <v>8799</v>
      </c>
      <c r="C144" t="s">
        <v>8565</v>
      </c>
    </row>
    <row r="145" spans="1:3" x14ac:dyDescent="0.4">
      <c r="A145" t="s">
        <v>2229</v>
      </c>
      <c r="B145" t="s">
        <v>8800</v>
      </c>
      <c r="C145" t="s">
        <v>8565</v>
      </c>
    </row>
    <row r="146" spans="1:3" x14ac:dyDescent="0.4">
      <c r="A146" t="s">
        <v>353</v>
      </c>
      <c r="B146" t="s">
        <v>8801</v>
      </c>
      <c r="C146" t="s">
        <v>8565</v>
      </c>
    </row>
    <row r="147" spans="1:3" x14ac:dyDescent="0.4">
      <c r="A147" t="s">
        <v>360</v>
      </c>
      <c r="B147" t="s">
        <v>8802</v>
      </c>
      <c r="C147" t="s">
        <v>8565</v>
      </c>
    </row>
    <row r="148" spans="1:3" x14ac:dyDescent="0.4">
      <c r="A148" t="s">
        <v>375</v>
      </c>
      <c r="B148" t="s">
        <v>8804</v>
      </c>
      <c r="C148" t="s">
        <v>8565</v>
      </c>
    </row>
    <row r="149" spans="1:3" x14ac:dyDescent="0.4">
      <c r="A149" t="s">
        <v>381</v>
      </c>
      <c r="B149" t="s">
        <v>8805</v>
      </c>
      <c r="C149" t="s">
        <v>8565</v>
      </c>
    </row>
    <row r="150" spans="1:3" x14ac:dyDescent="0.4">
      <c r="A150" t="s">
        <v>390</v>
      </c>
      <c r="B150" t="s">
        <v>8806</v>
      </c>
      <c r="C150" t="s">
        <v>8565</v>
      </c>
    </row>
    <row r="151" spans="1:3" x14ac:dyDescent="0.4">
      <c r="A151" t="s">
        <v>465</v>
      </c>
      <c r="B151" t="s">
        <v>8808</v>
      </c>
      <c r="C151" t="s">
        <v>8565</v>
      </c>
    </row>
    <row r="152" spans="1:3" x14ac:dyDescent="0.4">
      <c r="A152" t="s">
        <v>485</v>
      </c>
      <c r="B152" t="s">
        <v>8809</v>
      </c>
      <c r="C152" t="s">
        <v>8565</v>
      </c>
    </row>
    <row r="153" spans="1:3" x14ac:dyDescent="0.4">
      <c r="A153" t="s">
        <v>488</v>
      </c>
      <c r="B153" t="s">
        <v>8810</v>
      </c>
      <c r="C153" t="s">
        <v>8565</v>
      </c>
    </row>
    <row r="154" spans="1:3" x14ac:dyDescent="0.4">
      <c r="A154" t="s">
        <v>491</v>
      </c>
      <c r="B154" t="s">
        <v>8811</v>
      </c>
      <c r="C154" t="s">
        <v>8565</v>
      </c>
    </row>
    <row r="155" spans="1:3" x14ac:dyDescent="0.4">
      <c r="A155" t="s">
        <v>396</v>
      </c>
      <c r="B155" t="s">
        <v>8813</v>
      </c>
      <c r="C155" t="s">
        <v>8565</v>
      </c>
    </row>
    <row r="156" spans="1:3" x14ac:dyDescent="0.4">
      <c r="A156" t="s">
        <v>403</v>
      </c>
      <c r="B156" t="s">
        <v>8814</v>
      </c>
      <c r="C156" t="s">
        <v>8565</v>
      </c>
    </row>
    <row r="157" spans="1:3" x14ac:dyDescent="0.4">
      <c r="A157" t="s">
        <v>426</v>
      </c>
      <c r="B157" t="s">
        <v>8815</v>
      </c>
      <c r="C157" t="s">
        <v>8565</v>
      </c>
    </row>
    <row r="158" spans="1:3" x14ac:dyDescent="0.4">
      <c r="A158" t="s">
        <v>430</v>
      </c>
      <c r="B158" t="s">
        <v>8816</v>
      </c>
      <c r="C158" t="s">
        <v>8565</v>
      </c>
    </row>
    <row r="159" spans="1:3" x14ac:dyDescent="0.4">
      <c r="A159" t="s">
        <v>422</v>
      </c>
      <c r="B159" t="s">
        <v>8817</v>
      </c>
      <c r="C159" t="s">
        <v>8565</v>
      </c>
    </row>
    <row r="160" spans="1:3" x14ac:dyDescent="0.4">
      <c r="A160" t="s">
        <v>201</v>
      </c>
      <c r="B160" t="s">
        <v>8819</v>
      </c>
      <c r="C160" t="s">
        <v>8565</v>
      </c>
    </row>
    <row r="161" spans="1:3" x14ac:dyDescent="0.4">
      <c r="A161" t="s">
        <v>209</v>
      </c>
      <c r="B161" t="s">
        <v>8820</v>
      </c>
      <c r="C161" t="s">
        <v>8565</v>
      </c>
    </row>
    <row r="162" spans="1:3" x14ac:dyDescent="0.4">
      <c r="A162" t="s">
        <v>212</v>
      </c>
      <c r="B162" t="s">
        <v>8821</v>
      </c>
      <c r="C162" t="s">
        <v>8565</v>
      </c>
    </row>
    <row r="163" spans="1:3" x14ac:dyDescent="0.4">
      <c r="A163" t="s">
        <v>221</v>
      </c>
      <c r="B163" t="s">
        <v>8822</v>
      </c>
      <c r="C163" t="s">
        <v>8565</v>
      </c>
    </row>
    <row r="164" spans="1:3" x14ac:dyDescent="0.4">
      <c r="A164" t="s">
        <v>224</v>
      </c>
      <c r="B164" t="s">
        <v>8823</v>
      </c>
      <c r="C164" t="s">
        <v>8565</v>
      </c>
    </row>
    <row r="165" spans="1:3" x14ac:dyDescent="0.4">
      <c r="A165" t="s">
        <v>1257</v>
      </c>
      <c r="B165" t="s">
        <v>8824</v>
      </c>
      <c r="C165" t="s">
        <v>8565</v>
      </c>
    </row>
    <row r="166" spans="1:3" x14ac:dyDescent="0.4">
      <c r="A166" t="s">
        <v>1264</v>
      </c>
      <c r="B166" t="s">
        <v>8825</v>
      </c>
      <c r="C166" t="s">
        <v>8565</v>
      </c>
    </row>
    <row r="167" spans="1:3" x14ac:dyDescent="0.4">
      <c r="A167" t="s">
        <v>1267</v>
      </c>
      <c r="B167" t="s">
        <v>8826</v>
      </c>
      <c r="C167" t="s">
        <v>8565</v>
      </c>
    </row>
    <row r="168" spans="1:3" x14ac:dyDescent="0.4">
      <c r="A168" t="s">
        <v>1270</v>
      </c>
      <c r="B168" t="s">
        <v>8827</v>
      </c>
      <c r="C168" t="s">
        <v>8565</v>
      </c>
    </row>
    <row r="169" spans="1:3" x14ac:dyDescent="0.4">
      <c r="A169" t="s">
        <v>1273</v>
      </c>
      <c r="B169" t="s">
        <v>8828</v>
      </c>
      <c r="C169" t="s">
        <v>8565</v>
      </c>
    </row>
    <row r="170" spans="1:3" x14ac:dyDescent="0.4">
      <c r="A170" t="s">
        <v>969</v>
      </c>
      <c r="B170" t="s">
        <v>8829</v>
      </c>
      <c r="C170" t="s">
        <v>8565</v>
      </c>
    </row>
    <row r="171" spans="1:3" x14ac:dyDescent="0.4">
      <c r="A171" t="s">
        <v>977</v>
      </c>
      <c r="B171" t="s">
        <v>8830</v>
      </c>
      <c r="C171" t="s">
        <v>8565</v>
      </c>
    </row>
    <row r="172" spans="1:3" x14ac:dyDescent="0.4">
      <c r="A172" t="s">
        <v>980</v>
      </c>
      <c r="B172" t="s">
        <v>8831</v>
      </c>
      <c r="C172" t="s">
        <v>8565</v>
      </c>
    </row>
    <row r="173" spans="1:3" x14ac:dyDescent="0.4">
      <c r="A173" t="s">
        <v>984</v>
      </c>
      <c r="B173" t="s">
        <v>8832</v>
      </c>
      <c r="C173" t="s">
        <v>8565</v>
      </c>
    </row>
    <row r="174" spans="1:3" x14ac:dyDescent="0.4">
      <c r="A174" t="s">
        <v>987</v>
      </c>
      <c r="B174" t="s">
        <v>8833</v>
      </c>
      <c r="C174" t="s">
        <v>8565</v>
      </c>
    </row>
    <row r="175" spans="1:3" x14ac:dyDescent="0.4">
      <c r="A175" t="s">
        <v>990</v>
      </c>
      <c r="B175" t="s">
        <v>8834</v>
      </c>
      <c r="C175" t="s">
        <v>8565</v>
      </c>
    </row>
    <row r="176" spans="1:3" x14ac:dyDescent="0.4">
      <c r="A176" t="s">
        <v>993</v>
      </c>
      <c r="B176" t="s">
        <v>8835</v>
      </c>
      <c r="C176" t="s">
        <v>8565</v>
      </c>
    </row>
    <row r="177" spans="1:3" x14ac:dyDescent="0.4">
      <c r="A177" t="s">
        <v>996</v>
      </c>
      <c r="B177" t="s">
        <v>8836</v>
      </c>
      <c r="C177" t="s">
        <v>8565</v>
      </c>
    </row>
    <row r="178" spans="1:3" x14ac:dyDescent="0.4">
      <c r="A178" t="s">
        <v>999</v>
      </c>
      <c r="B178" t="s">
        <v>8837</v>
      </c>
      <c r="C178" t="s">
        <v>8565</v>
      </c>
    </row>
    <row r="179" spans="1:3" x14ac:dyDescent="0.4">
      <c r="A179" t="s">
        <v>1002</v>
      </c>
      <c r="B179" t="s">
        <v>8838</v>
      </c>
      <c r="C179" t="s">
        <v>8565</v>
      </c>
    </row>
    <row r="180" spans="1:3" x14ac:dyDescent="0.4">
      <c r="A180" t="s">
        <v>1005</v>
      </c>
      <c r="B180" t="s">
        <v>8839</v>
      </c>
      <c r="C180" t="s">
        <v>8565</v>
      </c>
    </row>
    <row r="181" spans="1:3" x14ac:dyDescent="0.4">
      <c r="A181" t="s">
        <v>1010</v>
      </c>
      <c r="B181" t="s">
        <v>8840</v>
      </c>
      <c r="C181" t="s">
        <v>8565</v>
      </c>
    </row>
    <row r="182" spans="1:3" x14ac:dyDescent="0.4">
      <c r="A182" t="s">
        <v>1013</v>
      </c>
      <c r="B182" t="s">
        <v>8841</v>
      </c>
      <c r="C182" t="s">
        <v>8565</v>
      </c>
    </row>
    <row r="183" spans="1:3" x14ac:dyDescent="0.4">
      <c r="A183" t="s">
        <v>1016</v>
      </c>
      <c r="B183" t="s">
        <v>8842</v>
      </c>
      <c r="C183" t="s">
        <v>8565</v>
      </c>
    </row>
    <row r="184" spans="1:3" x14ac:dyDescent="0.4">
      <c r="A184" t="s">
        <v>1020</v>
      </c>
      <c r="B184" t="s">
        <v>8843</v>
      </c>
      <c r="C184" t="s">
        <v>8565</v>
      </c>
    </row>
    <row r="185" spans="1:3" x14ac:dyDescent="0.4">
      <c r="A185" t="s">
        <v>1025</v>
      </c>
      <c r="B185" t="s">
        <v>8844</v>
      </c>
      <c r="C185" t="s">
        <v>8565</v>
      </c>
    </row>
    <row r="186" spans="1:3" x14ac:dyDescent="0.4">
      <c r="A186" t="s">
        <v>1028</v>
      </c>
      <c r="B186" t="s">
        <v>8845</v>
      </c>
      <c r="C186" t="s">
        <v>8565</v>
      </c>
    </row>
    <row r="187" spans="1:3" x14ac:dyDescent="0.4">
      <c r="A187" t="s">
        <v>1031</v>
      </c>
      <c r="B187" t="s">
        <v>8846</v>
      </c>
      <c r="C187" t="s">
        <v>8565</v>
      </c>
    </row>
    <row r="188" spans="1:3" x14ac:dyDescent="0.4">
      <c r="A188" t="s">
        <v>1035</v>
      </c>
      <c r="B188" t="s">
        <v>8847</v>
      </c>
      <c r="C188" t="s">
        <v>8565</v>
      </c>
    </row>
    <row r="189" spans="1:3" x14ac:dyDescent="0.4">
      <c r="A189" t="s">
        <v>1038</v>
      </c>
      <c r="B189" t="s">
        <v>8848</v>
      </c>
      <c r="C189" t="s">
        <v>8565</v>
      </c>
    </row>
    <row r="190" spans="1:3" x14ac:dyDescent="0.4">
      <c r="A190" t="s">
        <v>1041</v>
      </c>
      <c r="B190" t="s">
        <v>8849</v>
      </c>
      <c r="C190" t="s">
        <v>8565</v>
      </c>
    </row>
    <row r="191" spans="1:3" x14ac:dyDescent="0.4">
      <c r="A191" t="s">
        <v>1046</v>
      </c>
      <c r="B191" t="s">
        <v>8850</v>
      </c>
      <c r="C191" t="s">
        <v>8565</v>
      </c>
    </row>
    <row r="192" spans="1:3" x14ac:dyDescent="0.4">
      <c r="A192" t="s">
        <v>1050</v>
      </c>
      <c r="B192" t="s">
        <v>8851</v>
      </c>
      <c r="C192" t="s">
        <v>8565</v>
      </c>
    </row>
    <row r="193" spans="1:3" x14ac:dyDescent="0.4">
      <c r="A193" t="s">
        <v>1055</v>
      </c>
      <c r="B193" t="s">
        <v>8852</v>
      </c>
      <c r="C193" t="s">
        <v>8565</v>
      </c>
    </row>
    <row r="194" spans="1:3" x14ac:dyDescent="0.4">
      <c r="A194" t="s">
        <v>1059</v>
      </c>
      <c r="B194" t="s">
        <v>8853</v>
      </c>
      <c r="C194" t="s">
        <v>8565</v>
      </c>
    </row>
    <row r="195" spans="1:3" x14ac:dyDescent="0.4">
      <c r="A195" t="s">
        <v>1062</v>
      </c>
      <c r="B195" t="s">
        <v>8854</v>
      </c>
      <c r="C195" t="s">
        <v>8565</v>
      </c>
    </row>
    <row r="196" spans="1:3" x14ac:dyDescent="0.4">
      <c r="A196" t="s">
        <v>1065</v>
      </c>
      <c r="B196" t="s">
        <v>8855</v>
      </c>
      <c r="C196" t="s">
        <v>8565</v>
      </c>
    </row>
    <row r="197" spans="1:3" x14ac:dyDescent="0.4">
      <c r="A197" t="s">
        <v>1068</v>
      </c>
      <c r="B197" t="s">
        <v>8856</v>
      </c>
      <c r="C197" t="s">
        <v>8565</v>
      </c>
    </row>
    <row r="198" spans="1:3" x14ac:dyDescent="0.4">
      <c r="A198" t="s">
        <v>1071</v>
      </c>
      <c r="B198" t="s">
        <v>8857</v>
      </c>
      <c r="C198" t="s">
        <v>8565</v>
      </c>
    </row>
    <row r="199" spans="1:3" x14ac:dyDescent="0.4">
      <c r="A199" t="s">
        <v>1074</v>
      </c>
      <c r="B199" t="s">
        <v>8858</v>
      </c>
      <c r="C199" t="s">
        <v>8565</v>
      </c>
    </row>
    <row r="200" spans="1:3" x14ac:dyDescent="0.4">
      <c r="A200" t="s">
        <v>2377</v>
      </c>
      <c r="B200" t="s">
        <v>8859</v>
      </c>
      <c r="C200" t="s">
        <v>8565</v>
      </c>
    </row>
    <row r="201" spans="1:3" x14ac:dyDescent="0.4">
      <c r="A201" t="s">
        <v>2383</v>
      </c>
      <c r="B201" t="s">
        <v>8860</v>
      </c>
      <c r="C201" t="s">
        <v>8565</v>
      </c>
    </row>
    <row r="202" spans="1:3" x14ac:dyDescent="0.4">
      <c r="A202" t="s">
        <v>2387</v>
      </c>
      <c r="B202" t="s">
        <v>8861</v>
      </c>
      <c r="C202" t="s">
        <v>8565</v>
      </c>
    </row>
    <row r="203" spans="1:3" x14ac:dyDescent="0.4">
      <c r="A203" t="s">
        <v>2391</v>
      </c>
      <c r="B203" t="s">
        <v>8862</v>
      </c>
      <c r="C203" t="s">
        <v>8565</v>
      </c>
    </row>
    <row r="204" spans="1:3" x14ac:dyDescent="0.4">
      <c r="A204" t="s">
        <v>2394</v>
      </c>
      <c r="B204" t="s">
        <v>8863</v>
      </c>
      <c r="C204" t="s">
        <v>8565</v>
      </c>
    </row>
    <row r="205" spans="1:3" x14ac:dyDescent="0.4">
      <c r="A205" t="s">
        <v>2398</v>
      </c>
      <c r="B205" t="s">
        <v>8864</v>
      </c>
      <c r="C205" t="s">
        <v>8565</v>
      </c>
    </row>
    <row r="206" spans="1:3" x14ac:dyDescent="0.4">
      <c r="A206" t="s">
        <v>2045</v>
      </c>
      <c r="B206" t="s">
        <v>8865</v>
      </c>
      <c r="C206" t="s">
        <v>8565</v>
      </c>
    </row>
    <row r="207" spans="1:3" x14ac:dyDescent="0.4">
      <c r="A207" t="s">
        <v>2052</v>
      </c>
      <c r="B207" t="s">
        <v>8866</v>
      </c>
      <c r="C207" t="s">
        <v>8565</v>
      </c>
    </row>
    <row r="208" spans="1:3" x14ac:dyDescent="0.4">
      <c r="A208" t="s">
        <v>2056</v>
      </c>
      <c r="B208" t="s">
        <v>8867</v>
      </c>
      <c r="C208" t="s">
        <v>8565</v>
      </c>
    </row>
    <row r="209" spans="1:3" x14ac:dyDescent="0.4">
      <c r="A209" t="s">
        <v>2059</v>
      </c>
      <c r="B209" t="s">
        <v>8868</v>
      </c>
      <c r="C209" t="s">
        <v>8565</v>
      </c>
    </row>
    <row r="210" spans="1:3" x14ac:dyDescent="0.4">
      <c r="A210" t="s">
        <v>2062</v>
      </c>
      <c r="B210" t="s">
        <v>8869</v>
      </c>
      <c r="C210" t="s">
        <v>8565</v>
      </c>
    </row>
    <row r="211" spans="1:3" x14ac:dyDescent="0.4">
      <c r="A211" t="s">
        <v>2065</v>
      </c>
      <c r="B211" t="s">
        <v>8870</v>
      </c>
      <c r="C211" t="s">
        <v>8565</v>
      </c>
    </row>
    <row r="212" spans="1:3" x14ac:dyDescent="0.4">
      <c r="A212" t="s">
        <v>2068</v>
      </c>
      <c r="B212" t="s">
        <v>8871</v>
      </c>
      <c r="C212" t="s">
        <v>8565</v>
      </c>
    </row>
    <row r="213" spans="1:3" x14ac:dyDescent="0.4">
      <c r="A213" t="s">
        <v>2071</v>
      </c>
      <c r="B213" t="s">
        <v>8872</v>
      </c>
      <c r="C213" t="s">
        <v>8565</v>
      </c>
    </row>
    <row r="214" spans="1:3" x14ac:dyDescent="0.4">
      <c r="A214" t="s">
        <v>2074</v>
      </c>
      <c r="B214" t="s">
        <v>8873</v>
      </c>
      <c r="C214" t="s">
        <v>8565</v>
      </c>
    </row>
    <row r="215" spans="1:3" x14ac:dyDescent="0.4">
      <c r="A215" t="s">
        <v>2077</v>
      </c>
      <c r="B215" t="s">
        <v>8874</v>
      </c>
      <c r="C215" t="s">
        <v>8565</v>
      </c>
    </row>
    <row r="216" spans="1:3" x14ac:dyDescent="0.4">
      <c r="A216" t="s">
        <v>1629</v>
      </c>
      <c r="B216" t="s">
        <v>8875</v>
      </c>
      <c r="C216" t="s">
        <v>8565</v>
      </c>
    </row>
    <row r="217" spans="1:3" x14ac:dyDescent="0.4">
      <c r="A217" t="s">
        <v>1635</v>
      </c>
      <c r="B217" t="s">
        <v>8876</v>
      </c>
      <c r="C217" t="s">
        <v>8565</v>
      </c>
    </row>
    <row r="218" spans="1:3" x14ac:dyDescent="0.4">
      <c r="A218" t="s">
        <v>1639</v>
      </c>
      <c r="B218" t="s">
        <v>8877</v>
      </c>
      <c r="C218" t="s">
        <v>8565</v>
      </c>
    </row>
    <row r="219" spans="1:3" x14ac:dyDescent="0.4">
      <c r="A219" t="s">
        <v>1642</v>
      </c>
      <c r="B219" t="s">
        <v>8878</v>
      </c>
      <c r="C219" t="s">
        <v>8565</v>
      </c>
    </row>
    <row r="220" spans="1:3" x14ac:dyDescent="0.4">
      <c r="A220" t="s">
        <v>1646</v>
      </c>
      <c r="B220" t="s">
        <v>8879</v>
      </c>
      <c r="C220" t="s">
        <v>8565</v>
      </c>
    </row>
    <row r="221" spans="1:3" x14ac:dyDescent="0.4">
      <c r="A221" t="s">
        <v>1649</v>
      </c>
      <c r="B221" t="s">
        <v>8880</v>
      </c>
      <c r="C221" t="s">
        <v>8565</v>
      </c>
    </row>
    <row r="222" spans="1:3" x14ac:dyDescent="0.4">
      <c r="A222" t="s">
        <v>524</v>
      </c>
      <c r="B222" t="s">
        <v>8881</v>
      </c>
      <c r="C222" t="s">
        <v>8565</v>
      </c>
    </row>
    <row r="223" spans="1:3" x14ac:dyDescent="0.4">
      <c r="A223" t="s">
        <v>530</v>
      </c>
      <c r="B223" t="s">
        <v>8882</v>
      </c>
      <c r="C223" t="s">
        <v>8565</v>
      </c>
    </row>
    <row r="224" spans="1:3" x14ac:dyDescent="0.4">
      <c r="A224" t="s">
        <v>533</v>
      </c>
      <c r="B224" t="s">
        <v>8883</v>
      </c>
      <c r="C224" t="s">
        <v>8565</v>
      </c>
    </row>
    <row r="225" spans="1:3" x14ac:dyDescent="0.4">
      <c r="A225" t="s">
        <v>536</v>
      </c>
      <c r="B225" t="s">
        <v>8884</v>
      </c>
      <c r="C225" t="s">
        <v>8565</v>
      </c>
    </row>
    <row r="226" spans="1:3" x14ac:dyDescent="0.4">
      <c r="A226" t="s">
        <v>539</v>
      </c>
      <c r="B226" t="s">
        <v>8885</v>
      </c>
      <c r="C226" t="s">
        <v>8565</v>
      </c>
    </row>
    <row r="227" spans="1:3" x14ac:dyDescent="0.4">
      <c r="A227" t="s">
        <v>542</v>
      </c>
      <c r="B227" t="s">
        <v>8886</v>
      </c>
      <c r="C227" t="s">
        <v>8565</v>
      </c>
    </row>
    <row r="228" spans="1:3" x14ac:dyDescent="0.4">
      <c r="A228" t="s">
        <v>545</v>
      </c>
      <c r="B228" t="s">
        <v>8887</v>
      </c>
      <c r="C228" t="s">
        <v>8565</v>
      </c>
    </row>
    <row r="229" spans="1:3" x14ac:dyDescent="0.4">
      <c r="A229" t="s">
        <v>548</v>
      </c>
      <c r="B229" t="s">
        <v>8888</v>
      </c>
      <c r="C229" t="s">
        <v>8565</v>
      </c>
    </row>
    <row r="230" spans="1:3" x14ac:dyDescent="0.4">
      <c r="A230" t="s">
        <v>551</v>
      </c>
      <c r="B230" t="s">
        <v>8889</v>
      </c>
      <c r="C230" t="s">
        <v>8565</v>
      </c>
    </row>
    <row r="231" spans="1:3" x14ac:dyDescent="0.4">
      <c r="A231" t="s">
        <v>554</v>
      </c>
      <c r="B231" t="s">
        <v>8890</v>
      </c>
      <c r="C231" t="s">
        <v>8565</v>
      </c>
    </row>
    <row r="232" spans="1:3" x14ac:dyDescent="0.4">
      <c r="A232" t="s">
        <v>1193</v>
      </c>
      <c r="B232" t="s">
        <v>8891</v>
      </c>
      <c r="C232" t="s">
        <v>8565</v>
      </c>
    </row>
    <row r="233" spans="1:3" x14ac:dyDescent="0.4">
      <c r="A233" t="s">
        <v>1204</v>
      </c>
      <c r="B233" t="s">
        <v>8892</v>
      </c>
      <c r="C233" t="s">
        <v>8565</v>
      </c>
    </row>
    <row r="234" spans="1:3" x14ac:dyDescent="0.4">
      <c r="A234" t="s">
        <v>1207</v>
      </c>
      <c r="B234" t="s">
        <v>8893</v>
      </c>
      <c r="C234" t="s">
        <v>8565</v>
      </c>
    </row>
    <row r="235" spans="1:3" x14ac:dyDescent="0.4">
      <c r="A235" t="s">
        <v>1217</v>
      </c>
      <c r="B235" t="s">
        <v>8894</v>
      </c>
      <c r="C235" t="s">
        <v>8565</v>
      </c>
    </row>
    <row r="236" spans="1:3" x14ac:dyDescent="0.4">
      <c r="A236" t="s">
        <v>1317</v>
      </c>
      <c r="B236" t="s">
        <v>8895</v>
      </c>
      <c r="C236" t="s">
        <v>8565</v>
      </c>
    </row>
    <row r="237" spans="1:3" x14ac:dyDescent="0.4">
      <c r="A237" t="s">
        <v>1324</v>
      </c>
      <c r="B237" t="s">
        <v>8896</v>
      </c>
      <c r="C237" t="s">
        <v>8565</v>
      </c>
    </row>
    <row r="238" spans="1:3" x14ac:dyDescent="0.4">
      <c r="A238" t="s">
        <v>1327</v>
      </c>
      <c r="B238" t="s">
        <v>8897</v>
      </c>
      <c r="C238" t="s">
        <v>8565</v>
      </c>
    </row>
    <row r="239" spans="1:3" x14ac:dyDescent="0.4">
      <c r="A239" t="s">
        <v>1330</v>
      </c>
      <c r="B239" t="s">
        <v>8898</v>
      </c>
      <c r="C239" t="s">
        <v>8565</v>
      </c>
    </row>
    <row r="240" spans="1:3" x14ac:dyDescent="0.4">
      <c r="A240" t="s">
        <v>1333</v>
      </c>
      <c r="B240" t="s">
        <v>8899</v>
      </c>
      <c r="C240" t="s">
        <v>8565</v>
      </c>
    </row>
    <row r="241" spans="1:3" x14ac:dyDescent="0.4">
      <c r="A241" t="s">
        <v>1336</v>
      </c>
      <c r="B241" t="s">
        <v>8900</v>
      </c>
      <c r="C241" t="s">
        <v>8565</v>
      </c>
    </row>
    <row r="242" spans="1:3" x14ac:dyDescent="0.4">
      <c r="A242" t="s">
        <v>1339</v>
      </c>
      <c r="B242" t="s">
        <v>8901</v>
      </c>
      <c r="C242" t="s">
        <v>8565</v>
      </c>
    </row>
    <row r="243" spans="1:3" x14ac:dyDescent="0.4">
      <c r="A243" t="s">
        <v>1342</v>
      </c>
      <c r="B243" t="s">
        <v>8902</v>
      </c>
      <c r="C243" t="s">
        <v>8565</v>
      </c>
    </row>
    <row r="244" spans="1:3" x14ac:dyDescent="0.4">
      <c r="A244" t="s">
        <v>1345</v>
      </c>
      <c r="B244" t="s">
        <v>8903</v>
      </c>
      <c r="C244" t="s">
        <v>8565</v>
      </c>
    </row>
    <row r="245" spans="1:3" x14ac:dyDescent="0.4">
      <c r="A245" t="s">
        <v>1348</v>
      </c>
      <c r="B245" t="s">
        <v>8904</v>
      </c>
      <c r="C245" t="s">
        <v>8565</v>
      </c>
    </row>
    <row r="246" spans="1:3" x14ac:dyDescent="0.4">
      <c r="A246" t="s">
        <v>1354</v>
      </c>
      <c r="B246" t="s">
        <v>8905</v>
      </c>
      <c r="C246" t="s">
        <v>8565</v>
      </c>
    </row>
    <row r="247" spans="1:3" x14ac:dyDescent="0.4">
      <c r="A247" t="s">
        <v>1357</v>
      </c>
      <c r="B247" t="s">
        <v>8906</v>
      </c>
      <c r="C247" t="s">
        <v>8565</v>
      </c>
    </row>
    <row r="248" spans="1:3" x14ac:dyDescent="0.4">
      <c r="A248" t="s">
        <v>1360</v>
      </c>
      <c r="B248" t="s">
        <v>8907</v>
      </c>
      <c r="C248" t="s">
        <v>8565</v>
      </c>
    </row>
    <row r="249" spans="1:3" x14ac:dyDescent="0.4">
      <c r="A249" t="s">
        <v>1363</v>
      </c>
      <c r="B249" t="s">
        <v>8908</v>
      </c>
      <c r="C249" t="s">
        <v>8565</v>
      </c>
    </row>
    <row r="250" spans="1:3" x14ac:dyDescent="0.4">
      <c r="A250" t="s">
        <v>1366</v>
      </c>
      <c r="B250" t="s">
        <v>8909</v>
      </c>
      <c r="C250" t="s">
        <v>8565</v>
      </c>
    </row>
    <row r="251" spans="1:3" x14ac:dyDescent="0.4">
      <c r="A251" t="s">
        <v>1369</v>
      </c>
      <c r="B251" t="s">
        <v>8910</v>
      </c>
      <c r="C251" t="s">
        <v>8565</v>
      </c>
    </row>
    <row r="252" spans="1:3" x14ac:dyDescent="0.4">
      <c r="A252" t="s">
        <v>1372</v>
      </c>
      <c r="B252" t="s">
        <v>8911</v>
      </c>
      <c r="C252" t="s">
        <v>8565</v>
      </c>
    </row>
    <row r="253" spans="1:3" x14ac:dyDescent="0.4">
      <c r="A253" t="s">
        <v>1375</v>
      </c>
      <c r="B253" t="s">
        <v>8912</v>
      </c>
      <c r="C253" t="s">
        <v>8565</v>
      </c>
    </row>
    <row r="254" spans="1:3" x14ac:dyDescent="0.4">
      <c r="A254" t="s">
        <v>1379</v>
      </c>
      <c r="B254" t="s">
        <v>8913</v>
      </c>
      <c r="C254" t="s">
        <v>8565</v>
      </c>
    </row>
    <row r="255" spans="1:3" x14ac:dyDescent="0.4">
      <c r="A255" t="s">
        <v>1382</v>
      </c>
      <c r="B255" t="s">
        <v>8914</v>
      </c>
      <c r="C255" t="s">
        <v>8565</v>
      </c>
    </row>
    <row r="256" spans="1:3" x14ac:dyDescent="0.4">
      <c r="A256" t="s">
        <v>1890</v>
      </c>
      <c r="B256" t="s">
        <v>8915</v>
      </c>
      <c r="C256" t="s">
        <v>8565</v>
      </c>
    </row>
    <row r="257" spans="1:3" x14ac:dyDescent="0.4">
      <c r="A257" t="s">
        <v>1897</v>
      </c>
      <c r="B257" t="s">
        <v>8916</v>
      </c>
      <c r="C257" t="s">
        <v>8565</v>
      </c>
    </row>
    <row r="258" spans="1:3" x14ac:dyDescent="0.4">
      <c r="A258" t="s">
        <v>1900</v>
      </c>
      <c r="B258" t="s">
        <v>8917</v>
      </c>
      <c r="C258" t="s">
        <v>8565</v>
      </c>
    </row>
    <row r="259" spans="1:3" x14ac:dyDescent="0.4">
      <c r="A259" t="s">
        <v>1903</v>
      </c>
      <c r="B259" t="s">
        <v>8918</v>
      </c>
      <c r="C259" t="s">
        <v>8565</v>
      </c>
    </row>
    <row r="260" spans="1:3" x14ac:dyDescent="0.4">
      <c r="A260" t="s">
        <v>1906</v>
      </c>
      <c r="B260" t="s">
        <v>8919</v>
      </c>
      <c r="C260" t="s">
        <v>8565</v>
      </c>
    </row>
    <row r="261" spans="1:3" x14ac:dyDescent="0.4">
      <c r="A261" t="s">
        <v>1912</v>
      </c>
      <c r="B261" t="s">
        <v>8920</v>
      </c>
      <c r="C261" t="s">
        <v>8565</v>
      </c>
    </row>
    <row r="262" spans="1:3" x14ac:dyDescent="0.4">
      <c r="A262" t="s">
        <v>1915</v>
      </c>
      <c r="B262" t="s">
        <v>8921</v>
      </c>
      <c r="C262" t="s">
        <v>8565</v>
      </c>
    </row>
    <row r="263" spans="1:3" x14ac:dyDescent="0.4">
      <c r="A263" t="s">
        <v>1918</v>
      </c>
      <c r="B263" t="s">
        <v>8922</v>
      </c>
      <c r="C263" t="s">
        <v>8565</v>
      </c>
    </row>
    <row r="264" spans="1:3" x14ac:dyDescent="0.4">
      <c r="A264" t="s">
        <v>1921</v>
      </c>
      <c r="B264" t="s">
        <v>8923</v>
      </c>
      <c r="C264" t="s">
        <v>8565</v>
      </c>
    </row>
    <row r="265" spans="1:3" x14ac:dyDescent="0.4">
      <c r="A265" t="s">
        <v>1924</v>
      </c>
      <c r="B265" t="s">
        <v>8924</v>
      </c>
      <c r="C265" t="s">
        <v>8565</v>
      </c>
    </row>
    <row r="266" spans="1:3" x14ac:dyDescent="0.4">
      <c r="A266" t="s">
        <v>1929</v>
      </c>
      <c r="B266" t="s">
        <v>8925</v>
      </c>
      <c r="C266" t="s">
        <v>8565</v>
      </c>
    </row>
    <row r="267" spans="1:3" x14ac:dyDescent="0.4">
      <c r="A267" t="s">
        <v>1932</v>
      </c>
      <c r="B267" t="s">
        <v>8926</v>
      </c>
      <c r="C267" t="s">
        <v>8565</v>
      </c>
    </row>
    <row r="268" spans="1:3" x14ac:dyDescent="0.4">
      <c r="A268" t="s">
        <v>1935</v>
      </c>
      <c r="B268" t="s">
        <v>8927</v>
      </c>
      <c r="C268" t="s">
        <v>8565</v>
      </c>
    </row>
    <row r="269" spans="1:3" x14ac:dyDescent="0.4">
      <c r="A269" t="s">
        <v>1938</v>
      </c>
      <c r="B269" t="s">
        <v>8928</v>
      </c>
      <c r="C269" t="s">
        <v>8565</v>
      </c>
    </row>
    <row r="270" spans="1:3" x14ac:dyDescent="0.4">
      <c r="A270" t="s">
        <v>1941</v>
      </c>
      <c r="B270" t="s">
        <v>8929</v>
      </c>
      <c r="C270" t="s">
        <v>8565</v>
      </c>
    </row>
    <row r="271" spans="1:3" x14ac:dyDescent="0.4">
      <c r="A271" t="s">
        <v>1944</v>
      </c>
      <c r="B271" t="s">
        <v>8930</v>
      </c>
      <c r="C271" t="s">
        <v>8565</v>
      </c>
    </row>
    <row r="272" spans="1:3" x14ac:dyDescent="0.4">
      <c r="A272" t="s">
        <v>1947</v>
      </c>
      <c r="B272" t="s">
        <v>8931</v>
      </c>
      <c r="C272" t="s">
        <v>8565</v>
      </c>
    </row>
    <row r="273" spans="1:3" x14ac:dyDescent="0.4">
      <c r="A273" t="s">
        <v>1950</v>
      </c>
      <c r="B273" t="s">
        <v>8932</v>
      </c>
      <c r="C273" t="s">
        <v>8565</v>
      </c>
    </row>
    <row r="274" spans="1:3" x14ac:dyDescent="0.4">
      <c r="A274" t="s">
        <v>1953</v>
      </c>
      <c r="B274" t="s">
        <v>8933</v>
      </c>
      <c r="C274" t="s">
        <v>8565</v>
      </c>
    </row>
    <row r="275" spans="1:3" x14ac:dyDescent="0.4">
      <c r="A275" t="s">
        <v>557</v>
      </c>
      <c r="B275" t="s">
        <v>8934</v>
      </c>
      <c r="C275" t="s">
        <v>8565</v>
      </c>
    </row>
    <row r="276" spans="1:3" x14ac:dyDescent="0.4">
      <c r="A276" t="s">
        <v>565</v>
      </c>
      <c r="B276" t="s">
        <v>8935</v>
      </c>
      <c r="C276" t="s">
        <v>8565</v>
      </c>
    </row>
    <row r="277" spans="1:3" x14ac:dyDescent="0.4">
      <c r="A277" t="s">
        <v>568</v>
      </c>
      <c r="B277" t="s">
        <v>8936</v>
      </c>
      <c r="C277" t="s">
        <v>8565</v>
      </c>
    </row>
    <row r="278" spans="1:3" x14ac:dyDescent="0.4">
      <c r="A278" t="s">
        <v>571</v>
      </c>
      <c r="B278" t="s">
        <v>8937</v>
      </c>
      <c r="C278" t="s">
        <v>8565</v>
      </c>
    </row>
    <row r="279" spans="1:3" x14ac:dyDescent="0.4">
      <c r="A279" t="s">
        <v>574</v>
      </c>
      <c r="B279" t="s">
        <v>8938</v>
      </c>
      <c r="C279" t="s">
        <v>8565</v>
      </c>
    </row>
    <row r="280" spans="1:3" x14ac:dyDescent="0.4">
      <c r="A280" t="s">
        <v>577</v>
      </c>
      <c r="B280" t="s">
        <v>8939</v>
      </c>
      <c r="C280" t="s">
        <v>8565</v>
      </c>
    </row>
    <row r="281" spans="1:3" x14ac:dyDescent="0.4">
      <c r="A281" t="s">
        <v>580</v>
      </c>
      <c r="B281" t="s">
        <v>8940</v>
      </c>
      <c r="C281" t="s">
        <v>8565</v>
      </c>
    </row>
    <row r="282" spans="1:3" x14ac:dyDescent="0.4">
      <c r="A282" t="s">
        <v>583</v>
      </c>
      <c r="B282" t="s">
        <v>8941</v>
      </c>
      <c r="C282" t="s">
        <v>8565</v>
      </c>
    </row>
    <row r="283" spans="1:3" x14ac:dyDescent="0.4">
      <c r="A283" t="s">
        <v>586</v>
      </c>
      <c r="B283" t="s">
        <v>8942</v>
      </c>
      <c r="C283" t="s">
        <v>8565</v>
      </c>
    </row>
    <row r="284" spans="1:3" x14ac:dyDescent="0.4">
      <c r="A284" t="s">
        <v>626</v>
      </c>
      <c r="B284" t="s">
        <v>8943</v>
      </c>
      <c r="C284" t="s">
        <v>8565</v>
      </c>
    </row>
    <row r="285" spans="1:3" x14ac:dyDescent="0.4">
      <c r="A285" t="s">
        <v>590</v>
      </c>
      <c r="B285" t="s">
        <v>8944</v>
      </c>
      <c r="C285" t="s">
        <v>8565</v>
      </c>
    </row>
    <row r="286" spans="1:3" x14ac:dyDescent="0.4">
      <c r="A286" t="s">
        <v>606</v>
      </c>
      <c r="B286" t="s">
        <v>8945</v>
      </c>
      <c r="C286" t="s">
        <v>8565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574AF-276D-48FE-B1FC-5E1BFD8641D4}">
  <dimension ref="A1:B704"/>
  <sheetViews>
    <sheetView topLeftCell="A49" workbookViewId="0">
      <selection activeCell="B1" sqref="B1:B1048576"/>
    </sheetView>
  </sheetViews>
  <sheetFormatPr defaultRowHeight="14.6" x14ac:dyDescent="0.4"/>
  <cols>
    <col min="1" max="1" width="17.15234375" bestFit="1" customWidth="1"/>
  </cols>
  <sheetData>
    <row r="1" spans="1:2" x14ac:dyDescent="0.4">
      <c r="A1" t="s">
        <v>2562</v>
      </c>
      <c r="B1" t="s">
        <v>8652</v>
      </c>
    </row>
    <row r="2" spans="1:2" x14ac:dyDescent="0.4">
      <c r="A2" t="s">
        <v>2565</v>
      </c>
      <c r="B2" t="s">
        <v>8652</v>
      </c>
    </row>
    <row r="3" spans="1:2" x14ac:dyDescent="0.4">
      <c r="A3" t="s">
        <v>2566</v>
      </c>
      <c r="B3" t="s">
        <v>8652</v>
      </c>
    </row>
    <row r="4" spans="1:2" x14ac:dyDescent="0.4">
      <c r="A4" t="s">
        <v>2567</v>
      </c>
      <c r="B4" t="s">
        <v>8652</v>
      </c>
    </row>
    <row r="5" spans="1:2" x14ac:dyDescent="0.4">
      <c r="A5" t="s">
        <v>2568</v>
      </c>
      <c r="B5" t="s">
        <v>2564</v>
      </c>
    </row>
    <row r="6" spans="1:2" x14ac:dyDescent="0.4">
      <c r="A6" t="s">
        <v>2569</v>
      </c>
      <c r="B6" t="s">
        <v>8652</v>
      </c>
    </row>
    <row r="7" spans="1:2" x14ac:dyDescent="0.4">
      <c r="A7" t="s">
        <v>2571</v>
      </c>
      <c r="B7" t="s">
        <v>2564</v>
      </c>
    </row>
    <row r="8" spans="1:2" x14ac:dyDescent="0.4">
      <c r="A8" t="s">
        <v>2572</v>
      </c>
      <c r="B8" t="s">
        <v>8652</v>
      </c>
    </row>
    <row r="9" spans="1:2" x14ac:dyDescent="0.4">
      <c r="A9" t="s">
        <v>2573</v>
      </c>
      <c r="B9" t="s">
        <v>2564</v>
      </c>
    </row>
    <row r="10" spans="1:2" x14ac:dyDescent="0.4">
      <c r="A10" t="s">
        <v>2574</v>
      </c>
      <c r="B10" t="s">
        <v>8652</v>
      </c>
    </row>
    <row r="11" spans="1:2" x14ac:dyDescent="0.4">
      <c r="A11" t="s">
        <v>2575</v>
      </c>
      <c r="B11" t="s">
        <v>2564</v>
      </c>
    </row>
    <row r="12" spans="1:2" x14ac:dyDescent="0.4">
      <c r="A12" t="s">
        <v>2576</v>
      </c>
      <c r="B12" t="s">
        <v>8652</v>
      </c>
    </row>
    <row r="13" spans="1:2" x14ac:dyDescent="0.4">
      <c r="A13" t="s">
        <v>2577</v>
      </c>
      <c r="B13" t="s">
        <v>8652</v>
      </c>
    </row>
    <row r="14" spans="1:2" x14ac:dyDescent="0.4">
      <c r="A14" t="s">
        <v>2578</v>
      </c>
      <c r="B14" t="s">
        <v>2564</v>
      </c>
    </row>
    <row r="15" spans="1:2" x14ac:dyDescent="0.4">
      <c r="A15" t="s">
        <v>2579</v>
      </c>
      <c r="B15" t="s">
        <v>8652</v>
      </c>
    </row>
    <row r="16" spans="1:2" x14ac:dyDescent="0.4">
      <c r="A16" t="s">
        <v>2580</v>
      </c>
      <c r="B16" t="s">
        <v>8652</v>
      </c>
    </row>
    <row r="17" spans="1:2" x14ac:dyDescent="0.4">
      <c r="A17" t="s">
        <v>2581</v>
      </c>
      <c r="B17" t="s">
        <v>8652</v>
      </c>
    </row>
    <row r="18" spans="1:2" x14ac:dyDescent="0.4">
      <c r="A18" t="s">
        <v>2585</v>
      </c>
      <c r="B18" t="s">
        <v>8652</v>
      </c>
    </row>
    <row r="19" spans="1:2" x14ac:dyDescent="0.4">
      <c r="A19" t="s">
        <v>2586</v>
      </c>
      <c r="B19" t="s">
        <v>8620</v>
      </c>
    </row>
    <row r="20" spans="1:2" x14ac:dyDescent="0.4">
      <c r="A20" t="s">
        <v>2587</v>
      </c>
      <c r="B20" t="s">
        <v>8652</v>
      </c>
    </row>
    <row r="21" spans="1:2" x14ac:dyDescent="0.4">
      <c r="A21" t="s">
        <v>2588</v>
      </c>
      <c r="B21" t="s">
        <v>8620</v>
      </c>
    </row>
    <row r="22" spans="1:2" x14ac:dyDescent="0.4">
      <c r="A22" t="s">
        <v>2589</v>
      </c>
      <c r="B22" t="s">
        <v>8652</v>
      </c>
    </row>
    <row r="23" spans="1:2" x14ac:dyDescent="0.4">
      <c r="A23" t="s">
        <v>2590</v>
      </c>
      <c r="B23" t="s">
        <v>8620</v>
      </c>
    </row>
    <row r="24" spans="1:2" x14ac:dyDescent="0.4">
      <c r="A24" t="s">
        <v>2591</v>
      </c>
      <c r="B24" t="s">
        <v>8652</v>
      </c>
    </row>
    <row r="25" spans="1:2" x14ac:dyDescent="0.4">
      <c r="A25" t="s">
        <v>2592</v>
      </c>
      <c r="B25" t="s">
        <v>8620</v>
      </c>
    </row>
    <row r="26" spans="1:2" x14ac:dyDescent="0.4">
      <c r="A26" t="s">
        <v>2593</v>
      </c>
      <c r="B26" t="s">
        <v>8620</v>
      </c>
    </row>
    <row r="27" spans="1:2" x14ac:dyDescent="0.4">
      <c r="A27" t="s">
        <v>2594</v>
      </c>
      <c r="B27" t="s">
        <v>8652</v>
      </c>
    </row>
    <row r="28" spans="1:2" x14ac:dyDescent="0.4">
      <c r="A28" t="s">
        <v>236</v>
      </c>
      <c r="B28" t="s">
        <v>240</v>
      </c>
    </row>
    <row r="29" spans="1:2" x14ac:dyDescent="0.4">
      <c r="A29" t="s">
        <v>246</v>
      </c>
      <c r="B29" t="s">
        <v>240</v>
      </c>
    </row>
    <row r="30" spans="1:2" x14ac:dyDescent="0.4">
      <c r="A30" t="s">
        <v>250</v>
      </c>
      <c r="B30" t="s">
        <v>8652</v>
      </c>
    </row>
    <row r="31" spans="1:2" x14ac:dyDescent="0.4">
      <c r="A31" t="s">
        <v>1519</v>
      </c>
      <c r="B31" t="s">
        <v>8652</v>
      </c>
    </row>
    <row r="32" spans="1:2" x14ac:dyDescent="0.4">
      <c r="A32" t="s">
        <v>1525</v>
      </c>
      <c r="B32" t="s">
        <v>9060</v>
      </c>
    </row>
    <row r="33" spans="1:2" x14ac:dyDescent="0.4">
      <c r="A33" t="s">
        <v>1528</v>
      </c>
      <c r="B33" t="s">
        <v>9060</v>
      </c>
    </row>
    <row r="34" spans="1:2" x14ac:dyDescent="0.4">
      <c r="A34" t="s">
        <v>1531</v>
      </c>
      <c r="B34" t="s">
        <v>9060</v>
      </c>
    </row>
    <row r="35" spans="1:2" x14ac:dyDescent="0.4">
      <c r="A35" t="s">
        <v>1534</v>
      </c>
      <c r="B35" t="s">
        <v>9060</v>
      </c>
    </row>
    <row r="36" spans="1:2" x14ac:dyDescent="0.4">
      <c r="A36" t="s">
        <v>1537</v>
      </c>
      <c r="B36" t="s">
        <v>9060</v>
      </c>
    </row>
    <row r="37" spans="1:2" x14ac:dyDescent="0.4">
      <c r="A37" t="s">
        <v>1540</v>
      </c>
      <c r="B37" t="s">
        <v>8652</v>
      </c>
    </row>
    <row r="38" spans="1:2" x14ac:dyDescent="0.4">
      <c r="A38" t="s">
        <v>1543</v>
      </c>
      <c r="B38" t="s">
        <v>8652</v>
      </c>
    </row>
    <row r="39" spans="1:2" x14ac:dyDescent="0.4">
      <c r="A39" t="s">
        <v>1546</v>
      </c>
      <c r="B39" t="s">
        <v>8652</v>
      </c>
    </row>
    <row r="40" spans="1:2" x14ac:dyDescent="0.4">
      <c r="A40" t="s">
        <v>254</v>
      </c>
      <c r="B40" t="s">
        <v>9061</v>
      </c>
    </row>
    <row r="41" spans="1:2" x14ac:dyDescent="0.4">
      <c r="A41" t="s">
        <v>269</v>
      </c>
      <c r="B41" t="s">
        <v>8652</v>
      </c>
    </row>
    <row r="42" spans="1:2" x14ac:dyDescent="0.4">
      <c r="A42" t="s">
        <v>265</v>
      </c>
      <c r="B42" t="s">
        <v>9061</v>
      </c>
    </row>
    <row r="43" spans="1:2" x14ac:dyDescent="0.4">
      <c r="A43" t="s">
        <v>261</v>
      </c>
      <c r="B43" t="s">
        <v>8652</v>
      </c>
    </row>
    <row r="44" spans="1:2" x14ac:dyDescent="0.4">
      <c r="A44" t="s">
        <v>273</v>
      </c>
      <c r="B44" t="s">
        <v>8652</v>
      </c>
    </row>
    <row r="45" spans="1:2" x14ac:dyDescent="0.4">
      <c r="A45" t="s">
        <v>279</v>
      </c>
      <c r="B45" t="s">
        <v>8652</v>
      </c>
    </row>
    <row r="46" spans="1:2" x14ac:dyDescent="0.4">
      <c r="A46" t="s">
        <v>287</v>
      </c>
      <c r="B46" t="s">
        <v>9061</v>
      </c>
    </row>
    <row r="47" spans="1:2" x14ac:dyDescent="0.4">
      <c r="A47" t="s">
        <v>283</v>
      </c>
      <c r="B47" t="s">
        <v>8652</v>
      </c>
    </row>
    <row r="48" spans="1:2" x14ac:dyDescent="0.4">
      <c r="A48" t="s">
        <v>291</v>
      </c>
      <c r="B48" t="s">
        <v>9061</v>
      </c>
    </row>
    <row r="49" spans="1:2" x14ac:dyDescent="0.4">
      <c r="A49" t="s">
        <v>299</v>
      </c>
      <c r="B49" t="s">
        <v>9061</v>
      </c>
    </row>
    <row r="50" spans="1:2" x14ac:dyDescent="0.4">
      <c r="A50" t="s">
        <v>295</v>
      </c>
      <c r="B50" t="s">
        <v>8652</v>
      </c>
    </row>
    <row r="51" spans="1:2" x14ac:dyDescent="0.4">
      <c r="A51" t="s">
        <v>303</v>
      </c>
      <c r="B51" t="s">
        <v>9061</v>
      </c>
    </row>
    <row r="52" spans="1:2" x14ac:dyDescent="0.4">
      <c r="A52" t="s">
        <v>307</v>
      </c>
      <c r="B52" t="s">
        <v>8652</v>
      </c>
    </row>
    <row r="53" spans="1:2" x14ac:dyDescent="0.4">
      <c r="A53" t="s">
        <v>1549</v>
      </c>
      <c r="B53" t="s">
        <v>51</v>
      </c>
    </row>
    <row r="54" spans="1:2" x14ac:dyDescent="0.4">
      <c r="A54" t="s">
        <v>1552</v>
      </c>
      <c r="B54" t="s">
        <v>8652</v>
      </c>
    </row>
    <row r="55" spans="1:2" x14ac:dyDescent="0.4">
      <c r="A55" t="s">
        <v>1555</v>
      </c>
      <c r="B55" t="s">
        <v>8652</v>
      </c>
    </row>
    <row r="56" spans="1:2" x14ac:dyDescent="0.4">
      <c r="A56" t="s">
        <v>1558</v>
      </c>
      <c r="B56" t="s">
        <v>8652</v>
      </c>
    </row>
    <row r="57" spans="1:2" x14ac:dyDescent="0.4">
      <c r="A57" t="s">
        <v>1561</v>
      </c>
      <c r="B57" t="s">
        <v>8652</v>
      </c>
    </row>
    <row r="58" spans="1:2" x14ac:dyDescent="0.4">
      <c r="A58" t="s">
        <v>1564</v>
      </c>
      <c r="B58" t="s">
        <v>8652</v>
      </c>
    </row>
    <row r="59" spans="1:2" x14ac:dyDescent="0.4">
      <c r="A59" t="s">
        <v>1567</v>
      </c>
      <c r="B59" t="s">
        <v>8652</v>
      </c>
    </row>
    <row r="60" spans="1:2" x14ac:dyDescent="0.4">
      <c r="A60" t="s">
        <v>1570</v>
      </c>
      <c r="B60" t="s">
        <v>51</v>
      </c>
    </row>
    <row r="61" spans="1:2" x14ac:dyDescent="0.4">
      <c r="A61" t="s">
        <v>1573</v>
      </c>
      <c r="B61" t="s">
        <v>8652</v>
      </c>
    </row>
    <row r="62" spans="1:2" x14ac:dyDescent="0.4">
      <c r="A62" t="s">
        <v>1576</v>
      </c>
      <c r="B62" t="s">
        <v>65</v>
      </c>
    </row>
    <row r="63" spans="1:2" x14ac:dyDescent="0.4">
      <c r="A63" t="s">
        <v>1579</v>
      </c>
      <c r="B63" t="s">
        <v>8652</v>
      </c>
    </row>
    <row r="64" spans="1:2" x14ac:dyDescent="0.4">
      <c r="A64" t="s">
        <v>311</v>
      </c>
      <c r="B64" t="s">
        <v>9062</v>
      </c>
    </row>
    <row r="65" spans="1:2" x14ac:dyDescent="0.4">
      <c r="A65" t="s">
        <v>317</v>
      </c>
      <c r="B65" t="s">
        <v>32</v>
      </c>
    </row>
    <row r="66" spans="1:2" x14ac:dyDescent="0.4">
      <c r="A66" t="s">
        <v>321</v>
      </c>
      <c r="B66" t="s">
        <v>9062</v>
      </c>
    </row>
    <row r="67" spans="1:2" x14ac:dyDescent="0.4">
      <c r="A67" t="s">
        <v>324</v>
      </c>
      <c r="B67" t="s">
        <v>8652</v>
      </c>
    </row>
    <row r="68" spans="1:2" x14ac:dyDescent="0.4">
      <c r="A68" t="s">
        <v>327</v>
      </c>
      <c r="B68" t="s">
        <v>8652</v>
      </c>
    </row>
    <row r="69" spans="1:2" x14ac:dyDescent="0.4">
      <c r="A69" t="s">
        <v>330</v>
      </c>
      <c r="B69" t="s">
        <v>9062</v>
      </c>
    </row>
    <row r="70" spans="1:2" x14ac:dyDescent="0.4">
      <c r="A70" t="s">
        <v>333</v>
      </c>
      <c r="B70" t="s">
        <v>9062</v>
      </c>
    </row>
    <row r="71" spans="1:2" x14ac:dyDescent="0.4">
      <c r="A71" t="s">
        <v>336</v>
      </c>
      <c r="B71" t="s">
        <v>32</v>
      </c>
    </row>
    <row r="72" spans="1:2" x14ac:dyDescent="0.4">
      <c r="A72" t="s">
        <v>339</v>
      </c>
      <c r="B72" t="s">
        <v>9062</v>
      </c>
    </row>
    <row r="73" spans="1:2" x14ac:dyDescent="0.4">
      <c r="A73" t="s">
        <v>342</v>
      </c>
      <c r="B73" t="s">
        <v>8652</v>
      </c>
    </row>
    <row r="74" spans="1:2" x14ac:dyDescent="0.4">
      <c r="A74" t="s">
        <v>1385</v>
      </c>
      <c r="B74" t="s">
        <v>9063</v>
      </c>
    </row>
    <row r="75" spans="1:2" x14ac:dyDescent="0.4">
      <c r="A75" t="s">
        <v>1391</v>
      </c>
      <c r="B75" t="s">
        <v>9063</v>
      </c>
    </row>
    <row r="76" spans="1:2" x14ac:dyDescent="0.4">
      <c r="A76" t="s">
        <v>1394</v>
      </c>
      <c r="B76" t="s">
        <v>9063</v>
      </c>
    </row>
    <row r="77" spans="1:2" x14ac:dyDescent="0.4">
      <c r="A77" t="s">
        <v>1397</v>
      </c>
      <c r="B77" t="s">
        <v>8652</v>
      </c>
    </row>
    <row r="78" spans="1:2" x14ac:dyDescent="0.4">
      <c r="A78" t="s">
        <v>1400</v>
      </c>
      <c r="B78" t="s">
        <v>9063</v>
      </c>
    </row>
    <row r="79" spans="1:2" x14ac:dyDescent="0.4">
      <c r="A79" t="s">
        <v>1403</v>
      </c>
      <c r="B79" t="s">
        <v>32</v>
      </c>
    </row>
    <row r="80" spans="1:2" x14ac:dyDescent="0.4">
      <c r="A80" t="s">
        <v>1406</v>
      </c>
      <c r="B80" t="s">
        <v>9063</v>
      </c>
    </row>
    <row r="81" spans="1:2" x14ac:dyDescent="0.4">
      <c r="A81" t="s">
        <v>1409</v>
      </c>
      <c r="B81" t="s">
        <v>9063</v>
      </c>
    </row>
    <row r="82" spans="1:2" x14ac:dyDescent="0.4">
      <c r="A82" t="s">
        <v>1413</v>
      </c>
      <c r="B82" t="s">
        <v>8652</v>
      </c>
    </row>
    <row r="83" spans="1:2" x14ac:dyDescent="0.4">
      <c r="A83" t="s">
        <v>1417</v>
      </c>
      <c r="B83" t="s">
        <v>9063</v>
      </c>
    </row>
    <row r="84" spans="1:2" x14ac:dyDescent="0.4">
      <c r="A84" t="s">
        <v>1420</v>
      </c>
      <c r="B84" t="s">
        <v>240</v>
      </c>
    </row>
    <row r="85" spans="1:2" x14ac:dyDescent="0.4">
      <c r="A85" t="s">
        <v>1423</v>
      </c>
      <c r="B85" t="s">
        <v>8652</v>
      </c>
    </row>
    <row r="86" spans="1:2" x14ac:dyDescent="0.4">
      <c r="A86" t="s">
        <v>1426</v>
      </c>
      <c r="B86" t="s">
        <v>9063</v>
      </c>
    </row>
    <row r="87" spans="1:2" x14ac:dyDescent="0.4">
      <c r="A87" t="s">
        <v>1430</v>
      </c>
      <c r="B87" t="s">
        <v>8652</v>
      </c>
    </row>
    <row r="88" spans="1:2" x14ac:dyDescent="0.4">
      <c r="A88" t="s">
        <v>1434</v>
      </c>
      <c r="B88" t="s">
        <v>8652</v>
      </c>
    </row>
    <row r="89" spans="1:2" x14ac:dyDescent="0.4">
      <c r="A89" t="s">
        <v>111</v>
      </c>
      <c r="B89" t="s">
        <v>9064</v>
      </c>
    </row>
    <row r="90" spans="1:2" x14ac:dyDescent="0.4">
      <c r="A90" t="s">
        <v>120</v>
      </c>
      <c r="B90" t="s">
        <v>9064</v>
      </c>
    </row>
    <row r="91" spans="1:2" x14ac:dyDescent="0.4">
      <c r="A91" t="s">
        <v>123</v>
      </c>
      <c r="B91" t="s">
        <v>9064</v>
      </c>
    </row>
    <row r="92" spans="1:2" x14ac:dyDescent="0.4">
      <c r="A92" t="s">
        <v>126</v>
      </c>
      <c r="B92" t="s">
        <v>9064</v>
      </c>
    </row>
    <row r="93" spans="1:2" x14ac:dyDescent="0.4">
      <c r="A93" t="s">
        <v>129</v>
      </c>
      <c r="B93" t="s">
        <v>9064</v>
      </c>
    </row>
    <row r="94" spans="1:2" x14ac:dyDescent="0.4">
      <c r="A94" t="s">
        <v>153</v>
      </c>
      <c r="B94" t="s">
        <v>8652</v>
      </c>
    </row>
    <row r="95" spans="1:2" x14ac:dyDescent="0.4">
      <c r="A95" t="s">
        <v>159</v>
      </c>
      <c r="B95" t="s">
        <v>8652</v>
      </c>
    </row>
    <row r="96" spans="1:2" x14ac:dyDescent="0.4">
      <c r="A96" t="s">
        <v>162</v>
      </c>
      <c r="B96" t="s">
        <v>8652</v>
      </c>
    </row>
    <row r="97" spans="1:2" x14ac:dyDescent="0.4">
      <c r="A97" t="s">
        <v>165</v>
      </c>
      <c r="B97" t="s">
        <v>8652</v>
      </c>
    </row>
    <row r="98" spans="1:2" x14ac:dyDescent="0.4">
      <c r="A98" t="s">
        <v>168</v>
      </c>
      <c r="B98" t="s">
        <v>85</v>
      </c>
    </row>
    <row r="99" spans="1:2" x14ac:dyDescent="0.4">
      <c r="A99" t="s">
        <v>171</v>
      </c>
      <c r="B99" t="s">
        <v>8652</v>
      </c>
    </row>
    <row r="100" spans="1:2" x14ac:dyDescent="0.4">
      <c r="A100" t="s">
        <v>174</v>
      </c>
      <c r="B100" t="s">
        <v>8652</v>
      </c>
    </row>
    <row r="101" spans="1:2" x14ac:dyDescent="0.4">
      <c r="A101" t="s">
        <v>177</v>
      </c>
      <c r="B101" t="s">
        <v>8652</v>
      </c>
    </row>
    <row r="102" spans="1:2" x14ac:dyDescent="0.4">
      <c r="A102" t="s">
        <v>180</v>
      </c>
      <c r="B102" t="s">
        <v>9065</v>
      </c>
    </row>
    <row r="103" spans="1:2" x14ac:dyDescent="0.4">
      <c r="A103" t="s">
        <v>183</v>
      </c>
      <c r="B103" t="s">
        <v>9065</v>
      </c>
    </row>
    <row r="104" spans="1:2" x14ac:dyDescent="0.4">
      <c r="A104" t="s">
        <v>186</v>
      </c>
      <c r="B104" t="s">
        <v>8652</v>
      </c>
    </row>
    <row r="105" spans="1:2" x14ac:dyDescent="0.4">
      <c r="A105" t="s">
        <v>189</v>
      </c>
      <c r="B105" t="s">
        <v>8652</v>
      </c>
    </row>
    <row r="106" spans="1:2" x14ac:dyDescent="0.4">
      <c r="A106" t="s">
        <v>192</v>
      </c>
      <c r="B106" t="s">
        <v>8652</v>
      </c>
    </row>
    <row r="107" spans="1:2" x14ac:dyDescent="0.4">
      <c r="A107" t="s">
        <v>195</v>
      </c>
      <c r="B107" t="s">
        <v>8652</v>
      </c>
    </row>
    <row r="108" spans="1:2" x14ac:dyDescent="0.4">
      <c r="A108" t="s">
        <v>198</v>
      </c>
      <c r="B108" t="s">
        <v>8652</v>
      </c>
    </row>
    <row r="109" spans="1:2" x14ac:dyDescent="0.4">
      <c r="A109" t="s">
        <v>132</v>
      </c>
      <c r="B109" t="s">
        <v>9066</v>
      </c>
    </row>
    <row r="110" spans="1:2" x14ac:dyDescent="0.4">
      <c r="A110" t="s">
        <v>137</v>
      </c>
      <c r="B110" t="s">
        <v>9066</v>
      </c>
    </row>
    <row r="111" spans="1:2" x14ac:dyDescent="0.4">
      <c r="A111" t="s">
        <v>141</v>
      </c>
      <c r="B111" t="s">
        <v>8652</v>
      </c>
    </row>
    <row r="112" spans="1:2" x14ac:dyDescent="0.4">
      <c r="A112" t="s">
        <v>147</v>
      </c>
      <c r="B112" t="s">
        <v>9066</v>
      </c>
    </row>
    <row r="113" spans="1:2" x14ac:dyDescent="0.4">
      <c r="A113" t="s">
        <v>150</v>
      </c>
      <c r="B113" t="s">
        <v>9066</v>
      </c>
    </row>
    <row r="114" spans="1:2" x14ac:dyDescent="0.4">
      <c r="A114" t="s">
        <v>1437</v>
      </c>
      <c r="B114" t="s">
        <v>9067</v>
      </c>
    </row>
    <row r="115" spans="1:2" x14ac:dyDescent="0.4">
      <c r="A115" t="s">
        <v>1441</v>
      </c>
      <c r="B115" t="s">
        <v>9067</v>
      </c>
    </row>
    <row r="116" spans="1:2" x14ac:dyDescent="0.4">
      <c r="A116" t="s">
        <v>1444</v>
      </c>
      <c r="B116" t="s">
        <v>9067</v>
      </c>
    </row>
    <row r="117" spans="1:2" x14ac:dyDescent="0.4">
      <c r="A117" t="s">
        <v>1582</v>
      </c>
      <c r="B117" t="s">
        <v>8652</v>
      </c>
    </row>
    <row r="118" spans="1:2" x14ac:dyDescent="0.4">
      <c r="A118" t="s">
        <v>1587</v>
      </c>
      <c r="B118" t="s">
        <v>8652</v>
      </c>
    </row>
    <row r="119" spans="1:2" x14ac:dyDescent="0.4">
      <c r="A119" t="s">
        <v>1590</v>
      </c>
      <c r="B119" t="s">
        <v>8652</v>
      </c>
    </row>
    <row r="120" spans="1:2" x14ac:dyDescent="0.4">
      <c r="A120" t="s">
        <v>1593</v>
      </c>
      <c r="B120" t="s">
        <v>8652</v>
      </c>
    </row>
    <row r="121" spans="1:2" x14ac:dyDescent="0.4">
      <c r="A121" t="s">
        <v>1596</v>
      </c>
      <c r="B121" t="s">
        <v>8652</v>
      </c>
    </row>
    <row r="122" spans="1:2" x14ac:dyDescent="0.4">
      <c r="A122" t="s">
        <v>1599</v>
      </c>
      <c r="B122" t="s">
        <v>8652</v>
      </c>
    </row>
    <row r="123" spans="1:2" x14ac:dyDescent="0.4">
      <c r="A123" t="s">
        <v>1602</v>
      </c>
      <c r="B123" t="s">
        <v>8652</v>
      </c>
    </row>
    <row r="124" spans="1:2" x14ac:dyDescent="0.4">
      <c r="A124" t="s">
        <v>1605</v>
      </c>
      <c r="B124" t="s">
        <v>8652</v>
      </c>
    </row>
    <row r="125" spans="1:2" x14ac:dyDescent="0.4">
      <c r="A125" t="s">
        <v>1608</v>
      </c>
      <c r="B125" t="s">
        <v>8652</v>
      </c>
    </row>
    <row r="126" spans="1:2" x14ac:dyDescent="0.4">
      <c r="A126" t="s">
        <v>1611</v>
      </c>
      <c r="B126" t="s">
        <v>8652</v>
      </c>
    </row>
    <row r="127" spans="1:2" x14ac:dyDescent="0.4">
      <c r="A127" t="s">
        <v>1614</v>
      </c>
      <c r="B127" t="s">
        <v>8652</v>
      </c>
    </row>
    <row r="128" spans="1:2" x14ac:dyDescent="0.4">
      <c r="A128" t="s">
        <v>1617</v>
      </c>
      <c r="B128" t="s">
        <v>8652</v>
      </c>
    </row>
    <row r="129" spans="1:2" x14ac:dyDescent="0.4">
      <c r="A129" t="s">
        <v>1620</v>
      </c>
      <c r="B129" t="s">
        <v>8652</v>
      </c>
    </row>
    <row r="130" spans="1:2" x14ac:dyDescent="0.4">
      <c r="A130" t="s">
        <v>1623</v>
      </c>
      <c r="B130" t="s">
        <v>8652</v>
      </c>
    </row>
    <row r="131" spans="1:2" x14ac:dyDescent="0.4">
      <c r="A131" t="s">
        <v>1626</v>
      </c>
      <c r="B131" t="s">
        <v>8652</v>
      </c>
    </row>
    <row r="132" spans="1:2" x14ac:dyDescent="0.4">
      <c r="A132" t="s">
        <v>1447</v>
      </c>
      <c r="B132" t="s">
        <v>8652</v>
      </c>
    </row>
    <row r="133" spans="1:2" x14ac:dyDescent="0.4">
      <c r="A133" t="s">
        <v>1452</v>
      </c>
      <c r="B133" t="s">
        <v>8652</v>
      </c>
    </row>
    <row r="134" spans="1:2" x14ac:dyDescent="0.4">
      <c r="A134" t="s">
        <v>1455</v>
      </c>
      <c r="B134" t="s">
        <v>8652</v>
      </c>
    </row>
    <row r="135" spans="1:2" x14ac:dyDescent="0.4">
      <c r="A135" t="s">
        <v>1460</v>
      </c>
      <c r="B135" t="s">
        <v>8652</v>
      </c>
    </row>
    <row r="136" spans="1:2" x14ac:dyDescent="0.4">
      <c r="A136" t="s">
        <v>1463</v>
      </c>
      <c r="B136" t="s">
        <v>8652</v>
      </c>
    </row>
    <row r="137" spans="1:2" x14ac:dyDescent="0.4">
      <c r="A137" t="s">
        <v>1466</v>
      </c>
      <c r="B137" t="s">
        <v>8652</v>
      </c>
    </row>
    <row r="138" spans="1:2" x14ac:dyDescent="0.4">
      <c r="A138" t="s">
        <v>1469</v>
      </c>
      <c r="B138" t="s">
        <v>8652</v>
      </c>
    </row>
    <row r="139" spans="1:2" x14ac:dyDescent="0.4">
      <c r="A139" t="s">
        <v>1472</v>
      </c>
      <c r="B139" t="s">
        <v>8652</v>
      </c>
    </row>
    <row r="140" spans="1:2" x14ac:dyDescent="0.4">
      <c r="A140" t="s">
        <v>1475</v>
      </c>
      <c r="B140" t="s">
        <v>8652</v>
      </c>
    </row>
    <row r="141" spans="1:2" x14ac:dyDescent="0.4">
      <c r="A141" t="s">
        <v>1478</v>
      </c>
      <c r="B141" t="s">
        <v>8652</v>
      </c>
    </row>
    <row r="142" spans="1:2" x14ac:dyDescent="0.4">
      <c r="A142" t="s">
        <v>1481</v>
      </c>
      <c r="B142" t="s">
        <v>8652</v>
      </c>
    </row>
    <row r="143" spans="1:2" x14ac:dyDescent="0.4">
      <c r="A143" t="s">
        <v>1484</v>
      </c>
      <c r="B143" t="s">
        <v>8652</v>
      </c>
    </row>
    <row r="144" spans="1:2" x14ac:dyDescent="0.4">
      <c r="A144" t="s">
        <v>1487</v>
      </c>
      <c r="B144" t="s">
        <v>8652</v>
      </c>
    </row>
    <row r="145" spans="1:2" x14ac:dyDescent="0.4">
      <c r="A145" t="s">
        <v>1490</v>
      </c>
      <c r="B145" t="s">
        <v>8652</v>
      </c>
    </row>
    <row r="146" spans="1:2" x14ac:dyDescent="0.4">
      <c r="A146" t="s">
        <v>1498</v>
      </c>
      <c r="B146" t="s">
        <v>8652</v>
      </c>
    </row>
    <row r="147" spans="1:2" x14ac:dyDescent="0.4">
      <c r="A147" t="s">
        <v>1502</v>
      </c>
      <c r="B147" t="s">
        <v>8652</v>
      </c>
    </row>
    <row r="148" spans="1:2" x14ac:dyDescent="0.4">
      <c r="A148" t="s">
        <v>1507</v>
      </c>
      <c r="B148" t="s">
        <v>8652</v>
      </c>
    </row>
    <row r="149" spans="1:2" x14ac:dyDescent="0.4">
      <c r="A149" t="s">
        <v>1511</v>
      </c>
      <c r="B149" t="s">
        <v>8652</v>
      </c>
    </row>
    <row r="150" spans="1:2" x14ac:dyDescent="0.4">
      <c r="A150" t="s">
        <v>1515</v>
      </c>
      <c r="B150" t="s">
        <v>8652</v>
      </c>
    </row>
    <row r="151" spans="1:2" x14ac:dyDescent="0.4">
      <c r="A151" t="s">
        <v>1956</v>
      </c>
      <c r="B151" t="s">
        <v>8652</v>
      </c>
    </row>
    <row r="152" spans="1:2" x14ac:dyDescent="0.4">
      <c r="A152" t="s">
        <v>1959</v>
      </c>
      <c r="B152" t="s">
        <v>8652</v>
      </c>
    </row>
    <row r="153" spans="1:2" x14ac:dyDescent="0.4">
      <c r="A153" t="s">
        <v>1077</v>
      </c>
      <c r="B153" t="s">
        <v>8652</v>
      </c>
    </row>
    <row r="154" spans="1:2" x14ac:dyDescent="0.4">
      <c r="A154" t="s">
        <v>1962</v>
      </c>
      <c r="B154" t="s">
        <v>8652</v>
      </c>
    </row>
    <row r="155" spans="1:2" x14ac:dyDescent="0.4">
      <c r="A155" t="s">
        <v>1965</v>
      </c>
      <c r="B155" t="s">
        <v>9068</v>
      </c>
    </row>
    <row r="156" spans="1:2" x14ac:dyDescent="0.4">
      <c r="A156" t="s">
        <v>1968</v>
      </c>
      <c r="B156" t="s">
        <v>8652</v>
      </c>
    </row>
    <row r="157" spans="1:2" x14ac:dyDescent="0.4">
      <c r="A157" t="s">
        <v>1971</v>
      </c>
      <c r="B157" t="s">
        <v>8652</v>
      </c>
    </row>
    <row r="158" spans="1:2" x14ac:dyDescent="0.4">
      <c r="A158" t="s">
        <v>1974</v>
      </c>
      <c r="B158" t="s">
        <v>8652</v>
      </c>
    </row>
    <row r="159" spans="1:2" x14ac:dyDescent="0.4">
      <c r="A159" t="s">
        <v>1977</v>
      </c>
      <c r="B159" t="s">
        <v>8652</v>
      </c>
    </row>
    <row r="160" spans="1:2" x14ac:dyDescent="0.4">
      <c r="A160" t="s">
        <v>1980</v>
      </c>
      <c r="B160" t="s">
        <v>8652</v>
      </c>
    </row>
    <row r="161" spans="1:2" x14ac:dyDescent="0.4">
      <c r="A161" t="s">
        <v>1983</v>
      </c>
      <c r="B161" t="s">
        <v>8652</v>
      </c>
    </row>
    <row r="162" spans="1:2" x14ac:dyDescent="0.4">
      <c r="A162" t="s">
        <v>1986</v>
      </c>
      <c r="B162" t="s">
        <v>8652</v>
      </c>
    </row>
    <row r="163" spans="1:2" x14ac:dyDescent="0.4">
      <c r="A163" t="s">
        <v>1989</v>
      </c>
      <c r="B163" t="s">
        <v>9068</v>
      </c>
    </row>
    <row r="164" spans="1:2" x14ac:dyDescent="0.4">
      <c r="A164" t="s">
        <v>1992</v>
      </c>
      <c r="B164" t="s">
        <v>9068</v>
      </c>
    </row>
    <row r="165" spans="1:2" x14ac:dyDescent="0.4">
      <c r="A165" t="s">
        <v>1995</v>
      </c>
      <c r="B165" t="s">
        <v>9068</v>
      </c>
    </row>
    <row r="166" spans="1:2" x14ac:dyDescent="0.4">
      <c r="A166" t="s">
        <v>1998</v>
      </c>
      <c r="B166" t="s">
        <v>8652</v>
      </c>
    </row>
    <row r="167" spans="1:2" x14ac:dyDescent="0.4">
      <c r="A167" t="s">
        <v>2001</v>
      </c>
      <c r="B167" t="s">
        <v>8652</v>
      </c>
    </row>
    <row r="168" spans="1:2" x14ac:dyDescent="0.4">
      <c r="A168" t="s">
        <v>2004</v>
      </c>
      <c r="B168" t="s">
        <v>9069</v>
      </c>
    </row>
    <row r="169" spans="1:2" x14ac:dyDescent="0.4">
      <c r="A169" t="s">
        <v>2009</v>
      </c>
      <c r="B169" t="s">
        <v>9069</v>
      </c>
    </row>
    <row r="170" spans="1:2" x14ac:dyDescent="0.4">
      <c r="A170" t="s">
        <v>2012</v>
      </c>
      <c r="B170" t="s">
        <v>8652</v>
      </c>
    </row>
    <row r="171" spans="1:2" x14ac:dyDescent="0.4">
      <c r="A171" t="s">
        <v>2015</v>
      </c>
      <c r="B171" t="s">
        <v>8652</v>
      </c>
    </row>
    <row r="172" spans="1:2" x14ac:dyDescent="0.4">
      <c r="A172" t="s">
        <v>2018</v>
      </c>
      <c r="B172" t="s">
        <v>9069</v>
      </c>
    </row>
    <row r="173" spans="1:2" x14ac:dyDescent="0.4">
      <c r="A173" t="s">
        <v>2021</v>
      </c>
      <c r="B173" t="s">
        <v>9069</v>
      </c>
    </row>
    <row r="174" spans="1:2" x14ac:dyDescent="0.4">
      <c r="A174" t="s">
        <v>2024</v>
      </c>
      <c r="B174" t="s">
        <v>8652</v>
      </c>
    </row>
    <row r="175" spans="1:2" x14ac:dyDescent="0.4">
      <c r="A175" t="s">
        <v>2027</v>
      </c>
      <c r="B175" t="s">
        <v>8652</v>
      </c>
    </row>
    <row r="176" spans="1:2" x14ac:dyDescent="0.4">
      <c r="A176" t="s">
        <v>2030</v>
      </c>
      <c r="B176" t="s">
        <v>51</v>
      </c>
    </row>
    <row r="177" spans="1:2" x14ac:dyDescent="0.4">
      <c r="A177" t="s">
        <v>2033</v>
      </c>
      <c r="B177" t="s">
        <v>9069</v>
      </c>
    </row>
    <row r="178" spans="1:2" x14ac:dyDescent="0.4">
      <c r="A178" t="s">
        <v>2036</v>
      </c>
      <c r="B178" t="s">
        <v>8652</v>
      </c>
    </row>
    <row r="179" spans="1:2" x14ac:dyDescent="0.4">
      <c r="A179" t="s">
        <v>2039</v>
      </c>
      <c r="B179" t="s">
        <v>8652</v>
      </c>
    </row>
    <row r="180" spans="1:2" x14ac:dyDescent="0.4">
      <c r="A180" t="s">
        <v>2042</v>
      </c>
      <c r="B180" t="s">
        <v>8652</v>
      </c>
    </row>
    <row r="181" spans="1:2" x14ac:dyDescent="0.4">
      <c r="A181" t="s">
        <v>2101</v>
      </c>
      <c r="B181" t="s">
        <v>9070</v>
      </c>
    </row>
    <row r="182" spans="1:2" x14ac:dyDescent="0.4">
      <c r="A182" t="s">
        <v>2108</v>
      </c>
      <c r="B182" t="s">
        <v>8652</v>
      </c>
    </row>
    <row r="183" spans="1:2" x14ac:dyDescent="0.4">
      <c r="A183" t="s">
        <v>2111</v>
      </c>
      <c r="B183" t="s">
        <v>9070</v>
      </c>
    </row>
    <row r="184" spans="1:2" x14ac:dyDescent="0.4">
      <c r="A184" t="s">
        <v>2114</v>
      </c>
      <c r="B184" t="s">
        <v>9070</v>
      </c>
    </row>
    <row r="185" spans="1:2" x14ac:dyDescent="0.4">
      <c r="A185" t="s">
        <v>2117</v>
      </c>
      <c r="B185" t="s">
        <v>8652</v>
      </c>
    </row>
    <row r="186" spans="1:2" x14ac:dyDescent="0.4">
      <c r="A186" t="s">
        <v>2120</v>
      </c>
      <c r="B186" t="s">
        <v>9070</v>
      </c>
    </row>
    <row r="187" spans="1:2" x14ac:dyDescent="0.4">
      <c r="A187" t="s">
        <v>2123</v>
      </c>
      <c r="B187" t="s">
        <v>8652</v>
      </c>
    </row>
    <row r="188" spans="1:2" x14ac:dyDescent="0.4">
      <c r="A188" t="s">
        <v>2126</v>
      </c>
      <c r="B188" t="s">
        <v>8652</v>
      </c>
    </row>
    <row r="189" spans="1:2" x14ac:dyDescent="0.4">
      <c r="A189" t="s">
        <v>2129</v>
      </c>
      <c r="B189" t="s">
        <v>9070</v>
      </c>
    </row>
    <row r="190" spans="1:2" x14ac:dyDescent="0.4">
      <c r="A190" t="s">
        <v>2132</v>
      </c>
      <c r="B190" t="s">
        <v>8652</v>
      </c>
    </row>
    <row r="191" spans="1:2" x14ac:dyDescent="0.4">
      <c r="A191" t="s">
        <v>2135</v>
      </c>
      <c r="B191" t="s">
        <v>8652</v>
      </c>
    </row>
    <row r="192" spans="1:2" x14ac:dyDescent="0.4">
      <c r="A192" t="s">
        <v>2138</v>
      </c>
      <c r="B192" t="s">
        <v>8652</v>
      </c>
    </row>
    <row r="193" spans="1:2" x14ac:dyDescent="0.4">
      <c r="A193" t="s">
        <v>2141</v>
      </c>
      <c r="B193" t="s">
        <v>8652</v>
      </c>
    </row>
    <row r="194" spans="1:2" x14ac:dyDescent="0.4">
      <c r="A194" t="s">
        <v>2144</v>
      </c>
      <c r="B194" t="s">
        <v>8652</v>
      </c>
    </row>
    <row r="195" spans="1:2" x14ac:dyDescent="0.4">
      <c r="A195" t="s">
        <v>2147</v>
      </c>
      <c r="B195" t="s">
        <v>8652</v>
      </c>
    </row>
    <row r="196" spans="1:2" x14ac:dyDescent="0.4">
      <c r="A196" t="s">
        <v>2150</v>
      </c>
      <c r="B196" t="s">
        <v>8652</v>
      </c>
    </row>
    <row r="197" spans="1:2" x14ac:dyDescent="0.4">
      <c r="A197" t="s">
        <v>2155</v>
      </c>
      <c r="B197" t="s">
        <v>51</v>
      </c>
    </row>
    <row r="198" spans="1:2" x14ac:dyDescent="0.4">
      <c r="A198" t="s">
        <v>2158</v>
      </c>
      <c r="B198" t="s">
        <v>8652</v>
      </c>
    </row>
    <row r="199" spans="1:2" x14ac:dyDescent="0.4">
      <c r="A199" t="s">
        <v>2161</v>
      </c>
      <c r="B199" t="s">
        <v>8652</v>
      </c>
    </row>
    <row r="200" spans="1:2" x14ac:dyDescent="0.4">
      <c r="A200" t="s">
        <v>2164</v>
      </c>
      <c r="B200" t="s">
        <v>8652</v>
      </c>
    </row>
    <row r="201" spans="1:2" x14ac:dyDescent="0.4">
      <c r="A201" t="s">
        <v>881</v>
      </c>
      <c r="B201" t="s">
        <v>9071</v>
      </c>
    </row>
    <row r="202" spans="1:2" x14ac:dyDescent="0.4">
      <c r="A202" t="s">
        <v>885</v>
      </c>
      <c r="B202" t="s">
        <v>9071</v>
      </c>
    </row>
    <row r="203" spans="1:2" x14ac:dyDescent="0.4">
      <c r="A203" t="s">
        <v>888</v>
      </c>
      <c r="B203" t="s">
        <v>9071</v>
      </c>
    </row>
    <row r="204" spans="1:2" x14ac:dyDescent="0.4">
      <c r="A204" t="s">
        <v>891</v>
      </c>
      <c r="B204" t="s">
        <v>9071</v>
      </c>
    </row>
    <row r="205" spans="1:2" x14ac:dyDescent="0.4">
      <c r="A205" t="s">
        <v>800</v>
      </c>
      <c r="B205" t="s">
        <v>9067</v>
      </c>
    </row>
    <row r="206" spans="1:2" x14ac:dyDescent="0.4">
      <c r="A206" t="s">
        <v>804</v>
      </c>
      <c r="B206" t="s">
        <v>8652</v>
      </c>
    </row>
    <row r="207" spans="1:2" x14ac:dyDescent="0.4">
      <c r="A207" t="s">
        <v>807</v>
      </c>
      <c r="B207" t="s">
        <v>8652</v>
      </c>
    </row>
    <row r="208" spans="1:2" x14ac:dyDescent="0.4">
      <c r="A208" t="s">
        <v>768</v>
      </c>
      <c r="B208" t="s">
        <v>9072</v>
      </c>
    </row>
    <row r="209" spans="1:2" x14ac:dyDescent="0.4">
      <c r="A209" t="s">
        <v>773</v>
      </c>
      <c r="B209" t="s">
        <v>8652</v>
      </c>
    </row>
    <row r="210" spans="1:2" x14ac:dyDescent="0.4">
      <c r="A210" t="s">
        <v>776</v>
      </c>
      <c r="B210" t="s">
        <v>9072</v>
      </c>
    </row>
    <row r="211" spans="1:2" x14ac:dyDescent="0.4">
      <c r="A211" t="s">
        <v>779</v>
      </c>
      <c r="B211" t="s">
        <v>8652</v>
      </c>
    </row>
    <row r="212" spans="1:2" x14ac:dyDescent="0.4">
      <c r="A212" t="s">
        <v>782</v>
      </c>
      <c r="B212" t="s">
        <v>8652</v>
      </c>
    </row>
    <row r="213" spans="1:2" x14ac:dyDescent="0.4">
      <c r="A213" t="s">
        <v>785</v>
      </c>
      <c r="B213" t="s">
        <v>8652</v>
      </c>
    </row>
    <row r="214" spans="1:2" x14ac:dyDescent="0.4">
      <c r="A214" t="s">
        <v>788</v>
      </c>
      <c r="B214" t="s">
        <v>9072</v>
      </c>
    </row>
    <row r="215" spans="1:2" x14ac:dyDescent="0.4">
      <c r="A215" t="s">
        <v>791</v>
      </c>
      <c r="B215" t="s">
        <v>9072</v>
      </c>
    </row>
    <row r="216" spans="1:2" x14ac:dyDescent="0.4">
      <c r="A216" t="s">
        <v>794</v>
      </c>
      <c r="B216" t="s">
        <v>8652</v>
      </c>
    </row>
    <row r="217" spans="1:2" x14ac:dyDescent="0.4">
      <c r="A217" t="s">
        <v>797</v>
      </c>
      <c r="B217" t="s">
        <v>9072</v>
      </c>
    </row>
    <row r="218" spans="1:2" x14ac:dyDescent="0.4">
      <c r="A218" t="s">
        <v>734</v>
      </c>
      <c r="B218" t="s">
        <v>9073</v>
      </c>
    </row>
    <row r="219" spans="1:2" x14ac:dyDescent="0.4">
      <c r="A219" t="s">
        <v>741</v>
      </c>
      <c r="B219" t="s">
        <v>9073</v>
      </c>
    </row>
    <row r="220" spans="1:2" x14ac:dyDescent="0.4">
      <c r="A220" t="s">
        <v>744</v>
      </c>
      <c r="B220" t="s">
        <v>9073</v>
      </c>
    </row>
    <row r="221" spans="1:2" x14ac:dyDescent="0.4">
      <c r="A221" t="s">
        <v>747</v>
      </c>
      <c r="B221" t="s">
        <v>8652</v>
      </c>
    </row>
    <row r="222" spans="1:2" x14ac:dyDescent="0.4">
      <c r="A222" t="s">
        <v>750</v>
      </c>
      <c r="B222" t="s">
        <v>9073</v>
      </c>
    </row>
    <row r="223" spans="1:2" x14ac:dyDescent="0.4">
      <c r="A223" t="s">
        <v>753</v>
      </c>
      <c r="B223" t="s">
        <v>9073</v>
      </c>
    </row>
    <row r="224" spans="1:2" x14ac:dyDescent="0.4">
      <c r="A224" t="s">
        <v>756</v>
      </c>
      <c r="B224" t="s">
        <v>8652</v>
      </c>
    </row>
    <row r="225" spans="1:2" x14ac:dyDescent="0.4">
      <c r="A225" t="s">
        <v>759</v>
      </c>
      <c r="B225" t="s">
        <v>8652</v>
      </c>
    </row>
    <row r="226" spans="1:2" x14ac:dyDescent="0.4">
      <c r="A226" t="s">
        <v>762</v>
      </c>
      <c r="B226" t="s">
        <v>8652</v>
      </c>
    </row>
    <row r="227" spans="1:2" x14ac:dyDescent="0.4">
      <c r="A227" t="s">
        <v>765</v>
      </c>
      <c r="B227" t="s">
        <v>8652</v>
      </c>
    </row>
    <row r="228" spans="1:2" x14ac:dyDescent="0.4">
      <c r="A228" t="s">
        <v>830</v>
      </c>
      <c r="B228" t="s">
        <v>8652</v>
      </c>
    </row>
    <row r="229" spans="1:2" x14ac:dyDescent="0.4">
      <c r="A229" t="s">
        <v>834</v>
      </c>
      <c r="B229" t="s">
        <v>8652</v>
      </c>
    </row>
    <row r="230" spans="1:2" x14ac:dyDescent="0.4">
      <c r="A230" t="s">
        <v>838</v>
      </c>
      <c r="B230" t="s">
        <v>8652</v>
      </c>
    </row>
    <row r="231" spans="1:2" x14ac:dyDescent="0.4">
      <c r="A231" t="s">
        <v>841</v>
      </c>
      <c r="B231" t="s">
        <v>8652</v>
      </c>
    </row>
    <row r="232" spans="1:2" x14ac:dyDescent="0.4">
      <c r="A232" t="s">
        <v>844</v>
      </c>
      <c r="B232" t="s">
        <v>8652</v>
      </c>
    </row>
    <row r="233" spans="1:2" x14ac:dyDescent="0.4">
      <c r="A233" t="s">
        <v>847</v>
      </c>
      <c r="B233" t="s">
        <v>8652</v>
      </c>
    </row>
    <row r="234" spans="1:2" x14ac:dyDescent="0.4">
      <c r="A234" t="s">
        <v>850</v>
      </c>
      <c r="B234" t="s">
        <v>8652</v>
      </c>
    </row>
    <row r="235" spans="1:2" x14ac:dyDescent="0.4">
      <c r="A235" t="s">
        <v>855</v>
      </c>
      <c r="B235" t="s">
        <v>240</v>
      </c>
    </row>
    <row r="236" spans="1:2" x14ac:dyDescent="0.4">
      <c r="A236" t="s">
        <v>858</v>
      </c>
      <c r="B236" t="s">
        <v>32</v>
      </c>
    </row>
    <row r="237" spans="1:2" x14ac:dyDescent="0.4">
      <c r="A237" t="s">
        <v>861</v>
      </c>
      <c r="B237" t="s">
        <v>8652</v>
      </c>
    </row>
    <row r="238" spans="1:2" x14ac:dyDescent="0.4">
      <c r="A238" t="s">
        <v>864</v>
      </c>
      <c r="B238" t="s">
        <v>8652</v>
      </c>
    </row>
    <row r="239" spans="1:2" x14ac:dyDescent="0.4">
      <c r="A239" t="s">
        <v>867</v>
      </c>
      <c r="B239" t="s">
        <v>8652</v>
      </c>
    </row>
    <row r="240" spans="1:2" x14ac:dyDescent="0.4">
      <c r="A240" t="s">
        <v>870</v>
      </c>
      <c r="B240" t="s">
        <v>8652</v>
      </c>
    </row>
    <row r="241" spans="1:2" x14ac:dyDescent="0.4">
      <c r="A241" t="s">
        <v>874</v>
      </c>
      <c r="B241" t="s">
        <v>8652</v>
      </c>
    </row>
    <row r="242" spans="1:2" x14ac:dyDescent="0.4">
      <c r="A242" t="s">
        <v>877</v>
      </c>
      <c r="B242" t="s">
        <v>8652</v>
      </c>
    </row>
    <row r="243" spans="1:2" x14ac:dyDescent="0.4">
      <c r="A243" t="s">
        <v>810</v>
      </c>
      <c r="B243" t="s">
        <v>9074</v>
      </c>
    </row>
    <row r="244" spans="1:2" x14ac:dyDescent="0.4">
      <c r="A244" t="s">
        <v>817</v>
      </c>
      <c r="B244" t="s">
        <v>9074</v>
      </c>
    </row>
    <row r="245" spans="1:2" x14ac:dyDescent="0.4">
      <c r="A245" t="s">
        <v>820</v>
      </c>
      <c r="B245" t="s">
        <v>9074</v>
      </c>
    </row>
    <row r="246" spans="1:2" x14ac:dyDescent="0.4">
      <c r="A246" t="s">
        <v>823</v>
      </c>
      <c r="B246" t="s">
        <v>9074</v>
      </c>
    </row>
    <row r="247" spans="1:2" x14ac:dyDescent="0.4">
      <c r="A247" t="s">
        <v>827</v>
      </c>
      <c r="B247" t="s">
        <v>9074</v>
      </c>
    </row>
    <row r="248" spans="1:2" x14ac:dyDescent="0.4">
      <c r="A248" t="s">
        <v>2326</v>
      </c>
      <c r="B248" t="s">
        <v>9075</v>
      </c>
    </row>
    <row r="249" spans="1:2" x14ac:dyDescent="0.4">
      <c r="A249" t="s">
        <v>2330</v>
      </c>
      <c r="B249" t="s">
        <v>8652</v>
      </c>
    </row>
    <row r="250" spans="1:2" x14ac:dyDescent="0.4">
      <c r="A250" t="s">
        <v>2333</v>
      </c>
      <c r="B250" t="s">
        <v>8652</v>
      </c>
    </row>
    <row r="251" spans="1:2" x14ac:dyDescent="0.4">
      <c r="A251" t="s">
        <v>2336</v>
      </c>
      <c r="B251" t="s">
        <v>8652</v>
      </c>
    </row>
    <row r="252" spans="1:2" x14ac:dyDescent="0.4">
      <c r="A252" t="s">
        <v>2339</v>
      </c>
      <c r="B252" t="s">
        <v>8652</v>
      </c>
    </row>
    <row r="253" spans="1:2" x14ac:dyDescent="0.4">
      <c r="A253" t="s">
        <v>2342</v>
      </c>
      <c r="B253" t="s">
        <v>9075</v>
      </c>
    </row>
    <row r="254" spans="1:2" x14ac:dyDescent="0.4">
      <c r="A254" t="s">
        <v>1291</v>
      </c>
      <c r="B254" t="s">
        <v>9076</v>
      </c>
    </row>
    <row r="255" spans="1:2" x14ac:dyDescent="0.4">
      <c r="A255" t="s">
        <v>1296</v>
      </c>
      <c r="B255" t="s">
        <v>9076</v>
      </c>
    </row>
    <row r="256" spans="1:2" x14ac:dyDescent="0.4">
      <c r="A256" t="s">
        <v>1299</v>
      </c>
      <c r="B256" t="s">
        <v>9076</v>
      </c>
    </row>
    <row r="257" spans="1:2" x14ac:dyDescent="0.4">
      <c r="A257" t="s">
        <v>1302</v>
      </c>
      <c r="B257" t="s">
        <v>8652</v>
      </c>
    </row>
    <row r="258" spans="1:2" x14ac:dyDescent="0.4">
      <c r="A258" t="s">
        <v>1305</v>
      </c>
      <c r="B258" t="s">
        <v>9076</v>
      </c>
    </row>
    <row r="259" spans="1:2" x14ac:dyDescent="0.4">
      <c r="A259" t="s">
        <v>1308</v>
      </c>
      <c r="B259" t="s">
        <v>9076</v>
      </c>
    </row>
    <row r="260" spans="1:2" x14ac:dyDescent="0.4">
      <c r="A260" t="s">
        <v>1311</v>
      </c>
      <c r="B260" t="s">
        <v>8652</v>
      </c>
    </row>
    <row r="261" spans="1:2" x14ac:dyDescent="0.4">
      <c r="A261" t="s">
        <v>1314</v>
      </c>
      <c r="B261" t="s">
        <v>8652</v>
      </c>
    </row>
    <row r="262" spans="1:2" x14ac:dyDescent="0.4">
      <c r="A262" t="s">
        <v>2296</v>
      </c>
      <c r="B262" t="s">
        <v>8652</v>
      </c>
    </row>
    <row r="263" spans="1:2" x14ac:dyDescent="0.4">
      <c r="A263" t="s">
        <v>2302</v>
      </c>
      <c r="B263" t="s">
        <v>8652</v>
      </c>
    </row>
    <row r="264" spans="1:2" x14ac:dyDescent="0.4">
      <c r="A264" t="s">
        <v>2305</v>
      </c>
      <c r="B264" t="s">
        <v>8652</v>
      </c>
    </row>
    <row r="265" spans="1:2" x14ac:dyDescent="0.4">
      <c r="A265" t="s">
        <v>2308</v>
      </c>
      <c r="B265" t="s">
        <v>8652</v>
      </c>
    </row>
    <row r="266" spans="1:2" x14ac:dyDescent="0.4">
      <c r="A266" t="s">
        <v>2311</v>
      </c>
      <c r="B266" t="s">
        <v>9077</v>
      </c>
    </row>
    <row r="267" spans="1:2" x14ac:dyDescent="0.4">
      <c r="A267" t="s">
        <v>2314</v>
      </c>
      <c r="B267" t="s">
        <v>9077</v>
      </c>
    </row>
    <row r="268" spans="1:2" x14ac:dyDescent="0.4">
      <c r="A268" t="s">
        <v>2317</v>
      </c>
      <c r="B268" t="s">
        <v>9077</v>
      </c>
    </row>
    <row r="269" spans="1:2" x14ac:dyDescent="0.4">
      <c r="A269" t="s">
        <v>2320</v>
      </c>
      <c r="B269" t="s">
        <v>9077</v>
      </c>
    </row>
    <row r="270" spans="1:2" x14ac:dyDescent="0.4">
      <c r="A270" t="s">
        <v>2323</v>
      </c>
      <c r="B270" t="s">
        <v>9077</v>
      </c>
    </row>
    <row r="271" spans="1:2" x14ac:dyDescent="0.4">
      <c r="A271" t="s">
        <v>2345</v>
      </c>
      <c r="B271" t="s">
        <v>9078</v>
      </c>
    </row>
    <row r="272" spans="1:2" x14ac:dyDescent="0.4">
      <c r="A272" t="s">
        <v>2350</v>
      </c>
      <c r="B272" t="s">
        <v>9078</v>
      </c>
    </row>
    <row r="273" spans="1:2" x14ac:dyDescent="0.4">
      <c r="A273" t="s">
        <v>2353</v>
      </c>
      <c r="B273" t="s">
        <v>9078</v>
      </c>
    </row>
    <row r="274" spans="1:2" x14ac:dyDescent="0.4">
      <c r="A274" t="s">
        <v>2356</v>
      </c>
      <c r="B274" t="s">
        <v>9078</v>
      </c>
    </row>
    <row r="275" spans="1:2" x14ac:dyDescent="0.4">
      <c r="A275" t="s">
        <v>2359</v>
      </c>
      <c r="B275" t="s">
        <v>8652</v>
      </c>
    </row>
    <row r="276" spans="1:2" x14ac:dyDescent="0.4">
      <c r="A276" t="s">
        <v>2362</v>
      </c>
      <c r="B276" t="s">
        <v>8652</v>
      </c>
    </row>
    <row r="277" spans="1:2" x14ac:dyDescent="0.4">
      <c r="A277" t="s">
        <v>2365</v>
      </c>
      <c r="B277" t="s">
        <v>8652</v>
      </c>
    </row>
    <row r="278" spans="1:2" x14ac:dyDescent="0.4">
      <c r="A278" t="s">
        <v>2368</v>
      </c>
      <c r="B278" t="s">
        <v>8652</v>
      </c>
    </row>
    <row r="279" spans="1:2" x14ac:dyDescent="0.4">
      <c r="A279" t="s">
        <v>2371</v>
      </c>
      <c r="B279" t="s">
        <v>9078</v>
      </c>
    </row>
    <row r="280" spans="1:2" x14ac:dyDescent="0.4">
      <c r="A280" t="s">
        <v>2374</v>
      </c>
      <c r="B280" t="s">
        <v>8652</v>
      </c>
    </row>
    <row r="281" spans="1:2" x14ac:dyDescent="0.4">
      <c r="A281" t="s">
        <v>1818</v>
      </c>
      <c r="B281" t="s">
        <v>144</v>
      </c>
    </row>
    <row r="282" spans="1:2" x14ac:dyDescent="0.4">
      <c r="A282" t="s">
        <v>1824</v>
      </c>
      <c r="B282" t="s">
        <v>8652</v>
      </c>
    </row>
    <row r="283" spans="1:2" x14ac:dyDescent="0.4">
      <c r="A283" t="s">
        <v>1828</v>
      </c>
      <c r="B283" t="s">
        <v>8652</v>
      </c>
    </row>
    <row r="284" spans="1:2" x14ac:dyDescent="0.4">
      <c r="A284" t="s">
        <v>1831</v>
      </c>
      <c r="B284" t="s">
        <v>9079</v>
      </c>
    </row>
    <row r="285" spans="1:2" x14ac:dyDescent="0.4">
      <c r="A285" t="s">
        <v>1834</v>
      </c>
      <c r="B285" t="s">
        <v>8652</v>
      </c>
    </row>
    <row r="286" spans="1:2" x14ac:dyDescent="0.4">
      <c r="A286" t="s">
        <v>1837</v>
      </c>
      <c r="B286" t="s">
        <v>9079</v>
      </c>
    </row>
    <row r="287" spans="1:2" x14ac:dyDescent="0.4">
      <c r="A287" t="s">
        <v>1840</v>
      </c>
      <c r="B287" t="s">
        <v>8652</v>
      </c>
    </row>
    <row r="288" spans="1:2" x14ac:dyDescent="0.4">
      <c r="A288" t="s">
        <v>1843</v>
      </c>
      <c r="B288" t="s">
        <v>9079</v>
      </c>
    </row>
    <row r="289" spans="1:2" x14ac:dyDescent="0.4">
      <c r="A289" t="s">
        <v>1846</v>
      </c>
      <c r="B289" t="s">
        <v>8652</v>
      </c>
    </row>
    <row r="290" spans="1:2" x14ac:dyDescent="0.4">
      <c r="A290" t="s">
        <v>1849</v>
      </c>
      <c r="B290" t="s">
        <v>9079</v>
      </c>
    </row>
    <row r="291" spans="1:2" x14ac:dyDescent="0.4">
      <c r="A291" t="s">
        <v>1852</v>
      </c>
      <c r="B291" t="s">
        <v>9079</v>
      </c>
    </row>
    <row r="292" spans="1:2" x14ac:dyDescent="0.4">
      <c r="A292" t="s">
        <v>1855</v>
      </c>
      <c r="B292" t="s">
        <v>8652</v>
      </c>
    </row>
    <row r="293" spans="1:2" x14ac:dyDescent="0.4">
      <c r="A293" t="s">
        <v>1858</v>
      </c>
      <c r="B293" t="s">
        <v>8652</v>
      </c>
    </row>
    <row r="294" spans="1:2" x14ac:dyDescent="0.4">
      <c r="A294" t="s">
        <v>1861</v>
      </c>
      <c r="B294" t="s">
        <v>8652</v>
      </c>
    </row>
    <row r="295" spans="1:2" x14ac:dyDescent="0.4">
      <c r="A295" t="s">
        <v>1864</v>
      </c>
      <c r="B295" t="s">
        <v>65</v>
      </c>
    </row>
    <row r="296" spans="1:2" x14ac:dyDescent="0.4">
      <c r="A296" t="s">
        <v>1123</v>
      </c>
      <c r="B296" t="s">
        <v>8652</v>
      </c>
    </row>
    <row r="297" spans="1:2" x14ac:dyDescent="0.4">
      <c r="A297" t="s">
        <v>1128</v>
      </c>
      <c r="B297" t="s">
        <v>8652</v>
      </c>
    </row>
    <row r="298" spans="1:2" x14ac:dyDescent="0.4">
      <c r="A298" t="s">
        <v>1131</v>
      </c>
      <c r="B298" t="s">
        <v>8652</v>
      </c>
    </row>
    <row r="299" spans="1:2" x14ac:dyDescent="0.4">
      <c r="A299" t="s">
        <v>1134</v>
      </c>
      <c r="B299" t="s">
        <v>8652</v>
      </c>
    </row>
    <row r="300" spans="1:2" x14ac:dyDescent="0.4">
      <c r="A300" t="s">
        <v>1137</v>
      </c>
      <c r="B300" t="s">
        <v>8652</v>
      </c>
    </row>
    <row r="301" spans="1:2" x14ac:dyDescent="0.4">
      <c r="A301" t="s">
        <v>1140</v>
      </c>
      <c r="B301" t="s">
        <v>8652</v>
      </c>
    </row>
    <row r="302" spans="1:2" x14ac:dyDescent="0.4">
      <c r="A302" t="s">
        <v>1143</v>
      </c>
      <c r="B302" t="s">
        <v>8652</v>
      </c>
    </row>
    <row r="303" spans="1:2" x14ac:dyDescent="0.4">
      <c r="A303" t="s">
        <v>1146</v>
      </c>
      <c r="B303" t="s">
        <v>8652</v>
      </c>
    </row>
    <row r="304" spans="1:2" x14ac:dyDescent="0.4">
      <c r="A304" t="s">
        <v>1149</v>
      </c>
      <c r="B304" t="s">
        <v>8652</v>
      </c>
    </row>
    <row r="305" spans="1:2" x14ac:dyDescent="0.4">
      <c r="A305" t="s">
        <v>1152</v>
      </c>
      <c r="B305" t="s">
        <v>144</v>
      </c>
    </row>
    <row r="306" spans="1:2" x14ac:dyDescent="0.4">
      <c r="A306" t="s">
        <v>1155</v>
      </c>
      <c r="B306" t="s">
        <v>8652</v>
      </c>
    </row>
    <row r="307" spans="1:2" x14ac:dyDescent="0.4">
      <c r="A307" t="s">
        <v>1158</v>
      </c>
      <c r="B307" t="s">
        <v>8652</v>
      </c>
    </row>
    <row r="308" spans="1:2" x14ac:dyDescent="0.4">
      <c r="A308" t="s">
        <v>1161</v>
      </c>
      <c r="B308" t="s">
        <v>8652</v>
      </c>
    </row>
    <row r="309" spans="1:2" x14ac:dyDescent="0.4">
      <c r="A309" t="s">
        <v>1164</v>
      </c>
      <c r="B309" t="s">
        <v>8652</v>
      </c>
    </row>
    <row r="310" spans="1:2" x14ac:dyDescent="0.4">
      <c r="A310" t="s">
        <v>1167</v>
      </c>
      <c r="B310" t="s">
        <v>9080</v>
      </c>
    </row>
    <row r="311" spans="1:2" x14ac:dyDescent="0.4">
      <c r="A311" t="s">
        <v>1171</v>
      </c>
      <c r="B311" t="s">
        <v>8652</v>
      </c>
    </row>
    <row r="312" spans="1:2" x14ac:dyDescent="0.4">
      <c r="A312" t="s">
        <v>1174</v>
      </c>
      <c r="B312" t="s">
        <v>9080</v>
      </c>
    </row>
    <row r="313" spans="1:2" x14ac:dyDescent="0.4">
      <c r="A313" t="s">
        <v>1177</v>
      </c>
      <c r="B313" t="s">
        <v>9080</v>
      </c>
    </row>
    <row r="314" spans="1:2" x14ac:dyDescent="0.4">
      <c r="A314" t="s">
        <v>1180</v>
      </c>
      <c r="B314" t="s">
        <v>9080</v>
      </c>
    </row>
    <row r="315" spans="1:2" x14ac:dyDescent="0.4">
      <c r="A315" t="s">
        <v>1087</v>
      </c>
      <c r="B315" t="s">
        <v>8652</v>
      </c>
    </row>
    <row r="316" spans="1:2" x14ac:dyDescent="0.4">
      <c r="A316" t="s">
        <v>1093</v>
      </c>
      <c r="B316" t="s">
        <v>8652</v>
      </c>
    </row>
    <row r="317" spans="1:2" x14ac:dyDescent="0.4">
      <c r="A317" t="s">
        <v>1096</v>
      </c>
      <c r="B317" t="s">
        <v>8652</v>
      </c>
    </row>
    <row r="318" spans="1:2" x14ac:dyDescent="0.4">
      <c r="A318" t="s">
        <v>1099</v>
      </c>
      <c r="B318" t="s">
        <v>8652</v>
      </c>
    </row>
    <row r="319" spans="1:2" x14ac:dyDescent="0.4">
      <c r="A319" t="s">
        <v>1102</v>
      </c>
      <c r="B319" t="s">
        <v>8652</v>
      </c>
    </row>
    <row r="320" spans="1:2" x14ac:dyDescent="0.4">
      <c r="A320" t="s">
        <v>1105</v>
      </c>
      <c r="B320" t="s">
        <v>8652</v>
      </c>
    </row>
    <row r="321" spans="1:2" x14ac:dyDescent="0.4">
      <c r="A321" t="s">
        <v>1108</v>
      </c>
      <c r="B321" t="s">
        <v>8652</v>
      </c>
    </row>
    <row r="322" spans="1:2" x14ac:dyDescent="0.4">
      <c r="A322" t="s">
        <v>1111</v>
      </c>
      <c r="B322" t="s">
        <v>8652</v>
      </c>
    </row>
    <row r="323" spans="1:2" x14ac:dyDescent="0.4">
      <c r="A323" t="s">
        <v>1114</v>
      </c>
      <c r="B323" t="s">
        <v>8652</v>
      </c>
    </row>
    <row r="324" spans="1:2" x14ac:dyDescent="0.4">
      <c r="A324" t="s">
        <v>1117</v>
      </c>
      <c r="B324" t="s">
        <v>8652</v>
      </c>
    </row>
    <row r="325" spans="1:2" x14ac:dyDescent="0.4">
      <c r="A325" t="s">
        <v>1120</v>
      </c>
      <c r="B325" t="s">
        <v>8652</v>
      </c>
    </row>
    <row r="326" spans="1:2" x14ac:dyDescent="0.4">
      <c r="A326" t="s">
        <v>672</v>
      </c>
      <c r="B326" t="s">
        <v>85</v>
      </c>
    </row>
    <row r="327" spans="1:2" x14ac:dyDescent="0.4">
      <c r="A327" t="s">
        <v>676</v>
      </c>
      <c r="B327" t="s">
        <v>9081</v>
      </c>
    </row>
    <row r="328" spans="1:2" x14ac:dyDescent="0.4">
      <c r="A328" t="s">
        <v>680</v>
      </c>
      <c r="B328" t="s">
        <v>8652</v>
      </c>
    </row>
    <row r="329" spans="1:2" x14ac:dyDescent="0.4">
      <c r="A329" t="s">
        <v>683</v>
      </c>
      <c r="B329" t="s">
        <v>9081</v>
      </c>
    </row>
    <row r="330" spans="1:2" x14ac:dyDescent="0.4">
      <c r="A330" t="s">
        <v>686</v>
      </c>
      <c r="B330" t="s">
        <v>8652</v>
      </c>
    </row>
    <row r="331" spans="1:2" x14ac:dyDescent="0.4">
      <c r="A331" t="s">
        <v>689</v>
      </c>
      <c r="B331" t="s">
        <v>9081</v>
      </c>
    </row>
    <row r="332" spans="1:2" x14ac:dyDescent="0.4">
      <c r="A332" t="s">
        <v>692</v>
      </c>
      <c r="B332" t="s">
        <v>8652</v>
      </c>
    </row>
    <row r="333" spans="1:2" x14ac:dyDescent="0.4">
      <c r="A333" t="s">
        <v>695</v>
      </c>
      <c r="B333" t="s">
        <v>9081</v>
      </c>
    </row>
    <row r="334" spans="1:2" x14ac:dyDescent="0.4">
      <c r="A334" t="s">
        <v>698</v>
      </c>
      <c r="B334" t="s">
        <v>8652</v>
      </c>
    </row>
    <row r="335" spans="1:2" x14ac:dyDescent="0.4">
      <c r="A335" t="s">
        <v>701</v>
      </c>
      <c r="B335" t="s">
        <v>9081</v>
      </c>
    </row>
    <row r="336" spans="1:2" x14ac:dyDescent="0.4">
      <c r="A336" t="s">
        <v>704</v>
      </c>
      <c r="B336" t="s">
        <v>8652</v>
      </c>
    </row>
    <row r="337" spans="1:2" x14ac:dyDescent="0.4">
      <c r="A337" t="s">
        <v>707</v>
      </c>
      <c r="B337" t="s">
        <v>8652</v>
      </c>
    </row>
    <row r="338" spans="1:2" x14ac:dyDescent="0.4">
      <c r="A338" t="s">
        <v>710</v>
      </c>
      <c r="B338" t="s">
        <v>8652</v>
      </c>
    </row>
    <row r="339" spans="1:2" x14ac:dyDescent="0.4">
      <c r="A339" t="s">
        <v>713</v>
      </c>
      <c r="B339" t="s">
        <v>8652</v>
      </c>
    </row>
    <row r="340" spans="1:2" x14ac:dyDescent="0.4">
      <c r="A340" t="s">
        <v>716</v>
      </c>
      <c r="B340" t="s">
        <v>8652</v>
      </c>
    </row>
    <row r="341" spans="1:2" x14ac:dyDescent="0.4">
      <c r="A341" t="s">
        <v>719</v>
      </c>
      <c r="B341" t="s">
        <v>8652</v>
      </c>
    </row>
    <row r="342" spans="1:2" x14ac:dyDescent="0.4">
      <c r="A342" t="s">
        <v>722</v>
      </c>
      <c r="B342" t="s">
        <v>8652</v>
      </c>
    </row>
    <row r="343" spans="1:2" x14ac:dyDescent="0.4">
      <c r="A343" t="s">
        <v>725</v>
      </c>
      <c r="B343" t="s">
        <v>8652</v>
      </c>
    </row>
    <row r="344" spans="1:2" x14ac:dyDescent="0.4">
      <c r="A344" t="s">
        <v>728</v>
      </c>
      <c r="B344" t="s">
        <v>8652</v>
      </c>
    </row>
    <row r="345" spans="1:2" x14ac:dyDescent="0.4">
      <c r="A345" t="s">
        <v>731</v>
      </c>
      <c r="B345" t="s">
        <v>8652</v>
      </c>
    </row>
    <row r="346" spans="1:2" x14ac:dyDescent="0.4">
      <c r="A346" t="s">
        <v>630</v>
      </c>
      <c r="B346" t="s">
        <v>8652</v>
      </c>
    </row>
    <row r="347" spans="1:2" x14ac:dyDescent="0.4">
      <c r="A347" t="s">
        <v>637</v>
      </c>
      <c r="B347" t="s">
        <v>8652</v>
      </c>
    </row>
    <row r="348" spans="1:2" x14ac:dyDescent="0.4">
      <c r="A348" t="s">
        <v>640</v>
      </c>
      <c r="B348" t="s">
        <v>9082</v>
      </c>
    </row>
    <row r="349" spans="1:2" x14ac:dyDescent="0.4">
      <c r="A349" t="s">
        <v>645</v>
      </c>
      <c r="B349" t="s">
        <v>9082</v>
      </c>
    </row>
    <row r="350" spans="1:2" x14ac:dyDescent="0.4">
      <c r="A350" t="s">
        <v>648</v>
      </c>
      <c r="B350" t="s">
        <v>8652</v>
      </c>
    </row>
    <row r="351" spans="1:2" x14ac:dyDescent="0.4">
      <c r="A351" t="s">
        <v>651</v>
      </c>
      <c r="B351" t="s">
        <v>9082</v>
      </c>
    </row>
    <row r="352" spans="1:2" x14ac:dyDescent="0.4">
      <c r="A352" t="s">
        <v>654</v>
      </c>
      <c r="B352" t="s">
        <v>8652</v>
      </c>
    </row>
    <row r="353" spans="1:2" x14ac:dyDescent="0.4">
      <c r="A353" t="s">
        <v>657</v>
      </c>
      <c r="B353" t="s">
        <v>9082</v>
      </c>
    </row>
    <row r="354" spans="1:2" x14ac:dyDescent="0.4">
      <c r="A354" t="s">
        <v>660</v>
      </c>
      <c r="B354" t="s">
        <v>8652</v>
      </c>
    </row>
    <row r="355" spans="1:2" x14ac:dyDescent="0.4">
      <c r="A355" t="s">
        <v>663</v>
      </c>
      <c r="B355" t="s">
        <v>8652</v>
      </c>
    </row>
    <row r="356" spans="1:2" x14ac:dyDescent="0.4">
      <c r="A356" t="s">
        <v>666</v>
      </c>
      <c r="B356" t="s">
        <v>9082</v>
      </c>
    </row>
    <row r="357" spans="1:2" x14ac:dyDescent="0.4">
      <c r="A357" t="s">
        <v>669</v>
      </c>
      <c r="B357" t="s">
        <v>85</v>
      </c>
    </row>
    <row r="358" spans="1:2" x14ac:dyDescent="0.4">
      <c r="A358" t="s">
        <v>1683</v>
      </c>
      <c r="B358" t="s">
        <v>8652</v>
      </c>
    </row>
    <row r="359" spans="1:2" x14ac:dyDescent="0.4">
      <c r="A359" t="s">
        <v>1688</v>
      </c>
      <c r="B359" t="s">
        <v>9083</v>
      </c>
    </row>
    <row r="360" spans="1:2" x14ac:dyDescent="0.4">
      <c r="A360" t="s">
        <v>1691</v>
      </c>
      <c r="B360" t="s">
        <v>9083</v>
      </c>
    </row>
    <row r="361" spans="1:2" x14ac:dyDescent="0.4">
      <c r="A361" t="s">
        <v>1694</v>
      </c>
      <c r="B361" t="s">
        <v>8652</v>
      </c>
    </row>
    <row r="362" spans="1:2" x14ac:dyDescent="0.4">
      <c r="A362" t="s">
        <v>1697</v>
      </c>
      <c r="B362" t="s">
        <v>8652</v>
      </c>
    </row>
    <row r="363" spans="1:2" x14ac:dyDescent="0.4">
      <c r="A363" t="s">
        <v>1700</v>
      </c>
      <c r="B363" t="s">
        <v>8652</v>
      </c>
    </row>
    <row r="364" spans="1:2" x14ac:dyDescent="0.4">
      <c r="A364" t="s">
        <v>1703</v>
      </c>
      <c r="B364" t="s">
        <v>8652</v>
      </c>
    </row>
    <row r="365" spans="1:2" x14ac:dyDescent="0.4">
      <c r="A365" t="s">
        <v>1706</v>
      </c>
      <c r="B365" t="s">
        <v>8652</v>
      </c>
    </row>
    <row r="366" spans="1:2" x14ac:dyDescent="0.4">
      <c r="A366" t="s">
        <v>1709</v>
      </c>
      <c r="B366" t="s">
        <v>8652</v>
      </c>
    </row>
    <row r="367" spans="1:2" x14ac:dyDescent="0.4">
      <c r="A367" t="s">
        <v>1712</v>
      </c>
      <c r="B367" t="s">
        <v>8652</v>
      </c>
    </row>
    <row r="368" spans="1:2" x14ac:dyDescent="0.4">
      <c r="A368" t="s">
        <v>1715</v>
      </c>
      <c r="B368" t="s">
        <v>8652</v>
      </c>
    </row>
    <row r="369" spans="1:2" x14ac:dyDescent="0.4">
      <c r="A369" t="s">
        <v>1718</v>
      </c>
      <c r="B369" t="s">
        <v>8652</v>
      </c>
    </row>
    <row r="370" spans="1:2" x14ac:dyDescent="0.4">
      <c r="A370" t="s">
        <v>1721</v>
      </c>
      <c r="B370" t="s">
        <v>8652</v>
      </c>
    </row>
    <row r="371" spans="1:2" x14ac:dyDescent="0.4">
      <c r="A371" t="s">
        <v>1724</v>
      </c>
      <c r="B371" t="s">
        <v>8652</v>
      </c>
    </row>
    <row r="372" spans="1:2" x14ac:dyDescent="0.4">
      <c r="A372" t="s">
        <v>1786</v>
      </c>
      <c r="B372" t="s">
        <v>65</v>
      </c>
    </row>
    <row r="373" spans="1:2" x14ac:dyDescent="0.4">
      <c r="A373" t="s">
        <v>1791</v>
      </c>
      <c r="B373" t="s">
        <v>8652</v>
      </c>
    </row>
    <row r="374" spans="1:2" x14ac:dyDescent="0.4">
      <c r="A374" t="s">
        <v>1794</v>
      </c>
      <c r="B374" t="s">
        <v>8652</v>
      </c>
    </row>
    <row r="375" spans="1:2" x14ac:dyDescent="0.4">
      <c r="A375" t="s">
        <v>1797</v>
      </c>
      <c r="B375" t="s">
        <v>8652</v>
      </c>
    </row>
    <row r="376" spans="1:2" x14ac:dyDescent="0.4">
      <c r="A376" t="s">
        <v>1800</v>
      </c>
      <c r="B376" t="s">
        <v>8652</v>
      </c>
    </row>
    <row r="377" spans="1:2" x14ac:dyDescent="0.4">
      <c r="A377" t="s">
        <v>1803</v>
      </c>
      <c r="B377" t="s">
        <v>9084</v>
      </c>
    </row>
    <row r="378" spans="1:2" x14ac:dyDescent="0.4">
      <c r="A378" t="s">
        <v>1806</v>
      </c>
      <c r="B378" t="s">
        <v>8652</v>
      </c>
    </row>
    <row r="379" spans="1:2" x14ac:dyDescent="0.4">
      <c r="A379" t="s">
        <v>1809</v>
      </c>
      <c r="B379" t="s">
        <v>8652</v>
      </c>
    </row>
    <row r="380" spans="1:2" x14ac:dyDescent="0.4">
      <c r="A380" t="s">
        <v>1812</v>
      </c>
      <c r="B380" t="s">
        <v>9084</v>
      </c>
    </row>
    <row r="381" spans="1:2" x14ac:dyDescent="0.4">
      <c r="A381" t="s">
        <v>1815</v>
      </c>
      <c r="B381" t="s">
        <v>9084</v>
      </c>
    </row>
    <row r="382" spans="1:2" x14ac:dyDescent="0.4">
      <c r="A382" t="s">
        <v>1753</v>
      </c>
      <c r="B382" t="s">
        <v>9085</v>
      </c>
    </row>
    <row r="383" spans="1:2" x14ac:dyDescent="0.4">
      <c r="A383" t="s">
        <v>1758</v>
      </c>
      <c r="B383" t="s">
        <v>9085</v>
      </c>
    </row>
    <row r="384" spans="1:2" x14ac:dyDescent="0.4">
      <c r="A384" t="s">
        <v>1762</v>
      </c>
      <c r="B384" t="s">
        <v>9085</v>
      </c>
    </row>
    <row r="385" spans="1:2" x14ac:dyDescent="0.4">
      <c r="A385" t="s">
        <v>1765</v>
      </c>
      <c r="B385" t="s">
        <v>9085</v>
      </c>
    </row>
    <row r="386" spans="1:2" x14ac:dyDescent="0.4">
      <c r="A386" t="s">
        <v>1768</v>
      </c>
      <c r="B386" t="s">
        <v>8652</v>
      </c>
    </row>
    <row r="387" spans="1:2" x14ac:dyDescent="0.4">
      <c r="A387" t="s">
        <v>1771</v>
      </c>
      <c r="B387" t="s">
        <v>9085</v>
      </c>
    </row>
    <row r="388" spans="1:2" x14ac:dyDescent="0.4">
      <c r="A388" t="s">
        <v>1774</v>
      </c>
      <c r="B388" t="s">
        <v>8652</v>
      </c>
    </row>
    <row r="389" spans="1:2" x14ac:dyDescent="0.4">
      <c r="A389" t="s">
        <v>1777</v>
      </c>
      <c r="B389" t="s">
        <v>8652</v>
      </c>
    </row>
    <row r="390" spans="1:2" x14ac:dyDescent="0.4">
      <c r="A390" t="s">
        <v>1780</v>
      </c>
      <c r="B390" t="s">
        <v>8652</v>
      </c>
    </row>
    <row r="391" spans="1:2" x14ac:dyDescent="0.4">
      <c r="A391" t="s">
        <v>1783</v>
      </c>
      <c r="B391" t="s">
        <v>65</v>
      </c>
    </row>
    <row r="392" spans="1:2" x14ac:dyDescent="0.4">
      <c r="A392" t="s">
        <v>2266</v>
      </c>
      <c r="B392" t="s">
        <v>8652</v>
      </c>
    </row>
    <row r="393" spans="1:2" x14ac:dyDescent="0.4">
      <c r="A393" t="s">
        <v>2272</v>
      </c>
      <c r="B393" t="s">
        <v>8652</v>
      </c>
    </row>
    <row r="394" spans="1:2" x14ac:dyDescent="0.4">
      <c r="A394" t="s">
        <v>2275</v>
      </c>
      <c r="B394" t="s">
        <v>8652</v>
      </c>
    </row>
    <row r="395" spans="1:2" x14ac:dyDescent="0.4">
      <c r="A395" t="s">
        <v>2278</v>
      </c>
      <c r="B395" t="s">
        <v>8652</v>
      </c>
    </row>
    <row r="396" spans="1:2" x14ac:dyDescent="0.4">
      <c r="A396" t="s">
        <v>2281</v>
      </c>
      <c r="B396" t="s">
        <v>8652</v>
      </c>
    </row>
    <row r="397" spans="1:2" x14ac:dyDescent="0.4">
      <c r="A397" t="s">
        <v>2284</v>
      </c>
      <c r="B397" t="s">
        <v>9086</v>
      </c>
    </row>
    <row r="398" spans="1:2" x14ac:dyDescent="0.4">
      <c r="A398" t="s">
        <v>2287</v>
      </c>
      <c r="B398" t="s">
        <v>8652</v>
      </c>
    </row>
    <row r="399" spans="1:2" x14ac:dyDescent="0.4">
      <c r="A399" t="s">
        <v>2290</v>
      </c>
      <c r="B399" t="s">
        <v>9086</v>
      </c>
    </row>
    <row r="400" spans="1:2" x14ac:dyDescent="0.4">
      <c r="A400" t="s">
        <v>2293</v>
      </c>
      <c r="B400" t="s">
        <v>8652</v>
      </c>
    </row>
    <row r="401" spans="1:2" x14ac:dyDescent="0.4">
      <c r="A401" t="s">
        <v>1727</v>
      </c>
      <c r="B401" t="s">
        <v>1730</v>
      </c>
    </row>
    <row r="402" spans="1:2" x14ac:dyDescent="0.4">
      <c r="A402" t="s">
        <v>1734</v>
      </c>
      <c r="B402" t="s">
        <v>8652</v>
      </c>
    </row>
    <row r="403" spans="1:2" x14ac:dyDescent="0.4">
      <c r="A403" t="s">
        <v>1738</v>
      </c>
      <c r="B403" t="s">
        <v>1730</v>
      </c>
    </row>
    <row r="404" spans="1:2" x14ac:dyDescent="0.4">
      <c r="A404" t="s">
        <v>1741</v>
      </c>
      <c r="B404" t="s">
        <v>8652</v>
      </c>
    </row>
    <row r="405" spans="1:2" x14ac:dyDescent="0.4">
      <c r="A405" t="s">
        <v>1744</v>
      </c>
      <c r="B405" t="s">
        <v>1730</v>
      </c>
    </row>
    <row r="406" spans="1:2" x14ac:dyDescent="0.4">
      <c r="A406" t="s">
        <v>1747</v>
      </c>
      <c r="B406" t="s">
        <v>8652</v>
      </c>
    </row>
    <row r="407" spans="1:2" x14ac:dyDescent="0.4">
      <c r="A407" t="s">
        <v>1658</v>
      </c>
      <c r="B407" t="s">
        <v>8652</v>
      </c>
    </row>
    <row r="408" spans="1:2" x14ac:dyDescent="0.4">
      <c r="A408" t="s">
        <v>1652</v>
      </c>
      <c r="B408" t="s">
        <v>8652</v>
      </c>
    </row>
    <row r="409" spans="1:2" x14ac:dyDescent="0.4">
      <c r="A409" t="s">
        <v>1662</v>
      </c>
      <c r="B409" t="s">
        <v>8652</v>
      </c>
    </row>
    <row r="410" spans="1:2" x14ac:dyDescent="0.4">
      <c r="A410" t="s">
        <v>1665</v>
      </c>
      <c r="B410" t="s">
        <v>8652</v>
      </c>
    </row>
    <row r="411" spans="1:2" x14ac:dyDescent="0.4">
      <c r="A411" t="s">
        <v>1668</v>
      </c>
      <c r="B411" t="s">
        <v>8652</v>
      </c>
    </row>
    <row r="412" spans="1:2" x14ac:dyDescent="0.4">
      <c r="A412" t="s">
        <v>1671</v>
      </c>
      <c r="B412" t="s">
        <v>8652</v>
      </c>
    </row>
    <row r="413" spans="1:2" x14ac:dyDescent="0.4">
      <c r="A413" t="s">
        <v>1674</v>
      </c>
      <c r="B413" t="s">
        <v>8652</v>
      </c>
    </row>
    <row r="414" spans="1:2" x14ac:dyDescent="0.4">
      <c r="A414" t="s">
        <v>1677</v>
      </c>
      <c r="B414" t="s">
        <v>8652</v>
      </c>
    </row>
    <row r="415" spans="1:2" x14ac:dyDescent="0.4">
      <c r="A415" t="s">
        <v>1680</v>
      </c>
      <c r="B415" t="s">
        <v>8652</v>
      </c>
    </row>
    <row r="416" spans="1:2" x14ac:dyDescent="0.4">
      <c r="A416" t="s">
        <v>1750</v>
      </c>
      <c r="B416" t="s">
        <v>8652</v>
      </c>
    </row>
    <row r="417" spans="1:2" x14ac:dyDescent="0.4">
      <c r="A417" t="s">
        <v>894</v>
      </c>
      <c r="B417" t="s">
        <v>8652</v>
      </c>
    </row>
    <row r="418" spans="1:2" x14ac:dyDescent="0.4">
      <c r="A418" t="s">
        <v>900</v>
      </c>
      <c r="B418" t="s">
        <v>8652</v>
      </c>
    </row>
    <row r="419" spans="1:2" x14ac:dyDescent="0.4">
      <c r="A419" t="s">
        <v>903</v>
      </c>
      <c r="B419" t="s">
        <v>8652</v>
      </c>
    </row>
    <row r="420" spans="1:2" x14ac:dyDescent="0.4">
      <c r="A420" t="s">
        <v>906</v>
      </c>
      <c r="B420" t="s">
        <v>8652</v>
      </c>
    </row>
    <row r="421" spans="1:2" x14ac:dyDescent="0.4">
      <c r="A421" t="s">
        <v>909</v>
      </c>
      <c r="B421" t="s">
        <v>8652</v>
      </c>
    </row>
    <row r="422" spans="1:2" x14ac:dyDescent="0.4">
      <c r="A422" t="s">
        <v>912</v>
      </c>
      <c r="B422" t="s">
        <v>8652</v>
      </c>
    </row>
    <row r="423" spans="1:2" x14ac:dyDescent="0.4">
      <c r="A423" t="s">
        <v>915</v>
      </c>
      <c r="B423" t="s">
        <v>8652</v>
      </c>
    </row>
    <row r="424" spans="1:2" x14ac:dyDescent="0.4">
      <c r="A424" t="s">
        <v>918</v>
      </c>
      <c r="B424" t="s">
        <v>8652</v>
      </c>
    </row>
    <row r="425" spans="1:2" x14ac:dyDescent="0.4">
      <c r="A425" t="s">
        <v>934</v>
      </c>
      <c r="B425" t="s">
        <v>9087</v>
      </c>
    </row>
    <row r="426" spans="1:2" x14ac:dyDescent="0.4">
      <c r="A426" t="s">
        <v>938</v>
      </c>
      <c r="B426" t="s">
        <v>9087</v>
      </c>
    </row>
    <row r="427" spans="1:2" x14ac:dyDescent="0.4">
      <c r="A427" t="s">
        <v>941</v>
      </c>
      <c r="B427" t="s">
        <v>9087</v>
      </c>
    </row>
    <row r="428" spans="1:2" x14ac:dyDescent="0.4">
      <c r="A428" t="s">
        <v>944</v>
      </c>
      <c r="B428" t="s">
        <v>9087</v>
      </c>
    </row>
    <row r="429" spans="1:2" x14ac:dyDescent="0.4">
      <c r="A429" t="s">
        <v>947</v>
      </c>
      <c r="B429" t="s">
        <v>9087</v>
      </c>
    </row>
    <row r="430" spans="1:2" x14ac:dyDescent="0.4">
      <c r="A430" t="s">
        <v>921</v>
      </c>
      <c r="B430" t="s">
        <v>8652</v>
      </c>
    </row>
    <row r="431" spans="1:2" x14ac:dyDescent="0.4">
      <c r="A431" t="s">
        <v>925</v>
      </c>
      <c r="B431" t="s">
        <v>65</v>
      </c>
    </row>
    <row r="432" spans="1:2" x14ac:dyDescent="0.4">
      <c r="A432" t="s">
        <v>928</v>
      </c>
      <c r="B432" t="s">
        <v>8652</v>
      </c>
    </row>
    <row r="433" spans="1:2" x14ac:dyDescent="0.4">
      <c r="A433" t="s">
        <v>931</v>
      </c>
      <c r="B433" t="s">
        <v>8652</v>
      </c>
    </row>
    <row r="434" spans="1:2" x14ac:dyDescent="0.4">
      <c r="A434" t="s">
        <v>950</v>
      </c>
      <c r="B434" t="s">
        <v>9088</v>
      </c>
    </row>
    <row r="435" spans="1:2" x14ac:dyDescent="0.4">
      <c r="A435" t="s">
        <v>954</v>
      </c>
      <c r="B435" t="s">
        <v>8652</v>
      </c>
    </row>
    <row r="436" spans="1:2" x14ac:dyDescent="0.4">
      <c r="A436" t="s">
        <v>957</v>
      </c>
      <c r="B436" t="s">
        <v>8652</v>
      </c>
    </row>
    <row r="437" spans="1:2" x14ac:dyDescent="0.4">
      <c r="A437" t="s">
        <v>960</v>
      </c>
      <c r="B437" t="s">
        <v>9088</v>
      </c>
    </row>
    <row r="438" spans="1:2" x14ac:dyDescent="0.4">
      <c r="A438" t="s">
        <v>963</v>
      </c>
      <c r="B438" t="s">
        <v>8652</v>
      </c>
    </row>
    <row r="439" spans="1:2" x14ac:dyDescent="0.4">
      <c r="A439" t="s">
        <v>966</v>
      </c>
      <c r="B439" t="s">
        <v>8652</v>
      </c>
    </row>
    <row r="440" spans="1:2" x14ac:dyDescent="0.4">
      <c r="A440" t="s">
        <v>28</v>
      </c>
      <c r="B440" t="s">
        <v>8652</v>
      </c>
    </row>
    <row r="441" spans="1:2" x14ac:dyDescent="0.4">
      <c r="A441" t="s">
        <v>43</v>
      </c>
      <c r="B441" t="s">
        <v>9089</v>
      </c>
    </row>
    <row r="442" spans="1:2" x14ac:dyDescent="0.4">
      <c r="A442" t="s">
        <v>48</v>
      </c>
      <c r="B442" t="s">
        <v>8652</v>
      </c>
    </row>
    <row r="443" spans="1:2" x14ac:dyDescent="0.4">
      <c r="A443" t="s">
        <v>53</v>
      </c>
      <c r="B443" t="s">
        <v>9089</v>
      </c>
    </row>
    <row r="444" spans="1:2" x14ac:dyDescent="0.4">
      <c r="A444" t="s">
        <v>56</v>
      </c>
      <c r="B444" t="s">
        <v>8652</v>
      </c>
    </row>
    <row r="445" spans="1:2" x14ac:dyDescent="0.4">
      <c r="A445" t="s">
        <v>59</v>
      </c>
      <c r="B445" t="s">
        <v>32</v>
      </c>
    </row>
    <row r="446" spans="1:2" x14ac:dyDescent="0.4">
      <c r="A446" t="s">
        <v>62</v>
      </c>
      <c r="B446" t="s">
        <v>8652</v>
      </c>
    </row>
    <row r="447" spans="1:2" x14ac:dyDescent="0.4">
      <c r="A447" t="s">
        <v>67</v>
      </c>
      <c r="B447" t="s">
        <v>8652</v>
      </c>
    </row>
    <row r="448" spans="1:2" x14ac:dyDescent="0.4">
      <c r="A448" t="s">
        <v>70</v>
      </c>
      <c r="B448" t="s">
        <v>9089</v>
      </c>
    </row>
    <row r="449" spans="1:2" x14ac:dyDescent="0.4">
      <c r="A449" t="s">
        <v>73</v>
      </c>
      <c r="B449" t="s">
        <v>8652</v>
      </c>
    </row>
    <row r="450" spans="1:2" x14ac:dyDescent="0.4">
      <c r="A450" t="s">
        <v>76</v>
      </c>
      <c r="B450" t="s">
        <v>8652</v>
      </c>
    </row>
    <row r="451" spans="1:2" x14ac:dyDescent="0.4">
      <c r="A451" t="s">
        <v>79</v>
      </c>
      <c r="B451" t="s">
        <v>8652</v>
      </c>
    </row>
    <row r="452" spans="1:2" x14ac:dyDescent="0.4">
      <c r="A452" t="s">
        <v>82</v>
      </c>
      <c r="B452" t="s">
        <v>8652</v>
      </c>
    </row>
    <row r="453" spans="1:2" x14ac:dyDescent="0.4">
      <c r="A453" t="s">
        <v>87</v>
      </c>
      <c r="B453" t="s">
        <v>8652</v>
      </c>
    </row>
    <row r="454" spans="1:2" x14ac:dyDescent="0.4">
      <c r="A454" t="s">
        <v>90</v>
      </c>
      <c r="B454" t="s">
        <v>9089</v>
      </c>
    </row>
    <row r="455" spans="1:2" x14ac:dyDescent="0.4">
      <c r="A455" t="s">
        <v>93</v>
      </c>
      <c r="B455" t="s">
        <v>8652</v>
      </c>
    </row>
    <row r="456" spans="1:2" x14ac:dyDescent="0.4">
      <c r="A456" t="s">
        <v>96</v>
      </c>
      <c r="B456" t="s">
        <v>8652</v>
      </c>
    </row>
    <row r="457" spans="1:2" x14ac:dyDescent="0.4">
      <c r="A457" t="s">
        <v>99</v>
      </c>
      <c r="B457" t="s">
        <v>9089</v>
      </c>
    </row>
    <row r="458" spans="1:2" x14ac:dyDescent="0.4">
      <c r="A458" t="s">
        <v>102</v>
      </c>
      <c r="B458" t="s">
        <v>8652</v>
      </c>
    </row>
    <row r="459" spans="1:2" x14ac:dyDescent="0.4">
      <c r="A459" t="s">
        <v>105</v>
      </c>
      <c r="B459" t="s">
        <v>8652</v>
      </c>
    </row>
    <row r="460" spans="1:2" x14ac:dyDescent="0.4">
      <c r="A460" t="s">
        <v>108</v>
      </c>
      <c r="B460" t="s">
        <v>8652</v>
      </c>
    </row>
    <row r="461" spans="1:2" x14ac:dyDescent="0.4">
      <c r="A461" t="s">
        <v>2167</v>
      </c>
      <c r="B461" t="s">
        <v>9090</v>
      </c>
    </row>
    <row r="462" spans="1:2" x14ac:dyDescent="0.4">
      <c r="A462" t="s">
        <v>2173</v>
      </c>
      <c r="B462" t="s">
        <v>9090</v>
      </c>
    </row>
    <row r="463" spans="1:2" x14ac:dyDescent="0.4">
      <c r="A463" t="s">
        <v>2176</v>
      </c>
      <c r="B463" t="s">
        <v>9090</v>
      </c>
    </row>
    <row r="464" spans="1:2" x14ac:dyDescent="0.4">
      <c r="A464" t="s">
        <v>2179</v>
      </c>
      <c r="B464" t="s">
        <v>9090</v>
      </c>
    </row>
    <row r="465" spans="1:2" x14ac:dyDescent="0.4">
      <c r="A465" t="s">
        <v>2182</v>
      </c>
      <c r="B465" t="s">
        <v>240</v>
      </c>
    </row>
    <row r="466" spans="1:2" x14ac:dyDescent="0.4">
      <c r="A466" t="s">
        <v>2185</v>
      </c>
      <c r="B466" t="s">
        <v>8652</v>
      </c>
    </row>
    <row r="467" spans="1:2" x14ac:dyDescent="0.4">
      <c r="A467" t="s">
        <v>2188</v>
      </c>
      <c r="B467" t="s">
        <v>9090</v>
      </c>
    </row>
    <row r="468" spans="1:2" x14ac:dyDescent="0.4">
      <c r="A468" t="s">
        <v>2191</v>
      </c>
      <c r="B468" t="s">
        <v>8652</v>
      </c>
    </row>
    <row r="469" spans="1:2" x14ac:dyDescent="0.4">
      <c r="A469" t="s">
        <v>2232</v>
      </c>
      <c r="B469" t="s">
        <v>8652</v>
      </c>
    </row>
    <row r="470" spans="1:2" x14ac:dyDescent="0.4">
      <c r="A470" t="s">
        <v>2236</v>
      </c>
      <c r="B470" t="s">
        <v>9091</v>
      </c>
    </row>
    <row r="471" spans="1:2" x14ac:dyDescent="0.4">
      <c r="A471" t="s">
        <v>2239</v>
      </c>
      <c r="B471" t="s">
        <v>2227</v>
      </c>
    </row>
    <row r="472" spans="1:2" x14ac:dyDescent="0.4">
      <c r="A472" t="s">
        <v>2242</v>
      </c>
      <c r="B472" t="s">
        <v>9091</v>
      </c>
    </row>
    <row r="473" spans="1:2" x14ac:dyDescent="0.4">
      <c r="A473" t="s">
        <v>2245</v>
      </c>
      <c r="B473" t="s">
        <v>2227</v>
      </c>
    </row>
    <row r="474" spans="1:2" x14ac:dyDescent="0.4">
      <c r="A474" t="s">
        <v>2248</v>
      </c>
      <c r="B474" t="s">
        <v>9091</v>
      </c>
    </row>
    <row r="475" spans="1:2" x14ac:dyDescent="0.4">
      <c r="A475" t="s">
        <v>2251</v>
      </c>
      <c r="B475" t="s">
        <v>9091</v>
      </c>
    </row>
    <row r="476" spans="1:2" x14ac:dyDescent="0.4">
      <c r="A476" t="s">
        <v>2254</v>
      </c>
      <c r="B476" t="s">
        <v>8652</v>
      </c>
    </row>
    <row r="477" spans="1:2" x14ac:dyDescent="0.4">
      <c r="A477" t="s">
        <v>2257</v>
      </c>
      <c r="B477" t="s">
        <v>2227</v>
      </c>
    </row>
    <row r="478" spans="1:2" x14ac:dyDescent="0.4">
      <c r="A478" t="s">
        <v>2260</v>
      </c>
      <c r="B478" t="s">
        <v>2227</v>
      </c>
    </row>
    <row r="479" spans="1:2" x14ac:dyDescent="0.4">
      <c r="A479" t="s">
        <v>2263</v>
      </c>
      <c r="B479" t="s">
        <v>9091</v>
      </c>
    </row>
    <row r="480" spans="1:2" x14ac:dyDescent="0.4">
      <c r="A480" t="s">
        <v>2194</v>
      </c>
      <c r="B480" t="s">
        <v>8652</v>
      </c>
    </row>
    <row r="481" spans="1:2" x14ac:dyDescent="0.4">
      <c r="A481" t="s">
        <v>2200</v>
      </c>
      <c r="B481" t="s">
        <v>8652</v>
      </c>
    </row>
    <row r="482" spans="1:2" x14ac:dyDescent="0.4">
      <c r="A482" t="s">
        <v>2203</v>
      </c>
      <c r="B482" t="s">
        <v>9092</v>
      </c>
    </row>
    <row r="483" spans="1:2" x14ac:dyDescent="0.4">
      <c r="A483" t="s">
        <v>2206</v>
      </c>
      <c r="B483" t="s">
        <v>8652</v>
      </c>
    </row>
    <row r="484" spans="1:2" x14ac:dyDescent="0.4">
      <c r="A484" t="s">
        <v>2209</v>
      </c>
      <c r="B484" t="s">
        <v>51</v>
      </c>
    </row>
    <row r="485" spans="1:2" x14ac:dyDescent="0.4">
      <c r="A485" t="s">
        <v>2212</v>
      </c>
      <c r="B485" t="s">
        <v>9092</v>
      </c>
    </row>
    <row r="486" spans="1:2" x14ac:dyDescent="0.4">
      <c r="A486" t="s">
        <v>2215</v>
      </c>
      <c r="B486" t="s">
        <v>8652</v>
      </c>
    </row>
    <row r="487" spans="1:2" x14ac:dyDescent="0.4">
      <c r="A487" t="s">
        <v>2218</v>
      </c>
      <c r="B487" t="s">
        <v>9092</v>
      </c>
    </row>
    <row r="488" spans="1:2" x14ac:dyDescent="0.4">
      <c r="A488" t="s">
        <v>2221</v>
      </c>
      <c r="B488" t="s">
        <v>9092</v>
      </c>
    </row>
    <row r="489" spans="1:2" x14ac:dyDescent="0.4">
      <c r="A489" t="s">
        <v>2224</v>
      </c>
      <c r="B489" t="s">
        <v>2227</v>
      </c>
    </row>
    <row r="490" spans="1:2" x14ac:dyDescent="0.4">
      <c r="A490" t="s">
        <v>2229</v>
      </c>
      <c r="B490" t="s">
        <v>9092</v>
      </c>
    </row>
    <row r="491" spans="1:2" x14ac:dyDescent="0.4">
      <c r="A491" t="s">
        <v>348</v>
      </c>
      <c r="B491" t="s">
        <v>8652</v>
      </c>
    </row>
    <row r="492" spans="1:2" x14ac:dyDescent="0.4">
      <c r="A492" t="s">
        <v>353</v>
      </c>
      <c r="B492" t="s">
        <v>9093</v>
      </c>
    </row>
    <row r="493" spans="1:2" x14ac:dyDescent="0.4">
      <c r="A493" t="s">
        <v>357</v>
      </c>
      <c r="B493" t="s">
        <v>8652</v>
      </c>
    </row>
    <row r="494" spans="1:2" x14ac:dyDescent="0.4">
      <c r="A494" t="s">
        <v>360</v>
      </c>
      <c r="B494" t="s">
        <v>9093</v>
      </c>
    </row>
    <row r="495" spans="1:2" x14ac:dyDescent="0.4">
      <c r="A495" t="s">
        <v>363</v>
      </c>
      <c r="B495" t="s">
        <v>8652</v>
      </c>
    </row>
    <row r="496" spans="1:2" x14ac:dyDescent="0.4">
      <c r="A496" t="s">
        <v>366</v>
      </c>
      <c r="B496" t="s">
        <v>144</v>
      </c>
    </row>
    <row r="497" spans="1:2" x14ac:dyDescent="0.4">
      <c r="A497" t="s">
        <v>369</v>
      </c>
      <c r="B497" t="s">
        <v>8652</v>
      </c>
    </row>
    <row r="498" spans="1:2" x14ac:dyDescent="0.4">
      <c r="A498" t="s">
        <v>372</v>
      </c>
      <c r="B498" t="s">
        <v>8652</v>
      </c>
    </row>
    <row r="499" spans="1:2" x14ac:dyDescent="0.4">
      <c r="A499" t="s">
        <v>375</v>
      </c>
      <c r="B499" t="s">
        <v>9093</v>
      </c>
    </row>
    <row r="500" spans="1:2" x14ac:dyDescent="0.4">
      <c r="A500" t="s">
        <v>378</v>
      </c>
      <c r="B500" t="s">
        <v>8652</v>
      </c>
    </row>
    <row r="501" spans="1:2" x14ac:dyDescent="0.4">
      <c r="A501" t="s">
        <v>381</v>
      </c>
      <c r="B501" t="s">
        <v>9093</v>
      </c>
    </row>
    <row r="502" spans="1:2" x14ac:dyDescent="0.4">
      <c r="A502" t="s">
        <v>384</v>
      </c>
      <c r="B502" t="s">
        <v>8652</v>
      </c>
    </row>
    <row r="503" spans="1:2" x14ac:dyDescent="0.4">
      <c r="A503" t="s">
        <v>387</v>
      </c>
      <c r="B503" t="s">
        <v>8652</v>
      </c>
    </row>
    <row r="504" spans="1:2" x14ac:dyDescent="0.4">
      <c r="A504" t="s">
        <v>390</v>
      </c>
      <c r="B504" t="s">
        <v>9093</v>
      </c>
    </row>
    <row r="505" spans="1:2" x14ac:dyDescent="0.4">
      <c r="A505" t="s">
        <v>393</v>
      </c>
      <c r="B505" t="s">
        <v>8652</v>
      </c>
    </row>
    <row r="506" spans="1:2" x14ac:dyDescent="0.4">
      <c r="A506" t="s">
        <v>448</v>
      </c>
      <c r="B506" t="s">
        <v>8652</v>
      </c>
    </row>
    <row r="507" spans="1:2" x14ac:dyDescent="0.4">
      <c r="A507" t="s">
        <v>453</v>
      </c>
      <c r="B507" t="s">
        <v>144</v>
      </c>
    </row>
    <row r="508" spans="1:2" x14ac:dyDescent="0.4">
      <c r="A508" t="s">
        <v>456</v>
      </c>
      <c r="B508" t="s">
        <v>8652</v>
      </c>
    </row>
    <row r="509" spans="1:2" x14ac:dyDescent="0.4">
      <c r="A509" t="s">
        <v>459</v>
      </c>
      <c r="B509" t="s">
        <v>8652</v>
      </c>
    </row>
    <row r="510" spans="1:2" x14ac:dyDescent="0.4">
      <c r="A510" t="s">
        <v>462</v>
      </c>
      <c r="B510" t="s">
        <v>8652</v>
      </c>
    </row>
    <row r="511" spans="1:2" x14ac:dyDescent="0.4">
      <c r="A511" t="s">
        <v>465</v>
      </c>
      <c r="B511" t="s">
        <v>8652</v>
      </c>
    </row>
    <row r="512" spans="1:2" x14ac:dyDescent="0.4">
      <c r="A512" t="s">
        <v>468</v>
      </c>
      <c r="B512" t="s">
        <v>8652</v>
      </c>
    </row>
    <row r="513" spans="1:2" x14ac:dyDescent="0.4">
      <c r="A513" t="s">
        <v>471</v>
      </c>
      <c r="B513" t="s">
        <v>8652</v>
      </c>
    </row>
    <row r="514" spans="1:2" x14ac:dyDescent="0.4">
      <c r="A514" t="s">
        <v>474</v>
      </c>
      <c r="B514" t="s">
        <v>8652</v>
      </c>
    </row>
    <row r="515" spans="1:2" x14ac:dyDescent="0.4">
      <c r="A515" t="s">
        <v>477</v>
      </c>
      <c r="B515" t="s">
        <v>8652</v>
      </c>
    </row>
    <row r="516" spans="1:2" x14ac:dyDescent="0.4">
      <c r="A516" t="s">
        <v>480</v>
      </c>
      <c r="B516" t="s">
        <v>85</v>
      </c>
    </row>
    <row r="517" spans="1:2" x14ac:dyDescent="0.4">
      <c r="A517" t="s">
        <v>485</v>
      </c>
      <c r="B517" t="s">
        <v>9094</v>
      </c>
    </row>
    <row r="518" spans="1:2" x14ac:dyDescent="0.4">
      <c r="A518" t="s">
        <v>488</v>
      </c>
      <c r="B518" t="s">
        <v>9094</v>
      </c>
    </row>
    <row r="519" spans="1:2" x14ac:dyDescent="0.4">
      <c r="A519" t="s">
        <v>491</v>
      </c>
      <c r="B519" t="s">
        <v>9094</v>
      </c>
    </row>
    <row r="520" spans="1:2" x14ac:dyDescent="0.4">
      <c r="A520" t="s">
        <v>494</v>
      </c>
      <c r="B520" t="s">
        <v>8652</v>
      </c>
    </row>
    <row r="521" spans="1:2" x14ac:dyDescent="0.4">
      <c r="A521" t="s">
        <v>497</v>
      </c>
      <c r="B521" t="s">
        <v>8652</v>
      </c>
    </row>
    <row r="522" spans="1:2" x14ac:dyDescent="0.4">
      <c r="A522" t="s">
        <v>500</v>
      </c>
      <c r="B522" t="s">
        <v>8652</v>
      </c>
    </row>
    <row r="523" spans="1:2" x14ac:dyDescent="0.4">
      <c r="A523" t="s">
        <v>503</v>
      </c>
      <c r="B523" t="s">
        <v>144</v>
      </c>
    </row>
    <row r="524" spans="1:2" x14ac:dyDescent="0.4">
      <c r="A524" t="s">
        <v>506</v>
      </c>
      <c r="B524" t="s">
        <v>8652</v>
      </c>
    </row>
    <row r="525" spans="1:2" x14ac:dyDescent="0.4">
      <c r="A525" t="s">
        <v>509</v>
      </c>
      <c r="B525" t="s">
        <v>8652</v>
      </c>
    </row>
    <row r="526" spans="1:2" x14ac:dyDescent="0.4">
      <c r="A526" t="s">
        <v>512</v>
      </c>
      <c r="B526" t="s">
        <v>85</v>
      </c>
    </row>
    <row r="527" spans="1:2" x14ac:dyDescent="0.4">
      <c r="A527" t="s">
        <v>515</v>
      </c>
      <c r="B527" t="s">
        <v>8652</v>
      </c>
    </row>
    <row r="528" spans="1:2" x14ac:dyDescent="0.4">
      <c r="A528" t="s">
        <v>518</v>
      </c>
      <c r="B528" t="s">
        <v>8652</v>
      </c>
    </row>
    <row r="529" spans="1:2" x14ac:dyDescent="0.4">
      <c r="A529" t="s">
        <v>521</v>
      </c>
      <c r="B529" t="s">
        <v>8652</v>
      </c>
    </row>
    <row r="530" spans="1:2" x14ac:dyDescent="0.4">
      <c r="A530" t="s">
        <v>396</v>
      </c>
      <c r="B530" t="s">
        <v>9095</v>
      </c>
    </row>
    <row r="531" spans="1:2" x14ac:dyDescent="0.4">
      <c r="A531" t="s">
        <v>403</v>
      </c>
      <c r="B531" t="s">
        <v>9095</v>
      </c>
    </row>
    <row r="532" spans="1:2" x14ac:dyDescent="0.4">
      <c r="A532" t="s">
        <v>426</v>
      </c>
      <c r="B532" t="s">
        <v>9096</v>
      </c>
    </row>
    <row r="533" spans="1:2" x14ac:dyDescent="0.4">
      <c r="A533" t="s">
        <v>430</v>
      </c>
      <c r="B533" t="s">
        <v>9096</v>
      </c>
    </row>
    <row r="534" spans="1:2" x14ac:dyDescent="0.4">
      <c r="A534" t="s">
        <v>433</v>
      </c>
      <c r="B534" t="s">
        <v>8652</v>
      </c>
    </row>
    <row r="535" spans="1:2" x14ac:dyDescent="0.4">
      <c r="A535" t="s">
        <v>436</v>
      </c>
      <c r="B535" t="s">
        <v>8652</v>
      </c>
    </row>
    <row r="536" spans="1:2" x14ac:dyDescent="0.4">
      <c r="A536" t="s">
        <v>439</v>
      </c>
      <c r="B536" t="s">
        <v>8652</v>
      </c>
    </row>
    <row r="537" spans="1:2" x14ac:dyDescent="0.4">
      <c r="A537" t="s">
        <v>442</v>
      </c>
      <c r="B537" t="s">
        <v>8652</v>
      </c>
    </row>
    <row r="538" spans="1:2" x14ac:dyDescent="0.4">
      <c r="A538" t="s">
        <v>445</v>
      </c>
      <c r="B538" t="s">
        <v>8652</v>
      </c>
    </row>
    <row r="539" spans="1:2" x14ac:dyDescent="0.4">
      <c r="A539" t="s">
        <v>406</v>
      </c>
      <c r="B539" t="s">
        <v>8652</v>
      </c>
    </row>
    <row r="540" spans="1:2" x14ac:dyDescent="0.4">
      <c r="A540" t="s">
        <v>410</v>
      </c>
      <c r="B540" t="s">
        <v>8652</v>
      </c>
    </row>
    <row r="541" spans="1:2" x14ac:dyDescent="0.4">
      <c r="A541" t="s">
        <v>413</v>
      </c>
      <c r="B541" t="s">
        <v>8652</v>
      </c>
    </row>
    <row r="542" spans="1:2" x14ac:dyDescent="0.4">
      <c r="A542" t="s">
        <v>416</v>
      </c>
      <c r="B542" t="s">
        <v>8652</v>
      </c>
    </row>
    <row r="543" spans="1:2" x14ac:dyDescent="0.4">
      <c r="A543" t="s">
        <v>419</v>
      </c>
      <c r="B543" t="s">
        <v>8652</v>
      </c>
    </row>
    <row r="544" spans="1:2" x14ac:dyDescent="0.4">
      <c r="A544" t="s">
        <v>422</v>
      </c>
      <c r="B544" t="s">
        <v>8652</v>
      </c>
    </row>
    <row r="545" spans="1:2" x14ac:dyDescent="0.4">
      <c r="A545" t="s">
        <v>1867</v>
      </c>
      <c r="B545" t="s">
        <v>8652</v>
      </c>
    </row>
    <row r="546" spans="1:2" x14ac:dyDescent="0.4">
      <c r="A546" t="s">
        <v>1872</v>
      </c>
      <c r="B546" t="s">
        <v>8652</v>
      </c>
    </row>
    <row r="547" spans="1:2" x14ac:dyDescent="0.4">
      <c r="A547" t="s">
        <v>1875</v>
      </c>
      <c r="B547" t="s">
        <v>8652</v>
      </c>
    </row>
    <row r="548" spans="1:2" x14ac:dyDescent="0.4">
      <c r="A548" t="s">
        <v>1878</v>
      </c>
      <c r="B548" t="s">
        <v>8652</v>
      </c>
    </row>
    <row r="549" spans="1:2" x14ac:dyDescent="0.4">
      <c r="A549" t="s">
        <v>1881</v>
      </c>
      <c r="B549" t="s">
        <v>8652</v>
      </c>
    </row>
    <row r="550" spans="1:2" x14ac:dyDescent="0.4">
      <c r="A550" t="s">
        <v>1884</v>
      </c>
      <c r="B550" t="s">
        <v>1730</v>
      </c>
    </row>
    <row r="551" spans="1:2" x14ac:dyDescent="0.4">
      <c r="A551" t="s">
        <v>1887</v>
      </c>
      <c r="B551" t="s">
        <v>1730</v>
      </c>
    </row>
    <row r="552" spans="1:2" x14ac:dyDescent="0.4">
      <c r="A552" t="s">
        <v>201</v>
      </c>
      <c r="B552" t="s">
        <v>9097</v>
      </c>
    </row>
    <row r="553" spans="1:2" x14ac:dyDescent="0.4">
      <c r="A553" t="s">
        <v>209</v>
      </c>
      <c r="B553" t="s">
        <v>9097</v>
      </c>
    </row>
    <row r="554" spans="1:2" x14ac:dyDescent="0.4">
      <c r="A554" t="s">
        <v>212</v>
      </c>
      <c r="B554" t="s">
        <v>9097</v>
      </c>
    </row>
    <row r="555" spans="1:2" x14ac:dyDescent="0.4">
      <c r="A555" t="s">
        <v>215</v>
      </c>
      <c r="B555" t="s">
        <v>8652</v>
      </c>
    </row>
    <row r="556" spans="1:2" x14ac:dyDescent="0.4">
      <c r="A556" t="s">
        <v>218</v>
      </c>
      <c r="B556" t="s">
        <v>8652</v>
      </c>
    </row>
    <row r="557" spans="1:2" x14ac:dyDescent="0.4">
      <c r="A557" t="s">
        <v>221</v>
      </c>
      <c r="B557" t="s">
        <v>9097</v>
      </c>
    </row>
    <row r="558" spans="1:2" x14ac:dyDescent="0.4">
      <c r="A558" t="s">
        <v>224</v>
      </c>
      <c r="B558" t="s">
        <v>9097</v>
      </c>
    </row>
    <row r="559" spans="1:2" x14ac:dyDescent="0.4">
      <c r="A559" t="s">
        <v>227</v>
      </c>
      <c r="B559" t="s">
        <v>8652</v>
      </c>
    </row>
    <row r="560" spans="1:2" x14ac:dyDescent="0.4">
      <c r="A560" t="s">
        <v>230</v>
      </c>
      <c r="B560" t="s">
        <v>8652</v>
      </c>
    </row>
    <row r="561" spans="1:2" x14ac:dyDescent="0.4">
      <c r="A561" t="s">
        <v>233</v>
      </c>
      <c r="B561" t="s">
        <v>8652</v>
      </c>
    </row>
    <row r="562" spans="1:2" x14ac:dyDescent="0.4">
      <c r="A562" t="s">
        <v>1257</v>
      </c>
      <c r="B562" t="s">
        <v>9098</v>
      </c>
    </row>
    <row r="563" spans="1:2" x14ac:dyDescent="0.4">
      <c r="A563" t="s">
        <v>1264</v>
      </c>
      <c r="B563" t="s">
        <v>9098</v>
      </c>
    </row>
    <row r="564" spans="1:2" x14ac:dyDescent="0.4">
      <c r="A564" t="s">
        <v>1267</v>
      </c>
      <c r="B564" t="s">
        <v>9098</v>
      </c>
    </row>
    <row r="565" spans="1:2" x14ac:dyDescent="0.4">
      <c r="A565" t="s">
        <v>1270</v>
      </c>
      <c r="B565" t="s">
        <v>9098</v>
      </c>
    </row>
    <row r="566" spans="1:2" x14ac:dyDescent="0.4">
      <c r="A566" t="s">
        <v>1273</v>
      </c>
      <c r="B566" t="s">
        <v>9098</v>
      </c>
    </row>
    <row r="567" spans="1:2" x14ac:dyDescent="0.4">
      <c r="A567" t="s">
        <v>1288</v>
      </c>
      <c r="B567" t="s">
        <v>8652</v>
      </c>
    </row>
    <row r="568" spans="1:2" x14ac:dyDescent="0.4">
      <c r="A568" t="s">
        <v>1276</v>
      </c>
      <c r="B568" t="s">
        <v>8652</v>
      </c>
    </row>
    <row r="569" spans="1:2" x14ac:dyDescent="0.4">
      <c r="A569" t="s">
        <v>1279</v>
      </c>
      <c r="B569" t="s">
        <v>8652</v>
      </c>
    </row>
    <row r="570" spans="1:2" x14ac:dyDescent="0.4">
      <c r="A570" t="s">
        <v>1282</v>
      </c>
      <c r="B570" t="s">
        <v>8652</v>
      </c>
    </row>
    <row r="571" spans="1:2" x14ac:dyDescent="0.4">
      <c r="A571" t="s">
        <v>1285</v>
      </c>
      <c r="B571" t="s">
        <v>8652</v>
      </c>
    </row>
    <row r="572" spans="1:2" x14ac:dyDescent="0.4">
      <c r="A572" t="s">
        <v>969</v>
      </c>
      <c r="B572" t="s">
        <v>9099</v>
      </c>
    </row>
    <row r="573" spans="1:2" x14ac:dyDescent="0.4">
      <c r="A573" t="s">
        <v>977</v>
      </c>
      <c r="B573" t="s">
        <v>9099</v>
      </c>
    </row>
    <row r="574" spans="1:2" x14ac:dyDescent="0.4">
      <c r="A574" t="s">
        <v>980</v>
      </c>
      <c r="B574" t="s">
        <v>9099</v>
      </c>
    </row>
    <row r="575" spans="1:2" x14ac:dyDescent="0.4">
      <c r="A575" t="s">
        <v>984</v>
      </c>
      <c r="B575" t="s">
        <v>9099</v>
      </c>
    </row>
    <row r="576" spans="1:2" x14ac:dyDescent="0.4">
      <c r="A576" t="s">
        <v>987</v>
      </c>
      <c r="B576" t="s">
        <v>9099</v>
      </c>
    </row>
    <row r="577" spans="1:2" x14ac:dyDescent="0.4">
      <c r="A577" t="s">
        <v>990</v>
      </c>
      <c r="B577" t="s">
        <v>9099</v>
      </c>
    </row>
    <row r="578" spans="1:2" x14ac:dyDescent="0.4">
      <c r="A578" t="s">
        <v>993</v>
      </c>
      <c r="B578" t="s">
        <v>9099</v>
      </c>
    </row>
    <row r="579" spans="1:2" x14ac:dyDescent="0.4">
      <c r="A579" t="s">
        <v>996</v>
      </c>
      <c r="B579" t="s">
        <v>9099</v>
      </c>
    </row>
    <row r="580" spans="1:2" x14ac:dyDescent="0.4">
      <c r="A580" t="s">
        <v>999</v>
      </c>
      <c r="B580" t="s">
        <v>9099</v>
      </c>
    </row>
    <row r="581" spans="1:2" x14ac:dyDescent="0.4">
      <c r="A581" t="s">
        <v>1002</v>
      </c>
      <c r="B581" t="s">
        <v>9099</v>
      </c>
    </row>
    <row r="582" spans="1:2" x14ac:dyDescent="0.4">
      <c r="A582" t="s">
        <v>1005</v>
      </c>
      <c r="B582" t="s">
        <v>9100</v>
      </c>
    </row>
    <row r="583" spans="1:2" x14ac:dyDescent="0.4">
      <c r="A583" t="s">
        <v>1010</v>
      </c>
      <c r="B583" t="s">
        <v>9100</v>
      </c>
    </row>
    <row r="584" spans="1:2" x14ac:dyDescent="0.4">
      <c r="A584" t="s">
        <v>1013</v>
      </c>
      <c r="B584" t="s">
        <v>9100</v>
      </c>
    </row>
    <row r="585" spans="1:2" x14ac:dyDescent="0.4">
      <c r="A585" t="s">
        <v>1016</v>
      </c>
      <c r="B585" t="s">
        <v>9100</v>
      </c>
    </row>
    <row r="586" spans="1:2" x14ac:dyDescent="0.4">
      <c r="A586" t="s">
        <v>1020</v>
      </c>
      <c r="B586" t="s">
        <v>9100</v>
      </c>
    </row>
    <row r="587" spans="1:2" x14ac:dyDescent="0.4">
      <c r="A587" t="s">
        <v>1025</v>
      </c>
      <c r="B587" t="s">
        <v>9100</v>
      </c>
    </row>
    <row r="588" spans="1:2" x14ac:dyDescent="0.4">
      <c r="A588" t="s">
        <v>1028</v>
      </c>
      <c r="B588" t="s">
        <v>9100</v>
      </c>
    </row>
    <row r="589" spans="1:2" x14ac:dyDescent="0.4">
      <c r="A589" t="s">
        <v>1031</v>
      </c>
      <c r="B589" t="s">
        <v>9100</v>
      </c>
    </row>
    <row r="590" spans="1:2" x14ac:dyDescent="0.4">
      <c r="A590" t="s">
        <v>1035</v>
      </c>
      <c r="B590" t="s">
        <v>9100</v>
      </c>
    </row>
    <row r="591" spans="1:2" x14ac:dyDescent="0.4">
      <c r="A591" t="s">
        <v>1038</v>
      </c>
      <c r="B591" t="s">
        <v>9100</v>
      </c>
    </row>
    <row r="592" spans="1:2" x14ac:dyDescent="0.4">
      <c r="A592" t="s">
        <v>1041</v>
      </c>
      <c r="B592" t="s">
        <v>9101</v>
      </c>
    </row>
    <row r="593" spans="1:2" x14ac:dyDescent="0.4">
      <c r="A593" t="s">
        <v>1046</v>
      </c>
      <c r="B593" t="s">
        <v>9101</v>
      </c>
    </row>
    <row r="594" spans="1:2" x14ac:dyDescent="0.4">
      <c r="A594" t="s">
        <v>1050</v>
      </c>
      <c r="B594" t="s">
        <v>9101</v>
      </c>
    </row>
    <row r="595" spans="1:2" x14ac:dyDescent="0.4">
      <c r="A595" t="s">
        <v>1055</v>
      </c>
      <c r="B595" t="s">
        <v>9101</v>
      </c>
    </row>
    <row r="596" spans="1:2" x14ac:dyDescent="0.4">
      <c r="A596" t="s">
        <v>1059</v>
      </c>
      <c r="B596" t="s">
        <v>9101</v>
      </c>
    </row>
    <row r="597" spans="1:2" x14ac:dyDescent="0.4">
      <c r="A597" t="s">
        <v>1062</v>
      </c>
      <c r="B597" t="s">
        <v>9101</v>
      </c>
    </row>
    <row r="598" spans="1:2" x14ac:dyDescent="0.4">
      <c r="A598" t="s">
        <v>1065</v>
      </c>
      <c r="B598" t="s">
        <v>9101</v>
      </c>
    </row>
    <row r="599" spans="1:2" x14ac:dyDescent="0.4">
      <c r="A599" t="s">
        <v>1068</v>
      </c>
      <c r="B599" t="s">
        <v>9101</v>
      </c>
    </row>
    <row r="600" spans="1:2" x14ac:dyDescent="0.4">
      <c r="A600" t="s">
        <v>1071</v>
      </c>
      <c r="B600" t="s">
        <v>9101</v>
      </c>
    </row>
    <row r="601" spans="1:2" x14ac:dyDescent="0.4">
      <c r="A601" t="s">
        <v>1074</v>
      </c>
      <c r="B601" t="s">
        <v>9101</v>
      </c>
    </row>
    <row r="602" spans="1:2" x14ac:dyDescent="0.4">
      <c r="A602" t="s">
        <v>2377</v>
      </c>
      <c r="B602" t="s">
        <v>9102</v>
      </c>
    </row>
    <row r="603" spans="1:2" x14ac:dyDescent="0.4">
      <c r="A603" t="s">
        <v>2383</v>
      </c>
      <c r="B603" t="s">
        <v>9102</v>
      </c>
    </row>
    <row r="604" spans="1:2" x14ac:dyDescent="0.4">
      <c r="A604" t="s">
        <v>2387</v>
      </c>
      <c r="B604" t="s">
        <v>9102</v>
      </c>
    </row>
    <row r="605" spans="1:2" x14ac:dyDescent="0.4">
      <c r="A605" t="s">
        <v>2391</v>
      </c>
      <c r="B605" t="s">
        <v>9102</v>
      </c>
    </row>
    <row r="606" spans="1:2" x14ac:dyDescent="0.4">
      <c r="A606" t="s">
        <v>2394</v>
      </c>
      <c r="B606" t="s">
        <v>9102</v>
      </c>
    </row>
    <row r="607" spans="1:2" x14ac:dyDescent="0.4">
      <c r="A607" t="s">
        <v>2398</v>
      </c>
      <c r="B607" t="s">
        <v>9102</v>
      </c>
    </row>
    <row r="608" spans="1:2" x14ac:dyDescent="0.4">
      <c r="A608" t="s">
        <v>2045</v>
      </c>
      <c r="B608" t="s">
        <v>9103</v>
      </c>
    </row>
    <row r="609" spans="1:2" x14ac:dyDescent="0.4">
      <c r="A609" t="s">
        <v>2052</v>
      </c>
      <c r="B609" t="s">
        <v>9103</v>
      </c>
    </row>
    <row r="610" spans="1:2" x14ac:dyDescent="0.4">
      <c r="A610" t="s">
        <v>2056</v>
      </c>
      <c r="B610" t="s">
        <v>9103</v>
      </c>
    </row>
    <row r="611" spans="1:2" x14ac:dyDescent="0.4">
      <c r="A611" t="s">
        <v>2059</v>
      </c>
      <c r="B611" t="s">
        <v>9103</v>
      </c>
    </row>
    <row r="612" spans="1:2" x14ac:dyDescent="0.4">
      <c r="A612" t="s">
        <v>2062</v>
      </c>
      <c r="B612" t="s">
        <v>9103</v>
      </c>
    </row>
    <row r="613" spans="1:2" x14ac:dyDescent="0.4">
      <c r="A613" t="s">
        <v>2065</v>
      </c>
      <c r="B613" t="s">
        <v>9103</v>
      </c>
    </row>
    <row r="614" spans="1:2" x14ac:dyDescent="0.4">
      <c r="A614" t="s">
        <v>2068</v>
      </c>
      <c r="B614" t="s">
        <v>9103</v>
      </c>
    </row>
    <row r="615" spans="1:2" x14ac:dyDescent="0.4">
      <c r="A615" t="s">
        <v>2071</v>
      </c>
      <c r="B615" t="s">
        <v>9103</v>
      </c>
    </row>
    <row r="616" spans="1:2" x14ac:dyDescent="0.4">
      <c r="A616" t="s">
        <v>2074</v>
      </c>
      <c r="B616" t="s">
        <v>9103</v>
      </c>
    </row>
    <row r="617" spans="1:2" x14ac:dyDescent="0.4">
      <c r="A617" t="s">
        <v>2077</v>
      </c>
      <c r="B617" t="s">
        <v>9103</v>
      </c>
    </row>
    <row r="618" spans="1:2" x14ac:dyDescent="0.4">
      <c r="A618" t="s">
        <v>1629</v>
      </c>
      <c r="B618" t="s">
        <v>9104</v>
      </c>
    </row>
    <row r="619" spans="1:2" x14ac:dyDescent="0.4">
      <c r="A619" t="s">
        <v>1635</v>
      </c>
      <c r="B619" t="s">
        <v>9104</v>
      </c>
    </row>
    <row r="620" spans="1:2" x14ac:dyDescent="0.4">
      <c r="A620" t="s">
        <v>1639</v>
      </c>
      <c r="B620" t="s">
        <v>9104</v>
      </c>
    </row>
    <row r="621" spans="1:2" x14ac:dyDescent="0.4">
      <c r="A621" t="s">
        <v>1642</v>
      </c>
      <c r="B621" t="s">
        <v>9104</v>
      </c>
    </row>
    <row r="622" spans="1:2" x14ac:dyDescent="0.4">
      <c r="A622" t="s">
        <v>1646</v>
      </c>
      <c r="B622" t="s">
        <v>9104</v>
      </c>
    </row>
    <row r="623" spans="1:2" x14ac:dyDescent="0.4">
      <c r="A623" t="s">
        <v>1649</v>
      </c>
      <c r="B623" t="s">
        <v>9104</v>
      </c>
    </row>
    <row r="624" spans="1:2" x14ac:dyDescent="0.4">
      <c r="A624" t="s">
        <v>524</v>
      </c>
      <c r="B624" t="s">
        <v>9105</v>
      </c>
    </row>
    <row r="625" spans="1:2" x14ac:dyDescent="0.4">
      <c r="A625" t="s">
        <v>530</v>
      </c>
      <c r="B625" t="s">
        <v>9105</v>
      </c>
    </row>
    <row r="626" spans="1:2" x14ac:dyDescent="0.4">
      <c r="A626" t="s">
        <v>533</v>
      </c>
      <c r="B626" t="s">
        <v>9105</v>
      </c>
    </row>
    <row r="627" spans="1:2" x14ac:dyDescent="0.4">
      <c r="A627" t="s">
        <v>536</v>
      </c>
      <c r="B627" t="s">
        <v>9105</v>
      </c>
    </row>
    <row r="628" spans="1:2" x14ac:dyDescent="0.4">
      <c r="A628" t="s">
        <v>539</v>
      </c>
      <c r="B628" t="s">
        <v>9105</v>
      </c>
    </row>
    <row r="629" spans="1:2" x14ac:dyDescent="0.4">
      <c r="A629" t="s">
        <v>542</v>
      </c>
      <c r="B629" t="s">
        <v>9105</v>
      </c>
    </row>
    <row r="630" spans="1:2" x14ac:dyDescent="0.4">
      <c r="A630" t="s">
        <v>545</v>
      </c>
      <c r="B630" t="s">
        <v>9105</v>
      </c>
    </row>
    <row r="631" spans="1:2" x14ac:dyDescent="0.4">
      <c r="A631" t="s">
        <v>548</v>
      </c>
      <c r="B631" t="s">
        <v>9105</v>
      </c>
    </row>
    <row r="632" spans="1:2" x14ac:dyDescent="0.4">
      <c r="A632" t="s">
        <v>551</v>
      </c>
      <c r="B632" t="s">
        <v>9105</v>
      </c>
    </row>
    <row r="633" spans="1:2" x14ac:dyDescent="0.4">
      <c r="A633" t="s">
        <v>554</v>
      </c>
      <c r="B633" t="s">
        <v>9105</v>
      </c>
    </row>
    <row r="634" spans="1:2" x14ac:dyDescent="0.4">
      <c r="A634" t="s">
        <v>1183</v>
      </c>
      <c r="B634" t="s">
        <v>8652</v>
      </c>
    </row>
    <row r="635" spans="1:2" x14ac:dyDescent="0.4">
      <c r="A635" t="s">
        <v>1190</v>
      </c>
      <c r="B635" t="s">
        <v>8652</v>
      </c>
    </row>
    <row r="636" spans="1:2" x14ac:dyDescent="0.4">
      <c r="A636" t="s">
        <v>1193</v>
      </c>
      <c r="B636" t="s">
        <v>9106</v>
      </c>
    </row>
    <row r="637" spans="1:2" x14ac:dyDescent="0.4">
      <c r="A637" t="s">
        <v>1196</v>
      </c>
      <c r="B637" t="s">
        <v>9106</v>
      </c>
    </row>
    <row r="638" spans="1:2" x14ac:dyDescent="0.4">
      <c r="A638" t="s">
        <v>1200</v>
      </c>
      <c r="B638" t="s">
        <v>8652</v>
      </c>
    </row>
    <row r="639" spans="1:2" x14ac:dyDescent="0.4">
      <c r="A639" t="s">
        <v>1204</v>
      </c>
      <c r="B639" t="s">
        <v>9106</v>
      </c>
    </row>
    <row r="640" spans="1:2" x14ac:dyDescent="0.4">
      <c r="A640" t="s">
        <v>1207</v>
      </c>
      <c r="B640" t="s">
        <v>9106</v>
      </c>
    </row>
    <row r="641" spans="1:2" x14ac:dyDescent="0.4">
      <c r="A641" t="s">
        <v>1210</v>
      </c>
      <c r="B641" t="s">
        <v>8652</v>
      </c>
    </row>
    <row r="642" spans="1:2" x14ac:dyDescent="0.4">
      <c r="A642" t="s">
        <v>1213</v>
      </c>
      <c r="B642" t="s">
        <v>8652</v>
      </c>
    </row>
    <row r="643" spans="1:2" x14ac:dyDescent="0.4">
      <c r="A643" t="s">
        <v>1217</v>
      </c>
      <c r="B643" t="s">
        <v>9106</v>
      </c>
    </row>
    <row r="644" spans="1:2" x14ac:dyDescent="0.4">
      <c r="A644" t="s">
        <v>1220</v>
      </c>
      <c r="B644" t="s">
        <v>9106</v>
      </c>
    </row>
    <row r="645" spans="1:2" x14ac:dyDescent="0.4">
      <c r="A645" t="s">
        <v>1317</v>
      </c>
      <c r="B645" t="s">
        <v>9107</v>
      </c>
    </row>
    <row r="646" spans="1:2" x14ac:dyDescent="0.4">
      <c r="A646" t="s">
        <v>1324</v>
      </c>
      <c r="B646" t="s">
        <v>9107</v>
      </c>
    </row>
    <row r="647" spans="1:2" x14ac:dyDescent="0.4">
      <c r="A647" t="s">
        <v>1327</v>
      </c>
      <c r="B647" t="s">
        <v>9107</v>
      </c>
    </row>
    <row r="648" spans="1:2" x14ac:dyDescent="0.4">
      <c r="A648" t="s">
        <v>1330</v>
      </c>
      <c r="B648" t="s">
        <v>9107</v>
      </c>
    </row>
    <row r="649" spans="1:2" x14ac:dyDescent="0.4">
      <c r="A649" t="s">
        <v>1333</v>
      </c>
      <c r="B649" t="s">
        <v>9107</v>
      </c>
    </row>
    <row r="650" spans="1:2" x14ac:dyDescent="0.4">
      <c r="A650" t="s">
        <v>1336</v>
      </c>
      <c r="B650" t="s">
        <v>9107</v>
      </c>
    </row>
    <row r="651" spans="1:2" x14ac:dyDescent="0.4">
      <c r="A651" t="s">
        <v>1339</v>
      </c>
      <c r="B651" t="s">
        <v>9107</v>
      </c>
    </row>
    <row r="652" spans="1:2" x14ac:dyDescent="0.4">
      <c r="A652" t="s">
        <v>1342</v>
      </c>
      <c r="B652" t="s">
        <v>9107</v>
      </c>
    </row>
    <row r="653" spans="1:2" x14ac:dyDescent="0.4">
      <c r="A653" t="s">
        <v>1345</v>
      </c>
      <c r="B653" t="s">
        <v>9107</v>
      </c>
    </row>
    <row r="654" spans="1:2" x14ac:dyDescent="0.4">
      <c r="A654" t="s">
        <v>1348</v>
      </c>
      <c r="B654" t="s">
        <v>9108</v>
      </c>
    </row>
    <row r="655" spans="1:2" x14ac:dyDescent="0.4">
      <c r="A655" t="s">
        <v>1354</v>
      </c>
      <c r="B655" t="s">
        <v>9108</v>
      </c>
    </row>
    <row r="656" spans="1:2" x14ac:dyDescent="0.4">
      <c r="A656" t="s">
        <v>1357</v>
      </c>
      <c r="B656" t="s">
        <v>9108</v>
      </c>
    </row>
    <row r="657" spans="1:2" x14ac:dyDescent="0.4">
      <c r="A657" t="s">
        <v>1360</v>
      </c>
      <c r="B657" t="s">
        <v>9108</v>
      </c>
    </row>
    <row r="658" spans="1:2" x14ac:dyDescent="0.4">
      <c r="A658" t="s">
        <v>1363</v>
      </c>
      <c r="B658" t="s">
        <v>9108</v>
      </c>
    </row>
    <row r="659" spans="1:2" x14ac:dyDescent="0.4">
      <c r="A659" t="s">
        <v>1366</v>
      </c>
      <c r="B659" t="s">
        <v>9108</v>
      </c>
    </row>
    <row r="660" spans="1:2" x14ac:dyDescent="0.4">
      <c r="A660" t="s">
        <v>1369</v>
      </c>
      <c r="B660" t="s">
        <v>9108</v>
      </c>
    </row>
    <row r="661" spans="1:2" x14ac:dyDescent="0.4">
      <c r="A661" t="s">
        <v>1372</v>
      </c>
      <c r="B661" t="s">
        <v>9108</v>
      </c>
    </row>
    <row r="662" spans="1:2" x14ac:dyDescent="0.4">
      <c r="A662" t="s">
        <v>1375</v>
      </c>
      <c r="B662" t="s">
        <v>9108</v>
      </c>
    </row>
    <row r="663" spans="1:2" x14ac:dyDescent="0.4">
      <c r="A663" t="s">
        <v>1379</v>
      </c>
      <c r="B663" t="s">
        <v>9108</v>
      </c>
    </row>
    <row r="664" spans="1:2" x14ac:dyDescent="0.4">
      <c r="A664" t="s">
        <v>1382</v>
      </c>
      <c r="B664" t="s">
        <v>9108</v>
      </c>
    </row>
    <row r="665" spans="1:2" x14ac:dyDescent="0.4">
      <c r="A665" t="s">
        <v>1890</v>
      </c>
      <c r="B665" t="s">
        <v>9109</v>
      </c>
    </row>
    <row r="666" spans="1:2" x14ac:dyDescent="0.4">
      <c r="A666" t="s">
        <v>1897</v>
      </c>
      <c r="B666" t="s">
        <v>9109</v>
      </c>
    </row>
    <row r="667" spans="1:2" x14ac:dyDescent="0.4">
      <c r="A667" t="s">
        <v>1900</v>
      </c>
      <c r="B667" t="s">
        <v>9109</v>
      </c>
    </row>
    <row r="668" spans="1:2" x14ac:dyDescent="0.4">
      <c r="A668" t="s">
        <v>1903</v>
      </c>
      <c r="B668" t="s">
        <v>9109</v>
      </c>
    </row>
    <row r="669" spans="1:2" x14ac:dyDescent="0.4">
      <c r="A669" t="s">
        <v>1906</v>
      </c>
      <c r="B669" t="s">
        <v>9109</v>
      </c>
    </row>
    <row r="670" spans="1:2" x14ac:dyDescent="0.4">
      <c r="A670" t="s">
        <v>1909</v>
      </c>
      <c r="B670" t="s">
        <v>8652</v>
      </c>
    </row>
    <row r="671" spans="1:2" x14ac:dyDescent="0.4">
      <c r="A671" t="s">
        <v>1912</v>
      </c>
      <c r="B671" t="s">
        <v>9109</v>
      </c>
    </row>
    <row r="672" spans="1:2" x14ac:dyDescent="0.4">
      <c r="A672" t="s">
        <v>1915</v>
      </c>
      <c r="B672" t="s">
        <v>9109</v>
      </c>
    </row>
    <row r="673" spans="1:2" x14ac:dyDescent="0.4">
      <c r="A673" t="s">
        <v>1918</v>
      </c>
      <c r="B673" t="s">
        <v>9109</v>
      </c>
    </row>
    <row r="674" spans="1:2" x14ac:dyDescent="0.4">
      <c r="A674" t="s">
        <v>1921</v>
      </c>
      <c r="B674" t="s">
        <v>9109</v>
      </c>
    </row>
    <row r="675" spans="1:2" x14ac:dyDescent="0.4">
      <c r="A675" t="s">
        <v>1924</v>
      </c>
      <c r="B675" t="s">
        <v>9110</v>
      </c>
    </row>
    <row r="676" spans="1:2" x14ac:dyDescent="0.4">
      <c r="A676" t="s">
        <v>1929</v>
      </c>
      <c r="B676" t="s">
        <v>9110</v>
      </c>
    </row>
    <row r="677" spans="1:2" x14ac:dyDescent="0.4">
      <c r="A677" t="s">
        <v>1932</v>
      </c>
      <c r="B677" t="s">
        <v>9110</v>
      </c>
    </row>
    <row r="678" spans="1:2" x14ac:dyDescent="0.4">
      <c r="A678" t="s">
        <v>1935</v>
      </c>
      <c r="B678" t="s">
        <v>9110</v>
      </c>
    </row>
    <row r="679" spans="1:2" x14ac:dyDescent="0.4">
      <c r="A679" t="s">
        <v>1938</v>
      </c>
      <c r="B679" t="s">
        <v>9110</v>
      </c>
    </row>
    <row r="680" spans="1:2" x14ac:dyDescent="0.4">
      <c r="A680" t="s">
        <v>1941</v>
      </c>
      <c r="B680" t="s">
        <v>9110</v>
      </c>
    </row>
    <row r="681" spans="1:2" x14ac:dyDescent="0.4">
      <c r="A681" t="s">
        <v>1944</v>
      </c>
      <c r="B681" t="s">
        <v>9110</v>
      </c>
    </row>
    <row r="682" spans="1:2" x14ac:dyDescent="0.4">
      <c r="A682" t="s">
        <v>1947</v>
      </c>
      <c r="B682" t="s">
        <v>9110</v>
      </c>
    </row>
    <row r="683" spans="1:2" x14ac:dyDescent="0.4">
      <c r="A683" t="s">
        <v>1950</v>
      </c>
      <c r="B683" t="s">
        <v>9110</v>
      </c>
    </row>
    <row r="684" spans="1:2" x14ac:dyDescent="0.4">
      <c r="A684" t="s">
        <v>1953</v>
      </c>
      <c r="B684" t="s">
        <v>9110</v>
      </c>
    </row>
    <row r="685" spans="1:2" x14ac:dyDescent="0.4">
      <c r="A685" t="s">
        <v>557</v>
      </c>
      <c r="B685" t="s">
        <v>9111</v>
      </c>
    </row>
    <row r="686" spans="1:2" x14ac:dyDescent="0.4">
      <c r="A686" t="s">
        <v>565</v>
      </c>
      <c r="B686" t="s">
        <v>9111</v>
      </c>
    </row>
    <row r="687" spans="1:2" x14ac:dyDescent="0.4">
      <c r="A687" t="s">
        <v>568</v>
      </c>
      <c r="B687" t="s">
        <v>9111</v>
      </c>
    </row>
    <row r="688" spans="1:2" x14ac:dyDescent="0.4">
      <c r="A688" t="s">
        <v>571</v>
      </c>
      <c r="B688" t="s">
        <v>9111</v>
      </c>
    </row>
    <row r="689" spans="1:2" x14ac:dyDescent="0.4">
      <c r="A689" t="s">
        <v>574</v>
      </c>
      <c r="B689" t="s">
        <v>9111</v>
      </c>
    </row>
    <row r="690" spans="1:2" x14ac:dyDescent="0.4">
      <c r="A690" t="s">
        <v>577</v>
      </c>
      <c r="B690" t="s">
        <v>9111</v>
      </c>
    </row>
    <row r="691" spans="1:2" x14ac:dyDescent="0.4">
      <c r="A691" t="s">
        <v>580</v>
      </c>
      <c r="B691" t="s">
        <v>9111</v>
      </c>
    </row>
    <row r="692" spans="1:2" x14ac:dyDescent="0.4">
      <c r="A692" t="s">
        <v>583</v>
      </c>
      <c r="B692" t="s">
        <v>9111</v>
      </c>
    </row>
    <row r="693" spans="1:2" x14ac:dyDescent="0.4">
      <c r="A693" t="s">
        <v>586</v>
      </c>
      <c r="B693" t="s">
        <v>9111</v>
      </c>
    </row>
    <row r="694" spans="1:2" x14ac:dyDescent="0.4">
      <c r="A694" t="s">
        <v>626</v>
      </c>
      <c r="B694" t="s">
        <v>9111</v>
      </c>
    </row>
    <row r="695" spans="1:2" x14ac:dyDescent="0.4">
      <c r="A695" t="s">
        <v>590</v>
      </c>
      <c r="B695" t="s">
        <v>9112</v>
      </c>
    </row>
    <row r="696" spans="1:2" x14ac:dyDescent="0.4">
      <c r="A696" t="s">
        <v>595</v>
      </c>
      <c r="B696" t="s">
        <v>9112</v>
      </c>
    </row>
    <row r="697" spans="1:2" x14ac:dyDescent="0.4">
      <c r="A697" t="s">
        <v>599</v>
      </c>
      <c r="B697" t="s">
        <v>9112</v>
      </c>
    </row>
    <row r="698" spans="1:2" x14ac:dyDescent="0.4">
      <c r="A698" t="s">
        <v>602</v>
      </c>
      <c r="B698" t="s">
        <v>9112</v>
      </c>
    </row>
    <row r="699" spans="1:2" x14ac:dyDescent="0.4">
      <c r="A699" t="s">
        <v>606</v>
      </c>
      <c r="B699" t="s">
        <v>9112</v>
      </c>
    </row>
    <row r="700" spans="1:2" x14ac:dyDescent="0.4">
      <c r="A700" t="s">
        <v>610</v>
      </c>
      <c r="B700" t="s">
        <v>9112</v>
      </c>
    </row>
    <row r="701" spans="1:2" x14ac:dyDescent="0.4">
      <c r="A701" t="s">
        <v>613</v>
      </c>
      <c r="B701" t="s">
        <v>9112</v>
      </c>
    </row>
    <row r="702" spans="1:2" x14ac:dyDescent="0.4">
      <c r="A702" t="s">
        <v>617</v>
      </c>
      <c r="B702" t="s">
        <v>9112</v>
      </c>
    </row>
    <row r="703" spans="1:2" x14ac:dyDescent="0.4">
      <c r="A703" t="s">
        <v>620</v>
      </c>
      <c r="B703" t="s">
        <v>9112</v>
      </c>
    </row>
    <row r="704" spans="1:2" x14ac:dyDescent="0.4">
      <c r="A704" t="s">
        <v>623</v>
      </c>
      <c r="B704" t="s">
        <v>9112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52529-7BEB-4DC0-ABFC-AB564378BC27}">
  <dimension ref="A1"/>
  <sheetViews>
    <sheetView workbookViewId="0">
      <selection activeCell="M11" sqref="M11"/>
    </sheetView>
  </sheetViews>
  <sheetFormatPr defaultRowHeight="14.6"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meta_pops_state</vt:lpstr>
      <vt:lpstr>SpeciesPerPop</vt:lpstr>
      <vt:lpstr>Sheet2</vt:lpstr>
      <vt:lpstr>Sheet3</vt:lpstr>
      <vt:lpstr>Sheet4</vt:lpstr>
      <vt:lpstr>Sheet9</vt:lpstr>
      <vt:lpstr>Sheet1</vt:lpstr>
      <vt:lpstr>MAC_PAINT2</vt:lpstr>
      <vt:lpstr>ConStruct</vt:lpstr>
      <vt:lpstr>Sheet11</vt:lpstr>
      <vt:lpstr>ADMIX_ALL</vt:lpstr>
      <vt:lpstr>ADMIX_SS</vt:lpstr>
      <vt:lpstr>MONG_PHYLO</vt:lpstr>
      <vt:lpstr>MAC_PHYLO</vt:lpstr>
      <vt:lpstr>MAC_DSUITE</vt:lpstr>
      <vt:lpstr>GEA</vt:lpstr>
      <vt:lpstr>MONG_DSUITE</vt:lpstr>
      <vt:lpstr>MAC_PAINT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Rebekah Mohn</dc:creator>
  <cp:lastModifiedBy>Rebekah Mohn</cp:lastModifiedBy>
  <dcterms:created xsi:type="dcterms:W3CDTF">2025-01-13T22:15:41Z</dcterms:created>
  <dcterms:modified xsi:type="dcterms:W3CDTF">2026-09-04T16:37:18Z</dcterms:modified>
</cp:coreProperties>
</file>