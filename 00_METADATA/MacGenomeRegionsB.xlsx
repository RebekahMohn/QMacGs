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mohn\Desktop\10_Analysis\20_MacGenomeRegions\"/>
    </mc:Choice>
  </mc:AlternateContent>
  <xr:revisionPtr revIDLastSave="0" documentId="13_ncr:1_{5060FD8A-F7B8-4077-83E8-31BDBFAEBA69}" xr6:coauthVersionLast="47" xr6:coauthVersionMax="47" xr10:uidLastSave="{00000000-0000-0000-0000-000000000000}"/>
  <bookViews>
    <workbookView xWindow="-17388" yWindow="-108" windowWidth="17496" windowHeight="10296" firstSheet="4" activeTab="10" xr2:uid="{00000000-000D-0000-FFFF-FFFF00000000}"/>
  </bookViews>
  <sheets>
    <sheet name="Sheet1" sheetId="1" r:id="rId1"/>
    <sheet name="Sheet3" sheetId="4" r:id="rId2"/>
    <sheet name="Sheet4" sheetId="5" r:id="rId3"/>
    <sheet name="CentRegion" sheetId="3" r:id="rId4"/>
    <sheet name="CentInv" sheetId="8" r:id="rId5"/>
    <sheet name="Sheet2" sheetId="2" r:id="rId6"/>
    <sheet name="Sheet5" sheetId="6" r:id="rId7"/>
    <sheet name="Sheet6" sheetId="7" r:id="rId8"/>
    <sheet name="InterArrays" sheetId="9" r:id="rId9"/>
    <sheet name="simple" sheetId="10" r:id="rId10"/>
    <sheet name="Sheet7" sheetId="11" r:id="rId11"/>
  </sheets>
  <calcPr calcId="191029"/>
  <pivotCaches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4" i="10" l="1"/>
  <c r="F44" i="10"/>
  <c r="B44" i="10"/>
  <c r="G43" i="10"/>
  <c r="F43" i="10"/>
  <c r="B43" i="10"/>
  <c r="G42" i="10"/>
  <c r="F42" i="10"/>
  <c r="B42" i="10"/>
  <c r="G41" i="10"/>
  <c r="F41" i="10"/>
  <c r="B41" i="10"/>
  <c r="G40" i="10"/>
  <c r="F40" i="10"/>
  <c r="B40" i="10"/>
  <c r="G39" i="10"/>
  <c r="F39" i="10"/>
  <c r="B39" i="10"/>
  <c r="G38" i="10"/>
  <c r="F38" i="10"/>
  <c r="B38" i="10"/>
  <c r="G37" i="10"/>
  <c r="F37" i="10"/>
  <c r="B37" i="10"/>
  <c r="H36" i="10"/>
  <c r="E36" i="10"/>
  <c r="D36" i="10"/>
  <c r="B36" i="10"/>
  <c r="G35" i="10"/>
  <c r="F35" i="10"/>
  <c r="B35" i="10"/>
  <c r="G34" i="10"/>
  <c r="F34" i="10"/>
  <c r="B34" i="10"/>
  <c r="G33" i="10"/>
  <c r="F33" i="10"/>
  <c r="B33" i="10"/>
  <c r="G32" i="10"/>
  <c r="F32" i="10"/>
  <c r="B32" i="10"/>
  <c r="G31" i="10"/>
  <c r="F31" i="10"/>
  <c r="B31" i="10"/>
  <c r="G30" i="10"/>
  <c r="F30" i="10"/>
  <c r="B30" i="10"/>
  <c r="G29" i="10"/>
  <c r="F29" i="10"/>
  <c r="B29" i="10"/>
  <c r="G28" i="10"/>
  <c r="F28" i="10"/>
  <c r="B28" i="10"/>
  <c r="G27" i="10"/>
  <c r="F27" i="10"/>
  <c r="B27" i="10"/>
  <c r="G26" i="10"/>
  <c r="F26" i="10"/>
  <c r="B26" i="10"/>
  <c r="G25" i="10"/>
  <c r="F25" i="10"/>
  <c r="B25" i="10"/>
  <c r="G24" i="10"/>
  <c r="F24" i="10"/>
  <c r="B24" i="10"/>
  <c r="G23" i="10"/>
  <c r="F23" i="10"/>
  <c r="B23" i="10"/>
  <c r="G22" i="10"/>
  <c r="F22" i="10"/>
  <c r="B22" i="10"/>
  <c r="G21" i="10"/>
  <c r="F21" i="10"/>
  <c r="B21" i="10"/>
  <c r="G20" i="10"/>
  <c r="F20" i="10"/>
  <c r="B20" i="10"/>
  <c r="G19" i="10"/>
  <c r="F19" i="10"/>
  <c r="B19" i="10"/>
  <c r="G18" i="10"/>
  <c r="F18" i="10"/>
  <c r="B18" i="10"/>
  <c r="G17" i="10"/>
  <c r="F17" i="10"/>
  <c r="B17" i="10"/>
  <c r="G16" i="10"/>
  <c r="F16" i="10"/>
  <c r="B16" i="10"/>
  <c r="G15" i="10"/>
  <c r="F15" i="10"/>
  <c r="B15" i="10"/>
  <c r="G14" i="10"/>
  <c r="F14" i="10"/>
  <c r="B14" i="10"/>
  <c r="G13" i="10"/>
  <c r="F13" i="10"/>
  <c r="B13" i="10"/>
  <c r="G12" i="10"/>
  <c r="F12" i="10"/>
  <c r="B12" i="10"/>
  <c r="G11" i="10"/>
  <c r="F11" i="10"/>
  <c r="B11" i="10"/>
  <c r="G10" i="10"/>
  <c r="F10" i="10"/>
  <c r="B10" i="10"/>
  <c r="G9" i="10"/>
  <c r="F9" i="10"/>
  <c r="B9" i="10"/>
  <c r="G8" i="10"/>
  <c r="F8" i="10"/>
  <c r="B8" i="10"/>
  <c r="G7" i="10"/>
  <c r="F7" i="10"/>
  <c r="B7" i="10"/>
  <c r="G6" i="10"/>
  <c r="F6" i="10"/>
  <c r="B6" i="10"/>
  <c r="G5" i="10"/>
  <c r="F5" i="10"/>
  <c r="B5" i="10"/>
  <c r="G4" i="10"/>
  <c r="F4" i="10"/>
  <c r="B4" i="10"/>
  <c r="G3" i="10"/>
  <c r="F3" i="10"/>
  <c r="B3" i="10"/>
  <c r="G2" i="10"/>
  <c r="F2" i="10"/>
  <c r="B2" i="10"/>
  <c r="J12" i="9"/>
  <c r="G12" i="9"/>
  <c r="H12" i="9" s="1"/>
  <c r="F12" i="9"/>
  <c r="B12" i="9"/>
  <c r="J11" i="9"/>
  <c r="G11" i="9"/>
  <c r="F11" i="9"/>
  <c r="B11" i="9"/>
  <c r="J10" i="9"/>
  <c r="G10" i="9"/>
  <c r="F10" i="9"/>
  <c r="B10" i="9"/>
  <c r="J9" i="9"/>
  <c r="G9" i="9"/>
  <c r="F9" i="9"/>
  <c r="B9" i="9"/>
  <c r="J8" i="9"/>
  <c r="G8" i="9"/>
  <c r="F8" i="9"/>
  <c r="B8" i="9"/>
  <c r="J7" i="9"/>
  <c r="G7" i="9"/>
  <c r="F7" i="9"/>
  <c r="B7" i="9"/>
  <c r="J6" i="9"/>
  <c r="G6" i="9"/>
  <c r="F6" i="9"/>
  <c r="B6" i="9"/>
  <c r="J5" i="9"/>
  <c r="G5" i="9"/>
  <c r="F5" i="9"/>
  <c r="B5" i="9"/>
  <c r="J4" i="9"/>
  <c r="G4" i="9"/>
  <c r="F4" i="9"/>
  <c r="B4" i="9"/>
  <c r="J3" i="9"/>
  <c r="G3" i="9"/>
  <c r="F3" i="9"/>
  <c r="B3" i="9"/>
  <c r="J2" i="9"/>
  <c r="G2" i="9"/>
  <c r="F2" i="9"/>
  <c r="B2" i="9"/>
  <c r="E37" i="4"/>
  <c r="D37" i="4"/>
  <c r="H37" i="4"/>
  <c r="B37" i="4"/>
  <c r="I15" i="8"/>
  <c r="J15" i="8"/>
  <c r="I16" i="8"/>
  <c r="J16" i="8"/>
  <c r="I17" i="8"/>
  <c r="J17" i="8"/>
  <c r="I18" i="8"/>
  <c r="J18" i="8"/>
  <c r="I19" i="8"/>
  <c r="J19" i="8"/>
  <c r="I20" i="8"/>
  <c r="J20" i="8"/>
  <c r="I21" i="8"/>
  <c r="J21" i="8"/>
  <c r="I22" i="8"/>
  <c r="J22" i="8"/>
  <c r="J14" i="8"/>
  <c r="I14" i="8"/>
  <c r="G22" i="8"/>
  <c r="H22" i="8" s="1"/>
  <c r="F22" i="8"/>
  <c r="B22" i="8"/>
  <c r="G21" i="8"/>
  <c r="H21" i="8" s="1"/>
  <c r="F21" i="8"/>
  <c r="B21" i="8"/>
  <c r="G20" i="8"/>
  <c r="H20" i="8" s="1"/>
  <c r="F20" i="8"/>
  <c r="B20" i="8"/>
  <c r="G19" i="8"/>
  <c r="H19" i="8" s="1"/>
  <c r="F19" i="8"/>
  <c r="B19" i="8"/>
  <c r="G18" i="8"/>
  <c r="H18" i="8" s="1"/>
  <c r="F18" i="8"/>
  <c r="B18" i="8"/>
  <c r="G17" i="8"/>
  <c r="H17" i="8" s="1"/>
  <c r="F17" i="8"/>
  <c r="B17" i="8"/>
  <c r="G16" i="8"/>
  <c r="H16" i="8" s="1"/>
  <c r="F16" i="8"/>
  <c r="B16" i="8"/>
  <c r="G15" i="8"/>
  <c r="H15" i="8" s="1"/>
  <c r="F15" i="8"/>
  <c r="B15" i="8"/>
  <c r="H14" i="8"/>
  <c r="E14" i="8"/>
  <c r="D14" i="8"/>
  <c r="B14" i="8"/>
  <c r="G13" i="8"/>
  <c r="F13" i="8"/>
  <c r="B13" i="8"/>
  <c r="G12" i="8"/>
  <c r="F12" i="8"/>
  <c r="J12" i="8" s="1"/>
  <c r="B12" i="8"/>
  <c r="G11" i="8"/>
  <c r="F11" i="8"/>
  <c r="J11" i="8" s="1"/>
  <c r="B11" i="8"/>
  <c r="G10" i="8"/>
  <c r="F10" i="8"/>
  <c r="B10" i="8"/>
  <c r="G9" i="8"/>
  <c r="F9" i="8"/>
  <c r="B9" i="8"/>
  <c r="G8" i="8"/>
  <c r="F8" i="8"/>
  <c r="J8" i="8" s="1"/>
  <c r="B8" i="8"/>
  <c r="G7" i="8"/>
  <c r="F7" i="8"/>
  <c r="J7" i="8" s="1"/>
  <c r="B7" i="8"/>
  <c r="G6" i="8"/>
  <c r="F6" i="8"/>
  <c r="B6" i="8"/>
  <c r="G5" i="8"/>
  <c r="F5" i="8"/>
  <c r="J5" i="8" s="1"/>
  <c r="B5" i="8"/>
  <c r="G4" i="8"/>
  <c r="F4" i="8"/>
  <c r="J4" i="8" s="1"/>
  <c r="B4" i="8"/>
  <c r="G3" i="8"/>
  <c r="F3" i="8"/>
  <c r="B3" i="8"/>
  <c r="G2" i="8"/>
  <c r="F2" i="8"/>
  <c r="B2" i="8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2" i="6"/>
  <c r="G44" i="6"/>
  <c r="H44" i="6" s="1"/>
  <c r="F44" i="6"/>
  <c r="B44" i="6"/>
  <c r="G43" i="6"/>
  <c r="H43" i="6" s="1"/>
  <c r="F43" i="6"/>
  <c r="B43" i="6"/>
  <c r="G42" i="6"/>
  <c r="H42" i="6" s="1"/>
  <c r="F42" i="6"/>
  <c r="B42" i="6"/>
  <c r="G41" i="6"/>
  <c r="H41" i="6" s="1"/>
  <c r="F41" i="6"/>
  <c r="B41" i="6"/>
  <c r="G40" i="6"/>
  <c r="H40" i="6" s="1"/>
  <c r="F40" i="6"/>
  <c r="B40" i="6"/>
  <c r="G39" i="6"/>
  <c r="H39" i="6" s="1"/>
  <c r="F39" i="6"/>
  <c r="B39" i="6"/>
  <c r="G38" i="6"/>
  <c r="H38" i="6" s="1"/>
  <c r="F38" i="6"/>
  <c r="B38" i="6"/>
  <c r="G37" i="6"/>
  <c r="H37" i="6" s="1"/>
  <c r="F37" i="6"/>
  <c r="B37" i="6"/>
  <c r="H36" i="6"/>
  <c r="E36" i="6"/>
  <c r="D36" i="6"/>
  <c r="B36" i="6"/>
  <c r="G35" i="6"/>
  <c r="H35" i="6" s="1"/>
  <c r="F35" i="6"/>
  <c r="B35" i="6"/>
  <c r="G34" i="6"/>
  <c r="H34" i="6" s="1"/>
  <c r="F34" i="6"/>
  <c r="B34" i="6"/>
  <c r="G33" i="6"/>
  <c r="H33" i="6" s="1"/>
  <c r="F33" i="6"/>
  <c r="B33" i="6"/>
  <c r="G32" i="6"/>
  <c r="H32" i="6" s="1"/>
  <c r="F32" i="6"/>
  <c r="B32" i="6"/>
  <c r="G31" i="6"/>
  <c r="H31" i="6" s="1"/>
  <c r="F31" i="6"/>
  <c r="B31" i="6"/>
  <c r="G30" i="6"/>
  <c r="H30" i="6" s="1"/>
  <c r="F30" i="6"/>
  <c r="B30" i="6"/>
  <c r="G29" i="6"/>
  <c r="H29" i="6" s="1"/>
  <c r="F29" i="6"/>
  <c r="B29" i="6"/>
  <c r="G28" i="6"/>
  <c r="H28" i="6" s="1"/>
  <c r="F28" i="6"/>
  <c r="B28" i="6"/>
  <c r="G27" i="6"/>
  <c r="H27" i="6" s="1"/>
  <c r="F27" i="6"/>
  <c r="B27" i="6"/>
  <c r="G26" i="6"/>
  <c r="H26" i="6" s="1"/>
  <c r="F26" i="6"/>
  <c r="B26" i="6"/>
  <c r="G25" i="6"/>
  <c r="H25" i="6" s="1"/>
  <c r="F25" i="6"/>
  <c r="B25" i="6"/>
  <c r="G24" i="6"/>
  <c r="H24" i="6" s="1"/>
  <c r="F24" i="6"/>
  <c r="B24" i="6"/>
  <c r="G23" i="6"/>
  <c r="H23" i="6" s="1"/>
  <c r="F23" i="6"/>
  <c r="B23" i="6"/>
  <c r="G22" i="6"/>
  <c r="H22" i="6" s="1"/>
  <c r="F22" i="6"/>
  <c r="B22" i="6"/>
  <c r="G21" i="6"/>
  <c r="H21" i="6" s="1"/>
  <c r="F21" i="6"/>
  <c r="B21" i="6"/>
  <c r="G20" i="6"/>
  <c r="H20" i="6" s="1"/>
  <c r="F20" i="6"/>
  <c r="B20" i="6"/>
  <c r="G19" i="6"/>
  <c r="H19" i="6" s="1"/>
  <c r="F19" i="6"/>
  <c r="B19" i="6"/>
  <c r="G18" i="6"/>
  <c r="H18" i="6" s="1"/>
  <c r="F18" i="6"/>
  <c r="B18" i="6"/>
  <c r="G17" i="6"/>
  <c r="H17" i="6" s="1"/>
  <c r="F17" i="6"/>
  <c r="B17" i="6"/>
  <c r="G16" i="6"/>
  <c r="H16" i="6" s="1"/>
  <c r="F16" i="6"/>
  <c r="B16" i="6"/>
  <c r="G15" i="6"/>
  <c r="H15" i="6" s="1"/>
  <c r="F15" i="6"/>
  <c r="B15" i="6"/>
  <c r="G14" i="6"/>
  <c r="H14" i="6" s="1"/>
  <c r="F14" i="6"/>
  <c r="B14" i="6"/>
  <c r="G13" i="6"/>
  <c r="H13" i="6" s="1"/>
  <c r="F13" i="6"/>
  <c r="B13" i="6"/>
  <c r="G12" i="6"/>
  <c r="H12" i="6" s="1"/>
  <c r="F12" i="6"/>
  <c r="B12" i="6"/>
  <c r="G11" i="6"/>
  <c r="H11" i="6" s="1"/>
  <c r="F11" i="6"/>
  <c r="B11" i="6"/>
  <c r="G10" i="6"/>
  <c r="H10" i="6" s="1"/>
  <c r="F10" i="6"/>
  <c r="B10" i="6"/>
  <c r="G9" i="6"/>
  <c r="H9" i="6" s="1"/>
  <c r="F9" i="6"/>
  <c r="B9" i="6"/>
  <c r="G8" i="6"/>
  <c r="H8" i="6" s="1"/>
  <c r="F8" i="6"/>
  <c r="B8" i="6"/>
  <c r="G7" i="6"/>
  <c r="H7" i="6" s="1"/>
  <c r="F7" i="6"/>
  <c r="B7" i="6"/>
  <c r="G6" i="6"/>
  <c r="H6" i="6" s="1"/>
  <c r="F6" i="6"/>
  <c r="B6" i="6"/>
  <c r="G5" i="6"/>
  <c r="H5" i="6" s="1"/>
  <c r="F5" i="6"/>
  <c r="B5" i="6"/>
  <c r="G4" i="6"/>
  <c r="H4" i="6" s="1"/>
  <c r="F4" i="6"/>
  <c r="B4" i="6"/>
  <c r="G3" i="6"/>
  <c r="H3" i="6" s="1"/>
  <c r="F3" i="6"/>
  <c r="B3" i="6"/>
  <c r="G2" i="6"/>
  <c r="H2" i="6" s="1"/>
  <c r="F2" i="6"/>
  <c r="B2" i="6"/>
  <c r="B3" i="3"/>
  <c r="B4" i="3"/>
  <c r="B5" i="3"/>
  <c r="B6" i="3"/>
  <c r="B7" i="3"/>
  <c r="B8" i="3"/>
  <c r="B9" i="3"/>
  <c r="B10" i="3"/>
  <c r="B11" i="3"/>
  <c r="B12" i="3"/>
  <c r="B13" i="3"/>
  <c r="G45" i="4"/>
  <c r="F45" i="4"/>
  <c r="B45" i="4"/>
  <c r="G44" i="4"/>
  <c r="F44" i="4"/>
  <c r="B44" i="4"/>
  <c r="G43" i="4"/>
  <c r="F43" i="4"/>
  <c r="H43" i="4" s="1"/>
  <c r="B43" i="4"/>
  <c r="G42" i="4"/>
  <c r="F42" i="4"/>
  <c r="B42" i="4"/>
  <c r="G41" i="4"/>
  <c r="F41" i="4"/>
  <c r="B41" i="4"/>
  <c r="G40" i="4"/>
  <c r="F40" i="4"/>
  <c r="B40" i="4"/>
  <c r="G39" i="4"/>
  <c r="F39" i="4"/>
  <c r="B39" i="4"/>
  <c r="G38" i="4"/>
  <c r="F38" i="4"/>
  <c r="B38" i="4"/>
  <c r="H36" i="4"/>
  <c r="E36" i="4"/>
  <c r="D36" i="4"/>
  <c r="B36" i="4"/>
  <c r="G35" i="4"/>
  <c r="F35" i="4"/>
  <c r="B35" i="4"/>
  <c r="G34" i="4"/>
  <c r="F34" i="4"/>
  <c r="B34" i="4"/>
  <c r="G33" i="4"/>
  <c r="H33" i="4" s="1"/>
  <c r="F33" i="4"/>
  <c r="B33" i="4"/>
  <c r="G32" i="4"/>
  <c r="F32" i="4"/>
  <c r="B32" i="4"/>
  <c r="G31" i="4"/>
  <c r="F31" i="4"/>
  <c r="B31" i="4"/>
  <c r="G30" i="4"/>
  <c r="F30" i="4"/>
  <c r="B30" i="4"/>
  <c r="G29" i="4"/>
  <c r="H29" i="4" s="1"/>
  <c r="F29" i="4"/>
  <c r="B29" i="4"/>
  <c r="G28" i="4"/>
  <c r="F28" i="4"/>
  <c r="B28" i="4"/>
  <c r="G27" i="4"/>
  <c r="H27" i="4" s="1"/>
  <c r="F27" i="4"/>
  <c r="B27" i="4"/>
  <c r="G26" i="4"/>
  <c r="F26" i="4"/>
  <c r="B26" i="4"/>
  <c r="G25" i="4"/>
  <c r="F25" i="4"/>
  <c r="B25" i="4"/>
  <c r="G24" i="4"/>
  <c r="F24" i="4"/>
  <c r="B24" i="4"/>
  <c r="G23" i="4"/>
  <c r="F23" i="4"/>
  <c r="B23" i="4"/>
  <c r="G22" i="4"/>
  <c r="F22" i="4"/>
  <c r="B22" i="4"/>
  <c r="G21" i="4"/>
  <c r="F21" i="4"/>
  <c r="B21" i="4"/>
  <c r="G20" i="4"/>
  <c r="F20" i="4"/>
  <c r="B20" i="4"/>
  <c r="G19" i="4"/>
  <c r="F19" i="4"/>
  <c r="B19" i="4"/>
  <c r="G18" i="4"/>
  <c r="F18" i="4"/>
  <c r="B18" i="4"/>
  <c r="G17" i="4"/>
  <c r="F17" i="4"/>
  <c r="B17" i="4"/>
  <c r="G16" i="4"/>
  <c r="F16" i="4"/>
  <c r="B16" i="4"/>
  <c r="G15" i="4"/>
  <c r="F15" i="4"/>
  <c r="B15" i="4"/>
  <c r="G14" i="4"/>
  <c r="F14" i="4"/>
  <c r="B14" i="4"/>
  <c r="G13" i="4"/>
  <c r="F13" i="4"/>
  <c r="B13" i="4"/>
  <c r="G12" i="4"/>
  <c r="F12" i="4"/>
  <c r="B12" i="4"/>
  <c r="G11" i="4"/>
  <c r="F11" i="4"/>
  <c r="B11" i="4"/>
  <c r="G10" i="4"/>
  <c r="F10" i="4"/>
  <c r="B10" i="4"/>
  <c r="G9" i="4"/>
  <c r="F9" i="4"/>
  <c r="B9" i="4"/>
  <c r="G8" i="4"/>
  <c r="F8" i="4"/>
  <c r="B8" i="4"/>
  <c r="G7" i="4"/>
  <c r="F7" i="4"/>
  <c r="B7" i="4"/>
  <c r="G6" i="4"/>
  <c r="F6" i="4"/>
  <c r="B6" i="4"/>
  <c r="G5" i="4"/>
  <c r="F5" i="4"/>
  <c r="B5" i="4"/>
  <c r="G4" i="4"/>
  <c r="F4" i="4"/>
  <c r="B4" i="4"/>
  <c r="G3" i="4"/>
  <c r="F3" i="4"/>
  <c r="B3" i="4"/>
  <c r="G2" i="4"/>
  <c r="F2" i="4"/>
  <c r="B2" i="4"/>
  <c r="G28" i="1"/>
  <c r="E28" i="1" s="1"/>
  <c r="G30" i="1"/>
  <c r="H30" i="1" s="1"/>
  <c r="G32" i="1"/>
  <c r="E32" i="1" s="1"/>
  <c r="G34" i="1"/>
  <c r="E34" i="1" s="1"/>
  <c r="G36" i="1"/>
  <c r="H36" i="1" s="1"/>
  <c r="G38" i="1"/>
  <c r="E38" i="1" s="1"/>
  <c r="G40" i="1"/>
  <c r="E40" i="1" s="1"/>
  <c r="G42" i="1"/>
  <c r="H42" i="1" s="1"/>
  <c r="G44" i="1"/>
  <c r="E44" i="1" s="1"/>
  <c r="G46" i="1"/>
  <c r="E46" i="1" s="1"/>
  <c r="G48" i="1"/>
  <c r="E48" i="1" s="1"/>
  <c r="G49" i="1"/>
  <c r="G26" i="1"/>
  <c r="H26" i="1" s="1"/>
  <c r="D38" i="1"/>
  <c r="D44" i="1"/>
  <c r="D46" i="1"/>
  <c r="G27" i="1"/>
  <c r="E27" i="1" s="1"/>
  <c r="G29" i="1"/>
  <c r="E29" i="1" s="1"/>
  <c r="G31" i="1"/>
  <c r="H31" i="1" s="1"/>
  <c r="G33" i="1"/>
  <c r="E33" i="1" s="1"/>
  <c r="G35" i="1"/>
  <c r="E35" i="1" s="1"/>
  <c r="G37" i="1"/>
  <c r="E37" i="1" s="1"/>
  <c r="G39" i="1"/>
  <c r="H39" i="1" s="1"/>
  <c r="G41" i="1"/>
  <c r="H41" i="1" s="1"/>
  <c r="G43" i="1"/>
  <c r="H43" i="1" s="1"/>
  <c r="G45" i="1"/>
  <c r="H45" i="1" s="1"/>
  <c r="G47" i="1"/>
  <c r="H47" i="1" s="1"/>
  <c r="G25" i="1"/>
  <c r="H25" i="1" s="1"/>
  <c r="D48" i="1"/>
  <c r="B48" i="1"/>
  <c r="B46" i="1"/>
  <c r="B44" i="1"/>
  <c r="D42" i="1"/>
  <c r="B42" i="1"/>
  <c r="D40" i="1"/>
  <c r="B40" i="1"/>
  <c r="B38" i="1"/>
  <c r="D36" i="1"/>
  <c r="B36" i="1"/>
  <c r="D34" i="1"/>
  <c r="B34" i="1"/>
  <c r="D32" i="1"/>
  <c r="B32" i="1"/>
  <c r="D30" i="1"/>
  <c r="B30" i="1"/>
  <c r="D28" i="1"/>
  <c r="B28" i="1"/>
  <c r="D26" i="1"/>
  <c r="B26" i="1"/>
  <c r="D78" i="1"/>
  <c r="E78" i="1"/>
  <c r="D69" i="1"/>
  <c r="E69" i="1"/>
  <c r="D71" i="1"/>
  <c r="E71" i="1"/>
  <c r="D73" i="1"/>
  <c r="E73" i="1"/>
  <c r="D79" i="1"/>
  <c r="E79" i="1"/>
  <c r="D83" i="1"/>
  <c r="E83" i="1"/>
  <c r="D74" i="1"/>
  <c r="E74" i="1"/>
  <c r="D75" i="1"/>
  <c r="E75" i="1"/>
  <c r="D82" i="1"/>
  <c r="E82" i="1"/>
  <c r="D70" i="1"/>
  <c r="E70" i="1"/>
  <c r="D72" i="1"/>
  <c r="E72" i="1"/>
  <c r="D76" i="1"/>
  <c r="E76" i="1"/>
  <c r="D80" i="1"/>
  <c r="E80" i="1"/>
  <c r="D84" i="1"/>
  <c r="E84" i="1"/>
  <c r="D77" i="1"/>
  <c r="E77" i="1"/>
  <c r="E81" i="1"/>
  <c r="D81" i="1"/>
  <c r="H69" i="1"/>
  <c r="H78" i="1"/>
  <c r="B78" i="1"/>
  <c r="B77" i="1"/>
  <c r="B84" i="1"/>
  <c r="B80" i="1"/>
  <c r="B76" i="1"/>
  <c r="H72" i="1"/>
  <c r="B72" i="1"/>
  <c r="B70" i="1"/>
  <c r="H82" i="1"/>
  <c r="B82" i="1"/>
  <c r="B75" i="1"/>
  <c r="B74" i="1"/>
  <c r="B83" i="1"/>
  <c r="B79" i="1"/>
  <c r="B73" i="1"/>
  <c r="H71" i="1"/>
  <c r="B71" i="1"/>
  <c r="B69" i="1"/>
  <c r="H81" i="1"/>
  <c r="B81" i="1"/>
  <c r="D27" i="1"/>
  <c r="D29" i="1"/>
  <c r="D31" i="1"/>
  <c r="D33" i="1"/>
  <c r="D35" i="1"/>
  <c r="D37" i="1"/>
  <c r="D39" i="1"/>
  <c r="D41" i="1"/>
  <c r="D43" i="1"/>
  <c r="D45" i="1"/>
  <c r="D47" i="1"/>
  <c r="D25" i="1"/>
  <c r="B47" i="1"/>
  <c r="B45" i="1"/>
  <c r="B43" i="1"/>
  <c r="B41" i="1"/>
  <c r="B39" i="1"/>
  <c r="B37" i="1"/>
  <c r="B35" i="1"/>
  <c r="B33" i="1"/>
  <c r="B31" i="1"/>
  <c r="B29" i="1"/>
  <c r="B27" i="1"/>
  <c r="B25" i="1"/>
  <c r="I4" i="3"/>
  <c r="G3" i="3"/>
  <c r="J3" i="3" s="1"/>
  <c r="G4" i="3"/>
  <c r="J4" i="3" s="1"/>
  <c r="G5" i="3"/>
  <c r="I5" i="3" s="1"/>
  <c r="G6" i="3"/>
  <c r="J6" i="3" s="1"/>
  <c r="G7" i="3"/>
  <c r="I7" i="3" s="1"/>
  <c r="G8" i="3"/>
  <c r="G9" i="3"/>
  <c r="G10" i="3"/>
  <c r="G11" i="3"/>
  <c r="J11" i="3" s="1"/>
  <c r="G12" i="3"/>
  <c r="J12" i="3" s="1"/>
  <c r="G13" i="3"/>
  <c r="J13" i="3" s="1"/>
  <c r="F3" i="3"/>
  <c r="F4" i="3"/>
  <c r="F5" i="3"/>
  <c r="J5" i="3" s="1"/>
  <c r="F6" i="3"/>
  <c r="F7" i="3"/>
  <c r="J7" i="3" s="1"/>
  <c r="F8" i="3"/>
  <c r="J8" i="3" s="1"/>
  <c r="F9" i="3"/>
  <c r="J9" i="3" s="1"/>
  <c r="F10" i="3"/>
  <c r="J10" i="3" s="1"/>
  <c r="F11" i="3"/>
  <c r="F12" i="3"/>
  <c r="F13" i="3"/>
  <c r="G2" i="3"/>
  <c r="F2" i="3"/>
  <c r="J2" i="3" s="1"/>
  <c r="B2" i="3"/>
  <c r="H60" i="1"/>
  <c r="B67" i="1"/>
  <c r="F67" i="1"/>
  <c r="G67" i="1"/>
  <c r="B68" i="1"/>
  <c r="F68" i="1"/>
  <c r="G68" i="1"/>
  <c r="B17" i="1"/>
  <c r="B18" i="1"/>
  <c r="B19" i="1"/>
  <c r="B5" i="1"/>
  <c r="E60" i="1"/>
  <c r="D60" i="1"/>
  <c r="G2" i="1"/>
  <c r="G5" i="1"/>
  <c r="G7" i="1"/>
  <c r="G8" i="1"/>
  <c r="G9" i="1"/>
  <c r="G11" i="1"/>
  <c r="G13" i="1"/>
  <c r="G15" i="1"/>
  <c r="G17" i="1"/>
  <c r="G20" i="1"/>
  <c r="G22" i="1"/>
  <c r="G23" i="1"/>
  <c r="G3" i="1"/>
  <c r="G6" i="1"/>
  <c r="G10" i="1"/>
  <c r="G12" i="1"/>
  <c r="G14" i="1"/>
  <c r="G16" i="1"/>
  <c r="G18" i="1"/>
  <c r="G21" i="1"/>
  <c r="G24" i="1"/>
  <c r="G4" i="1"/>
  <c r="G19" i="1"/>
  <c r="G51" i="1"/>
  <c r="G52" i="1"/>
  <c r="G53" i="1"/>
  <c r="G54" i="1"/>
  <c r="G55" i="1"/>
  <c r="G56" i="1"/>
  <c r="G58" i="1"/>
  <c r="G59" i="1"/>
  <c r="G50" i="1"/>
  <c r="G57" i="1"/>
  <c r="G61" i="1"/>
  <c r="G62" i="1"/>
  <c r="G63" i="1"/>
  <c r="G64" i="1"/>
  <c r="G65" i="1"/>
  <c r="G66" i="1"/>
  <c r="F5" i="1"/>
  <c r="F7" i="1"/>
  <c r="F8" i="1"/>
  <c r="F9" i="1"/>
  <c r="F11" i="1"/>
  <c r="F13" i="1"/>
  <c r="F15" i="1"/>
  <c r="F17" i="1"/>
  <c r="F20" i="1"/>
  <c r="F22" i="1"/>
  <c r="F23" i="1"/>
  <c r="F3" i="1"/>
  <c r="F6" i="1"/>
  <c r="F10" i="1"/>
  <c r="F12" i="1"/>
  <c r="F14" i="1"/>
  <c r="F16" i="1"/>
  <c r="F18" i="1"/>
  <c r="F21" i="1"/>
  <c r="F24" i="1"/>
  <c r="F4" i="1"/>
  <c r="F19" i="1"/>
  <c r="F49" i="1"/>
  <c r="F51" i="1"/>
  <c r="F52" i="1"/>
  <c r="F53" i="1"/>
  <c r="F54" i="1"/>
  <c r="F55" i="1"/>
  <c r="F56" i="1"/>
  <c r="F58" i="1"/>
  <c r="F59" i="1"/>
  <c r="F50" i="1"/>
  <c r="F57" i="1"/>
  <c r="F61" i="1"/>
  <c r="F62" i="1"/>
  <c r="F63" i="1"/>
  <c r="F64" i="1"/>
  <c r="F65" i="1"/>
  <c r="F66" i="1"/>
  <c r="F2" i="1"/>
  <c r="B60" i="1"/>
  <c r="B65" i="1"/>
  <c r="B64" i="1"/>
  <c r="B62" i="1"/>
  <c r="B63" i="1"/>
  <c r="B66" i="1"/>
  <c r="B61" i="1"/>
  <c r="B57" i="1"/>
  <c r="B50" i="1"/>
  <c r="B51" i="1"/>
  <c r="B52" i="1"/>
  <c r="B53" i="1"/>
  <c r="B54" i="1"/>
  <c r="B55" i="1"/>
  <c r="B56" i="1"/>
  <c r="B58" i="1"/>
  <c r="B59" i="1"/>
  <c r="B49" i="1"/>
  <c r="B4" i="1"/>
  <c r="B6" i="1"/>
  <c r="B10" i="1"/>
  <c r="B12" i="1"/>
  <c r="B14" i="1"/>
  <c r="B16" i="1"/>
  <c r="B21" i="1"/>
  <c r="B24" i="1"/>
  <c r="B3" i="1"/>
  <c r="B7" i="1"/>
  <c r="B8" i="1"/>
  <c r="B9" i="1"/>
  <c r="B11" i="1"/>
  <c r="B13" i="1"/>
  <c r="B15" i="1"/>
  <c r="B20" i="1"/>
  <c r="B22" i="1"/>
  <c r="B23" i="1"/>
  <c r="B2" i="1"/>
  <c r="I6" i="3" l="1"/>
  <c r="I9" i="3"/>
  <c r="I8" i="3"/>
  <c r="I3" i="3"/>
  <c r="I2" i="3"/>
  <c r="I13" i="3"/>
  <c r="I12" i="3"/>
  <c r="I11" i="3"/>
  <c r="I10" i="3"/>
  <c r="H37" i="10"/>
  <c r="H41" i="10"/>
  <c r="H2" i="10"/>
  <c r="H6" i="10"/>
  <c r="H10" i="10"/>
  <c r="H14" i="10"/>
  <c r="H18" i="10"/>
  <c r="H22" i="10"/>
  <c r="H26" i="10"/>
  <c r="H30" i="10"/>
  <c r="H34" i="10"/>
  <c r="H38" i="10"/>
  <c r="H42" i="10"/>
  <c r="H3" i="10"/>
  <c r="H7" i="10"/>
  <c r="H11" i="10"/>
  <c r="H15" i="10"/>
  <c r="H19" i="10"/>
  <c r="H23" i="10"/>
  <c r="H27" i="10"/>
  <c r="H31" i="10"/>
  <c r="H35" i="10"/>
  <c r="H39" i="10"/>
  <c r="H43" i="10"/>
  <c r="H8" i="10"/>
  <c r="H16" i="10"/>
  <c r="H28" i="10"/>
  <c r="H44" i="10"/>
  <c r="H12" i="10"/>
  <c r="H20" i="10"/>
  <c r="H32" i="10"/>
  <c r="H40" i="10"/>
  <c r="H5" i="10"/>
  <c r="H9" i="10"/>
  <c r="H13" i="10"/>
  <c r="H17" i="10"/>
  <c r="H21" i="10"/>
  <c r="H25" i="10"/>
  <c r="H29" i="10"/>
  <c r="H33" i="10"/>
  <c r="H4" i="10"/>
  <c r="H24" i="10"/>
  <c r="H4" i="9"/>
  <c r="H10" i="9"/>
  <c r="H11" i="9"/>
  <c r="H7" i="9"/>
  <c r="H5" i="9"/>
  <c r="H2" i="9"/>
  <c r="H8" i="9"/>
  <c r="H3" i="9"/>
  <c r="H6" i="9"/>
  <c r="H9" i="9"/>
  <c r="H31" i="4"/>
  <c r="H41" i="4"/>
  <c r="H38" i="4"/>
  <c r="E25" i="1"/>
  <c r="E43" i="1"/>
  <c r="E47" i="1"/>
  <c r="E45" i="1"/>
  <c r="E41" i="1"/>
  <c r="E30" i="1"/>
  <c r="H3" i="8"/>
  <c r="H5" i="8"/>
  <c r="H9" i="8"/>
  <c r="J2" i="8"/>
  <c r="I5" i="8"/>
  <c r="J9" i="8"/>
  <c r="H11" i="8"/>
  <c r="H7" i="8"/>
  <c r="J3" i="8"/>
  <c r="J6" i="8"/>
  <c r="J10" i="8"/>
  <c r="I3" i="8"/>
  <c r="H8" i="8"/>
  <c r="I11" i="8"/>
  <c r="H6" i="8"/>
  <c r="I9" i="8"/>
  <c r="H4" i="8"/>
  <c r="H12" i="8"/>
  <c r="I12" i="8"/>
  <c r="I7" i="8"/>
  <c r="H2" i="8"/>
  <c r="H10" i="8"/>
  <c r="J13" i="8"/>
  <c r="H32" i="1"/>
  <c r="H35" i="1"/>
  <c r="H29" i="1"/>
  <c r="H33" i="1"/>
  <c r="H37" i="1"/>
  <c r="H27" i="1"/>
  <c r="I2" i="8"/>
  <c r="I4" i="8"/>
  <c r="I6" i="8"/>
  <c r="I8" i="8"/>
  <c r="I10" i="8"/>
  <c r="H13" i="8"/>
  <c r="I13" i="8"/>
  <c r="H34" i="1"/>
  <c r="E26" i="1"/>
  <c r="H40" i="1"/>
  <c r="H2" i="4"/>
  <c r="H6" i="4"/>
  <c r="H10" i="4"/>
  <c r="H14" i="4"/>
  <c r="H18" i="4"/>
  <c r="H22" i="4"/>
  <c r="H30" i="4"/>
  <c r="H34" i="4"/>
  <c r="H28" i="4"/>
  <c r="H25" i="4"/>
  <c r="H40" i="4"/>
  <c r="H32" i="4"/>
  <c r="H44" i="4"/>
  <c r="H26" i="4"/>
  <c r="H3" i="4"/>
  <c r="H7" i="4"/>
  <c r="H11" i="4"/>
  <c r="H15" i="4"/>
  <c r="H19" i="4"/>
  <c r="H23" i="4"/>
  <c r="H4" i="4"/>
  <c r="H12" i="4"/>
  <c r="H20" i="4"/>
  <c r="H24" i="4"/>
  <c r="H45" i="4"/>
  <c r="H5" i="4"/>
  <c r="H9" i="4"/>
  <c r="H13" i="4"/>
  <c r="H17" i="4"/>
  <c r="H21" i="4"/>
  <c r="H39" i="4"/>
  <c r="H8" i="4"/>
  <c r="H16" i="4"/>
  <c r="H42" i="4"/>
  <c r="H35" i="4"/>
  <c r="H28" i="1"/>
  <c r="H48" i="1"/>
  <c r="E36" i="1"/>
  <c r="E42" i="1"/>
  <c r="H44" i="1"/>
  <c r="H38" i="1"/>
  <c r="H46" i="1"/>
  <c r="E39" i="1"/>
  <c r="E31" i="1"/>
  <c r="H76" i="1"/>
  <c r="H80" i="1"/>
  <c r="H84" i="1"/>
  <c r="H77" i="1"/>
  <c r="H70" i="1"/>
  <c r="H83" i="1"/>
  <c r="H74" i="1"/>
  <c r="H75" i="1"/>
  <c r="H73" i="1"/>
  <c r="H79" i="1"/>
  <c r="H64" i="1"/>
  <c r="H52" i="1"/>
  <c r="H6" i="1"/>
  <c r="H5" i="1"/>
  <c r="H62" i="1"/>
  <c r="H23" i="1"/>
  <c r="H57" i="1"/>
  <c r="H4" i="1"/>
  <c r="H20" i="1"/>
  <c r="H59" i="1"/>
  <c r="H21" i="1"/>
  <c r="H15" i="1"/>
  <c r="H58" i="1"/>
  <c r="H18" i="1"/>
  <c r="H13" i="1"/>
  <c r="H49" i="1"/>
  <c r="H65" i="1"/>
  <c r="H53" i="1"/>
  <c r="H10" i="1"/>
  <c r="H7" i="1"/>
  <c r="H55" i="1"/>
  <c r="H14" i="1"/>
  <c r="H9" i="1"/>
  <c r="H68" i="1"/>
  <c r="H66" i="1"/>
  <c r="H12" i="1"/>
  <c r="H67" i="1"/>
  <c r="H63" i="1"/>
  <c r="H51" i="1"/>
  <c r="H3" i="1"/>
  <c r="H2" i="1"/>
  <c r="H8" i="1"/>
  <c r="H61" i="1"/>
  <c r="H19" i="1"/>
  <c r="H22" i="1"/>
  <c r="H54" i="1"/>
  <c r="H56" i="1"/>
  <c r="H16" i="1"/>
  <c r="H11" i="1"/>
  <c r="H50" i="1"/>
  <c r="H24" i="1"/>
  <c r="H17" i="1"/>
  <c r="H13" i="3"/>
  <c r="H3" i="3"/>
  <c r="H5" i="3"/>
  <c r="H11" i="3"/>
  <c r="H12" i="3"/>
  <c r="H6" i="3"/>
  <c r="H7" i="3"/>
  <c r="H10" i="3"/>
  <c r="H9" i="3"/>
  <c r="H2" i="3"/>
  <c r="H4" i="3"/>
  <c r="H8" i="3"/>
</calcChain>
</file>

<file path=xl/sharedStrings.xml><?xml version="1.0" encoding="utf-8"?>
<sst xmlns="http://schemas.openxmlformats.org/spreadsheetml/2006/main" count="1256" uniqueCount="218">
  <si>
    <t>Chromosome</t>
  </si>
  <si>
    <t>Coordinates</t>
  </si>
  <si>
    <t>Total Sequence in Gaps (Mb)</t>
  </si>
  <si>
    <t>Chr1</t>
  </si>
  <si>
    <t>Chr2</t>
  </si>
  <si>
    <t>Chr3</t>
  </si>
  <si>
    <t>Chr4</t>
  </si>
  <si>
    <t>Chr5</t>
  </si>
  <si>
    <t>Chr6</t>
  </si>
  <si>
    <t>Chr7</t>
  </si>
  <si>
    <t>Chr8</t>
  </si>
  <si>
    <t>Chr9</t>
  </si>
  <si>
    <t>Chr10</t>
  </si>
  <si>
    <t>Chr11</t>
  </si>
  <si>
    <t>Chr12</t>
  </si>
  <si>
    <t>TOTAL</t>
  </si>
  <si>
    <t>StartCoord</t>
  </si>
  <si>
    <t>StopCoord</t>
  </si>
  <si>
    <t>Type</t>
  </si>
  <si>
    <t>CenArray</t>
  </si>
  <si>
    <t>InterArray</t>
  </si>
  <si>
    <t>Chr03</t>
  </si>
  <si>
    <t>Chr05</t>
  </si>
  <si>
    <t>Chr06</t>
  </si>
  <si>
    <t>Chr09</t>
  </si>
  <si>
    <t>IntraSpInv</t>
  </si>
  <si>
    <t>N_array</t>
  </si>
  <si>
    <t>Chr01</t>
  </si>
  <si>
    <t>Chr02</t>
  </si>
  <si>
    <t>Chr04</t>
  </si>
  <si>
    <t>Chr07</t>
  </si>
  <si>
    <t>Chr08</t>
  </si>
  <si>
    <t>scaffold</t>
  </si>
  <si>
    <t>Stop</t>
  </si>
  <si>
    <t>Start</t>
  </si>
  <si>
    <t>InterSpInv</t>
  </si>
  <si>
    <t>Cen</t>
  </si>
  <si>
    <t>BufferStart</t>
  </si>
  <si>
    <t>BufferStop</t>
  </si>
  <si>
    <t>Length</t>
  </si>
  <si>
    <t>Type2</t>
  </si>
  <si>
    <t>Cent</t>
  </si>
  <si>
    <t>INV</t>
  </si>
  <si>
    <t>CenBuffer</t>
  </si>
  <si>
    <t>InvBuffer</t>
  </si>
  <si>
    <t>CenInterArray</t>
  </si>
  <si>
    <t>Type3</t>
  </si>
  <si>
    <t>Row Labels</t>
  </si>
  <si>
    <t>(blank)</t>
  </si>
  <si>
    <t>Grand Total</t>
  </si>
  <si>
    <t>Sum of Length</t>
  </si>
  <si>
    <t>CenArrayChr01</t>
  </si>
  <si>
    <t>CenArrayChr02</t>
  </si>
  <si>
    <t>CenArrayChr03</t>
  </si>
  <si>
    <t>CenArrayChr04</t>
  </si>
  <si>
    <t>CenArrayChr05</t>
  </si>
  <si>
    <t>CenArrayChr06</t>
  </si>
  <si>
    <t>CenArrayChr07</t>
  </si>
  <si>
    <t>CenArrayChr08</t>
  </si>
  <si>
    <t>CenArrayChr09</t>
  </si>
  <si>
    <t>CenArrayChr10</t>
  </si>
  <si>
    <t>CenArrayChr11</t>
  </si>
  <si>
    <t>CenArrayChr12</t>
  </si>
  <si>
    <t>InterArrayChr01</t>
  </si>
  <si>
    <t>InterArrayChr02</t>
  </si>
  <si>
    <t>InterArrayChr05</t>
  </si>
  <si>
    <t>InterArrayChr06</t>
  </si>
  <si>
    <t>InterArrayChr07</t>
  </si>
  <si>
    <t>InterArrayChr08</t>
  </si>
  <si>
    <t>InterArrayChr09</t>
  </si>
  <si>
    <t>InterArrayChr10</t>
  </si>
  <si>
    <t>InterArrayChr12</t>
  </si>
  <si>
    <t>InterSpInvChr10</t>
  </si>
  <si>
    <t>IntraSpInvChr03</t>
  </si>
  <si>
    <t>IntraSpInvChr05</t>
  </si>
  <si>
    <t>IntraSpInvChr06</t>
  </si>
  <si>
    <t>IntraSpInvChr09</t>
  </si>
  <si>
    <t>IntraSpInvChr11</t>
  </si>
  <si>
    <t>CentB</t>
  </si>
  <si>
    <t>INVb</t>
  </si>
  <si>
    <t>Centromere</t>
  </si>
  <si>
    <t>Inversion</t>
  </si>
  <si>
    <t>chr_start</t>
  </si>
  <si>
    <t>chromosome</t>
  </si>
  <si>
    <t>start</t>
  </si>
  <si>
    <t>end</t>
  </si>
  <si>
    <t>inversion_id.x</t>
  </si>
  <si>
    <t>inv_type.x</t>
  </si>
  <si>
    <t>span_bp.x</t>
  </si>
  <si>
    <t>variant_count.x</t>
  </si>
  <si>
    <t>coordinate_system.x</t>
  </si>
  <si>
    <t>Chr01_149626</t>
  </si>
  <si>
    <t>INV1774</t>
  </si>
  <si>
    <t>REF</t>
  </si>
  <si>
    <t>intersp</t>
  </si>
  <si>
    <t>Chr01_37462949</t>
  </si>
  <si>
    <t>INV1779</t>
  </si>
  <si>
    <t>Chr01_44646605</t>
  </si>
  <si>
    <t>INV1782</t>
  </si>
  <si>
    <t>Chr01_47849883</t>
  </si>
  <si>
    <t>INV901</t>
  </si>
  <si>
    <t>hap</t>
  </si>
  <si>
    <t>Chr01_50991354</t>
  </si>
  <si>
    <t>INV902</t>
  </si>
  <si>
    <t>Chr01_51285202</t>
  </si>
  <si>
    <t>INV1784</t>
  </si>
  <si>
    <t>Chr01_52189871</t>
  </si>
  <si>
    <t>INV903</t>
  </si>
  <si>
    <t>Chr01_7084189</t>
  </si>
  <si>
    <t>INV897</t>
  </si>
  <si>
    <t>Chr02_31281477</t>
  </si>
  <si>
    <t>INV1788</t>
  </si>
  <si>
    <t>Chr02_42821672</t>
  </si>
  <si>
    <t>INV1791</t>
  </si>
  <si>
    <t>Chr02_44532205</t>
  </si>
  <si>
    <t>INV1792</t>
  </si>
  <si>
    <t>Chr02_51581359</t>
  </si>
  <si>
    <t>INV1793</t>
  </si>
  <si>
    <t>Chr02_68146229</t>
  </si>
  <si>
    <t>INV1796</t>
  </si>
  <si>
    <t>Chr03_13150635</t>
  </si>
  <si>
    <t>INV911</t>
  </si>
  <si>
    <t>Chr03_29851424</t>
  </si>
  <si>
    <t>INV1800</t>
  </si>
  <si>
    <t>Chr03_34146215</t>
  </si>
  <si>
    <t>INV913</t>
  </si>
  <si>
    <t>Chr04_19470902</t>
  </si>
  <si>
    <t>INV916</t>
  </si>
  <si>
    <t>Chr04_19649444</t>
  </si>
  <si>
    <t>INV917</t>
  </si>
  <si>
    <t>Chr04_29131061</t>
  </si>
  <si>
    <t>INVDP2848</t>
  </si>
  <si>
    <t>INVDP</t>
  </si>
  <si>
    <t>Chr04_33405912</t>
  </si>
  <si>
    <t>INV918</t>
  </si>
  <si>
    <t>Chr04_33756784</t>
  </si>
  <si>
    <t>INV919</t>
  </si>
  <si>
    <t>Chr05_17291346</t>
  </si>
  <si>
    <t>INV925</t>
  </si>
  <si>
    <t>Chr05_21834661</t>
  </si>
  <si>
    <t>INV926</t>
  </si>
  <si>
    <t>Chr05_47251888</t>
  </si>
  <si>
    <t>INV929</t>
  </si>
  <si>
    <t>Chr05_49492465</t>
  </si>
  <si>
    <t>INV930</t>
  </si>
  <si>
    <t>Chr05_51327874</t>
  </si>
  <si>
    <t>INV931</t>
  </si>
  <si>
    <t>Chr05_56273069</t>
  </si>
  <si>
    <t>INV1821</t>
  </si>
  <si>
    <t>Chr05_64547172</t>
  </si>
  <si>
    <t>INV933</t>
  </si>
  <si>
    <t>Chr05_64821634</t>
  </si>
  <si>
    <t>INV1823</t>
  </si>
  <si>
    <t>Chr05_64954979</t>
  </si>
  <si>
    <t>INV934</t>
  </si>
  <si>
    <t>Chr06_15235577</t>
  </si>
  <si>
    <t>INV937</t>
  </si>
  <si>
    <t>Chr06_34928752</t>
  </si>
  <si>
    <t>INV940</t>
  </si>
  <si>
    <t>Chr06_47433824</t>
  </si>
  <si>
    <t>INV1835</t>
  </si>
  <si>
    <t>Chr06_8815300</t>
  </si>
  <si>
    <t>INV936</t>
  </si>
  <si>
    <t>Chr07_11394059</t>
  </si>
  <si>
    <t>INV944</t>
  </si>
  <si>
    <t>Chr07_28365157</t>
  </si>
  <si>
    <t>INV948</t>
  </si>
  <si>
    <t>Chr07_33525886</t>
  </si>
  <si>
    <t>INV951</t>
  </si>
  <si>
    <t>Chr08_35057395</t>
  </si>
  <si>
    <t>INV959</t>
  </si>
  <si>
    <t>Chr08_45836191</t>
  </si>
  <si>
    <t>INV963</t>
  </si>
  <si>
    <t>Chr08_55873686</t>
  </si>
  <si>
    <t>INV1851</t>
  </si>
  <si>
    <t>Chr08_56940391</t>
  </si>
  <si>
    <t>INV967</t>
  </si>
  <si>
    <t>Chr09_17711839</t>
  </si>
  <si>
    <t>INV1863</t>
  </si>
  <si>
    <t>Chr09_2386252</t>
  </si>
  <si>
    <t>INV969</t>
  </si>
  <si>
    <t>Chr09_39775010</t>
  </si>
  <si>
    <t>INV1866</t>
  </si>
  <si>
    <t>Chr09_4450932</t>
  </si>
  <si>
    <t>INV1856</t>
  </si>
  <si>
    <t>Chr09_4711456</t>
  </si>
  <si>
    <t>INV970</t>
  </si>
  <si>
    <t>Chr09_7558860</t>
  </si>
  <si>
    <t>INV1860</t>
  </si>
  <si>
    <t>Chr09_9809792</t>
  </si>
  <si>
    <t>INV971</t>
  </si>
  <si>
    <t>Chr10_19037622</t>
  </si>
  <si>
    <t>INV1869</t>
  </si>
  <si>
    <t>Chr10_29604687</t>
  </si>
  <si>
    <t>INV975</t>
  </si>
  <si>
    <t>Chr10_33282116</t>
  </si>
  <si>
    <t>INV1873</t>
  </si>
  <si>
    <t>Chr10_53484874</t>
  </si>
  <si>
    <t>INV976</t>
  </si>
  <si>
    <t>Chr10_55425135</t>
  </si>
  <si>
    <t>INV977</t>
  </si>
  <si>
    <t>Chr10_6735229</t>
  </si>
  <si>
    <t>INV1868</t>
  </si>
  <si>
    <t>Chr11_37234983</t>
  </si>
  <si>
    <t>INV980</t>
  </si>
  <si>
    <t>Chr11_5721507</t>
  </si>
  <si>
    <t>INV978</t>
  </si>
  <si>
    <t>Chr12_20480427</t>
  </si>
  <si>
    <t>INV1886</t>
  </si>
  <si>
    <t>Chr12_20889855</t>
  </si>
  <si>
    <t>INV1887</t>
  </si>
  <si>
    <t>Chr12_23512955</t>
  </si>
  <si>
    <t>INV988</t>
  </si>
  <si>
    <t>Chr12_34704236</t>
  </si>
  <si>
    <t>INV991</t>
  </si>
  <si>
    <t>intercent</t>
  </si>
  <si>
    <t>rightcent</t>
  </si>
  <si>
    <t>interarray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</si>
</sst>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3" fillId="0" borderId="0" xfId="0" applyFont="1"/>
    <xf numFmtId="0" fontId="1" fillId="0" borderId="2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1" xfId="0" applyBorder="1"/>
    <xf numFmtId="0" fontId="2" fillId="0" borderId="0" xfId="0" applyFont="1" applyBorder="1" applyAlignment="1">
      <alignment wrapText="1"/>
    </xf>
    <xf numFmtId="2" fontId="3" fillId="0" borderId="1" xfId="0" applyNumberFormat="1" applyFont="1" applyBorder="1"/>
    <xf numFmtId="0" fontId="1" fillId="0" borderId="3" xfId="0" applyFont="1" applyFill="1" applyBorder="1" applyAlignment="1">
      <alignment horizontal="center" wrapText="1"/>
    </xf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5" fillId="0" borderId="1" xfId="0" applyFont="1" applyBorder="1"/>
    <xf numFmtId="2" fontId="2" fillId="0" borderId="1" xfId="0" applyNumberFormat="1" applyFont="1" applyBorder="1"/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5" fillId="0" borderId="0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bekah Mohn" refreshedDate="45709.442476041666" createdVersion="7" refreshedVersion="7" minRefreshableVersion="3" recordCount="44" xr:uid="{33332481-7637-4D00-9C19-6DF1E6C69838}">
  <cacheSource type="worksheet">
    <worksheetSource ref="H1:J1048576" sheet="Sheet5"/>
  </cacheSource>
  <cacheFields count="3">
    <cacheField name="Length" numFmtId="0">
      <sharedItems containsString="0" containsBlank="1" containsNumber="1" minValue="90000" maxValue="15540000"/>
    </cacheField>
    <cacheField name="Type2" numFmtId="0">
      <sharedItems containsBlank="1"/>
    </cacheField>
    <cacheField name="Type3" numFmtId="0">
      <sharedItems containsBlank="1" count="28">
        <s v="CenArrayChr01"/>
        <s v="CenArrayChr02"/>
        <s v="CenArrayChr03"/>
        <s v="CenArrayChr04"/>
        <s v="CenArrayChr05"/>
        <s v="CenArrayChr06"/>
        <s v="CenArrayChr07"/>
        <s v="CenArrayChr08"/>
        <s v="CenArrayChr09"/>
        <s v="CenArrayChr10"/>
        <s v="CenArrayChr11"/>
        <s v="CenArrayChr12"/>
        <s v="InterArrayChr01"/>
        <s v="InterArrayChr02"/>
        <s v="InterArrayChr05"/>
        <s v="InterArrayChr06"/>
        <s v="InterArrayChr07"/>
        <s v="InterArrayChr08"/>
        <s v="InterArrayChr09"/>
        <s v="InterArrayChr10"/>
        <s v="InterArrayChr12"/>
        <s v="InterSpInvChr10"/>
        <s v="IntraSpInvChr03"/>
        <s v="IntraSpInvChr05"/>
        <s v="IntraSpInvChr06"/>
        <s v="IntraSpInvChr09"/>
        <s v="IntraSpInvChr1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620000"/>
    <s v="Cent"/>
    <x v="0"/>
  </r>
  <r>
    <n v="380000"/>
    <s v="Cent"/>
    <x v="1"/>
  </r>
  <r>
    <n v="3200000"/>
    <s v="Cent"/>
    <x v="2"/>
  </r>
  <r>
    <n v="2090000"/>
    <s v="Cent"/>
    <x v="3"/>
  </r>
  <r>
    <n v="1190000"/>
    <s v="Cent"/>
    <x v="4"/>
  </r>
  <r>
    <n v="1030000"/>
    <s v="Cent"/>
    <x v="5"/>
  </r>
  <r>
    <n v="450000"/>
    <s v="Cent"/>
    <x v="6"/>
  </r>
  <r>
    <n v="450000"/>
    <s v="Cent"/>
    <x v="7"/>
  </r>
  <r>
    <n v="939999.99999999814"/>
    <s v="Cent"/>
    <x v="8"/>
  </r>
  <r>
    <n v="1300000"/>
    <s v="Cent"/>
    <x v="9"/>
  </r>
  <r>
    <n v="2080000"/>
    <s v="Cent"/>
    <x v="10"/>
  </r>
  <r>
    <n v="890000"/>
    <s v="Cent"/>
    <x v="11"/>
  </r>
  <r>
    <n v="290000"/>
    <s v="Cent"/>
    <x v="0"/>
  </r>
  <r>
    <n v="700000"/>
    <s v="Cent"/>
    <x v="1"/>
  </r>
  <r>
    <n v="1100000"/>
    <s v="Cent"/>
    <x v="4"/>
  </r>
  <r>
    <n v="760000"/>
    <s v="Cent"/>
    <x v="5"/>
  </r>
  <r>
    <n v="420000"/>
    <s v="Cent"/>
    <x v="6"/>
  </r>
  <r>
    <n v="1230000"/>
    <s v="Cent"/>
    <x v="7"/>
  </r>
  <r>
    <n v="90000"/>
    <s v="Cent"/>
    <x v="8"/>
  </r>
  <r>
    <n v="750000"/>
    <s v="Cent"/>
    <x v="9"/>
  </r>
  <r>
    <n v="550000"/>
    <s v="Cent"/>
    <x v="11"/>
  </r>
  <r>
    <n v="480000"/>
    <s v="Cent"/>
    <x v="0"/>
  </r>
  <r>
    <n v="720000"/>
    <s v="Cent"/>
    <x v="8"/>
  </r>
  <r>
    <n v="680000"/>
    <s v="Cent"/>
    <x v="12"/>
  </r>
  <r>
    <n v="820000"/>
    <s v="Cent"/>
    <x v="13"/>
  </r>
  <r>
    <n v="820000"/>
    <s v="Cent"/>
    <x v="14"/>
  </r>
  <r>
    <n v="770000"/>
    <s v="Cent"/>
    <x v="15"/>
  </r>
  <r>
    <n v="1200000"/>
    <s v="Cent"/>
    <x v="16"/>
  </r>
  <r>
    <n v="410000"/>
    <s v="Cent"/>
    <x v="17"/>
  </r>
  <r>
    <n v="300000"/>
    <s v="Cent"/>
    <x v="18"/>
  </r>
  <r>
    <n v="540000"/>
    <s v="Cent"/>
    <x v="19"/>
  </r>
  <r>
    <n v="1510000"/>
    <s v="Cent"/>
    <x v="20"/>
  </r>
  <r>
    <n v="680000"/>
    <s v="Cent"/>
    <x v="12"/>
  </r>
  <r>
    <n v="90000"/>
    <s v="Cent"/>
    <x v="18"/>
  </r>
  <r>
    <n v="6046179"/>
    <s v="INV"/>
    <x v="21"/>
  </r>
  <r>
    <n v="2480000"/>
    <s v="INV"/>
    <x v="22"/>
  </r>
  <r>
    <n v="3710000"/>
    <s v="INV"/>
    <x v="23"/>
  </r>
  <r>
    <n v="2540000"/>
    <s v="INV"/>
    <x v="24"/>
  </r>
  <r>
    <n v="6830000.0000000019"/>
    <s v="INV"/>
    <x v="25"/>
  </r>
  <r>
    <n v="3250000"/>
    <s v="INV"/>
    <x v="25"/>
  </r>
  <r>
    <n v="15540000"/>
    <s v="INV"/>
    <x v="26"/>
  </r>
  <r>
    <n v="1760000"/>
    <s v="INV"/>
    <x v="24"/>
  </r>
  <r>
    <n v="10960000"/>
    <s v="INV"/>
    <x v="24"/>
  </r>
  <r>
    <m/>
    <m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E86B7-2CDE-4A62-ABED-864361F019CA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B30" firstHeaderRow="1" firstDataRow="1" firstDataCol="1"/>
  <pivotFields count="3">
    <pivotField dataField="1" showAll="0"/>
    <pivotField showAll="0"/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Length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opLeftCell="A55" workbookViewId="0">
      <selection activeCell="A55" sqref="A1:XFD1048576"/>
    </sheetView>
  </sheetViews>
  <sheetFormatPr defaultRowHeight="14.6" x14ac:dyDescent="0.4"/>
  <cols>
    <col min="1" max="1" width="13.15234375" bestFit="1" customWidth="1"/>
    <col min="2" max="3" width="10" bestFit="1" customWidth="1"/>
    <col min="4" max="4" width="10.69140625" bestFit="1" customWidth="1"/>
    <col min="5" max="5" width="10.53515625" bestFit="1" customWidth="1"/>
    <col min="6" max="7" width="25.53515625" customWidth="1"/>
  </cols>
  <sheetData>
    <row r="1" spans="1:9" ht="15" thickBot="1" x14ac:dyDescent="0.45">
      <c r="A1" s="1" t="s">
        <v>32</v>
      </c>
      <c r="B1" s="1" t="s">
        <v>26</v>
      </c>
      <c r="C1" s="1" t="s">
        <v>18</v>
      </c>
      <c r="D1" s="1" t="s">
        <v>16</v>
      </c>
      <c r="E1" s="1" t="s">
        <v>17</v>
      </c>
      <c r="F1" s="6" t="s">
        <v>34</v>
      </c>
      <c r="G1" s="6" t="s">
        <v>33</v>
      </c>
      <c r="I1" s="12" t="s">
        <v>40</v>
      </c>
    </row>
    <row r="2" spans="1:9" ht="15" thickBot="1" x14ac:dyDescent="0.45">
      <c r="A2" s="2" t="s">
        <v>27</v>
      </c>
      <c r="B2" s="2" t="str">
        <f>_xlfn.CONCAT(C2,1)</f>
        <v>CenArray1</v>
      </c>
      <c r="C2" s="2" t="s">
        <v>19</v>
      </c>
      <c r="D2" s="2">
        <v>43</v>
      </c>
      <c r="E2" s="2">
        <v>43.62</v>
      </c>
      <c r="F2" s="13">
        <f t="shared" ref="F2:F24" si="0">D2*1000000</f>
        <v>43000000</v>
      </c>
      <c r="G2" s="13">
        <f t="shared" ref="G2:G24" si="1">E2*1000000</f>
        <v>43620000</v>
      </c>
      <c r="H2">
        <f t="shared" ref="H2:H33" si="2">G2-F2</f>
        <v>620000</v>
      </c>
      <c r="I2" s="13" t="s">
        <v>41</v>
      </c>
    </row>
    <row r="3" spans="1:9" ht="15" thickBot="1" x14ac:dyDescent="0.45">
      <c r="A3" s="2" t="s">
        <v>27</v>
      </c>
      <c r="B3" s="2" t="str">
        <f>_xlfn.CONCAT(C3,2)</f>
        <v>CenArray2</v>
      </c>
      <c r="C3" s="2" t="s">
        <v>19</v>
      </c>
      <c r="D3" s="2">
        <v>44.3</v>
      </c>
      <c r="E3" s="2">
        <v>44.59</v>
      </c>
      <c r="F3">
        <f t="shared" si="0"/>
        <v>44300000</v>
      </c>
      <c r="G3">
        <f t="shared" si="1"/>
        <v>44590000</v>
      </c>
      <c r="H3">
        <f t="shared" si="2"/>
        <v>290000</v>
      </c>
      <c r="I3" t="s">
        <v>41</v>
      </c>
    </row>
    <row r="4" spans="1:9" ht="15" thickBot="1" x14ac:dyDescent="0.45">
      <c r="A4" s="2" t="s">
        <v>27</v>
      </c>
      <c r="B4" s="2" t="str">
        <f>_xlfn.CONCAT(C4,3)</f>
        <v>CenArray3</v>
      </c>
      <c r="C4" s="2" t="s">
        <v>19</v>
      </c>
      <c r="D4" s="2">
        <v>45.27</v>
      </c>
      <c r="E4" s="2">
        <v>45.75</v>
      </c>
      <c r="F4">
        <f t="shared" si="0"/>
        <v>45270000</v>
      </c>
      <c r="G4">
        <f t="shared" si="1"/>
        <v>45750000</v>
      </c>
      <c r="H4">
        <f t="shared" si="2"/>
        <v>480000</v>
      </c>
      <c r="I4" t="s">
        <v>41</v>
      </c>
    </row>
    <row r="5" spans="1:9" ht="15" thickBot="1" x14ac:dyDescent="0.45">
      <c r="A5" s="2" t="s">
        <v>28</v>
      </c>
      <c r="B5" s="2" t="str">
        <f>_xlfn.CONCAT(C5,1)</f>
        <v>CenArray1</v>
      </c>
      <c r="C5" s="2" t="s">
        <v>19</v>
      </c>
      <c r="D5" s="2">
        <v>40.9</v>
      </c>
      <c r="E5" s="2">
        <v>41.28</v>
      </c>
      <c r="F5">
        <f t="shared" si="0"/>
        <v>40900000</v>
      </c>
      <c r="G5">
        <f t="shared" si="1"/>
        <v>41280000</v>
      </c>
      <c r="H5">
        <f t="shared" si="2"/>
        <v>380000</v>
      </c>
      <c r="I5" t="s">
        <v>41</v>
      </c>
    </row>
    <row r="6" spans="1:9" ht="15" thickBot="1" x14ac:dyDescent="0.45">
      <c r="A6" s="2" t="s">
        <v>28</v>
      </c>
      <c r="B6" s="2" t="str">
        <f>_xlfn.CONCAT(C6,2)</f>
        <v>CenArray2</v>
      </c>
      <c r="C6" s="2" t="s">
        <v>19</v>
      </c>
      <c r="D6" s="2">
        <v>42.1</v>
      </c>
      <c r="E6" s="2">
        <v>42.8</v>
      </c>
      <c r="F6">
        <f t="shared" si="0"/>
        <v>42100000</v>
      </c>
      <c r="G6">
        <f t="shared" si="1"/>
        <v>42800000</v>
      </c>
      <c r="H6">
        <f t="shared" si="2"/>
        <v>700000</v>
      </c>
      <c r="I6" t="s">
        <v>41</v>
      </c>
    </row>
    <row r="7" spans="1:9" ht="15" thickBot="1" x14ac:dyDescent="0.45">
      <c r="A7" s="2" t="s">
        <v>21</v>
      </c>
      <c r="B7" s="2" t="str">
        <f>_xlfn.CONCAT(C7,1)</f>
        <v>CenArray1</v>
      </c>
      <c r="C7" s="2" t="s">
        <v>19</v>
      </c>
      <c r="D7" s="2">
        <v>26.65</v>
      </c>
      <c r="E7" s="2">
        <v>29.85</v>
      </c>
      <c r="F7">
        <f t="shared" si="0"/>
        <v>26650000</v>
      </c>
      <c r="G7">
        <f t="shared" si="1"/>
        <v>29850000</v>
      </c>
      <c r="H7">
        <f t="shared" si="2"/>
        <v>3200000</v>
      </c>
      <c r="I7" t="s">
        <v>41</v>
      </c>
    </row>
    <row r="8" spans="1:9" ht="15" thickBot="1" x14ac:dyDescent="0.45">
      <c r="A8" s="2" t="s">
        <v>29</v>
      </c>
      <c r="B8" s="2" t="str">
        <f>_xlfn.CONCAT(C8,1)</f>
        <v>CenArray1</v>
      </c>
      <c r="C8" s="2" t="s">
        <v>19</v>
      </c>
      <c r="D8" s="2">
        <v>32.85</v>
      </c>
      <c r="E8" s="2">
        <v>34.94</v>
      </c>
      <c r="F8">
        <f t="shared" si="0"/>
        <v>32850000</v>
      </c>
      <c r="G8">
        <f t="shared" si="1"/>
        <v>34940000</v>
      </c>
      <c r="H8">
        <f t="shared" si="2"/>
        <v>2090000</v>
      </c>
      <c r="I8" t="s">
        <v>41</v>
      </c>
    </row>
    <row r="9" spans="1:9" ht="15" thickBot="1" x14ac:dyDescent="0.45">
      <c r="A9" s="2" t="s">
        <v>22</v>
      </c>
      <c r="B9" s="2" t="str">
        <f>_xlfn.CONCAT(C9,1)</f>
        <v>CenArray1</v>
      </c>
      <c r="C9" s="2" t="s">
        <v>19</v>
      </c>
      <c r="D9" s="2">
        <v>48.25</v>
      </c>
      <c r="E9" s="2">
        <v>49.44</v>
      </c>
      <c r="F9">
        <f t="shared" si="0"/>
        <v>48250000</v>
      </c>
      <c r="G9">
        <f t="shared" si="1"/>
        <v>49440000</v>
      </c>
      <c r="H9">
        <f t="shared" si="2"/>
        <v>1190000</v>
      </c>
      <c r="I9" t="s">
        <v>41</v>
      </c>
    </row>
    <row r="10" spans="1:9" ht="15" thickBot="1" x14ac:dyDescent="0.45">
      <c r="A10" s="2" t="s">
        <v>22</v>
      </c>
      <c r="B10" s="2" t="str">
        <f>_xlfn.CONCAT(C10,2)</f>
        <v>CenArray2</v>
      </c>
      <c r="C10" s="2" t="s">
        <v>19</v>
      </c>
      <c r="D10" s="2">
        <v>50.26</v>
      </c>
      <c r="E10" s="2">
        <v>51.36</v>
      </c>
      <c r="F10">
        <f t="shared" si="0"/>
        <v>50260000</v>
      </c>
      <c r="G10">
        <f t="shared" si="1"/>
        <v>51360000</v>
      </c>
      <c r="H10">
        <f t="shared" si="2"/>
        <v>1100000</v>
      </c>
      <c r="I10" t="s">
        <v>41</v>
      </c>
    </row>
    <row r="11" spans="1:9" ht="15" thickBot="1" x14ac:dyDescent="0.45">
      <c r="A11" s="2" t="s">
        <v>23</v>
      </c>
      <c r="B11" s="2" t="str">
        <f>_xlfn.CONCAT(C11,1)</f>
        <v>CenArray1</v>
      </c>
      <c r="C11" s="2" t="s">
        <v>19</v>
      </c>
      <c r="D11" s="2">
        <v>23.75</v>
      </c>
      <c r="E11" s="2">
        <v>24.78</v>
      </c>
      <c r="F11">
        <f t="shared" si="0"/>
        <v>23750000</v>
      </c>
      <c r="G11">
        <f t="shared" si="1"/>
        <v>24780000</v>
      </c>
      <c r="H11">
        <f t="shared" si="2"/>
        <v>1030000</v>
      </c>
      <c r="I11" t="s">
        <v>41</v>
      </c>
    </row>
    <row r="12" spans="1:9" ht="15" thickBot="1" x14ac:dyDescent="0.45">
      <c r="A12" s="2" t="s">
        <v>23</v>
      </c>
      <c r="B12" s="2" t="str">
        <f>_xlfn.CONCAT(C12,2)</f>
        <v>CenArray2</v>
      </c>
      <c r="C12" s="2" t="s">
        <v>19</v>
      </c>
      <c r="D12" s="2">
        <v>25.55</v>
      </c>
      <c r="E12" s="2">
        <v>26.31</v>
      </c>
      <c r="F12">
        <f t="shared" si="0"/>
        <v>25550000</v>
      </c>
      <c r="G12">
        <f t="shared" si="1"/>
        <v>26310000</v>
      </c>
      <c r="H12">
        <f t="shared" si="2"/>
        <v>760000</v>
      </c>
      <c r="I12" t="s">
        <v>41</v>
      </c>
    </row>
    <row r="13" spans="1:9" ht="15" thickBot="1" x14ac:dyDescent="0.45">
      <c r="A13" s="2" t="s">
        <v>30</v>
      </c>
      <c r="B13" s="2" t="str">
        <f>_xlfn.CONCAT(C13,1)</f>
        <v>CenArray1</v>
      </c>
      <c r="C13" s="2" t="s">
        <v>19</v>
      </c>
      <c r="D13" s="2">
        <v>28.35</v>
      </c>
      <c r="E13" s="2">
        <v>28.8</v>
      </c>
      <c r="F13">
        <f t="shared" si="0"/>
        <v>28350000</v>
      </c>
      <c r="G13">
        <f t="shared" si="1"/>
        <v>28800000</v>
      </c>
      <c r="H13">
        <f t="shared" si="2"/>
        <v>450000</v>
      </c>
      <c r="I13" t="s">
        <v>41</v>
      </c>
    </row>
    <row r="14" spans="1:9" ht="15" thickBot="1" x14ac:dyDescent="0.45">
      <c r="A14" s="2" t="s">
        <v>30</v>
      </c>
      <c r="B14" s="2" t="str">
        <f>_xlfn.CONCAT(C14,2)</f>
        <v>CenArray2</v>
      </c>
      <c r="C14" s="2" t="s">
        <v>19</v>
      </c>
      <c r="D14" s="2">
        <v>30</v>
      </c>
      <c r="E14" s="2">
        <v>30.42</v>
      </c>
      <c r="F14">
        <f t="shared" si="0"/>
        <v>30000000</v>
      </c>
      <c r="G14">
        <f t="shared" si="1"/>
        <v>30420000</v>
      </c>
      <c r="H14">
        <f t="shared" si="2"/>
        <v>420000</v>
      </c>
      <c r="I14" t="s">
        <v>41</v>
      </c>
    </row>
    <row r="15" spans="1:9" ht="15" thickBot="1" x14ac:dyDescent="0.45">
      <c r="A15" s="2" t="s">
        <v>31</v>
      </c>
      <c r="B15" s="2" t="str">
        <f>_xlfn.CONCAT(C15,1)</f>
        <v>CenArray1</v>
      </c>
      <c r="C15" s="2" t="s">
        <v>19</v>
      </c>
      <c r="D15" s="2">
        <v>39.090000000000003</v>
      </c>
      <c r="E15" s="2">
        <v>39.54</v>
      </c>
      <c r="F15">
        <f t="shared" si="0"/>
        <v>39090000</v>
      </c>
      <c r="G15">
        <f t="shared" si="1"/>
        <v>39540000</v>
      </c>
      <c r="H15">
        <f t="shared" si="2"/>
        <v>450000</v>
      </c>
      <c r="I15" t="s">
        <v>41</v>
      </c>
    </row>
    <row r="16" spans="1:9" ht="15" thickBot="1" x14ac:dyDescent="0.45">
      <c r="A16" s="2" t="s">
        <v>31</v>
      </c>
      <c r="B16" s="2" t="str">
        <f>_xlfn.CONCAT(C16,2)</f>
        <v>CenArray2</v>
      </c>
      <c r="C16" s="2" t="s">
        <v>19</v>
      </c>
      <c r="D16" s="2">
        <v>39.950000000000003</v>
      </c>
      <c r="E16" s="2">
        <v>41.18</v>
      </c>
      <c r="F16">
        <f t="shared" si="0"/>
        <v>39950000</v>
      </c>
      <c r="G16">
        <f t="shared" si="1"/>
        <v>41180000</v>
      </c>
      <c r="H16">
        <f t="shared" si="2"/>
        <v>1230000</v>
      </c>
      <c r="I16" t="s">
        <v>41</v>
      </c>
    </row>
    <row r="17" spans="1:9" ht="15" thickBot="1" x14ac:dyDescent="0.45">
      <c r="A17" s="2" t="s">
        <v>24</v>
      </c>
      <c r="B17" s="2" t="str">
        <f>_xlfn.CONCAT(C17,1)</f>
        <v>CenArray1</v>
      </c>
      <c r="C17" s="2" t="s">
        <v>19</v>
      </c>
      <c r="D17" s="2">
        <v>16.62</v>
      </c>
      <c r="E17" s="2">
        <v>17.559999999999999</v>
      </c>
      <c r="F17">
        <f t="shared" si="0"/>
        <v>16620000.000000002</v>
      </c>
      <c r="G17">
        <f t="shared" si="1"/>
        <v>17560000</v>
      </c>
      <c r="H17">
        <f t="shared" si="2"/>
        <v>939999.99999999814</v>
      </c>
      <c r="I17" t="s">
        <v>41</v>
      </c>
    </row>
    <row r="18" spans="1:9" ht="15" thickBot="1" x14ac:dyDescent="0.45">
      <c r="A18" s="2" t="s">
        <v>24</v>
      </c>
      <c r="B18" s="2" t="str">
        <f>_xlfn.CONCAT(C18,2)</f>
        <v>CenArray2</v>
      </c>
      <c r="C18" s="2" t="s">
        <v>19</v>
      </c>
      <c r="D18" s="2">
        <v>17.86</v>
      </c>
      <c r="E18" s="2">
        <v>17.95</v>
      </c>
      <c r="F18">
        <f t="shared" si="0"/>
        <v>17860000</v>
      </c>
      <c r="G18">
        <f t="shared" si="1"/>
        <v>17950000</v>
      </c>
      <c r="H18">
        <f t="shared" si="2"/>
        <v>90000</v>
      </c>
      <c r="I18" t="s">
        <v>41</v>
      </c>
    </row>
    <row r="19" spans="1:9" ht="15" thickBot="1" x14ac:dyDescent="0.45">
      <c r="A19" s="2" t="s">
        <v>24</v>
      </c>
      <c r="B19" s="2" t="str">
        <f>_xlfn.CONCAT(C19,3)</f>
        <v>CenArray3</v>
      </c>
      <c r="C19" s="2" t="s">
        <v>19</v>
      </c>
      <c r="D19" s="2">
        <v>18.04</v>
      </c>
      <c r="E19" s="2">
        <v>18.760000000000002</v>
      </c>
      <c r="F19">
        <f t="shared" si="0"/>
        <v>18040000</v>
      </c>
      <c r="G19">
        <f t="shared" si="1"/>
        <v>18760000</v>
      </c>
      <c r="H19">
        <f t="shared" si="2"/>
        <v>720000</v>
      </c>
      <c r="I19" t="s">
        <v>41</v>
      </c>
    </row>
    <row r="20" spans="1:9" ht="15" thickBot="1" x14ac:dyDescent="0.45">
      <c r="A20" s="2" t="s">
        <v>12</v>
      </c>
      <c r="B20" s="2" t="str">
        <f>_xlfn.CONCAT(C20,1)</f>
        <v>CenArray1</v>
      </c>
      <c r="C20" s="2" t="s">
        <v>19</v>
      </c>
      <c r="D20" s="2">
        <v>31.98</v>
      </c>
      <c r="E20" s="2">
        <v>33.28</v>
      </c>
      <c r="F20">
        <f t="shared" si="0"/>
        <v>31980000</v>
      </c>
      <c r="G20">
        <f t="shared" si="1"/>
        <v>33280000</v>
      </c>
      <c r="H20">
        <f t="shared" si="2"/>
        <v>1300000</v>
      </c>
      <c r="I20" t="s">
        <v>41</v>
      </c>
    </row>
    <row r="21" spans="1:9" ht="15" thickBot="1" x14ac:dyDescent="0.45">
      <c r="A21" s="2" t="s">
        <v>12</v>
      </c>
      <c r="B21" s="2" t="str">
        <f>_xlfn.CONCAT(C21,2)</f>
        <v>CenArray2</v>
      </c>
      <c r="C21" s="2" t="s">
        <v>19</v>
      </c>
      <c r="D21" s="2">
        <v>33.82</v>
      </c>
      <c r="E21" s="2">
        <v>34.57</v>
      </c>
      <c r="F21">
        <f t="shared" si="0"/>
        <v>33820000</v>
      </c>
      <c r="G21">
        <f t="shared" si="1"/>
        <v>34570000</v>
      </c>
      <c r="H21">
        <f t="shared" si="2"/>
        <v>750000</v>
      </c>
      <c r="I21" t="s">
        <v>41</v>
      </c>
    </row>
    <row r="22" spans="1:9" ht="15" thickBot="1" x14ac:dyDescent="0.45">
      <c r="A22" s="2" t="s">
        <v>13</v>
      </c>
      <c r="B22" s="2" t="str">
        <f>_xlfn.CONCAT(C22,1)</f>
        <v>CenArray1</v>
      </c>
      <c r="C22" s="2" t="s">
        <v>19</v>
      </c>
      <c r="D22" s="2">
        <v>30.28</v>
      </c>
      <c r="E22" s="2">
        <v>32.36</v>
      </c>
      <c r="F22">
        <f t="shared" si="0"/>
        <v>30280000</v>
      </c>
      <c r="G22">
        <f t="shared" si="1"/>
        <v>32360000</v>
      </c>
      <c r="H22">
        <f t="shared" si="2"/>
        <v>2080000</v>
      </c>
      <c r="I22" t="s">
        <v>41</v>
      </c>
    </row>
    <row r="23" spans="1:9" ht="15" thickBot="1" x14ac:dyDescent="0.45">
      <c r="A23" s="2" t="s">
        <v>14</v>
      </c>
      <c r="B23" s="2" t="str">
        <f>_xlfn.CONCAT(C23,1)</f>
        <v>CenArray1</v>
      </c>
      <c r="C23" s="2" t="s">
        <v>19</v>
      </c>
      <c r="D23" s="2">
        <v>21.83</v>
      </c>
      <c r="E23" s="2">
        <v>22.72</v>
      </c>
      <c r="F23">
        <f t="shared" si="0"/>
        <v>21830000</v>
      </c>
      <c r="G23">
        <f t="shared" si="1"/>
        <v>22720000</v>
      </c>
      <c r="H23">
        <f t="shared" si="2"/>
        <v>890000</v>
      </c>
      <c r="I23" t="s">
        <v>41</v>
      </c>
    </row>
    <row r="24" spans="1:9" ht="15" customHeight="1" thickBot="1" x14ac:dyDescent="0.45">
      <c r="A24" s="2" t="s">
        <v>14</v>
      </c>
      <c r="B24" s="2" t="str">
        <f>_xlfn.CONCAT(C24,2)</f>
        <v>CenArray2</v>
      </c>
      <c r="C24" s="2" t="s">
        <v>19</v>
      </c>
      <c r="D24" s="2">
        <v>24.23</v>
      </c>
      <c r="E24" s="2">
        <v>24.78</v>
      </c>
      <c r="F24">
        <f t="shared" si="0"/>
        <v>24230000</v>
      </c>
      <c r="G24">
        <f t="shared" si="1"/>
        <v>24780000</v>
      </c>
      <c r="H24">
        <f t="shared" si="2"/>
        <v>550000</v>
      </c>
      <c r="I24" t="s">
        <v>41</v>
      </c>
    </row>
    <row r="25" spans="1:9" ht="15" customHeight="1" thickBot="1" x14ac:dyDescent="0.45">
      <c r="A25" s="2" t="s">
        <v>27</v>
      </c>
      <c r="B25" s="2" t="str">
        <f t="shared" ref="B25:B49" si="3">_xlfn.CONCAT(C25,1)</f>
        <v>CenBuffer1</v>
      </c>
      <c r="C25" s="10" t="s">
        <v>43</v>
      </c>
      <c r="D25" s="2">
        <f t="shared" ref="D25:D48" si="4">F25/1000000</f>
        <v>42</v>
      </c>
      <c r="E25" s="2">
        <f t="shared" ref="E25:E48" si="5">G25/1000000</f>
        <v>43</v>
      </c>
      <c r="F25">
        <v>42000000</v>
      </c>
      <c r="G25">
        <f t="shared" ref="G25:G48" si="6">F25+1000000</f>
        <v>43000000</v>
      </c>
      <c r="H25">
        <f t="shared" si="2"/>
        <v>1000000</v>
      </c>
      <c r="I25" t="s">
        <v>78</v>
      </c>
    </row>
    <row r="26" spans="1:9" ht="15" customHeight="1" thickBot="1" x14ac:dyDescent="0.45">
      <c r="A26" s="2" t="s">
        <v>27</v>
      </c>
      <c r="B26" s="2" t="str">
        <f t="shared" si="3"/>
        <v>CenBuffer1</v>
      </c>
      <c r="C26" s="10" t="s">
        <v>43</v>
      </c>
      <c r="D26" s="2">
        <f t="shared" si="4"/>
        <v>45.75</v>
      </c>
      <c r="E26" s="2">
        <f t="shared" si="5"/>
        <v>46.75</v>
      </c>
      <c r="F26">
        <v>45750000</v>
      </c>
      <c r="G26">
        <f t="shared" si="6"/>
        <v>46750000</v>
      </c>
      <c r="H26">
        <f t="shared" si="2"/>
        <v>1000000</v>
      </c>
      <c r="I26" t="s">
        <v>78</v>
      </c>
    </row>
    <row r="27" spans="1:9" ht="15" thickBot="1" x14ac:dyDescent="0.45">
      <c r="A27" s="2" t="s">
        <v>28</v>
      </c>
      <c r="B27" s="2" t="str">
        <f t="shared" si="3"/>
        <v>CenBuffer1</v>
      </c>
      <c r="C27" s="10" t="s">
        <v>43</v>
      </c>
      <c r="D27" s="2">
        <f t="shared" si="4"/>
        <v>39.9</v>
      </c>
      <c r="E27" s="2">
        <f t="shared" si="5"/>
        <v>40.9</v>
      </c>
      <c r="F27">
        <v>39900000</v>
      </c>
      <c r="G27">
        <f t="shared" si="6"/>
        <v>40900000</v>
      </c>
      <c r="H27">
        <f t="shared" si="2"/>
        <v>1000000</v>
      </c>
      <c r="I27" t="s">
        <v>78</v>
      </c>
    </row>
    <row r="28" spans="1:9" ht="15" thickBot="1" x14ac:dyDescent="0.45">
      <c r="A28" s="2" t="s">
        <v>28</v>
      </c>
      <c r="B28" s="2" t="str">
        <f t="shared" si="3"/>
        <v>CenBuffer1</v>
      </c>
      <c r="C28" s="10" t="s">
        <v>43</v>
      </c>
      <c r="D28" s="2">
        <f t="shared" si="4"/>
        <v>42.8</v>
      </c>
      <c r="E28" s="2">
        <f t="shared" si="5"/>
        <v>43.8</v>
      </c>
      <c r="F28">
        <v>42800000</v>
      </c>
      <c r="G28">
        <f t="shared" si="6"/>
        <v>43800000</v>
      </c>
      <c r="H28">
        <f t="shared" si="2"/>
        <v>1000000</v>
      </c>
      <c r="I28" t="s">
        <v>78</v>
      </c>
    </row>
    <row r="29" spans="1:9" ht="15" thickBot="1" x14ac:dyDescent="0.45">
      <c r="A29" s="2" t="s">
        <v>21</v>
      </c>
      <c r="B29" s="2" t="str">
        <f t="shared" si="3"/>
        <v>CenBuffer1</v>
      </c>
      <c r="C29" s="10" t="s">
        <v>43</v>
      </c>
      <c r="D29" s="2">
        <f t="shared" si="4"/>
        <v>25.65</v>
      </c>
      <c r="E29" s="2">
        <f t="shared" si="5"/>
        <v>26.65</v>
      </c>
      <c r="F29">
        <v>25650000</v>
      </c>
      <c r="G29">
        <f t="shared" si="6"/>
        <v>26650000</v>
      </c>
      <c r="H29">
        <f t="shared" si="2"/>
        <v>1000000</v>
      </c>
      <c r="I29" t="s">
        <v>78</v>
      </c>
    </row>
    <row r="30" spans="1:9" ht="15" thickBot="1" x14ac:dyDescent="0.45">
      <c r="A30" s="2" t="s">
        <v>21</v>
      </c>
      <c r="B30" s="2" t="str">
        <f t="shared" si="3"/>
        <v>CenBuffer1</v>
      </c>
      <c r="C30" s="10" t="s">
        <v>43</v>
      </c>
      <c r="D30" s="2">
        <f t="shared" si="4"/>
        <v>29.85</v>
      </c>
      <c r="E30" s="2">
        <f t="shared" si="5"/>
        <v>30.85</v>
      </c>
      <c r="F30">
        <v>29850000</v>
      </c>
      <c r="G30">
        <f t="shared" si="6"/>
        <v>30850000</v>
      </c>
      <c r="H30">
        <f t="shared" si="2"/>
        <v>1000000</v>
      </c>
      <c r="I30" t="s">
        <v>78</v>
      </c>
    </row>
    <row r="31" spans="1:9" ht="15" thickBot="1" x14ac:dyDescent="0.45">
      <c r="A31" s="2" t="s">
        <v>29</v>
      </c>
      <c r="B31" s="2" t="str">
        <f t="shared" si="3"/>
        <v>CenBuffer1</v>
      </c>
      <c r="C31" s="10" t="s">
        <v>43</v>
      </c>
      <c r="D31" s="2">
        <f t="shared" si="4"/>
        <v>31.85</v>
      </c>
      <c r="E31" s="2">
        <f t="shared" si="5"/>
        <v>32.85</v>
      </c>
      <c r="F31">
        <v>31850000</v>
      </c>
      <c r="G31">
        <f t="shared" si="6"/>
        <v>32850000</v>
      </c>
      <c r="H31">
        <f t="shared" si="2"/>
        <v>1000000</v>
      </c>
      <c r="I31" t="s">
        <v>78</v>
      </c>
    </row>
    <row r="32" spans="1:9" ht="15" thickBot="1" x14ac:dyDescent="0.45">
      <c r="A32" s="2" t="s">
        <v>29</v>
      </c>
      <c r="B32" s="2" t="str">
        <f t="shared" si="3"/>
        <v>CenBuffer1</v>
      </c>
      <c r="C32" s="10" t="s">
        <v>43</v>
      </c>
      <c r="D32" s="2">
        <f t="shared" si="4"/>
        <v>34.94</v>
      </c>
      <c r="E32" s="2">
        <f t="shared" si="5"/>
        <v>35.94</v>
      </c>
      <c r="F32">
        <v>34940000</v>
      </c>
      <c r="G32">
        <f t="shared" si="6"/>
        <v>35940000</v>
      </c>
      <c r="H32">
        <f t="shared" si="2"/>
        <v>1000000</v>
      </c>
      <c r="I32" t="s">
        <v>78</v>
      </c>
    </row>
    <row r="33" spans="1:9" ht="15" thickBot="1" x14ac:dyDescent="0.45">
      <c r="A33" s="2" t="s">
        <v>22</v>
      </c>
      <c r="B33" s="2" t="str">
        <f t="shared" si="3"/>
        <v>CenBuffer1</v>
      </c>
      <c r="C33" s="10" t="s">
        <v>43</v>
      </c>
      <c r="D33" s="2">
        <f t="shared" si="4"/>
        <v>47.25</v>
      </c>
      <c r="E33" s="2">
        <f t="shared" si="5"/>
        <v>48.25</v>
      </c>
      <c r="F33">
        <v>47250000</v>
      </c>
      <c r="G33">
        <f t="shared" si="6"/>
        <v>48250000</v>
      </c>
      <c r="H33">
        <f t="shared" si="2"/>
        <v>1000000</v>
      </c>
      <c r="I33" t="s">
        <v>78</v>
      </c>
    </row>
    <row r="34" spans="1:9" ht="15" thickBot="1" x14ac:dyDescent="0.45">
      <c r="A34" s="2" t="s">
        <v>22</v>
      </c>
      <c r="B34" s="2" t="str">
        <f t="shared" si="3"/>
        <v>CenBuffer1</v>
      </c>
      <c r="C34" s="10" t="s">
        <v>43</v>
      </c>
      <c r="D34" s="2">
        <f t="shared" si="4"/>
        <v>51.36</v>
      </c>
      <c r="E34" s="2">
        <f t="shared" si="5"/>
        <v>52.36</v>
      </c>
      <c r="F34">
        <v>51360000</v>
      </c>
      <c r="G34">
        <f t="shared" si="6"/>
        <v>52360000</v>
      </c>
      <c r="H34">
        <f t="shared" ref="H34:H65" si="7">G34-F34</f>
        <v>1000000</v>
      </c>
      <c r="I34" t="s">
        <v>78</v>
      </c>
    </row>
    <row r="35" spans="1:9" ht="15" thickBot="1" x14ac:dyDescent="0.45">
      <c r="A35" s="2" t="s">
        <v>23</v>
      </c>
      <c r="B35" s="2" t="str">
        <f t="shared" si="3"/>
        <v>CenBuffer1</v>
      </c>
      <c r="C35" s="10" t="s">
        <v>43</v>
      </c>
      <c r="D35" s="2">
        <f t="shared" si="4"/>
        <v>22.75</v>
      </c>
      <c r="E35" s="2">
        <f t="shared" si="5"/>
        <v>23.75</v>
      </c>
      <c r="F35">
        <v>22750000</v>
      </c>
      <c r="G35">
        <f t="shared" si="6"/>
        <v>23750000</v>
      </c>
      <c r="H35">
        <f t="shared" si="7"/>
        <v>1000000</v>
      </c>
      <c r="I35" t="s">
        <v>78</v>
      </c>
    </row>
    <row r="36" spans="1:9" ht="15" thickBot="1" x14ac:dyDescent="0.45">
      <c r="A36" s="2" t="s">
        <v>23</v>
      </c>
      <c r="B36" s="2" t="str">
        <f t="shared" si="3"/>
        <v>CenBuffer1</v>
      </c>
      <c r="C36" s="10" t="s">
        <v>43</v>
      </c>
      <c r="D36" s="2">
        <f t="shared" si="4"/>
        <v>26.31</v>
      </c>
      <c r="E36" s="10">
        <f t="shared" si="5"/>
        <v>27.31</v>
      </c>
      <c r="F36">
        <v>26310000</v>
      </c>
      <c r="G36">
        <f t="shared" si="6"/>
        <v>27310000</v>
      </c>
      <c r="H36">
        <f t="shared" si="7"/>
        <v>1000000</v>
      </c>
      <c r="I36" t="s">
        <v>78</v>
      </c>
    </row>
    <row r="37" spans="1:9" ht="15" customHeight="1" thickBot="1" x14ac:dyDescent="0.45">
      <c r="A37" s="2" t="s">
        <v>30</v>
      </c>
      <c r="B37" s="2" t="str">
        <f t="shared" si="3"/>
        <v>CenBuffer1</v>
      </c>
      <c r="C37" s="10" t="s">
        <v>43</v>
      </c>
      <c r="D37" s="2">
        <f t="shared" si="4"/>
        <v>27.35</v>
      </c>
      <c r="E37" s="2">
        <f t="shared" si="5"/>
        <v>28.35</v>
      </c>
      <c r="F37">
        <v>27350000</v>
      </c>
      <c r="G37">
        <f t="shared" si="6"/>
        <v>28350000</v>
      </c>
      <c r="H37">
        <f t="shared" si="7"/>
        <v>1000000</v>
      </c>
      <c r="I37" t="s">
        <v>78</v>
      </c>
    </row>
    <row r="38" spans="1:9" ht="15" customHeight="1" thickBot="1" x14ac:dyDescent="0.45">
      <c r="A38" s="2" t="s">
        <v>30</v>
      </c>
      <c r="B38" s="2" t="str">
        <f t="shared" si="3"/>
        <v>CenBuffer1</v>
      </c>
      <c r="C38" s="10" t="s">
        <v>43</v>
      </c>
      <c r="D38" s="2">
        <f t="shared" si="4"/>
        <v>30.42</v>
      </c>
      <c r="E38" s="2">
        <f t="shared" si="5"/>
        <v>31.42</v>
      </c>
      <c r="F38">
        <v>30420000</v>
      </c>
      <c r="G38">
        <f t="shared" si="6"/>
        <v>31420000</v>
      </c>
      <c r="H38">
        <f t="shared" si="7"/>
        <v>1000000</v>
      </c>
      <c r="I38" t="s">
        <v>78</v>
      </c>
    </row>
    <row r="39" spans="1:9" ht="15" thickBot="1" x14ac:dyDescent="0.45">
      <c r="A39" s="2" t="s">
        <v>31</v>
      </c>
      <c r="B39" s="2" t="str">
        <f t="shared" si="3"/>
        <v>CenBuffer1</v>
      </c>
      <c r="C39" s="10" t="s">
        <v>43</v>
      </c>
      <c r="D39" s="2">
        <f t="shared" si="4"/>
        <v>38.090000000000003</v>
      </c>
      <c r="E39" s="2">
        <f t="shared" si="5"/>
        <v>39.090000000000003</v>
      </c>
      <c r="F39">
        <v>38090000</v>
      </c>
      <c r="G39">
        <f t="shared" si="6"/>
        <v>39090000</v>
      </c>
      <c r="H39">
        <f t="shared" si="7"/>
        <v>1000000</v>
      </c>
      <c r="I39" t="s">
        <v>78</v>
      </c>
    </row>
    <row r="40" spans="1:9" ht="15" thickBot="1" x14ac:dyDescent="0.45">
      <c r="A40" s="2" t="s">
        <v>31</v>
      </c>
      <c r="B40" s="2" t="str">
        <f t="shared" si="3"/>
        <v>CenBuffer1</v>
      </c>
      <c r="C40" s="10" t="s">
        <v>43</v>
      </c>
      <c r="D40" s="2">
        <f t="shared" si="4"/>
        <v>41.18</v>
      </c>
      <c r="E40" s="2">
        <f t="shared" si="5"/>
        <v>42.18</v>
      </c>
      <c r="F40">
        <v>41180000</v>
      </c>
      <c r="G40">
        <f t="shared" si="6"/>
        <v>42180000</v>
      </c>
      <c r="H40">
        <f t="shared" si="7"/>
        <v>1000000</v>
      </c>
      <c r="I40" t="s">
        <v>78</v>
      </c>
    </row>
    <row r="41" spans="1:9" ht="15" thickBot="1" x14ac:dyDescent="0.45">
      <c r="A41" s="2" t="s">
        <v>24</v>
      </c>
      <c r="B41" s="2" t="str">
        <f t="shared" si="3"/>
        <v>CenBuffer1</v>
      </c>
      <c r="C41" s="10" t="s">
        <v>43</v>
      </c>
      <c r="D41" s="2">
        <f t="shared" si="4"/>
        <v>15.620000000000001</v>
      </c>
      <c r="E41" s="2">
        <f t="shared" si="5"/>
        <v>16.62</v>
      </c>
      <c r="F41">
        <v>15620000.000000002</v>
      </c>
      <c r="G41">
        <f t="shared" si="6"/>
        <v>16620000.000000002</v>
      </c>
      <c r="H41">
        <f t="shared" si="7"/>
        <v>1000000</v>
      </c>
      <c r="I41" t="s">
        <v>78</v>
      </c>
    </row>
    <row r="42" spans="1:9" ht="15" thickBot="1" x14ac:dyDescent="0.45">
      <c r="A42" s="2" t="s">
        <v>24</v>
      </c>
      <c r="B42" s="2" t="str">
        <f t="shared" si="3"/>
        <v>CenBuffer1</v>
      </c>
      <c r="C42" s="10" t="s">
        <v>43</v>
      </c>
      <c r="D42" s="2">
        <f t="shared" si="4"/>
        <v>18.760000000000002</v>
      </c>
      <c r="E42" s="2">
        <f t="shared" si="5"/>
        <v>19.760000000000002</v>
      </c>
      <c r="F42">
        <v>18760000</v>
      </c>
      <c r="G42">
        <f t="shared" si="6"/>
        <v>19760000</v>
      </c>
      <c r="H42">
        <f t="shared" si="7"/>
        <v>1000000</v>
      </c>
      <c r="I42" t="s">
        <v>78</v>
      </c>
    </row>
    <row r="43" spans="1:9" ht="15" thickBot="1" x14ac:dyDescent="0.45">
      <c r="A43" s="2" t="s">
        <v>12</v>
      </c>
      <c r="B43" s="2" t="str">
        <f t="shared" si="3"/>
        <v>CenBuffer1</v>
      </c>
      <c r="C43" s="10" t="s">
        <v>43</v>
      </c>
      <c r="D43" s="2">
        <f t="shared" si="4"/>
        <v>30.98</v>
      </c>
      <c r="E43" s="2">
        <f t="shared" si="5"/>
        <v>31.98</v>
      </c>
      <c r="F43">
        <v>30980000</v>
      </c>
      <c r="G43">
        <f t="shared" si="6"/>
        <v>31980000</v>
      </c>
      <c r="H43">
        <f t="shared" si="7"/>
        <v>1000000</v>
      </c>
      <c r="I43" t="s">
        <v>78</v>
      </c>
    </row>
    <row r="44" spans="1:9" ht="15" thickBot="1" x14ac:dyDescent="0.45">
      <c r="A44" s="2" t="s">
        <v>12</v>
      </c>
      <c r="B44" s="2" t="str">
        <f t="shared" si="3"/>
        <v>CenBuffer1</v>
      </c>
      <c r="C44" s="10" t="s">
        <v>43</v>
      </c>
      <c r="D44" s="2">
        <f t="shared" si="4"/>
        <v>34.57</v>
      </c>
      <c r="E44" s="2">
        <f t="shared" si="5"/>
        <v>35.57</v>
      </c>
      <c r="F44">
        <v>34570000</v>
      </c>
      <c r="G44">
        <f t="shared" si="6"/>
        <v>35570000</v>
      </c>
      <c r="H44">
        <f t="shared" si="7"/>
        <v>1000000</v>
      </c>
      <c r="I44" t="s">
        <v>78</v>
      </c>
    </row>
    <row r="45" spans="1:9" ht="15" thickBot="1" x14ac:dyDescent="0.45">
      <c r="A45" s="2" t="s">
        <v>13</v>
      </c>
      <c r="B45" s="2" t="str">
        <f t="shared" si="3"/>
        <v>CenBuffer1</v>
      </c>
      <c r="C45" s="10" t="s">
        <v>43</v>
      </c>
      <c r="D45" s="2">
        <f t="shared" si="4"/>
        <v>29.28</v>
      </c>
      <c r="E45" s="2">
        <f t="shared" si="5"/>
        <v>30.28</v>
      </c>
      <c r="F45">
        <v>29280000</v>
      </c>
      <c r="G45">
        <f t="shared" si="6"/>
        <v>30280000</v>
      </c>
      <c r="H45">
        <f t="shared" si="7"/>
        <v>1000000</v>
      </c>
      <c r="I45" t="s">
        <v>41</v>
      </c>
    </row>
    <row r="46" spans="1:9" ht="15" thickBot="1" x14ac:dyDescent="0.45">
      <c r="A46" s="2" t="s">
        <v>13</v>
      </c>
      <c r="B46" s="2" t="str">
        <f t="shared" si="3"/>
        <v>CenBuffer1</v>
      </c>
      <c r="C46" s="10" t="s">
        <v>43</v>
      </c>
      <c r="D46" s="2">
        <f t="shared" si="4"/>
        <v>32.36</v>
      </c>
      <c r="E46" s="2">
        <f t="shared" si="5"/>
        <v>33.36</v>
      </c>
      <c r="F46">
        <v>32360000</v>
      </c>
      <c r="G46">
        <f t="shared" si="6"/>
        <v>33360000</v>
      </c>
      <c r="H46">
        <f t="shared" si="7"/>
        <v>1000000</v>
      </c>
      <c r="I46" t="s">
        <v>78</v>
      </c>
    </row>
    <row r="47" spans="1:9" ht="15" thickBot="1" x14ac:dyDescent="0.45">
      <c r="A47" s="2" t="s">
        <v>14</v>
      </c>
      <c r="B47" s="2" t="str">
        <f t="shared" si="3"/>
        <v>CenBuffer1</v>
      </c>
      <c r="C47" s="10" t="s">
        <v>43</v>
      </c>
      <c r="D47" s="2">
        <f t="shared" si="4"/>
        <v>20.83</v>
      </c>
      <c r="E47" s="2">
        <f t="shared" si="5"/>
        <v>21.83</v>
      </c>
      <c r="F47">
        <v>20830000</v>
      </c>
      <c r="G47">
        <f t="shared" si="6"/>
        <v>21830000</v>
      </c>
      <c r="H47">
        <f t="shared" si="7"/>
        <v>1000000</v>
      </c>
      <c r="I47" t="s">
        <v>78</v>
      </c>
    </row>
    <row r="48" spans="1:9" ht="15" thickBot="1" x14ac:dyDescent="0.45">
      <c r="A48" s="2" t="s">
        <v>14</v>
      </c>
      <c r="B48" s="2" t="str">
        <f t="shared" si="3"/>
        <v>CenBuffer1</v>
      </c>
      <c r="C48" s="10" t="s">
        <v>43</v>
      </c>
      <c r="D48" s="2">
        <f t="shared" si="4"/>
        <v>24.78</v>
      </c>
      <c r="E48" s="10">
        <f t="shared" si="5"/>
        <v>25.78</v>
      </c>
      <c r="F48">
        <v>24780000</v>
      </c>
      <c r="G48">
        <f t="shared" si="6"/>
        <v>25780000</v>
      </c>
      <c r="H48">
        <f t="shared" si="7"/>
        <v>1000000</v>
      </c>
      <c r="I48" t="s">
        <v>78</v>
      </c>
    </row>
    <row r="49" spans="1:9" ht="15" thickBot="1" x14ac:dyDescent="0.45">
      <c r="A49" s="2" t="s">
        <v>27</v>
      </c>
      <c r="B49" s="2" t="str">
        <f t="shared" si="3"/>
        <v>InterArray1</v>
      </c>
      <c r="C49" s="13" t="s">
        <v>20</v>
      </c>
      <c r="D49" s="2">
        <v>43.62</v>
      </c>
      <c r="E49" s="10">
        <v>44.3</v>
      </c>
      <c r="F49">
        <f t="shared" ref="F49:F59" si="8">D49*1000000</f>
        <v>43620000</v>
      </c>
      <c r="G49">
        <f t="shared" ref="G49:G59" si="9">E49*1000000</f>
        <v>44300000</v>
      </c>
      <c r="H49">
        <f t="shared" si="7"/>
        <v>680000</v>
      </c>
      <c r="I49" t="s">
        <v>41</v>
      </c>
    </row>
    <row r="50" spans="1:9" ht="15" thickBot="1" x14ac:dyDescent="0.45">
      <c r="A50" s="2" t="s">
        <v>27</v>
      </c>
      <c r="B50" s="2" t="str">
        <f>_xlfn.CONCAT(C50,2)</f>
        <v>InterArray2</v>
      </c>
      <c r="C50" s="13" t="s">
        <v>20</v>
      </c>
      <c r="D50" s="2">
        <v>44.59</v>
      </c>
      <c r="E50" s="10">
        <v>45.27</v>
      </c>
      <c r="F50">
        <f t="shared" si="8"/>
        <v>44590000</v>
      </c>
      <c r="G50">
        <f t="shared" si="9"/>
        <v>45270000</v>
      </c>
      <c r="H50">
        <f t="shared" si="7"/>
        <v>680000</v>
      </c>
      <c r="I50" t="s">
        <v>41</v>
      </c>
    </row>
    <row r="51" spans="1:9" ht="15" thickBot="1" x14ac:dyDescent="0.45">
      <c r="A51" s="2" t="s">
        <v>28</v>
      </c>
      <c r="B51" s="2" t="str">
        <f t="shared" ref="B51:B56" si="10">_xlfn.CONCAT(C51,1)</f>
        <v>InterArray1</v>
      </c>
      <c r="C51" s="13" t="s">
        <v>20</v>
      </c>
      <c r="D51" s="2">
        <v>41.28</v>
      </c>
      <c r="E51" s="10">
        <v>42.1</v>
      </c>
      <c r="F51">
        <f t="shared" si="8"/>
        <v>41280000</v>
      </c>
      <c r="G51">
        <f t="shared" si="9"/>
        <v>42100000</v>
      </c>
      <c r="H51">
        <f t="shared" si="7"/>
        <v>820000</v>
      </c>
      <c r="I51" t="s">
        <v>41</v>
      </c>
    </row>
    <row r="52" spans="1:9" ht="15" thickBot="1" x14ac:dyDescent="0.45">
      <c r="A52" s="2" t="s">
        <v>22</v>
      </c>
      <c r="B52" s="2" t="str">
        <f t="shared" si="10"/>
        <v>InterArray1</v>
      </c>
      <c r="C52" s="13" t="s">
        <v>20</v>
      </c>
      <c r="D52" s="2">
        <v>49.44</v>
      </c>
      <c r="E52" s="10">
        <v>50.26</v>
      </c>
      <c r="F52">
        <f t="shared" si="8"/>
        <v>49440000</v>
      </c>
      <c r="G52">
        <f t="shared" si="9"/>
        <v>50260000</v>
      </c>
      <c r="H52">
        <f t="shared" si="7"/>
        <v>820000</v>
      </c>
      <c r="I52" t="s">
        <v>41</v>
      </c>
    </row>
    <row r="53" spans="1:9" ht="15" thickBot="1" x14ac:dyDescent="0.45">
      <c r="A53" s="2" t="s">
        <v>23</v>
      </c>
      <c r="B53" s="2" t="str">
        <f t="shared" si="10"/>
        <v>InterArray1</v>
      </c>
      <c r="C53" s="13" t="s">
        <v>20</v>
      </c>
      <c r="D53" s="2">
        <v>24.78</v>
      </c>
      <c r="E53" s="10">
        <v>25.55</v>
      </c>
      <c r="F53">
        <f t="shared" si="8"/>
        <v>24780000</v>
      </c>
      <c r="G53">
        <f t="shared" si="9"/>
        <v>25550000</v>
      </c>
      <c r="H53">
        <f t="shared" si="7"/>
        <v>770000</v>
      </c>
      <c r="I53" t="s">
        <v>41</v>
      </c>
    </row>
    <row r="54" spans="1:9" ht="15" thickBot="1" x14ac:dyDescent="0.45">
      <c r="A54" s="2" t="s">
        <v>30</v>
      </c>
      <c r="B54" s="2" t="str">
        <f t="shared" si="10"/>
        <v>InterArray1</v>
      </c>
      <c r="C54" t="s">
        <v>20</v>
      </c>
      <c r="D54" s="2">
        <v>28.8</v>
      </c>
      <c r="E54" s="10">
        <v>30</v>
      </c>
      <c r="F54">
        <f t="shared" si="8"/>
        <v>28800000</v>
      </c>
      <c r="G54">
        <f t="shared" si="9"/>
        <v>30000000</v>
      </c>
      <c r="H54">
        <f t="shared" si="7"/>
        <v>1200000</v>
      </c>
      <c r="I54" t="s">
        <v>41</v>
      </c>
    </row>
    <row r="55" spans="1:9" ht="15" thickBot="1" x14ac:dyDescent="0.45">
      <c r="A55" s="2" t="s">
        <v>31</v>
      </c>
      <c r="B55" s="2" t="str">
        <f t="shared" si="10"/>
        <v>InterArray1</v>
      </c>
      <c r="C55" t="s">
        <v>20</v>
      </c>
      <c r="D55" s="2">
        <v>39.54</v>
      </c>
      <c r="E55" s="10">
        <v>39.950000000000003</v>
      </c>
      <c r="F55">
        <f t="shared" si="8"/>
        <v>39540000</v>
      </c>
      <c r="G55">
        <f t="shared" si="9"/>
        <v>39950000</v>
      </c>
      <c r="H55">
        <f t="shared" si="7"/>
        <v>410000</v>
      </c>
      <c r="I55" t="s">
        <v>41</v>
      </c>
    </row>
    <row r="56" spans="1:9" ht="15" thickBot="1" x14ac:dyDescent="0.45">
      <c r="A56" s="8" t="s">
        <v>24</v>
      </c>
      <c r="B56" s="2" t="str">
        <f t="shared" si="10"/>
        <v>InterArray1</v>
      </c>
      <c r="C56" s="13" t="s">
        <v>20</v>
      </c>
      <c r="D56" s="10">
        <v>17.559999999999999</v>
      </c>
      <c r="E56" s="10">
        <v>17.86</v>
      </c>
      <c r="F56">
        <f t="shared" si="8"/>
        <v>17560000</v>
      </c>
      <c r="G56">
        <f t="shared" si="9"/>
        <v>17860000</v>
      </c>
      <c r="H56">
        <f t="shared" si="7"/>
        <v>300000</v>
      </c>
      <c r="I56" t="s">
        <v>41</v>
      </c>
    </row>
    <row r="57" spans="1:9" ht="15" thickBot="1" x14ac:dyDescent="0.45">
      <c r="A57" s="2" t="s">
        <v>24</v>
      </c>
      <c r="B57" s="2" t="str">
        <f>_xlfn.CONCAT(C57,2)</f>
        <v>InterArray2</v>
      </c>
      <c r="C57" s="9" t="s">
        <v>20</v>
      </c>
      <c r="D57" s="2">
        <v>17.95</v>
      </c>
      <c r="E57" s="2">
        <v>18.04</v>
      </c>
      <c r="F57">
        <f t="shared" si="8"/>
        <v>17950000</v>
      </c>
      <c r="G57">
        <f t="shared" si="9"/>
        <v>18040000</v>
      </c>
      <c r="H57">
        <f t="shared" si="7"/>
        <v>90000</v>
      </c>
      <c r="I57" t="s">
        <v>41</v>
      </c>
    </row>
    <row r="58" spans="1:9" ht="15" thickBot="1" x14ac:dyDescent="0.45">
      <c r="A58" s="2" t="s">
        <v>12</v>
      </c>
      <c r="B58" s="2" t="str">
        <f t="shared" ref="B58:B63" si="11">_xlfn.CONCAT(C58,1)</f>
        <v>InterArray1</v>
      </c>
      <c r="C58" s="9" t="s">
        <v>20</v>
      </c>
      <c r="D58" s="2">
        <v>33.28</v>
      </c>
      <c r="E58" s="2">
        <v>33.82</v>
      </c>
      <c r="F58">
        <f t="shared" si="8"/>
        <v>33280000</v>
      </c>
      <c r="G58">
        <f t="shared" si="9"/>
        <v>33820000</v>
      </c>
      <c r="H58">
        <f t="shared" si="7"/>
        <v>540000</v>
      </c>
      <c r="I58" t="s">
        <v>41</v>
      </c>
    </row>
    <row r="59" spans="1:9" ht="15" thickBot="1" x14ac:dyDescent="0.45">
      <c r="A59" s="2" t="s">
        <v>14</v>
      </c>
      <c r="B59" s="2" t="str">
        <f t="shared" si="11"/>
        <v>InterArray1</v>
      </c>
      <c r="C59" s="9" t="s">
        <v>20</v>
      </c>
      <c r="D59" s="2">
        <v>22.72</v>
      </c>
      <c r="E59" s="2">
        <v>24.23</v>
      </c>
      <c r="F59">
        <f t="shared" si="8"/>
        <v>22720000</v>
      </c>
      <c r="G59">
        <f t="shared" si="9"/>
        <v>24230000</v>
      </c>
      <c r="H59">
        <f t="shared" si="7"/>
        <v>1510000</v>
      </c>
      <c r="I59" t="s">
        <v>41</v>
      </c>
    </row>
    <row r="60" spans="1:9" ht="15.9" thickBot="1" x14ac:dyDescent="0.45">
      <c r="A60" s="7" t="s">
        <v>12</v>
      </c>
      <c r="B60" s="2" t="str">
        <f t="shared" si="11"/>
        <v>InterSpInv1</v>
      </c>
      <c r="C60" s="9" t="s">
        <v>35</v>
      </c>
      <c r="D60" s="11">
        <f>19037621/1000000</f>
        <v>19.037621000000001</v>
      </c>
      <c r="E60" s="11">
        <f>25083800/1000000</f>
        <v>25.0838</v>
      </c>
      <c r="F60" s="5">
        <v>19037621</v>
      </c>
      <c r="G60" s="5">
        <v>25083800</v>
      </c>
      <c r="H60">
        <f t="shared" si="7"/>
        <v>6046179</v>
      </c>
      <c r="I60" t="s">
        <v>42</v>
      </c>
    </row>
    <row r="61" spans="1:9" ht="15" thickBot="1" x14ac:dyDescent="0.45">
      <c r="A61" s="2" t="s">
        <v>21</v>
      </c>
      <c r="B61" s="2" t="str">
        <f t="shared" si="11"/>
        <v>IntraSpInv1</v>
      </c>
      <c r="C61" s="9" t="s">
        <v>25</v>
      </c>
      <c r="D61" s="2">
        <v>34.17</v>
      </c>
      <c r="E61" s="9">
        <v>36.65</v>
      </c>
      <c r="F61">
        <f t="shared" ref="F61:G68" si="12">D61*1000000</f>
        <v>34170000</v>
      </c>
      <c r="G61">
        <f t="shared" si="12"/>
        <v>36650000</v>
      </c>
      <c r="H61">
        <f t="shared" si="7"/>
        <v>2480000</v>
      </c>
      <c r="I61" t="s">
        <v>42</v>
      </c>
    </row>
    <row r="62" spans="1:9" ht="15" thickBot="1" x14ac:dyDescent="0.45">
      <c r="A62" s="2" t="s">
        <v>22</v>
      </c>
      <c r="B62" s="2" t="str">
        <f t="shared" si="11"/>
        <v>IntraSpInv1</v>
      </c>
      <c r="C62" s="9" t="s">
        <v>25</v>
      </c>
      <c r="D62" s="2">
        <v>21.83</v>
      </c>
      <c r="E62" s="9">
        <v>25.54</v>
      </c>
      <c r="F62">
        <f t="shared" si="12"/>
        <v>21830000</v>
      </c>
      <c r="G62">
        <f t="shared" si="12"/>
        <v>25540000</v>
      </c>
      <c r="H62">
        <f t="shared" si="7"/>
        <v>3710000</v>
      </c>
      <c r="I62" t="s">
        <v>42</v>
      </c>
    </row>
    <row r="63" spans="1:9" ht="15" thickBot="1" x14ac:dyDescent="0.45">
      <c r="A63" s="2" t="s">
        <v>23</v>
      </c>
      <c r="B63" s="2" t="str">
        <f t="shared" si="11"/>
        <v>IntraSpInv1</v>
      </c>
      <c r="C63" s="9" t="s">
        <v>25</v>
      </c>
      <c r="D63" s="2">
        <v>8.82</v>
      </c>
      <c r="E63" s="9">
        <v>11.36</v>
      </c>
      <c r="F63">
        <f t="shared" si="12"/>
        <v>8820000</v>
      </c>
      <c r="G63">
        <f t="shared" si="12"/>
        <v>11360000</v>
      </c>
      <c r="H63">
        <f t="shared" si="7"/>
        <v>2540000</v>
      </c>
      <c r="I63" t="s">
        <v>42</v>
      </c>
    </row>
    <row r="64" spans="1:9" ht="15" thickBot="1" x14ac:dyDescent="0.45">
      <c r="A64" s="2" t="s">
        <v>23</v>
      </c>
      <c r="B64" s="2" t="str">
        <f>_xlfn.CONCAT(C64,2)</f>
        <v>IntraSpInv2</v>
      </c>
      <c r="C64" s="9" t="s">
        <v>25</v>
      </c>
      <c r="D64" s="2">
        <v>15.2</v>
      </c>
      <c r="E64" s="9">
        <v>16.96</v>
      </c>
      <c r="F64">
        <f t="shared" si="12"/>
        <v>15200000</v>
      </c>
      <c r="G64">
        <f t="shared" si="12"/>
        <v>16960000</v>
      </c>
      <c r="H64">
        <f t="shared" si="7"/>
        <v>1760000</v>
      </c>
      <c r="I64" t="s">
        <v>42</v>
      </c>
    </row>
    <row r="65" spans="1:9" ht="15" thickBot="1" x14ac:dyDescent="0.45">
      <c r="A65" s="2" t="s">
        <v>23</v>
      </c>
      <c r="B65" s="2" t="str">
        <f>_xlfn.CONCAT(C65,3)</f>
        <v>IntraSpInv3</v>
      </c>
      <c r="C65" s="9" t="s">
        <v>25</v>
      </c>
      <c r="D65" s="2">
        <v>34.86</v>
      </c>
      <c r="E65" s="9">
        <v>45.82</v>
      </c>
      <c r="F65">
        <f t="shared" si="12"/>
        <v>34860000</v>
      </c>
      <c r="G65">
        <f t="shared" si="12"/>
        <v>45820000</v>
      </c>
      <c r="H65">
        <f t="shared" si="7"/>
        <v>10960000</v>
      </c>
      <c r="I65" t="s">
        <v>42</v>
      </c>
    </row>
    <row r="66" spans="1:9" ht="15" thickBot="1" x14ac:dyDescent="0.45">
      <c r="A66" s="2" t="s">
        <v>24</v>
      </c>
      <c r="B66" s="2" t="str">
        <f t="shared" ref="B66:B73" si="13">_xlfn.CONCAT(C66,1)</f>
        <v>IntraSpInv1</v>
      </c>
      <c r="C66" s="9" t="s">
        <v>25</v>
      </c>
      <c r="D66" s="2">
        <v>9.7899999999999991</v>
      </c>
      <c r="E66" s="9">
        <v>16.62</v>
      </c>
      <c r="F66">
        <f t="shared" si="12"/>
        <v>9790000</v>
      </c>
      <c r="G66">
        <f t="shared" si="12"/>
        <v>16620000.000000002</v>
      </c>
      <c r="H66">
        <f t="shared" ref="H66:H84" si="14">G66-F66</f>
        <v>6830000.0000000019</v>
      </c>
      <c r="I66" t="s">
        <v>42</v>
      </c>
    </row>
    <row r="67" spans="1:9" ht="15" thickBot="1" x14ac:dyDescent="0.45">
      <c r="A67" s="2" t="s">
        <v>24</v>
      </c>
      <c r="B67" s="2" t="str">
        <f t="shared" si="13"/>
        <v>IntraSpInv1</v>
      </c>
      <c r="C67" s="9" t="s">
        <v>25</v>
      </c>
      <c r="D67" s="2">
        <v>18.760000000000002</v>
      </c>
      <c r="E67" s="9">
        <v>22.01</v>
      </c>
      <c r="F67">
        <f t="shared" si="12"/>
        <v>18760000</v>
      </c>
      <c r="G67">
        <f t="shared" si="12"/>
        <v>22010000</v>
      </c>
      <c r="H67">
        <f t="shared" si="14"/>
        <v>3250000</v>
      </c>
      <c r="I67" t="s">
        <v>42</v>
      </c>
    </row>
    <row r="68" spans="1:9" ht="15" thickBot="1" x14ac:dyDescent="0.45">
      <c r="A68" s="2" t="s">
        <v>13</v>
      </c>
      <c r="B68" s="2" t="str">
        <f t="shared" si="13"/>
        <v>IntraSpInv1</v>
      </c>
      <c r="C68" s="9" t="s">
        <v>25</v>
      </c>
      <c r="D68" s="2">
        <v>5.7</v>
      </c>
      <c r="E68" s="9">
        <v>21.24</v>
      </c>
      <c r="F68">
        <f t="shared" si="12"/>
        <v>5700000</v>
      </c>
      <c r="G68">
        <f t="shared" si="12"/>
        <v>21240000</v>
      </c>
      <c r="H68">
        <f t="shared" si="14"/>
        <v>15540000</v>
      </c>
      <c r="I68" t="s">
        <v>42</v>
      </c>
    </row>
    <row r="69" spans="1:9" ht="15.9" thickBot="1" x14ac:dyDescent="0.45">
      <c r="A69" s="2" t="s">
        <v>21</v>
      </c>
      <c r="B69" s="2" t="str">
        <f t="shared" si="13"/>
        <v>InvBuffer1</v>
      </c>
      <c r="C69" s="9" t="s">
        <v>44</v>
      </c>
      <c r="D69" s="11">
        <f t="shared" ref="D69:D84" si="15">F69/1000000</f>
        <v>33.17</v>
      </c>
      <c r="E69" s="11">
        <f t="shared" ref="E69:E84" si="16">G69/1000000</f>
        <v>34.17</v>
      </c>
      <c r="F69">
        <v>33170000</v>
      </c>
      <c r="G69">
        <v>34170000</v>
      </c>
      <c r="H69">
        <f t="shared" si="14"/>
        <v>1000000</v>
      </c>
      <c r="I69" t="s">
        <v>79</v>
      </c>
    </row>
    <row r="70" spans="1:9" ht="15.9" thickBot="1" x14ac:dyDescent="0.45">
      <c r="A70" s="2" t="s">
        <v>21</v>
      </c>
      <c r="B70" s="2" t="str">
        <f t="shared" si="13"/>
        <v>InvBuffer1</v>
      </c>
      <c r="C70" s="9" t="s">
        <v>44</v>
      </c>
      <c r="D70" s="11">
        <f t="shared" si="15"/>
        <v>36.65</v>
      </c>
      <c r="E70" s="11">
        <f t="shared" si="16"/>
        <v>37.65</v>
      </c>
      <c r="F70">
        <v>36650000</v>
      </c>
      <c r="G70">
        <v>37650000</v>
      </c>
      <c r="H70">
        <f t="shared" si="14"/>
        <v>1000000</v>
      </c>
      <c r="I70" t="s">
        <v>79</v>
      </c>
    </row>
    <row r="71" spans="1:9" ht="15.9" thickBot="1" x14ac:dyDescent="0.45">
      <c r="A71" s="2" t="s">
        <v>22</v>
      </c>
      <c r="B71" s="2" t="str">
        <f t="shared" si="13"/>
        <v>InvBuffer1</v>
      </c>
      <c r="C71" s="9" t="s">
        <v>44</v>
      </c>
      <c r="D71" s="11">
        <f t="shared" si="15"/>
        <v>20.83</v>
      </c>
      <c r="E71" s="11">
        <f t="shared" si="16"/>
        <v>21.83</v>
      </c>
      <c r="F71">
        <v>20830000</v>
      </c>
      <c r="G71">
        <v>21830000</v>
      </c>
      <c r="H71">
        <f t="shared" si="14"/>
        <v>1000000</v>
      </c>
      <c r="I71" t="s">
        <v>79</v>
      </c>
    </row>
    <row r="72" spans="1:9" ht="15.9" thickBot="1" x14ac:dyDescent="0.45">
      <c r="A72" s="2" t="s">
        <v>22</v>
      </c>
      <c r="B72" s="2" t="str">
        <f t="shared" si="13"/>
        <v>InvBuffer1</v>
      </c>
      <c r="C72" s="9" t="s">
        <v>44</v>
      </c>
      <c r="D72" s="11">
        <f t="shared" si="15"/>
        <v>25.54</v>
      </c>
      <c r="E72" s="11">
        <f t="shared" si="16"/>
        <v>26.54</v>
      </c>
      <c r="F72">
        <v>25540000</v>
      </c>
      <c r="G72">
        <v>26540000</v>
      </c>
      <c r="H72">
        <f t="shared" si="14"/>
        <v>1000000</v>
      </c>
      <c r="I72" t="s">
        <v>79</v>
      </c>
    </row>
    <row r="73" spans="1:9" ht="15.9" thickBot="1" x14ac:dyDescent="0.45">
      <c r="A73" s="2" t="s">
        <v>23</v>
      </c>
      <c r="B73" s="2" t="str">
        <f t="shared" si="13"/>
        <v>InvBuffer1</v>
      </c>
      <c r="C73" s="9" t="s">
        <v>44</v>
      </c>
      <c r="D73" s="11">
        <f t="shared" si="15"/>
        <v>7.82</v>
      </c>
      <c r="E73" s="11">
        <f t="shared" si="16"/>
        <v>8.82</v>
      </c>
      <c r="F73">
        <v>7820000</v>
      </c>
      <c r="G73">
        <v>8820000</v>
      </c>
      <c r="H73">
        <f t="shared" si="14"/>
        <v>1000000</v>
      </c>
      <c r="I73" t="s">
        <v>79</v>
      </c>
    </row>
    <row r="74" spans="1:9" ht="15.9" thickBot="1" x14ac:dyDescent="0.45">
      <c r="A74" s="2" t="s">
        <v>23</v>
      </c>
      <c r="B74" s="2" t="str">
        <f>_xlfn.CONCAT(C74,2)</f>
        <v>InvBuffer2</v>
      </c>
      <c r="C74" s="9" t="s">
        <v>44</v>
      </c>
      <c r="D74" s="11">
        <f t="shared" si="15"/>
        <v>14.2</v>
      </c>
      <c r="E74" s="11">
        <f t="shared" si="16"/>
        <v>15.2</v>
      </c>
      <c r="F74">
        <v>14200000</v>
      </c>
      <c r="G74">
        <v>15200000</v>
      </c>
      <c r="H74">
        <f t="shared" si="14"/>
        <v>1000000</v>
      </c>
      <c r="I74" t="s">
        <v>79</v>
      </c>
    </row>
    <row r="75" spans="1:9" ht="15.9" thickBot="1" x14ac:dyDescent="0.45">
      <c r="A75" s="2" t="s">
        <v>23</v>
      </c>
      <c r="B75" s="2" t="str">
        <f>_xlfn.CONCAT(C75,3)</f>
        <v>InvBuffer3</v>
      </c>
      <c r="C75" s="9" t="s">
        <v>44</v>
      </c>
      <c r="D75" s="11">
        <f t="shared" si="15"/>
        <v>33.86</v>
      </c>
      <c r="E75" s="11">
        <f t="shared" si="16"/>
        <v>34.86</v>
      </c>
      <c r="F75">
        <v>33860000</v>
      </c>
      <c r="G75">
        <v>34860000</v>
      </c>
      <c r="H75">
        <f t="shared" si="14"/>
        <v>1000000</v>
      </c>
      <c r="I75" t="s">
        <v>79</v>
      </c>
    </row>
    <row r="76" spans="1:9" ht="15.9" thickBot="1" x14ac:dyDescent="0.45">
      <c r="A76" s="2" t="s">
        <v>23</v>
      </c>
      <c r="B76" s="2" t="str">
        <f>_xlfn.CONCAT(C76,1)</f>
        <v>InvBuffer1</v>
      </c>
      <c r="C76" s="9" t="s">
        <v>44</v>
      </c>
      <c r="D76" s="11">
        <f t="shared" si="15"/>
        <v>11.36</v>
      </c>
      <c r="E76" s="11">
        <f t="shared" si="16"/>
        <v>12.36</v>
      </c>
      <c r="F76">
        <v>11360000</v>
      </c>
      <c r="G76">
        <v>12360000</v>
      </c>
      <c r="H76">
        <f t="shared" si="14"/>
        <v>1000000</v>
      </c>
      <c r="I76" t="s">
        <v>79</v>
      </c>
    </row>
    <row r="77" spans="1:9" ht="15.9" thickBot="1" x14ac:dyDescent="0.45">
      <c r="A77" s="2" t="s">
        <v>23</v>
      </c>
      <c r="B77" s="2" t="str">
        <f>_xlfn.CONCAT(C77,2)</f>
        <v>InvBuffer2</v>
      </c>
      <c r="C77" s="9" t="s">
        <v>44</v>
      </c>
      <c r="D77" s="11">
        <f t="shared" si="15"/>
        <v>16.96</v>
      </c>
      <c r="E77" s="11">
        <f t="shared" si="16"/>
        <v>17.96</v>
      </c>
      <c r="F77">
        <v>16960000</v>
      </c>
      <c r="G77">
        <v>17960000</v>
      </c>
      <c r="H77">
        <f t="shared" si="14"/>
        <v>1000000</v>
      </c>
      <c r="I77" t="s">
        <v>79</v>
      </c>
    </row>
    <row r="78" spans="1:9" ht="15.9" thickBot="1" x14ac:dyDescent="0.45">
      <c r="A78" s="2" t="s">
        <v>23</v>
      </c>
      <c r="B78" s="2" t="str">
        <f>_xlfn.CONCAT(C78,3)</f>
        <v>InvBuffer3</v>
      </c>
      <c r="C78" s="9" t="s">
        <v>44</v>
      </c>
      <c r="D78" s="11">
        <f t="shared" si="15"/>
        <v>45.82</v>
      </c>
      <c r="E78" s="11">
        <f t="shared" si="16"/>
        <v>46.82</v>
      </c>
      <c r="F78">
        <v>45820000</v>
      </c>
      <c r="G78">
        <v>46820000</v>
      </c>
      <c r="H78">
        <f t="shared" si="14"/>
        <v>1000000</v>
      </c>
      <c r="I78" t="s">
        <v>79</v>
      </c>
    </row>
    <row r="79" spans="1:9" ht="15.9" thickBot="1" x14ac:dyDescent="0.45">
      <c r="A79" s="2" t="s">
        <v>24</v>
      </c>
      <c r="B79" s="2" t="str">
        <f t="shared" ref="B79:B84" si="17">_xlfn.CONCAT(C79,1)</f>
        <v>InvBuffer1</v>
      </c>
      <c r="C79" s="9" t="s">
        <v>44</v>
      </c>
      <c r="D79" s="11">
        <f t="shared" si="15"/>
        <v>8.7899999999999991</v>
      </c>
      <c r="E79" s="11">
        <f t="shared" si="16"/>
        <v>9.7899999999999991</v>
      </c>
      <c r="F79">
        <v>8790000</v>
      </c>
      <c r="G79">
        <v>9790000</v>
      </c>
      <c r="H79">
        <f t="shared" si="14"/>
        <v>1000000</v>
      </c>
      <c r="I79" t="s">
        <v>79</v>
      </c>
    </row>
    <row r="80" spans="1:9" ht="15.9" thickBot="1" x14ac:dyDescent="0.45">
      <c r="A80" s="2" t="s">
        <v>24</v>
      </c>
      <c r="B80" s="2" t="str">
        <f t="shared" si="17"/>
        <v>InvBuffer1</v>
      </c>
      <c r="C80" s="9" t="s">
        <v>44</v>
      </c>
      <c r="D80" s="11">
        <f t="shared" si="15"/>
        <v>22.01</v>
      </c>
      <c r="E80" s="11">
        <f t="shared" si="16"/>
        <v>23.01</v>
      </c>
      <c r="F80">
        <v>22010000</v>
      </c>
      <c r="G80">
        <v>23010000</v>
      </c>
      <c r="H80">
        <f t="shared" si="14"/>
        <v>1000000</v>
      </c>
      <c r="I80" t="s">
        <v>79</v>
      </c>
    </row>
    <row r="81" spans="1:9" ht="15.9" thickBot="1" x14ac:dyDescent="0.45">
      <c r="A81" s="7" t="s">
        <v>12</v>
      </c>
      <c r="B81" s="2" t="str">
        <f t="shared" si="17"/>
        <v>InvBuffer1</v>
      </c>
      <c r="C81" s="9" t="s">
        <v>44</v>
      </c>
      <c r="D81" s="11">
        <f t="shared" si="15"/>
        <v>18.037621000000001</v>
      </c>
      <c r="E81" s="11">
        <f t="shared" si="16"/>
        <v>19.037621000000001</v>
      </c>
      <c r="F81" s="5">
        <v>18037621</v>
      </c>
      <c r="G81" s="5">
        <v>19037621</v>
      </c>
      <c r="H81">
        <f t="shared" si="14"/>
        <v>1000000</v>
      </c>
      <c r="I81" t="s">
        <v>79</v>
      </c>
    </row>
    <row r="82" spans="1:9" ht="15.9" thickBot="1" x14ac:dyDescent="0.45">
      <c r="A82" s="7" t="s">
        <v>12</v>
      </c>
      <c r="B82" s="2" t="str">
        <f t="shared" si="17"/>
        <v>InvBuffer1</v>
      </c>
      <c r="C82" s="9" t="s">
        <v>44</v>
      </c>
      <c r="D82" s="11">
        <f t="shared" si="15"/>
        <v>25.0838</v>
      </c>
      <c r="E82" s="11">
        <f t="shared" si="16"/>
        <v>26.0838</v>
      </c>
      <c r="F82" s="5">
        <v>25083800</v>
      </c>
      <c r="G82" s="5">
        <v>26083800</v>
      </c>
      <c r="H82">
        <f t="shared" si="14"/>
        <v>1000000</v>
      </c>
      <c r="I82" t="s">
        <v>79</v>
      </c>
    </row>
    <row r="83" spans="1:9" ht="15.9" thickBot="1" x14ac:dyDescent="0.45">
      <c r="A83" s="2" t="s">
        <v>13</v>
      </c>
      <c r="B83" s="2" t="str">
        <f t="shared" si="17"/>
        <v>InvBuffer1</v>
      </c>
      <c r="C83" s="9" t="s">
        <v>44</v>
      </c>
      <c r="D83" s="11">
        <f t="shared" si="15"/>
        <v>4.7</v>
      </c>
      <c r="E83" s="11">
        <f t="shared" si="16"/>
        <v>5.7</v>
      </c>
      <c r="F83">
        <v>4700000</v>
      </c>
      <c r="G83">
        <v>5700000</v>
      </c>
      <c r="H83">
        <f t="shared" si="14"/>
        <v>1000000</v>
      </c>
      <c r="I83" t="s">
        <v>79</v>
      </c>
    </row>
    <row r="84" spans="1:9" ht="15.9" thickBot="1" x14ac:dyDescent="0.45">
      <c r="A84" s="2" t="s">
        <v>13</v>
      </c>
      <c r="B84" s="2" t="str">
        <f t="shared" si="17"/>
        <v>InvBuffer1</v>
      </c>
      <c r="C84" s="9" t="s">
        <v>44</v>
      </c>
      <c r="D84" s="11">
        <f t="shared" si="15"/>
        <v>21.24</v>
      </c>
      <c r="E84" s="11">
        <f t="shared" si="16"/>
        <v>22.24</v>
      </c>
      <c r="F84">
        <v>21240000</v>
      </c>
      <c r="G84">
        <v>22240000</v>
      </c>
      <c r="H84">
        <f t="shared" si="14"/>
        <v>1000000</v>
      </c>
      <c r="I84" t="s">
        <v>79</v>
      </c>
    </row>
  </sheetData>
  <sortState xmlns:xlrd2="http://schemas.microsoft.com/office/spreadsheetml/2017/richdata2" ref="A2:I84">
    <sortCondition ref="C2:C84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8B7A-E8BA-4963-909C-D455B2E3DFF7}">
  <dimension ref="A1:I45"/>
  <sheetViews>
    <sheetView topLeftCell="A31" workbookViewId="0">
      <selection activeCell="C42" sqref="C42"/>
    </sheetView>
  </sheetViews>
  <sheetFormatPr defaultRowHeight="14.6" x14ac:dyDescent="0.4"/>
  <cols>
    <col min="1" max="1" width="13.15234375" bestFit="1" customWidth="1"/>
    <col min="2" max="3" width="10" bestFit="1" customWidth="1"/>
    <col min="4" max="4" width="10.69140625" bestFit="1" customWidth="1"/>
    <col min="5" max="5" width="10.53515625" bestFit="1" customWidth="1"/>
    <col min="6" max="7" width="25.53515625" customWidth="1"/>
  </cols>
  <sheetData>
    <row r="1" spans="1:9" ht="15" thickBot="1" x14ac:dyDescent="0.45">
      <c r="A1" s="1" t="s">
        <v>32</v>
      </c>
      <c r="B1" s="1" t="s">
        <v>26</v>
      </c>
      <c r="C1" s="1" t="s">
        <v>18</v>
      </c>
      <c r="D1" s="1" t="s">
        <v>16</v>
      </c>
      <c r="E1" s="1" t="s">
        <v>17</v>
      </c>
      <c r="F1" s="6" t="s">
        <v>34</v>
      </c>
      <c r="G1" s="6" t="s">
        <v>33</v>
      </c>
      <c r="I1" s="12" t="s">
        <v>40</v>
      </c>
    </row>
    <row r="2" spans="1:9" ht="15" thickBot="1" x14ac:dyDescent="0.45">
      <c r="A2" s="2" t="s">
        <v>27</v>
      </c>
      <c r="B2" s="2" t="str">
        <f t="shared" ref="B2:B13" si="0">_xlfn.CONCAT(C2,1)</f>
        <v>CenArray1</v>
      </c>
      <c r="C2" s="2" t="s">
        <v>19</v>
      </c>
      <c r="D2" s="2">
        <v>43</v>
      </c>
      <c r="E2" s="2">
        <v>43.62</v>
      </c>
      <c r="F2" s="13">
        <f t="shared" ref="F2:F35" si="1">D2*1000000</f>
        <v>43000000</v>
      </c>
      <c r="G2" s="13">
        <f t="shared" ref="G2:G35" si="2">E2*1000000</f>
        <v>43620000</v>
      </c>
      <c r="H2">
        <f t="shared" ref="H2:H45" si="3">G2-F2</f>
        <v>620000</v>
      </c>
      <c r="I2" s="13" t="s">
        <v>41</v>
      </c>
    </row>
    <row r="3" spans="1:9" ht="15" thickBot="1" x14ac:dyDescent="0.45">
      <c r="A3" s="2" t="s">
        <v>28</v>
      </c>
      <c r="B3" s="2" t="str">
        <f t="shared" si="0"/>
        <v>CenArray1</v>
      </c>
      <c r="C3" s="2" t="s">
        <v>19</v>
      </c>
      <c r="D3" s="2">
        <v>40.9</v>
      </c>
      <c r="E3" s="2">
        <v>41.28</v>
      </c>
      <c r="F3">
        <f t="shared" si="1"/>
        <v>40900000</v>
      </c>
      <c r="G3">
        <f t="shared" si="2"/>
        <v>41280000</v>
      </c>
      <c r="H3">
        <f t="shared" si="3"/>
        <v>380000</v>
      </c>
      <c r="I3" t="s">
        <v>41</v>
      </c>
    </row>
    <row r="4" spans="1:9" ht="15" thickBot="1" x14ac:dyDescent="0.45">
      <c r="A4" s="2" t="s">
        <v>21</v>
      </c>
      <c r="B4" s="2" t="str">
        <f t="shared" si="0"/>
        <v>CenArray1</v>
      </c>
      <c r="C4" s="2" t="s">
        <v>19</v>
      </c>
      <c r="D4" s="2">
        <v>26.65</v>
      </c>
      <c r="E4" s="2">
        <v>29.85</v>
      </c>
      <c r="F4">
        <f t="shared" si="1"/>
        <v>26650000</v>
      </c>
      <c r="G4">
        <f t="shared" si="2"/>
        <v>29850000</v>
      </c>
      <c r="H4">
        <f t="shared" si="3"/>
        <v>3200000</v>
      </c>
      <c r="I4" t="s">
        <v>41</v>
      </c>
    </row>
    <row r="5" spans="1:9" ht="15" thickBot="1" x14ac:dyDescent="0.45">
      <c r="A5" s="2" t="s">
        <v>29</v>
      </c>
      <c r="B5" s="2" t="str">
        <f t="shared" si="0"/>
        <v>CenArray1</v>
      </c>
      <c r="C5" s="2" t="s">
        <v>19</v>
      </c>
      <c r="D5" s="2">
        <v>32.85</v>
      </c>
      <c r="E5" s="2">
        <v>34.94</v>
      </c>
      <c r="F5">
        <f t="shared" si="1"/>
        <v>32850000</v>
      </c>
      <c r="G5">
        <f t="shared" si="2"/>
        <v>34940000</v>
      </c>
      <c r="H5">
        <f t="shared" si="3"/>
        <v>2090000</v>
      </c>
      <c r="I5" t="s">
        <v>41</v>
      </c>
    </row>
    <row r="6" spans="1:9" ht="15" thickBot="1" x14ac:dyDescent="0.45">
      <c r="A6" s="2" t="s">
        <v>22</v>
      </c>
      <c r="B6" s="2" t="str">
        <f t="shared" si="0"/>
        <v>CenArray1</v>
      </c>
      <c r="C6" s="2" t="s">
        <v>19</v>
      </c>
      <c r="D6" s="2">
        <v>48.25</v>
      </c>
      <c r="E6" s="2">
        <v>49.44</v>
      </c>
      <c r="F6">
        <f t="shared" si="1"/>
        <v>48250000</v>
      </c>
      <c r="G6">
        <f t="shared" si="2"/>
        <v>49440000</v>
      </c>
      <c r="H6">
        <f t="shared" si="3"/>
        <v>1190000</v>
      </c>
      <c r="I6" t="s">
        <v>41</v>
      </c>
    </row>
    <row r="7" spans="1:9" ht="15" thickBot="1" x14ac:dyDescent="0.45">
      <c r="A7" s="2" t="s">
        <v>23</v>
      </c>
      <c r="B7" s="2" t="str">
        <f t="shared" si="0"/>
        <v>CenArray1</v>
      </c>
      <c r="C7" s="2" t="s">
        <v>19</v>
      </c>
      <c r="D7" s="2">
        <v>23.75</v>
      </c>
      <c r="E7" s="2">
        <v>24.78</v>
      </c>
      <c r="F7">
        <f t="shared" si="1"/>
        <v>23750000</v>
      </c>
      <c r="G7">
        <f t="shared" si="2"/>
        <v>24780000</v>
      </c>
      <c r="H7">
        <f t="shared" si="3"/>
        <v>1030000</v>
      </c>
      <c r="I7" t="s">
        <v>41</v>
      </c>
    </row>
    <row r="8" spans="1:9" ht="15" thickBot="1" x14ac:dyDescent="0.45">
      <c r="A8" s="2" t="s">
        <v>30</v>
      </c>
      <c r="B8" s="2" t="str">
        <f t="shared" si="0"/>
        <v>CenArray1</v>
      </c>
      <c r="C8" s="2" t="s">
        <v>19</v>
      </c>
      <c r="D8" s="2">
        <v>28.35</v>
      </c>
      <c r="E8" s="2">
        <v>28.8</v>
      </c>
      <c r="F8">
        <f t="shared" si="1"/>
        <v>28350000</v>
      </c>
      <c r="G8">
        <f t="shared" si="2"/>
        <v>28800000</v>
      </c>
      <c r="H8">
        <f t="shared" si="3"/>
        <v>450000</v>
      </c>
      <c r="I8" t="s">
        <v>41</v>
      </c>
    </row>
    <row r="9" spans="1:9" ht="15" thickBot="1" x14ac:dyDescent="0.45">
      <c r="A9" s="2" t="s">
        <v>31</v>
      </c>
      <c r="B9" s="2" t="str">
        <f t="shared" si="0"/>
        <v>CenArray1</v>
      </c>
      <c r="C9" s="2" t="s">
        <v>19</v>
      </c>
      <c r="D9" s="2">
        <v>39.090000000000003</v>
      </c>
      <c r="E9" s="2">
        <v>39.54</v>
      </c>
      <c r="F9">
        <f t="shared" si="1"/>
        <v>39090000</v>
      </c>
      <c r="G9">
        <f t="shared" si="2"/>
        <v>39540000</v>
      </c>
      <c r="H9">
        <f t="shared" si="3"/>
        <v>450000</v>
      </c>
      <c r="I9" t="s">
        <v>41</v>
      </c>
    </row>
    <row r="10" spans="1:9" ht="15" thickBot="1" x14ac:dyDescent="0.45">
      <c r="A10" s="2" t="s">
        <v>24</v>
      </c>
      <c r="B10" s="2" t="str">
        <f t="shared" si="0"/>
        <v>CenArray1</v>
      </c>
      <c r="C10" s="2" t="s">
        <v>19</v>
      </c>
      <c r="D10" s="2">
        <v>16.62</v>
      </c>
      <c r="E10" s="2">
        <v>17.559999999999999</v>
      </c>
      <c r="F10">
        <f t="shared" si="1"/>
        <v>16620000.000000002</v>
      </c>
      <c r="G10">
        <f t="shared" si="2"/>
        <v>17560000</v>
      </c>
      <c r="H10">
        <f t="shared" si="3"/>
        <v>939999.99999999814</v>
      </c>
      <c r="I10" t="s">
        <v>41</v>
      </c>
    </row>
    <row r="11" spans="1:9" ht="15" thickBot="1" x14ac:dyDescent="0.45">
      <c r="A11" s="2" t="s">
        <v>12</v>
      </c>
      <c r="B11" s="2" t="str">
        <f t="shared" si="0"/>
        <v>CenArray1</v>
      </c>
      <c r="C11" s="2" t="s">
        <v>19</v>
      </c>
      <c r="D11" s="2">
        <v>31.98</v>
      </c>
      <c r="E11" s="2">
        <v>33.28</v>
      </c>
      <c r="F11">
        <f t="shared" si="1"/>
        <v>31980000</v>
      </c>
      <c r="G11">
        <f t="shared" si="2"/>
        <v>33280000</v>
      </c>
      <c r="H11">
        <f t="shared" si="3"/>
        <v>1300000</v>
      </c>
      <c r="I11" t="s">
        <v>41</v>
      </c>
    </row>
    <row r="12" spans="1:9" ht="15" thickBot="1" x14ac:dyDescent="0.45">
      <c r="A12" s="2" t="s">
        <v>13</v>
      </c>
      <c r="B12" s="2" t="str">
        <f t="shared" si="0"/>
        <v>CenArray1</v>
      </c>
      <c r="C12" s="2" t="s">
        <v>19</v>
      </c>
      <c r="D12" s="2">
        <v>30.28</v>
      </c>
      <c r="E12" s="2">
        <v>32.36</v>
      </c>
      <c r="F12">
        <f t="shared" si="1"/>
        <v>30280000</v>
      </c>
      <c r="G12">
        <f t="shared" si="2"/>
        <v>32360000</v>
      </c>
      <c r="H12">
        <f t="shared" si="3"/>
        <v>2080000</v>
      </c>
      <c r="I12" t="s">
        <v>41</v>
      </c>
    </row>
    <row r="13" spans="1:9" ht="15" thickBot="1" x14ac:dyDescent="0.45">
      <c r="A13" s="2" t="s">
        <v>14</v>
      </c>
      <c r="B13" s="2" t="str">
        <f t="shared" si="0"/>
        <v>CenArray1</v>
      </c>
      <c r="C13" s="2" t="s">
        <v>19</v>
      </c>
      <c r="D13" s="2">
        <v>21.83</v>
      </c>
      <c r="E13" s="2">
        <v>22.72</v>
      </c>
      <c r="F13">
        <f t="shared" si="1"/>
        <v>21830000</v>
      </c>
      <c r="G13">
        <f t="shared" si="2"/>
        <v>22720000</v>
      </c>
      <c r="H13">
        <f t="shared" si="3"/>
        <v>890000</v>
      </c>
      <c r="I13" t="s">
        <v>41</v>
      </c>
    </row>
    <row r="14" spans="1:9" ht="15" thickBot="1" x14ac:dyDescent="0.45">
      <c r="A14" s="2" t="s">
        <v>27</v>
      </c>
      <c r="B14" s="2" t="str">
        <f t="shared" ref="B14:B22" si="4">_xlfn.CONCAT(C14,2)</f>
        <v>CenArray2</v>
      </c>
      <c r="C14" s="2" t="s">
        <v>19</v>
      </c>
      <c r="D14" s="2">
        <v>44.3</v>
      </c>
      <c r="E14" s="2">
        <v>44.59</v>
      </c>
      <c r="F14">
        <f t="shared" si="1"/>
        <v>44300000</v>
      </c>
      <c r="G14">
        <f t="shared" si="2"/>
        <v>44590000</v>
      </c>
      <c r="H14">
        <f t="shared" si="3"/>
        <v>290000</v>
      </c>
      <c r="I14" t="s">
        <v>41</v>
      </c>
    </row>
    <row r="15" spans="1:9" ht="15" thickBot="1" x14ac:dyDescent="0.45">
      <c r="A15" s="2" t="s">
        <v>28</v>
      </c>
      <c r="B15" s="2" t="str">
        <f t="shared" si="4"/>
        <v>CenArray2</v>
      </c>
      <c r="C15" s="2" t="s">
        <v>19</v>
      </c>
      <c r="D15" s="2">
        <v>42.1</v>
      </c>
      <c r="E15" s="2">
        <v>42.8</v>
      </c>
      <c r="F15">
        <f t="shared" si="1"/>
        <v>42100000</v>
      </c>
      <c r="G15">
        <f t="shared" si="2"/>
        <v>42800000</v>
      </c>
      <c r="H15">
        <f t="shared" si="3"/>
        <v>700000</v>
      </c>
      <c r="I15" t="s">
        <v>41</v>
      </c>
    </row>
    <row r="16" spans="1:9" ht="15" thickBot="1" x14ac:dyDescent="0.45">
      <c r="A16" s="2" t="s">
        <v>22</v>
      </c>
      <c r="B16" s="2" t="str">
        <f t="shared" si="4"/>
        <v>CenArray2</v>
      </c>
      <c r="C16" s="2" t="s">
        <v>19</v>
      </c>
      <c r="D16" s="2">
        <v>50.26</v>
      </c>
      <c r="E16" s="2">
        <v>51.36</v>
      </c>
      <c r="F16">
        <f t="shared" si="1"/>
        <v>50260000</v>
      </c>
      <c r="G16">
        <f t="shared" si="2"/>
        <v>51360000</v>
      </c>
      <c r="H16">
        <f t="shared" si="3"/>
        <v>1100000</v>
      </c>
      <c r="I16" t="s">
        <v>41</v>
      </c>
    </row>
    <row r="17" spans="1:9" ht="15" thickBot="1" x14ac:dyDescent="0.45">
      <c r="A17" s="2" t="s">
        <v>23</v>
      </c>
      <c r="B17" s="2" t="str">
        <f t="shared" si="4"/>
        <v>CenArray2</v>
      </c>
      <c r="C17" s="2" t="s">
        <v>19</v>
      </c>
      <c r="D17" s="2">
        <v>25.55</v>
      </c>
      <c r="E17" s="2">
        <v>26.31</v>
      </c>
      <c r="F17">
        <f t="shared" si="1"/>
        <v>25550000</v>
      </c>
      <c r="G17">
        <f t="shared" si="2"/>
        <v>26310000</v>
      </c>
      <c r="H17">
        <f t="shared" si="3"/>
        <v>760000</v>
      </c>
      <c r="I17" t="s">
        <v>41</v>
      </c>
    </row>
    <row r="18" spans="1:9" ht="15" thickBot="1" x14ac:dyDescent="0.45">
      <c r="A18" s="2" t="s">
        <v>30</v>
      </c>
      <c r="B18" s="2" t="str">
        <f t="shared" si="4"/>
        <v>CenArray2</v>
      </c>
      <c r="C18" s="2" t="s">
        <v>19</v>
      </c>
      <c r="D18" s="2">
        <v>30</v>
      </c>
      <c r="E18" s="2">
        <v>30.42</v>
      </c>
      <c r="F18">
        <f t="shared" si="1"/>
        <v>30000000</v>
      </c>
      <c r="G18">
        <f t="shared" si="2"/>
        <v>30420000</v>
      </c>
      <c r="H18">
        <f t="shared" si="3"/>
        <v>420000</v>
      </c>
      <c r="I18" t="s">
        <v>41</v>
      </c>
    </row>
    <row r="19" spans="1:9" ht="15" thickBot="1" x14ac:dyDescent="0.45">
      <c r="A19" s="2" t="s">
        <v>31</v>
      </c>
      <c r="B19" s="2" t="str">
        <f t="shared" si="4"/>
        <v>CenArray2</v>
      </c>
      <c r="C19" s="2" t="s">
        <v>19</v>
      </c>
      <c r="D19" s="2">
        <v>39.950000000000003</v>
      </c>
      <c r="E19" s="2">
        <v>41.18</v>
      </c>
      <c r="F19">
        <f t="shared" si="1"/>
        <v>39950000</v>
      </c>
      <c r="G19">
        <f t="shared" si="2"/>
        <v>41180000</v>
      </c>
      <c r="H19">
        <f t="shared" si="3"/>
        <v>1230000</v>
      </c>
      <c r="I19" t="s">
        <v>41</v>
      </c>
    </row>
    <row r="20" spans="1:9" ht="15" thickBot="1" x14ac:dyDescent="0.45">
      <c r="A20" s="2" t="s">
        <v>24</v>
      </c>
      <c r="B20" s="2" t="str">
        <f t="shared" si="4"/>
        <v>CenArray2</v>
      </c>
      <c r="C20" s="2" t="s">
        <v>19</v>
      </c>
      <c r="D20" s="2">
        <v>17.86</v>
      </c>
      <c r="E20" s="2">
        <v>17.95</v>
      </c>
      <c r="F20">
        <f t="shared" si="1"/>
        <v>17860000</v>
      </c>
      <c r="G20">
        <f t="shared" si="2"/>
        <v>17950000</v>
      </c>
      <c r="H20">
        <f t="shared" si="3"/>
        <v>90000</v>
      </c>
      <c r="I20" t="s">
        <v>41</v>
      </c>
    </row>
    <row r="21" spans="1:9" ht="15" thickBot="1" x14ac:dyDescent="0.45">
      <c r="A21" s="2" t="s">
        <v>12</v>
      </c>
      <c r="B21" s="2" t="str">
        <f t="shared" si="4"/>
        <v>CenArray2</v>
      </c>
      <c r="C21" s="2" t="s">
        <v>19</v>
      </c>
      <c r="D21" s="2">
        <v>33.82</v>
      </c>
      <c r="E21" s="2">
        <v>34.57</v>
      </c>
      <c r="F21">
        <f t="shared" si="1"/>
        <v>33820000</v>
      </c>
      <c r="G21">
        <f t="shared" si="2"/>
        <v>34570000</v>
      </c>
      <c r="H21">
        <f t="shared" si="3"/>
        <v>750000</v>
      </c>
      <c r="I21" t="s">
        <v>41</v>
      </c>
    </row>
    <row r="22" spans="1:9" ht="15" thickBot="1" x14ac:dyDescent="0.45">
      <c r="A22" s="2" t="s">
        <v>14</v>
      </c>
      <c r="B22" s="2" t="str">
        <f t="shared" si="4"/>
        <v>CenArray2</v>
      </c>
      <c r="C22" s="2" t="s">
        <v>19</v>
      </c>
      <c r="D22" s="2">
        <v>24.23</v>
      </c>
      <c r="E22" s="2">
        <v>24.78</v>
      </c>
      <c r="F22">
        <f t="shared" si="1"/>
        <v>24230000</v>
      </c>
      <c r="G22">
        <f t="shared" si="2"/>
        <v>24780000</v>
      </c>
      <c r="H22">
        <f t="shared" si="3"/>
        <v>550000</v>
      </c>
      <c r="I22" t="s">
        <v>41</v>
      </c>
    </row>
    <row r="23" spans="1:9" ht="15" thickBot="1" x14ac:dyDescent="0.45">
      <c r="A23" s="2" t="s">
        <v>27</v>
      </c>
      <c r="B23" s="2" t="str">
        <f>_xlfn.CONCAT(C23,3)</f>
        <v>CenArray3</v>
      </c>
      <c r="C23" s="2" t="s">
        <v>19</v>
      </c>
      <c r="D23" s="2">
        <v>45.27</v>
      </c>
      <c r="E23" s="2">
        <v>45.75</v>
      </c>
      <c r="F23">
        <f t="shared" si="1"/>
        <v>45270000</v>
      </c>
      <c r="G23">
        <f t="shared" si="2"/>
        <v>45750000</v>
      </c>
      <c r="H23">
        <f t="shared" si="3"/>
        <v>480000</v>
      </c>
      <c r="I23" t="s">
        <v>41</v>
      </c>
    </row>
    <row r="24" spans="1:9" ht="15" customHeight="1" thickBot="1" x14ac:dyDescent="0.45">
      <c r="A24" s="2" t="s">
        <v>24</v>
      </c>
      <c r="B24" s="2" t="str">
        <f>_xlfn.CONCAT(C24,3)</f>
        <v>CenArray3</v>
      </c>
      <c r="C24" s="2" t="s">
        <v>19</v>
      </c>
      <c r="D24" s="2">
        <v>18.04</v>
      </c>
      <c r="E24" s="2">
        <v>18.760000000000002</v>
      </c>
      <c r="F24">
        <f t="shared" si="1"/>
        <v>18040000</v>
      </c>
      <c r="G24">
        <f t="shared" si="2"/>
        <v>18760000</v>
      </c>
      <c r="H24">
        <f t="shared" si="3"/>
        <v>720000</v>
      </c>
      <c r="I24" t="s">
        <v>41</v>
      </c>
    </row>
    <row r="25" spans="1:9" ht="15" thickBot="1" x14ac:dyDescent="0.45">
      <c r="A25" s="2" t="s">
        <v>27</v>
      </c>
      <c r="B25" s="2" t="str">
        <f t="shared" ref="B25:B33" si="5">_xlfn.CONCAT(C25,1)</f>
        <v>InterArray1</v>
      </c>
      <c r="C25" s="13" t="s">
        <v>20</v>
      </c>
      <c r="D25" s="2">
        <v>43.62</v>
      </c>
      <c r="E25" s="10">
        <v>44.3</v>
      </c>
      <c r="F25">
        <f t="shared" si="1"/>
        <v>43620000</v>
      </c>
      <c r="G25">
        <f t="shared" si="2"/>
        <v>44300000</v>
      </c>
      <c r="H25">
        <f t="shared" si="3"/>
        <v>680000</v>
      </c>
      <c r="I25" t="s">
        <v>41</v>
      </c>
    </row>
    <row r="26" spans="1:9" ht="15" thickBot="1" x14ac:dyDescent="0.45">
      <c r="A26" s="2" t="s">
        <v>28</v>
      </c>
      <c r="B26" s="2" t="str">
        <f t="shared" si="5"/>
        <v>InterArray1</v>
      </c>
      <c r="C26" s="13" t="s">
        <v>20</v>
      </c>
      <c r="D26" s="2">
        <v>41.28</v>
      </c>
      <c r="E26" s="10">
        <v>42.1</v>
      </c>
      <c r="F26">
        <f t="shared" si="1"/>
        <v>41280000</v>
      </c>
      <c r="G26">
        <f t="shared" si="2"/>
        <v>42100000</v>
      </c>
      <c r="H26">
        <f t="shared" si="3"/>
        <v>820000</v>
      </c>
      <c r="I26" t="s">
        <v>41</v>
      </c>
    </row>
    <row r="27" spans="1:9" ht="15" thickBot="1" x14ac:dyDescent="0.45">
      <c r="A27" s="2" t="s">
        <v>22</v>
      </c>
      <c r="B27" s="2" t="str">
        <f t="shared" si="5"/>
        <v>InterArray1</v>
      </c>
      <c r="C27" s="13" t="s">
        <v>20</v>
      </c>
      <c r="D27" s="2">
        <v>49.44</v>
      </c>
      <c r="E27" s="10">
        <v>50.26</v>
      </c>
      <c r="F27">
        <f t="shared" si="1"/>
        <v>49440000</v>
      </c>
      <c r="G27">
        <f t="shared" si="2"/>
        <v>50260000</v>
      </c>
      <c r="H27">
        <f t="shared" si="3"/>
        <v>820000</v>
      </c>
      <c r="I27" t="s">
        <v>41</v>
      </c>
    </row>
    <row r="28" spans="1:9" ht="15" thickBot="1" x14ac:dyDescent="0.45">
      <c r="A28" s="2" t="s">
        <v>23</v>
      </c>
      <c r="B28" s="2" t="str">
        <f t="shared" si="5"/>
        <v>InterArray1</v>
      </c>
      <c r="C28" s="13" t="s">
        <v>20</v>
      </c>
      <c r="D28" s="2">
        <v>24.78</v>
      </c>
      <c r="E28" s="10">
        <v>25.55</v>
      </c>
      <c r="F28">
        <f t="shared" si="1"/>
        <v>24780000</v>
      </c>
      <c r="G28">
        <f t="shared" si="2"/>
        <v>25550000</v>
      </c>
      <c r="H28">
        <f t="shared" si="3"/>
        <v>770000</v>
      </c>
      <c r="I28" t="s">
        <v>41</v>
      </c>
    </row>
    <row r="29" spans="1:9" ht="15" thickBot="1" x14ac:dyDescent="0.45">
      <c r="A29" s="2" t="s">
        <v>30</v>
      </c>
      <c r="B29" s="2" t="str">
        <f t="shared" si="5"/>
        <v>InterArray1</v>
      </c>
      <c r="C29" t="s">
        <v>20</v>
      </c>
      <c r="D29" s="2">
        <v>28.8</v>
      </c>
      <c r="E29" s="10">
        <v>30</v>
      </c>
      <c r="F29">
        <f t="shared" si="1"/>
        <v>28800000</v>
      </c>
      <c r="G29">
        <f t="shared" si="2"/>
        <v>30000000</v>
      </c>
      <c r="H29">
        <f t="shared" si="3"/>
        <v>1200000</v>
      </c>
      <c r="I29" t="s">
        <v>41</v>
      </c>
    </row>
    <row r="30" spans="1:9" ht="15" thickBot="1" x14ac:dyDescent="0.45">
      <c r="A30" s="2" t="s">
        <v>31</v>
      </c>
      <c r="B30" s="2" t="str">
        <f t="shared" si="5"/>
        <v>InterArray1</v>
      </c>
      <c r="C30" t="s">
        <v>20</v>
      </c>
      <c r="D30" s="2">
        <v>39.54</v>
      </c>
      <c r="E30" s="10">
        <v>39.950000000000003</v>
      </c>
      <c r="F30">
        <f t="shared" si="1"/>
        <v>39540000</v>
      </c>
      <c r="G30">
        <f t="shared" si="2"/>
        <v>39950000</v>
      </c>
      <c r="H30">
        <f t="shared" si="3"/>
        <v>410000</v>
      </c>
      <c r="I30" t="s">
        <v>41</v>
      </c>
    </row>
    <row r="31" spans="1:9" ht="15" thickBot="1" x14ac:dyDescent="0.45">
      <c r="A31" s="2" t="s">
        <v>24</v>
      </c>
      <c r="B31" s="2" t="str">
        <f t="shared" si="5"/>
        <v>InterArray1</v>
      </c>
      <c r="C31" t="s">
        <v>20</v>
      </c>
      <c r="D31" s="2">
        <v>17.559999999999999</v>
      </c>
      <c r="E31" s="10">
        <v>17.86</v>
      </c>
      <c r="F31">
        <f t="shared" si="1"/>
        <v>17560000</v>
      </c>
      <c r="G31">
        <f t="shared" si="2"/>
        <v>17860000</v>
      </c>
      <c r="H31">
        <f t="shared" si="3"/>
        <v>300000</v>
      </c>
      <c r="I31" t="s">
        <v>41</v>
      </c>
    </row>
    <row r="32" spans="1:9" ht="15" thickBot="1" x14ac:dyDescent="0.45">
      <c r="A32" s="8" t="s">
        <v>12</v>
      </c>
      <c r="B32" s="2" t="str">
        <f t="shared" si="5"/>
        <v>InterArray1</v>
      </c>
      <c r="C32" t="s">
        <v>20</v>
      </c>
      <c r="D32" s="10">
        <v>33.28</v>
      </c>
      <c r="E32" s="10">
        <v>33.82</v>
      </c>
      <c r="F32">
        <f t="shared" si="1"/>
        <v>33280000</v>
      </c>
      <c r="G32">
        <f t="shared" si="2"/>
        <v>33820000</v>
      </c>
      <c r="H32">
        <f t="shared" si="3"/>
        <v>540000</v>
      </c>
      <c r="I32" t="s">
        <v>41</v>
      </c>
    </row>
    <row r="33" spans="1:9" ht="15" thickBot="1" x14ac:dyDescent="0.45">
      <c r="A33" s="2" t="s">
        <v>14</v>
      </c>
      <c r="B33" s="2" t="str">
        <f t="shared" si="5"/>
        <v>InterArray1</v>
      </c>
      <c r="C33" s="9" t="s">
        <v>20</v>
      </c>
      <c r="D33" s="2">
        <v>22.72</v>
      </c>
      <c r="E33" s="2">
        <v>24.23</v>
      </c>
      <c r="F33">
        <f t="shared" si="1"/>
        <v>22720000</v>
      </c>
      <c r="G33">
        <f t="shared" si="2"/>
        <v>24230000</v>
      </c>
      <c r="H33">
        <f t="shared" si="3"/>
        <v>1510000</v>
      </c>
      <c r="I33" t="s">
        <v>41</v>
      </c>
    </row>
    <row r="34" spans="1:9" ht="15" thickBot="1" x14ac:dyDescent="0.45">
      <c r="A34" s="2" t="s">
        <v>27</v>
      </c>
      <c r="B34" s="2" t="str">
        <f>_xlfn.CONCAT(C34,2)</f>
        <v>InterArray2</v>
      </c>
      <c r="C34" s="9" t="s">
        <v>20</v>
      </c>
      <c r="D34" s="2">
        <v>44.59</v>
      </c>
      <c r="E34" s="2">
        <v>45.27</v>
      </c>
      <c r="F34">
        <f t="shared" si="1"/>
        <v>44590000</v>
      </c>
      <c r="G34">
        <f t="shared" si="2"/>
        <v>45270000</v>
      </c>
      <c r="H34">
        <f t="shared" si="3"/>
        <v>680000</v>
      </c>
      <c r="I34" t="s">
        <v>41</v>
      </c>
    </row>
    <row r="35" spans="1:9" ht="15" thickBot="1" x14ac:dyDescent="0.45">
      <c r="A35" s="2" t="s">
        <v>24</v>
      </c>
      <c r="B35" s="2" t="str">
        <f>_xlfn.CONCAT(C35,2)</f>
        <v>InterArray2</v>
      </c>
      <c r="C35" s="9" t="s">
        <v>20</v>
      </c>
      <c r="D35" s="2">
        <v>17.95</v>
      </c>
      <c r="E35" s="2">
        <v>18.04</v>
      </c>
      <c r="F35">
        <f t="shared" si="1"/>
        <v>17950000</v>
      </c>
      <c r="G35">
        <f t="shared" si="2"/>
        <v>18040000</v>
      </c>
      <c r="H35">
        <f t="shared" si="3"/>
        <v>90000</v>
      </c>
      <c r="I35" t="s">
        <v>41</v>
      </c>
    </row>
    <row r="36" spans="1:9" ht="15.9" thickBot="1" x14ac:dyDescent="0.45">
      <c r="A36" s="7" t="s">
        <v>12</v>
      </c>
      <c r="B36" s="2" t="str">
        <f t="shared" ref="B36:B43" si="6">_xlfn.CONCAT(C36,1)</f>
        <v>InterSpInv1</v>
      </c>
      <c r="C36" s="9" t="s">
        <v>35</v>
      </c>
      <c r="D36" s="11">
        <f>19037621/1000000</f>
        <v>19.037621000000001</v>
      </c>
      <c r="E36" s="11">
        <f>25083800/1000000</f>
        <v>25.0838</v>
      </c>
      <c r="F36" s="5">
        <v>19037621</v>
      </c>
      <c r="G36" s="5">
        <v>25083800</v>
      </c>
      <c r="H36">
        <f t="shared" si="3"/>
        <v>6046179</v>
      </c>
      <c r="I36" t="s">
        <v>42</v>
      </c>
    </row>
    <row r="37" spans="1:9" ht="15.9" thickBot="1" x14ac:dyDescent="0.45">
      <c r="A37" s="7" t="s">
        <v>24</v>
      </c>
      <c r="B37" s="2" t="str">
        <f t="shared" ref="B37" si="7">_xlfn.CONCAT(C37,1)</f>
        <v>InterSpInv1</v>
      </c>
      <c r="C37" s="9" t="s">
        <v>35</v>
      </c>
      <c r="D37" s="11">
        <f>F37/1000000</f>
        <v>39.737008000000003</v>
      </c>
      <c r="E37" s="11">
        <f>G37/1000000</f>
        <v>41.811278000000001</v>
      </c>
      <c r="F37" s="21">
        <v>39737008</v>
      </c>
      <c r="G37" s="21">
        <v>41811278</v>
      </c>
      <c r="H37">
        <f t="shared" ref="H37" si="8">G37-F37</f>
        <v>2074270</v>
      </c>
      <c r="I37" t="s">
        <v>42</v>
      </c>
    </row>
    <row r="38" spans="1:9" ht="15" thickBot="1" x14ac:dyDescent="0.45">
      <c r="A38" s="2" t="s">
        <v>21</v>
      </c>
      <c r="B38" s="2" t="str">
        <f t="shared" si="6"/>
        <v>IntraSpInv1</v>
      </c>
      <c r="C38" s="9" t="s">
        <v>25</v>
      </c>
      <c r="D38" s="2">
        <v>34.17</v>
      </c>
      <c r="E38" s="9">
        <v>36.65</v>
      </c>
      <c r="F38">
        <f t="shared" ref="F38:G45" si="9">D38*1000000</f>
        <v>34170000</v>
      </c>
      <c r="G38">
        <f t="shared" si="9"/>
        <v>36650000</v>
      </c>
      <c r="H38">
        <f t="shared" si="3"/>
        <v>2480000</v>
      </c>
      <c r="I38" t="s">
        <v>42</v>
      </c>
    </row>
    <row r="39" spans="1:9" ht="15" thickBot="1" x14ac:dyDescent="0.45">
      <c r="A39" s="2" t="s">
        <v>22</v>
      </c>
      <c r="B39" s="2" t="str">
        <f t="shared" si="6"/>
        <v>IntraSpInv1</v>
      </c>
      <c r="C39" s="9" t="s">
        <v>25</v>
      </c>
      <c r="D39" s="2">
        <v>21.83</v>
      </c>
      <c r="E39" s="9">
        <v>25.54</v>
      </c>
      <c r="F39">
        <f t="shared" si="9"/>
        <v>21830000</v>
      </c>
      <c r="G39">
        <f t="shared" si="9"/>
        <v>25540000</v>
      </c>
      <c r="H39">
        <f t="shared" si="3"/>
        <v>3710000</v>
      </c>
      <c r="I39" t="s">
        <v>42</v>
      </c>
    </row>
    <row r="40" spans="1:9" ht="15" thickBot="1" x14ac:dyDescent="0.45">
      <c r="A40" s="2" t="s">
        <v>23</v>
      </c>
      <c r="B40" s="2" t="str">
        <f t="shared" si="6"/>
        <v>IntraSpInv1</v>
      </c>
      <c r="C40" s="9" t="s">
        <v>25</v>
      </c>
      <c r="D40" s="2">
        <v>8.82</v>
      </c>
      <c r="E40" s="9">
        <v>11.36</v>
      </c>
      <c r="F40">
        <f t="shared" si="9"/>
        <v>8820000</v>
      </c>
      <c r="G40">
        <f t="shared" si="9"/>
        <v>11360000</v>
      </c>
      <c r="H40">
        <f t="shared" si="3"/>
        <v>2540000</v>
      </c>
      <c r="I40" t="s">
        <v>42</v>
      </c>
    </row>
    <row r="41" spans="1:9" ht="15" thickBot="1" x14ac:dyDescent="0.45">
      <c r="A41" s="2" t="s">
        <v>24</v>
      </c>
      <c r="B41" s="2" t="str">
        <f t="shared" si="6"/>
        <v>IntraSpInv1</v>
      </c>
      <c r="C41" s="9" t="s">
        <v>25</v>
      </c>
      <c r="D41" s="2">
        <v>9.7899999999999991</v>
      </c>
      <c r="E41" s="9">
        <v>16.62</v>
      </c>
      <c r="F41">
        <f t="shared" si="9"/>
        <v>9790000</v>
      </c>
      <c r="G41">
        <f t="shared" si="9"/>
        <v>16620000.000000002</v>
      </c>
      <c r="H41">
        <f t="shared" si="3"/>
        <v>6830000.0000000019</v>
      </c>
      <c r="I41" t="s">
        <v>42</v>
      </c>
    </row>
    <row r="42" spans="1:9" ht="15" thickBot="1" x14ac:dyDescent="0.45">
      <c r="A42" s="2" t="s">
        <v>24</v>
      </c>
      <c r="B42" s="2" t="str">
        <f t="shared" si="6"/>
        <v>IntraSpInv1</v>
      </c>
      <c r="C42" s="9" t="s">
        <v>25</v>
      </c>
      <c r="D42" s="2">
        <v>18.760000000000002</v>
      </c>
      <c r="E42" s="9">
        <v>22.01</v>
      </c>
      <c r="F42">
        <f t="shared" si="9"/>
        <v>18760000</v>
      </c>
      <c r="G42">
        <f t="shared" si="9"/>
        <v>22010000</v>
      </c>
      <c r="H42">
        <f t="shared" si="3"/>
        <v>3250000</v>
      </c>
      <c r="I42" t="s">
        <v>42</v>
      </c>
    </row>
    <row r="43" spans="1:9" ht="15" thickBot="1" x14ac:dyDescent="0.45">
      <c r="A43" s="2" t="s">
        <v>13</v>
      </c>
      <c r="B43" s="2" t="str">
        <f t="shared" si="6"/>
        <v>IntraSpInv1</v>
      </c>
      <c r="C43" s="9" t="s">
        <v>25</v>
      </c>
      <c r="D43" s="2">
        <v>5.7</v>
      </c>
      <c r="E43" s="9">
        <v>21.24</v>
      </c>
      <c r="F43">
        <f t="shared" si="9"/>
        <v>5700000</v>
      </c>
      <c r="G43">
        <f t="shared" si="9"/>
        <v>21240000</v>
      </c>
      <c r="H43">
        <f t="shared" si="3"/>
        <v>15540000</v>
      </c>
      <c r="I43" t="s">
        <v>42</v>
      </c>
    </row>
    <row r="44" spans="1:9" ht="15" thickBot="1" x14ac:dyDescent="0.45">
      <c r="A44" s="2" t="s">
        <v>23</v>
      </c>
      <c r="B44" s="2" t="str">
        <f>_xlfn.CONCAT(C44,2)</f>
        <v>IntraSpInv2</v>
      </c>
      <c r="C44" s="9" t="s">
        <v>25</v>
      </c>
      <c r="D44" s="2">
        <v>15.2</v>
      </c>
      <c r="E44" s="9">
        <v>16.96</v>
      </c>
      <c r="F44">
        <f t="shared" si="9"/>
        <v>15200000</v>
      </c>
      <c r="G44">
        <f t="shared" si="9"/>
        <v>16960000</v>
      </c>
      <c r="H44">
        <f t="shared" si="3"/>
        <v>1760000</v>
      </c>
      <c r="I44" t="s">
        <v>42</v>
      </c>
    </row>
    <row r="45" spans="1:9" ht="15" thickBot="1" x14ac:dyDescent="0.45">
      <c r="A45" s="2" t="s">
        <v>23</v>
      </c>
      <c r="B45" s="2" t="str">
        <f>_xlfn.CONCAT(C45,3)</f>
        <v>IntraSpInv3</v>
      </c>
      <c r="C45" s="9" t="s">
        <v>25</v>
      </c>
      <c r="D45" s="2">
        <v>34.86</v>
      </c>
      <c r="E45" s="9">
        <v>45.82</v>
      </c>
      <c r="F45">
        <f t="shared" si="9"/>
        <v>34860000</v>
      </c>
      <c r="G45">
        <f t="shared" si="9"/>
        <v>45820000</v>
      </c>
      <c r="H45">
        <f t="shared" si="3"/>
        <v>10960000</v>
      </c>
      <c r="I45" t="s">
        <v>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B082-2EB7-47B4-ABE5-9D793BF845A1}">
  <dimension ref="A1:A2"/>
  <sheetViews>
    <sheetView workbookViewId="0">
      <selection activeCell="A3" sqref="A3"/>
    </sheetView>
  </sheetViews>
  <sheetFormatPr defaultRowHeight="14.6" x14ac:dyDescent="0.4"/>
  <sheetData>
    <row r="1" spans="1:1" x14ac:dyDescent="0.4">
      <c r="A1" t="s">
        <v>19</v>
      </c>
    </row>
    <row r="2" spans="1:1" x14ac:dyDescent="0.4">
      <c r="A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A1E63-23CC-4956-9503-84BA5172D85B}">
  <dimension ref="A1:J13"/>
  <sheetViews>
    <sheetView workbookViewId="0">
      <selection activeCell="A14" sqref="A14:XFD82"/>
    </sheetView>
  </sheetViews>
  <sheetFormatPr defaultRowHeight="14.6" x14ac:dyDescent="0.4"/>
  <cols>
    <col min="1" max="1" width="13.15234375" bestFit="1" customWidth="1"/>
    <col min="2" max="3" width="10" bestFit="1" customWidth="1"/>
    <col min="4" max="4" width="10.69140625" bestFit="1" customWidth="1"/>
    <col min="5" max="5" width="10.53515625" bestFit="1" customWidth="1"/>
    <col min="6" max="7" width="25.53515625" customWidth="1"/>
  </cols>
  <sheetData>
    <row r="1" spans="1:10" ht="26.15" thickBot="1" x14ac:dyDescent="0.45">
      <c r="A1" s="1" t="s">
        <v>32</v>
      </c>
      <c r="B1" s="1" t="s">
        <v>26</v>
      </c>
      <c r="C1" s="1" t="s">
        <v>18</v>
      </c>
      <c r="D1" s="1" t="s">
        <v>16</v>
      </c>
      <c r="E1" s="1" t="s">
        <v>17</v>
      </c>
      <c r="F1" s="6" t="s">
        <v>34</v>
      </c>
      <c r="G1" s="6" t="s">
        <v>33</v>
      </c>
      <c r="H1" s="6" t="s">
        <v>39</v>
      </c>
      <c r="I1" s="12" t="s">
        <v>37</v>
      </c>
      <c r="J1" s="12" t="s">
        <v>38</v>
      </c>
    </row>
    <row r="2" spans="1:10" ht="15" thickBot="1" x14ac:dyDescent="0.45">
      <c r="A2" s="2" t="s">
        <v>27</v>
      </c>
      <c r="B2" s="2" t="str">
        <f t="shared" ref="B2" si="0">_xlfn.CONCAT(C2,1)</f>
        <v>Cen1</v>
      </c>
      <c r="C2" s="2" t="s">
        <v>36</v>
      </c>
      <c r="D2" s="2">
        <v>43</v>
      </c>
      <c r="E2" s="2">
        <v>45.75</v>
      </c>
      <c r="F2">
        <f>D2*1000000</f>
        <v>43000000</v>
      </c>
      <c r="G2">
        <f>E2*1000000</f>
        <v>45750000</v>
      </c>
      <c r="H2">
        <f t="shared" ref="H2:H13" si="1">G2-F2</f>
        <v>2750000</v>
      </c>
      <c r="I2">
        <f>(AVERAGE(F2,G2))-2500000</f>
        <v>41875000</v>
      </c>
      <c r="J2">
        <f>(AVERAGE(F2,G2))+2500000</f>
        <v>46875000</v>
      </c>
    </row>
    <row r="3" spans="1:10" ht="15" thickBot="1" x14ac:dyDescent="0.45">
      <c r="A3" s="2" t="s">
        <v>28</v>
      </c>
      <c r="B3" s="2" t="str">
        <f t="shared" ref="B3:B13" si="2">_xlfn.CONCAT(C3,1)</f>
        <v>Cen1</v>
      </c>
      <c r="C3" s="2" t="s">
        <v>36</v>
      </c>
      <c r="D3" s="2">
        <v>40.9</v>
      </c>
      <c r="E3" s="2">
        <v>42.8</v>
      </c>
      <c r="F3">
        <f t="shared" ref="F3:F13" si="3">D3*1000000</f>
        <v>40900000</v>
      </c>
      <c r="G3">
        <f t="shared" ref="G3:G13" si="4">E3*1000000</f>
        <v>42800000</v>
      </c>
      <c r="H3">
        <f t="shared" si="1"/>
        <v>1900000</v>
      </c>
      <c r="I3">
        <f t="shared" ref="I3:I13" si="5">(AVERAGE(F3,G3))-2500000</f>
        <v>39350000</v>
      </c>
      <c r="J3">
        <f t="shared" ref="J3:J13" si="6">(AVERAGE(F3,G3))+2500000</f>
        <v>44350000</v>
      </c>
    </row>
    <row r="4" spans="1:10" ht="15" thickBot="1" x14ac:dyDescent="0.45">
      <c r="A4" s="2" t="s">
        <v>21</v>
      </c>
      <c r="B4" s="2" t="str">
        <f t="shared" si="2"/>
        <v>Cen1</v>
      </c>
      <c r="C4" s="2" t="s">
        <v>36</v>
      </c>
      <c r="D4" s="2">
        <v>26.65</v>
      </c>
      <c r="E4" s="2">
        <v>29.85</v>
      </c>
      <c r="F4">
        <f t="shared" si="3"/>
        <v>26650000</v>
      </c>
      <c r="G4">
        <f t="shared" si="4"/>
        <v>29850000</v>
      </c>
      <c r="H4">
        <f t="shared" si="1"/>
        <v>3200000</v>
      </c>
      <c r="I4">
        <f t="shared" si="5"/>
        <v>25750000</v>
      </c>
      <c r="J4">
        <f t="shared" si="6"/>
        <v>30750000</v>
      </c>
    </row>
    <row r="5" spans="1:10" ht="15" thickBot="1" x14ac:dyDescent="0.45">
      <c r="A5" s="2" t="s">
        <v>29</v>
      </c>
      <c r="B5" s="2" t="str">
        <f t="shared" si="2"/>
        <v>Cen1</v>
      </c>
      <c r="C5" s="2" t="s">
        <v>36</v>
      </c>
      <c r="D5" s="2">
        <v>32.85</v>
      </c>
      <c r="E5" s="2">
        <v>34.94</v>
      </c>
      <c r="F5">
        <f t="shared" si="3"/>
        <v>32850000</v>
      </c>
      <c r="G5">
        <f t="shared" si="4"/>
        <v>34940000</v>
      </c>
      <c r="H5">
        <f t="shared" si="1"/>
        <v>2090000</v>
      </c>
      <c r="I5">
        <f t="shared" si="5"/>
        <v>31395000</v>
      </c>
      <c r="J5">
        <f t="shared" si="6"/>
        <v>36395000</v>
      </c>
    </row>
    <row r="6" spans="1:10" ht="15" thickBot="1" x14ac:dyDescent="0.45">
      <c r="A6" s="2" t="s">
        <v>22</v>
      </c>
      <c r="B6" s="2" t="str">
        <f t="shared" si="2"/>
        <v>Cen1</v>
      </c>
      <c r="C6" s="2" t="s">
        <v>36</v>
      </c>
      <c r="D6" s="2">
        <v>48.25</v>
      </c>
      <c r="E6" s="2">
        <v>51.36</v>
      </c>
      <c r="F6">
        <f t="shared" si="3"/>
        <v>48250000</v>
      </c>
      <c r="G6">
        <f t="shared" si="4"/>
        <v>51360000</v>
      </c>
      <c r="H6">
        <f t="shared" si="1"/>
        <v>3110000</v>
      </c>
      <c r="I6">
        <f t="shared" si="5"/>
        <v>47305000</v>
      </c>
      <c r="J6">
        <f t="shared" si="6"/>
        <v>52305000</v>
      </c>
    </row>
    <row r="7" spans="1:10" ht="15" thickBot="1" x14ac:dyDescent="0.45">
      <c r="A7" s="2" t="s">
        <v>23</v>
      </c>
      <c r="B7" s="2" t="str">
        <f t="shared" si="2"/>
        <v>Cen1</v>
      </c>
      <c r="C7" s="2" t="s">
        <v>36</v>
      </c>
      <c r="D7" s="2">
        <v>23.75</v>
      </c>
      <c r="E7" s="2">
        <v>26.31</v>
      </c>
      <c r="F7">
        <f t="shared" si="3"/>
        <v>23750000</v>
      </c>
      <c r="G7">
        <f t="shared" si="4"/>
        <v>26310000</v>
      </c>
      <c r="H7">
        <f t="shared" si="1"/>
        <v>2560000</v>
      </c>
      <c r="I7">
        <f t="shared" si="5"/>
        <v>22530000</v>
      </c>
      <c r="J7">
        <f t="shared" si="6"/>
        <v>27530000</v>
      </c>
    </row>
    <row r="8" spans="1:10" ht="15" thickBot="1" x14ac:dyDescent="0.45">
      <c r="A8" s="2" t="s">
        <v>30</v>
      </c>
      <c r="B8" s="2" t="str">
        <f t="shared" si="2"/>
        <v>Cen1</v>
      </c>
      <c r="C8" s="2" t="s">
        <v>36</v>
      </c>
      <c r="D8" s="2">
        <v>28.35</v>
      </c>
      <c r="E8" s="2">
        <v>30.42</v>
      </c>
      <c r="F8">
        <f t="shared" si="3"/>
        <v>28350000</v>
      </c>
      <c r="G8">
        <f t="shared" si="4"/>
        <v>30420000</v>
      </c>
      <c r="H8">
        <f t="shared" si="1"/>
        <v>2070000</v>
      </c>
      <c r="I8">
        <f t="shared" si="5"/>
        <v>26885000</v>
      </c>
      <c r="J8">
        <f t="shared" si="6"/>
        <v>31885000</v>
      </c>
    </row>
    <row r="9" spans="1:10" ht="15" customHeight="1" thickBot="1" x14ac:dyDescent="0.45">
      <c r="A9" s="2" t="s">
        <v>31</v>
      </c>
      <c r="B9" s="2" t="str">
        <f t="shared" si="2"/>
        <v>Cen1</v>
      </c>
      <c r="C9" s="2" t="s">
        <v>36</v>
      </c>
      <c r="D9" s="2">
        <v>39.090000000000003</v>
      </c>
      <c r="E9" s="2">
        <v>41.18</v>
      </c>
      <c r="F9">
        <f t="shared" si="3"/>
        <v>39090000</v>
      </c>
      <c r="G9">
        <f t="shared" si="4"/>
        <v>41180000</v>
      </c>
      <c r="H9">
        <f t="shared" si="1"/>
        <v>2090000</v>
      </c>
      <c r="I9">
        <f t="shared" si="5"/>
        <v>37635000</v>
      </c>
      <c r="J9">
        <f t="shared" si="6"/>
        <v>42635000</v>
      </c>
    </row>
    <row r="10" spans="1:10" ht="15" thickBot="1" x14ac:dyDescent="0.45">
      <c r="A10" s="2" t="s">
        <v>24</v>
      </c>
      <c r="B10" s="2" t="str">
        <f t="shared" si="2"/>
        <v>Cen1</v>
      </c>
      <c r="C10" s="2" t="s">
        <v>36</v>
      </c>
      <c r="D10" s="2">
        <v>16.62</v>
      </c>
      <c r="E10" s="2">
        <v>18.760000000000002</v>
      </c>
      <c r="F10">
        <f t="shared" si="3"/>
        <v>16620000.000000002</v>
      </c>
      <c r="G10">
        <f t="shared" si="4"/>
        <v>18760000</v>
      </c>
      <c r="H10">
        <f t="shared" si="1"/>
        <v>2139999.9999999981</v>
      </c>
      <c r="I10">
        <f t="shared" si="5"/>
        <v>15190000</v>
      </c>
      <c r="J10">
        <f t="shared" si="6"/>
        <v>20190000</v>
      </c>
    </row>
    <row r="11" spans="1:10" ht="15" thickBot="1" x14ac:dyDescent="0.45">
      <c r="A11" s="2" t="s">
        <v>12</v>
      </c>
      <c r="B11" s="2" t="str">
        <f t="shared" si="2"/>
        <v>Cen1</v>
      </c>
      <c r="C11" s="2" t="s">
        <v>36</v>
      </c>
      <c r="D11" s="2">
        <v>31.98</v>
      </c>
      <c r="E11" s="10">
        <v>34.57</v>
      </c>
      <c r="F11">
        <f t="shared" si="3"/>
        <v>31980000</v>
      </c>
      <c r="G11">
        <f t="shared" si="4"/>
        <v>34570000</v>
      </c>
      <c r="H11">
        <f t="shared" si="1"/>
        <v>2590000</v>
      </c>
      <c r="I11">
        <f t="shared" si="5"/>
        <v>30775000</v>
      </c>
      <c r="J11">
        <f t="shared" si="6"/>
        <v>35775000</v>
      </c>
    </row>
    <row r="12" spans="1:10" ht="15" thickBot="1" x14ac:dyDescent="0.45">
      <c r="A12" s="2" t="s">
        <v>13</v>
      </c>
      <c r="B12" s="2" t="str">
        <f t="shared" si="2"/>
        <v>Cen1</v>
      </c>
      <c r="C12" s="2" t="s">
        <v>36</v>
      </c>
      <c r="D12" s="2">
        <v>30.28</v>
      </c>
      <c r="E12" s="10">
        <v>32.36</v>
      </c>
      <c r="F12">
        <f t="shared" si="3"/>
        <v>30280000</v>
      </c>
      <c r="G12">
        <f t="shared" si="4"/>
        <v>32360000</v>
      </c>
      <c r="H12">
        <f t="shared" si="1"/>
        <v>2080000</v>
      </c>
      <c r="I12">
        <f t="shared" si="5"/>
        <v>28820000</v>
      </c>
      <c r="J12">
        <f t="shared" si="6"/>
        <v>33820000</v>
      </c>
    </row>
    <row r="13" spans="1:10" ht="15" thickBot="1" x14ac:dyDescent="0.45">
      <c r="A13" s="2" t="s">
        <v>14</v>
      </c>
      <c r="B13" s="2" t="str">
        <f t="shared" si="2"/>
        <v>Cen1</v>
      </c>
      <c r="C13" s="2" t="s">
        <v>36</v>
      </c>
      <c r="D13" s="2">
        <v>21.83</v>
      </c>
      <c r="E13" s="10">
        <v>24.78</v>
      </c>
      <c r="F13">
        <f t="shared" si="3"/>
        <v>21830000</v>
      </c>
      <c r="G13">
        <f t="shared" si="4"/>
        <v>24780000</v>
      </c>
      <c r="H13">
        <f t="shared" si="1"/>
        <v>2950000</v>
      </c>
      <c r="I13">
        <f t="shared" si="5"/>
        <v>20805000</v>
      </c>
      <c r="J13">
        <f t="shared" si="6"/>
        <v>25805000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F518-6A67-4A70-9899-9299C10C3275}">
  <dimension ref="A1:K22"/>
  <sheetViews>
    <sheetView topLeftCell="A7" workbookViewId="0">
      <selection activeCell="E27" sqref="E27"/>
    </sheetView>
  </sheetViews>
  <sheetFormatPr defaultRowHeight="14.6" x14ac:dyDescent="0.4"/>
  <cols>
    <col min="2" max="2" width="16.53515625" customWidth="1"/>
    <col min="3" max="3" width="11.23046875" customWidth="1"/>
    <col min="4" max="5" width="8.84375" bestFit="1" customWidth="1"/>
    <col min="6" max="7" width="10.4609375" bestFit="1" customWidth="1"/>
    <col min="8" max="10" width="9.53515625" bestFit="1" customWidth="1"/>
  </cols>
  <sheetData>
    <row r="1" spans="1:11" ht="26.15" thickBot="1" x14ac:dyDescent="0.45">
      <c r="A1" s="1" t="s">
        <v>32</v>
      </c>
      <c r="B1" s="1" t="s">
        <v>26</v>
      </c>
      <c r="C1" s="1" t="s">
        <v>18</v>
      </c>
      <c r="D1" s="1" t="s">
        <v>16</v>
      </c>
      <c r="E1" s="1" t="s">
        <v>17</v>
      </c>
      <c r="F1" s="6" t="s">
        <v>34</v>
      </c>
      <c r="G1" s="6" t="s">
        <v>33</v>
      </c>
      <c r="H1" s="6" t="s">
        <v>39</v>
      </c>
      <c r="I1" s="12" t="s">
        <v>37</v>
      </c>
      <c r="J1" s="12" t="s">
        <v>38</v>
      </c>
      <c r="K1" s="12" t="s">
        <v>40</v>
      </c>
    </row>
    <row r="2" spans="1:11" ht="15" thickBot="1" x14ac:dyDescent="0.45">
      <c r="A2" s="2" t="s">
        <v>27</v>
      </c>
      <c r="B2" s="2" t="str">
        <f t="shared" ref="B2:B13" si="0">_xlfn.CONCAT(C2,1)</f>
        <v>Cen1</v>
      </c>
      <c r="C2" s="2" t="s">
        <v>36</v>
      </c>
      <c r="D2" s="2">
        <v>43</v>
      </c>
      <c r="E2" s="2">
        <v>45.75</v>
      </c>
      <c r="F2" s="17">
        <f>D2*1000000</f>
        <v>43000000</v>
      </c>
      <c r="G2" s="17">
        <f>E2*1000000</f>
        <v>45750000</v>
      </c>
      <c r="H2" s="17">
        <f t="shared" ref="H2:H13" si="1">G2-F2</f>
        <v>2750000</v>
      </c>
      <c r="I2" s="17">
        <f>(AVERAGE(F2,G2))-2500000</f>
        <v>41875000</v>
      </c>
      <c r="J2" s="17">
        <f>(AVERAGE(F2,G2))+2500000</f>
        <v>46875000</v>
      </c>
      <c r="K2" s="17" t="s">
        <v>36</v>
      </c>
    </row>
    <row r="3" spans="1:11" ht="15" thickBot="1" x14ac:dyDescent="0.45">
      <c r="A3" s="2" t="s">
        <v>28</v>
      </c>
      <c r="B3" s="2" t="str">
        <f t="shared" si="0"/>
        <v>Cen1</v>
      </c>
      <c r="C3" s="2" t="s">
        <v>36</v>
      </c>
      <c r="D3" s="2">
        <v>40.9</v>
      </c>
      <c r="E3" s="2">
        <v>42.8</v>
      </c>
      <c r="F3" s="17">
        <f t="shared" ref="F3:G13" si="2">D3*1000000</f>
        <v>40900000</v>
      </c>
      <c r="G3" s="17">
        <f t="shared" si="2"/>
        <v>42800000</v>
      </c>
      <c r="H3" s="17">
        <f t="shared" si="1"/>
        <v>1900000</v>
      </c>
      <c r="I3" s="17">
        <f t="shared" ref="I3:I13" si="3">(AVERAGE(F3,G3))-2500000</f>
        <v>39350000</v>
      </c>
      <c r="J3" s="17">
        <f t="shared" ref="J3:J13" si="4">(AVERAGE(F3,G3))+2500000</f>
        <v>44350000</v>
      </c>
      <c r="K3" s="17" t="s">
        <v>36</v>
      </c>
    </row>
    <row r="4" spans="1:11" ht="15" thickBot="1" x14ac:dyDescent="0.45">
      <c r="A4" s="2" t="s">
        <v>21</v>
      </c>
      <c r="B4" s="2" t="str">
        <f t="shared" si="0"/>
        <v>Cen1</v>
      </c>
      <c r="C4" s="2" t="s">
        <v>36</v>
      </c>
      <c r="D4" s="2">
        <v>26.65</v>
      </c>
      <c r="E4" s="2">
        <v>29.85</v>
      </c>
      <c r="F4" s="17">
        <f t="shared" si="2"/>
        <v>26650000</v>
      </c>
      <c r="G4" s="17">
        <f t="shared" si="2"/>
        <v>29850000</v>
      </c>
      <c r="H4" s="17">
        <f t="shared" si="1"/>
        <v>3200000</v>
      </c>
      <c r="I4" s="17">
        <f t="shared" si="3"/>
        <v>25750000</v>
      </c>
      <c r="J4" s="17">
        <f t="shared" si="4"/>
        <v>30750000</v>
      </c>
      <c r="K4" s="17" t="s">
        <v>36</v>
      </c>
    </row>
    <row r="5" spans="1:11" ht="15" thickBot="1" x14ac:dyDescent="0.45">
      <c r="A5" s="2" t="s">
        <v>29</v>
      </c>
      <c r="B5" s="2" t="str">
        <f t="shared" si="0"/>
        <v>Cen1</v>
      </c>
      <c r="C5" s="2" t="s">
        <v>36</v>
      </c>
      <c r="D5" s="2">
        <v>32.85</v>
      </c>
      <c r="E5" s="2">
        <v>34.94</v>
      </c>
      <c r="F5" s="17">
        <f t="shared" si="2"/>
        <v>32850000</v>
      </c>
      <c r="G5" s="17">
        <f t="shared" si="2"/>
        <v>34940000</v>
      </c>
      <c r="H5" s="17">
        <f t="shared" si="1"/>
        <v>2090000</v>
      </c>
      <c r="I5" s="17">
        <f t="shared" si="3"/>
        <v>31395000</v>
      </c>
      <c r="J5" s="17">
        <f t="shared" si="4"/>
        <v>36395000</v>
      </c>
      <c r="K5" s="17" t="s">
        <v>36</v>
      </c>
    </row>
    <row r="6" spans="1:11" ht="15" thickBot="1" x14ac:dyDescent="0.45">
      <c r="A6" s="2" t="s">
        <v>22</v>
      </c>
      <c r="B6" s="2" t="str">
        <f t="shared" si="0"/>
        <v>Cen1</v>
      </c>
      <c r="C6" s="2" t="s">
        <v>36</v>
      </c>
      <c r="D6" s="2">
        <v>48.25</v>
      </c>
      <c r="E6" s="2">
        <v>51.36</v>
      </c>
      <c r="F6" s="17">
        <f t="shared" si="2"/>
        <v>48250000</v>
      </c>
      <c r="G6" s="17">
        <f t="shared" si="2"/>
        <v>51360000</v>
      </c>
      <c r="H6" s="17">
        <f t="shared" si="1"/>
        <v>3110000</v>
      </c>
      <c r="I6" s="17">
        <f t="shared" si="3"/>
        <v>47305000</v>
      </c>
      <c r="J6" s="17">
        <f t="shared" si="4"/>
        <v>52305000</v>
      </c>
      <c r="K6" s="17" t="s">
        <v>36</v>
      </c>
    </row>
    <row r="7" spans="1:11" ht="15" thickBot="1" x14ac:dyDescent="0.45">
      <c r="A7" s="2" t="s">
        <v>23</v>
      </c>
      <c r="B7" s="2" t="str">
        <f t="shared" si="0"/>
        <v>Cen1</v>
      </c>
      <c r="C7" s="2" t="s">
        <v>36</v>
      </c>
      <c r="D7" s="2">
        <v>23.75</v>
      </c>
      <c r="E7" s="2">
        <v>26.31</v>
      </c>
      <c r="F7" s="17">
        <f t="shared" si="2"/>
        <v>23750000</v>
      </c>
      <c r="G7" s="17">
        <f t="shared" si="2"/>
        <v>26310000</v>
      </c>
      <c r="H7" s="17">
        <f t="shared" si="1"/>
        <v>2560000</v>
      </c>
      <c r="I7" s="17">
        <f t="shared" si="3"/>
        <v>22530000</v>
      </c>
      <c r="J7" s="17">
        <f t="shared" si="4"/>
        <v>27530000</v>
      </c>
      <c r="K7" s="17" t="s">
        <v>36</v>
      </c>
    </row>
    <row r="8" spans="1:11" ht="15" thickBot="1" x14ac:dyDescent="0.45">
      <c r="A8" s="2" t="s">
        <v>30</v>
      </c>
      <c r="B8" s="2" t="str">
        <f t="shared" si="0"/>
        <v>Cen1</v>
      </c>
      <c r="C8" s="2" t="s">
        <v>36</v>
      </c>
      <c r="D8" s="2">
        <v>28.35</v>
      </c>
      <c r="E8" s="2">
        <v>30.42</v>
      </c>
      <c r="F8" s="17">
        <f t="shared" si="2"/>
        <v>28350000</v>
      </c>
      <c r="G8" s="17">
        <f t="shared" si="2"/>
        <v>30420000</v>
      </c>
      <c r="H8" s="17">
        <f t="shared" si="1"/>
        <v>2070000</v>
      </c>
      <c r="I8" s="17">
        <f t="shared" si="3"/>
        <v>26885000</v>
      </c>
      <c r="J8" s="17">
        <f t="shared" si="4"/>
        <v>31885000</v>
      </c>
      <c r="K8" s="17" t="s">
        <v>36</v>
      </c>
    </row>
    <row r="9" spans="1:11" ht="15" customHeight="1" thickBot="1" x14ac:dyDescent="0.45">
      <c r="A9" s="2" t="s">
        <v>31</v>
      </c>
      <c r="B9" s="2" t="str">
        <f t="shared" si="0"/>
        <v>Cen1</v>
      </c>
      <c r="C9" s="2" t="s">
        <v>36</v>
      </c>
      <c r="D9" s="2">
        <v>39.090000000000003</v>
      </c>
      <c r="E9" s="2">
        <v>41.18</v>
      </c>
      <c r="F9" s="17">
        <f t="shared" si="2"/>
        <v>39090000</v>
      </c>
      <c r="G9" s="17">
        <f t="shared" si="2"/>
        <v>41180000</v>
      </c>
      <c r="H9" s="17">
        <f t="shared" si="1"/>
        <v>2090000</v>
      </c>
      <c r="I9" s="17">
        <f t="shared" si="3"/>
        <v>37635000</v>
      </c>
      <c r="J9" s="17">
        <f t="shared" si="4"/>
        <v>42635000</v>
      </c>
      <c r="K9" s="17" t="s">
        <v>36</v>
      </c>
    </row>
    <row r="10" spans="1:11" ht="15" thickBot="1" x14ac:dyDescent="0.45">
      <c r="A10" s="2" t="s">
        <v>24</v>
      </c>
      <c r="B10" s="2" t="str">
        <f t="shared" si="0"/>
        <v>Cen1</v>
      </c>
      <c r="C10" s="2" t="s">
        <v>36</v>
      </c>
      <c r="D10" s="2">
        <v>16.62</v>
      </c>
      <c r="E10" s="2">
        <v>18.760000000000002</v>
      </c>
      <c r="F10" s="17">
        <f t="shared" si="2"/>
        <v>16620000.000000002</v>
      </c>
      <c r="G10" s="17">
        <f t="shared" si="2"/>
        <v>18760000</v>
      </c>
      <c r="H10" s="17">
        <f t="shared" si="1"/>
        <v>2139999.9999999981</v>
      </c>
      <c r="I10" s="17">
        <f t="shared" si="3"/>
        <v>15190000</v>
      </c>
      <c r="J10" s="17">
        <f t="shared" si="4"/>
        <v>20190000</v>
      </c>
      <c r="K10" s="17" t="s">
        <v>36</v>
      </c>
    </row>
    <row r="11" spans="1:11" ht="15" thickBot="1" x14ac:dyDescent="0.45">
      <c r="A11" s="2" t="s">
        <v>12</v>
      </c>
      <c r="B11" s="2" t="str">
        <f t="shared" si="0"/>
        <v>Cen1</v>
      </c>
      <c r="C11" s="2" t="s">
        <v>36</v>
      </c>
      <c r="D11" s="2">
        <v>31.98</v>
      </c>
      <c r="E11" s="10">
        <v>34.57</v>
      </c>
      <c r="F11" s="17">
        <f t="shared" si="2"/>
        <v>31980000</v>
      </c>
      <c r="G11" s="17">
        <f t="shared" si="2"/>
        <v>34570000</v>
      </c>
      <c r="H11" s="17">
        <f t="shared" si="1"/>
        <v>2590000</v>
      </c>
      <c r="I11" s="17">
        <f t="shared" si="3"/>
        <v>30775000</v>
      </c>
      <c r="J11" s="17">
        <f t="shared" si="4"/>
        <v>35775000</v>
      </c>
      <c r="K11" s="17" t="s">
        <v>36</v>
      </c>
    </row>
    <row r="12" spans="1:11" ht="15" thickBot="1" x14ac:dyDescent="0.45">
      <c r="A12" s="2" t="s">
        <v>13</v>
      </c>
      <c r="B12" s="2" t="str">
        <f t="shared" si="0"/>
        <v>Cen1</v>
      </c>
      <c r="C12" s="2" t="s">
        <v>36</v>
      </c>
      <c r="D12" s="2">
        <v>30.28</v>
      </c>
      <c r="E12" s="10">
        <v>32.36</v>
      </c>
      <c r="F12" s="17">
        <f t="shared" si="2"/>
        <v>30280000</v>
      </c>
      <c r="G12" s="17">
        <f t="shared" si="2"/>
        <v>32360000</v>
      </c>
      <c r="H12" s="17">
        <f t="shared" si="1"/>
        <v>2080000</v>
      </c>
      <c r="I12" s="17">
        <f t="shared" si="3"/>
        <v>28820000</v>
      </c>
      <c r="J12" s="17">
        <f t="shared" si="4"/>
        <v>33820000</v>
      </c>
      <c r="K12" s="17" t="s">
        <v>36</v>
      </c>
    </row>
    <row r="13" spans="1:11" ht="15" thickBot="1" x14ac:dyDescent="0.45">
      <c r="A13" s="2" t="s">
        <v>14</v>
      </c>
      <c r="B13" s="2" t="str">
        <f t="shared" si="0"/>
        <v>Cen1</v>
      </c>
      <c r="C13" s="2" t="s">
        <v>36</v>
      </c>
      <c r="D13" s="2">
        <v>21.83</v>
      </c>
      <c r="E13" s="10">
        <v>24.78</v>
      </c>
      <c r="F13" s="17">
        <f t="shared" si="2"/>
        <v>21830000</v>
      </c>
      <c r="G13" s="17">
        <f t="shared" si="2"/>
        <v>24780000</v>
      </c>
      <c r="H13" s="17">
        <f t="shared" si="1"/>
        <v>2950000</v>
      </c>
      <c r="I13" s="17">
        <f t="shared" si="3"/>
        <v>20805000</v>
      </c>
      <c r="J13" s="17">
        <f t="shared" si="4"/>
        <v>25805000</v>
      </c>
      <c r="K13" s="17" t="s">
        <v>36</v>
      </c>
    </row>
    <row r="14" spans="1:11" ht="15" thickBot="1" x14ac:dyDescent="0.45">
      <c r="A14" s="7" t="s">
        <v>12</v>
      </c>
      <c r="B14" s="2" t="str">
        <f>_xlfn.CONCAT(C14,1)</f>
        <v>InterSpInv1</v>
      </c>
      <c r="C14" s="18" t="s">
        <v>35</v>
      </c>
      <c r="D14" s="19">
        <f>19037621/1000000</f>
        <v>19.037621000000001</v>
      </c>
      <c r="E14" s="19">
        <f>25083800/1000000</f>
        <v>25.0838</v>
      </c>
      <c r="F14" s="20">
        <v>19037621</v>
      </c>
      <c r="G14" s="20">
        <v>25083800</v>
      </c>
      <c r="H14" s="17">
        <f t="shared" ref="H14:H22" si="5">G14-F14</f>
        <v>6046179</v>
      </c>
      <c r="I14" s="17">
        <f>F14-500000</f>
        <v>18537621</v>
      </c>
      <c r="J14" s="17">
        <f>G14+500000</f>
        <v>25583800</v>
      </c>
      <c r="K14" s="17" t="s">
        <v>42</v>
      </c>
    </row>
    <row r="15" spans="1:11" ht="15" thickBot="1" x14ac:dyDescent="0.45">
      <c r="A15" s="2" t="s">
        <v>21</v>
      </c>
      <c r="B15" s="2" t="str">
        <f>_xlfn.CONCAT(C15,1)</f>
        <v>IntraSpInv1</v>
      </c>
      <c r="C15" s="18" t="s">
        <v>25</v>
      </c>
      <c r="D15" s="2">
        <v>34.17</v>
      </c>
      <c r="E15" s="18">
        <v>36.65</v>
      </c>
      <c r="F15" s="17">
        <f t="shared" ref="F15:G22" si="6">D15*1000000</f>
        <v>34170000</v>
      </c>
      <c r="G15" s="17">
        <f t="shared" si="6"/>
        <v>36650000</v>
      </c>
      <c r="H15" s="17">
        <f t="shared" si="5"/>
        <v>2480000</v>
      </c>
      <c r="I15" s="17">
        <f t="shared" ref="I15:I22" si="7">F15-500000</f>
        <v>33670000</v>
      </c>
      <c r="J15" s="17">
        <f t="shared" ref="J15:J22" si="8">G15+500000</f>
        <v>37150000</v>
      </c>
      <c r="K15" s="17" t="s">
        <v>42</v>
      </c>
    </row>
    <row r="16" spans="1:11" ht="15" thickBot="1" x14ac:dyDescent="0.45">
      <c r="A16" s="2" t="s">
        <v>22</v>
      </c>
      <c r="B16" s="2" t="str">
        <f>_xlfn.CONCAT(C16,1)</f>
        <v>IntraSpInv1</v>
      </c>
      <c r="C16" s="18" t="s">
        <v>25</v>
      </c>
      <c r="D16" s="2">
        <v>21.83</v>
      </c>
      <c r="E16" s="18">
        <v>25.54</v>
      </c>
      <c r="F16" s="17">
        <f t="shared" si="6"/>
        <v>21830000</v>
      </c>
      <c r="G16" s="17">
        <f t="shared" si="6"/>
        <v>25540000</v>
      </c>
      <c r="H16" s="17">
        <f t="shared" si="5"/>
        <v>3710000</v>
      </c>
      <c r="I16" s="17">
        <f t="shared" si="7"/>
        <v>21330000</v>
      </c>
      <c r="J16" s="17">
        <f t="shared" si="8"/>
        <v>26040000</v>
      </c>
      <c r="K16" s="17" t="s">
        <v>42</v>
      </c>
    </row>
    <row r="17" spans="1:11" ht="15" thickBot="1" x14ac:dyDescent="0.45">
      <c r="A17" s="2" t="s">
        <v>23</v>
      </c>
      <c r="B17" s="2" t="str">
        <f>_xlfn.CONCAT(C17,1)</f>
        <v>IntraSpInv1</v>
      </c>
      <c r="C17" s="18" t="s">
        <v>25</v>
      </c>
      <c r="D17" s="2">
        <v>8.82</v>
      </c>
      <c r="E17" s="18">
        <v>11.36</v>
      </c>
      <c r="F17" s="17">
        <f t="shared" si="6"/>
        <v>8820000</v>
      </c>
      <c r="G17" s="17">
        <f t="shared" si="6"/>
        <v>11360000</v>
      </c>
      <c r="H17" s="17">
        <f t="shared" si="5"/>
        <v>2540000</v>
      </c>
      <c r="I17" s="17">
        <f t="shared" si="7"/>
        <v>8320000</v>
      </c>
      <c r="J17" s="17">
        <f t="shared" si="8"/>
        <v>11860000</v>
      </c>
      <c r="K17" s="17" t="s">
        <v>42</v>
      </c>
    </row>
    <row r="18" spans="1:11" ht="15" thickBot="1" x14ac:dyDescent="0.45">
      <c r="A18" s="2" t="s">
        <v>23</v>
      </c>
      <c r="B18" s="2" t="str">
        <f>_xlfn.CONCAT(C18,2)</f>
        <v>IntraSpInv2</v>
      </c>
      <c r="C18" s="18" t="s">
        <v>25</v>
      </c>
      <c r="D18" s="2">
        <v>15.2</v>
      </c>
      <c r="E18" s="18">
        <v>16.96</v>
      </c>
      <c r="F18" s="17">
        <f t="shared" si="6"/>
        <v>15200000</v>
      </c>
      <c r="G18" s="17">
        <f t="shared" si="6"/>
        <v>16960000</v>
      </c>
      <c r="H18" s="17">
        <f t="shared" si="5"/>
        <v>1760000</v>
      </c>
      <c r="I18" s="17">
        <f t="shared" si="7"/>
        <v>14700000</v>
      </c>
      <c r="J18" s="17">
        <f t="shared" si="8"/>
        <v>17460000</v>
      </c>
      <c r="K18" s="17" t="s">
        <v>42</v>
      </c>
    </row>
    <row r="19" spans="1:11" ht="15" thickBot="1" x14ac:dyDescent="0.45">
      <c r="A19" s="2" t="s">
        <v>23</v>
      </c>
      <c r="B19" s="2" t="str">
        <f>_xlfn.CONCAT(C19,3)</f>
        <v>IntraSpInv3</v>
      </c>
      <c r="C19" s="18" t="s">
        <v>25</v>
      </c>
      <c r="D19" s="2">
        <v>34.86</v>
      </c>
      <c r="E19" s="18">
        <v>45.82</v>
      </c>
      <c r="F19" s="17">
        <f t="shared" si="6"/>
        <v>34860000</v>
      </c>
      <c r="G19" s="17">
        <f t="shared" si="6"/>
        <v>45820000</v>
      </c>
      <c r="H19" s="17">
        <f t="shared" si="5"/>
        <v>10960000</v>
      </c>
      <c r="I19" s="17">
        <f t="shared" si="7"/>
        <v>34360000</v>
      </c>
      <c r="J19" s="17">
        <f t="shared" si="8"/>
        <v>46320000</v>
      </c>
      <c r="K19" s="17" t="s">
        <v>42</v>
      </c>
    </row>
    <row r="20" spans="1:11" ht="15" thickBot="1" x14ac:dyDescent="0.45">
      <c r="A20" s="2" t="s">
        <v>24</v>
      </c>
      <c r="B20" s="2" t="str">
        <f>_xlfn.CONCAT(C20,1)</f>
        <v>IntraSpInv1</v>
      </c>
      <c r="C20" s="18" t="s">
        <v>25</v>
      </c>
      <c r="D20" s="2">
        <v>9.7899999999999991</v>
      </c>
      <c r="E20" s="18">
        <v>16.62</v>
      </c>
      <c r="F20" s="17">
        <f t="shared" si="6"/>
        <v>9790000</v>
      </c>
      <c r="G20" s="17">
        <f t="shared" si="6"/>
        <v>16620000.000000002</v>
      </c>
      <c r="H20" s="17">
        <f t="shared" si="5"/>
        <v>6830000.0000000019</v>
      </c>
      <c r="I20" s="17">
        <f t="shared" si="7"/>
        <v>9290000</v>
      </c>
      <c r="J20" s="17">
        <f t="shared" si="8"/>
        <v>17120000</v>
      </c>
      <c r="K20" s="17" t="s">
        <v>42</v>
      </c>
    </row>
    <row r="21" spans="1:11" ht="15" thickBot="1" x14ac:dyDescent="0.45">
      <c r="A21" s="2" t="s">
        <v>24</v>
      </c>
      <c r="B21" s="2" t="str">
        <f>_xlfn.CONCAT(C21,1)</f>
        <v>IntraSpInv1</v>
      </c>
      <c r="C21" s="18" t="s">
        <v>25</v>
      </c>
      <c r="D21" s="2">
        <v>18.760000000000002</v>
      </c>
      <c r="E21" s="18">
        <v>22.01</v>
      </c>
      <c r="F21" s="17">
        <f t="shared" si="6"/>
        <v>18760000</v>
      </c>
      <c r="G21" s="17">
        <f t="shared" si="6"/>
        <v>22010000</v>
      </c>
      <c r="H21" s="17">
        <f t="shared" si="5"/>
        <v>3250000</v>
      </c>
      <c r="I21" s="17">
        <f t="shared" si="7"/>
        <v>18260000</v>
      </c>
      <c r="J21" s="17">
        <f t="shared" si="8"/>
        <v>22510000</v>
      </c>
      <c r="K21" s="17" t="s">
        <v>42</v>
      </c>
    </row>
    <row r="22" spans="1:11" ht="15" thickBot="1" x14ac:dyDescent="0.45">
      <c r="A22" s="2" t="s">
        <v>13</v>
      </c>
      <c r="B22" s="2" t="str">
        <f>_xlfn.CONCAT(C22,1)</f>
        <v>IntraSpInv1</v>
      </c>
      <c r="C22" s="18" t="s">
        <v>25</v>
      </c>
      <c r="D22" s="2">
        <v>5.7</v>
      </c>
      <c r="E22" s="18">
        <v>21.24</v>
      </c>
      <c r="F22" s="17">
        <f t="shared" si="6"/>
        <v>5700000</v>
      </c>
      <c r="G22" s="17">
        <f t="shared" si="6"/>
        <v>21240000</v>
      </c>
      <c r="H22" s="17">
        <f t="shared" si="5"/>
        <v>15540000</v>
      </c>
      <c r="I22" s="17">
        <f t="shared" si="7"/>
        <v>5200000</v>
      </c>
      <c r="J22" s="17">
        <f t="shared" si="8"/>
        <v>21740000</v>
      </c>
      <c r="K22" s="17" t="s">
        <v>42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5E416-FE30-415B-BE79-32F09ADDF535}">
  <dimension ref="A1:M14"/>
  <sheetViews>
    <sheetView workbookViewId="0">
      <selection activeCell="E2" sqref="E2:F13"/>
    </sheetView>
  </sheetViews>
  <sheetFormatPr defaultRowHeight="14.6" x14ac:dyDescent="0.4"/>
  <sheetData>
    <row r="1" spans="1:13" ht="51" thickBot="1" x14ac:dyDescent="0.4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 t="s">
        <v>2</v>
      </c>
    </row>
    <row r="2" spans="1:13" ht="15" thickBot="1" x14ac:dyDescent="0.45">
      <c r="A2" s="2" t="s">
        <v>3</v>
      </c>
      <c r="B2" s="2">
        <v>43</v>
      </c>
      <c r="C2" s="2">
        <v>43.62</v>
      </c>
      <c r="D2" s="2">
        <v>44.3</v>
      </c>
      <c r="E2" s="2">
        <v>44.59</v>
      </c>
      <c r="F2" s="2">
        <v>45.27</v>
      </c>
      <c r="G2" s="2">
        <v>45.75</v>
      </c>
      <c r="H2" s="2"/>
      <c r="I2" s="2"/>
      <c r="J2" s="2"/>
      <c r="K2" s="2"/>
      <c r="L2" s="2"/>
      <c r="M2" s="3">
        <v>1.36</v>
      </c>
    </row>
    <row r="3" spans="1:13" ht="15" thickBot="1" x14ac:dyDescent="0.45">
      <c r="A3" s="2" t="s">
        <v>4</v>
      </c>
      <c r="B3" s="2">
        <v>40.9</v>
      </c>
      <c r="C3" s="2">
        <v>41.28</v>
      </c>
      <c r="D3" s="2">
        <v>42.1</v>
      </c>
      <c r="E3" s="2">
        <v>42.8</v>
      </c>
      <c r="F3" s="2"/>
      <c r="G3" s="2"/>
      <c r="H3" s="2"/>
      <c r="I3" s="2"/>
      <c r="J3" s="2"/>
      <c r="K3" s="2"/>
      <c r="L3" s="2"/>
      <c r="M3" s="3">
        <v>0.82</v>
      </c>
    </row>
    <row r="4" spans="1:13" ht="15" thickBot="1" x14ac:dyDescent="0.45">
      <c r="A4" s="2" t="s">
        <v>5</v>
      </c>
      <c r="B4" s="2">
        <v>26.65</v>
      </c>
      <c r="C4" s="2">
        <v>29.85</v>
      </c>
      <c r="D4" s="2"/>
      <c r="E4" s="2"/>
      <c r="F4" s="2"/>
      <c r="G4" s="2"/>
      <c r="H4" s="2"/>
      <c r="I4" s="2"/>
      <c r="J4" s="2"/>
      <c r="K4" s="2"/>
      <c r="L4" s="2"/>
      <c r="M4" s="3">
        <v>0</v>
      </c>
    </row>
    <row r="5" spans="1:13" ht="15" thickBot="1" x14ac:dyDescent="0.45">
      <c r="A5" s="2" t="s">
        <v>6</v>
      </c>
      <c r="B5" s="2">
        <v>32.85</v>
      </c>
      <c r="C5" s="2">
        <v>34.94</v>
      </c>
      <c r="D5" s="2"/>
      <c r="E5" s="2"/>
      <c r="F5" s="2"/>
      <c r="G5" s="2"/>
      <c r="H5" s="2"/>
      <c r="I5" s="2"/>
      <c r="J5" s="2"/>
      <c r="K5" s="2"/>
      <c r="L5" s="2"/>
      <c r="M5" s="3">
        <v>0</v>
      </c>
    </row>
    <row r="6" spans="1:13" ht="15" thickBot="1" x14ac:dyDescent="0.45">
      <c r="A6" s="2" t="s">
        <v>7</v>
      </c>
      <c r="B6" s="2">
        <v>48.25</v>
      </c>
      <c r="C6" s="2">
        <v>49.44</v>
      </c>
      <c r="D6" s="2">
        <v>50.26</v>
      </c>
      <c r="E6" s="2">
        <v>51.36</v>
      </c>
      <c r="F6" s="2"/>
      <c r="G6" s="2"/>
      <c r="H6" s="2"/>
      <c r="I6" s="2"/>
      <c r="J6" s="2"/>
      <c r="K6" s="2"/>
      <c r="L6" s="2"/>
      <c r="M6" s="3">
        <v>0.82</v>
      </c>
    </row>
    <row r="7" spans="1:13" ht="15" thickBot="1" x14ac:dyDescent="0.45">
      <c r="A7" s="2" t="s">
        <v>8</v>
      </c>
      <c r="B7" s="2">
        <v>23.75</v>
      </c>
      <c r="C7" s="2">
        <v>24.78</v>
      </c>
      <c r="D7" s="2">
        <v>25.55</v>
      </c>
      <c r="E7" s="2">
        <v>26.31</v>
      </c>
      <c r="F7" s="2"/>
      <c r="G7" s="2"/>
      <c r="H7" s="2"/>
      <c r="I7" s="2"/>
      <c r="J7" s="2"/>
      <c r="K7" s="2"/>
      <c r="L7" s="2"/>
      <c r="M7" s="3">
        <v>0.77</v>
      </c>
    </row>
    <row r="8" spans="1:13" ht="15" thickBot="1" x14ac:dyDescent="0.45">
      <c r="A8" s="2" t="s">
        <v>9</v>
      </c>
      <c r="B8" s="2">
        <v>28.35</v>
      </c>
      <c r="C8" s="2">
        <v>28.8</v>
      </c>
      <c r="D8" s="2">
        <v>30</v>
      </c>
      <c r="E8" s="2">
        <v>30.42</v>
      </c>
      <c r="F8" s="2"/>
      <c r="G8" s="2"/>
      <c r="H8" s="2"/>
      <c r="I8" s="2"/>
      <c r="J8" s="2"/>
      <c r="K8" s="2"/>
      <c r="L8" s="2"/>
      <c r="M8" s="3">
        <v>1.2</v>
      </c>
    </row>
    <row r="9" spans="1:13" ht="15" thickBot="1" x14ac:dyDescent="0.45">
      <c r="A9" s="2" t="s">
        <v>10</v>
      </c>
      <c r="B9" s="2">
        <v>39.090000000000003</v>
      </c>
      <c r="C9" s="2">
        <v>39.54</v>
      </c>
      <c r="D9" s="2">
        <v>39.950000000000003</v>
      </c>
      <c r="E9" s="2">
        <v>41.18</v>
      </c>
      <c r="F9" s="2"/>
      <c r="G9" s="2"/>
      <c r="H9" s="2"/>
      <c r="I9" s="2"/>
      <c r="J9" s="2"/>
      <c r="K9" s="2"/>
      <c r="L9" s="2"/>
      <c r="M9" s="3">
        <v>0.41</v>
      </c>
    </row>
    <row r="10" spans="1:13" ht="15" thickBot="1" x14ac:dyDescent="0.45">
      <c r="A10" s="2" t="s">
        <v>11</v>
      </c>
      <c r="B10" s="2">
        <v>16.62</v>
      </c>
      <c r="C10" s="2">
        <v>17.559999999999999</v>
      </c>
      <c r="D10" s="2">
        <v>17.86</v>
      </c>
      <c r="E10" s="2">
        <v>17.95</v>
      </c>
      <c r="F10" s="2">
        <v>18.04</v>
      </c>
      <c r="G10" s="2">
        <v>18.760000000000002</v>
      </c>
      <c r="H10" s="2"/>
      <c r="I10" s="2"/>
      <c r="J10" s="2"/>
      <c r="K10" s="2"/>
      <c r="L10" s="2"/>
      <c r="M10" s="3">
        <v>0.39</v>
      </c>
    </row>
    <row r="11" spans="1:13" ht="15" thickBot="1" x14ac:dyDescent="0.45">
      <c r="A11" s="2" t="s">
        <v>12</v>
      </c>
      <c r="B11" s="2">
        <v>31.98</v>
      </c>
      <c r="C11" s="2">
        <v>33.28</v>
      </c>
      <c r="D11" s="2">
        <v>33.82</v>
      </c>
      <c r="E11" s="2">
        <v>34.57</v>
      </c>
      <c r="F11" s="2"/>
      <c r="G11" s="2"/>
      <c r="H11" s="2"/>
      <c r="I11" s="2"/>
      <c r="J11" s="2"/>
      <c r="K11" s="2"/>
      <c r="L11" s="2"/>
      <c r="M11" s="3">
        <v>0.54</v>
      </c>
    </row>
    <row r="12" spans="1:13" ht="15" thickBot="1" x14ac:dyDescent="0.45">
      <c r="A12" s="2" t="s">
        <v>13</v>
      </c>
      <c r="B12" s="2">
        <v>30.28</v>
      </c>
      <c r="C12" s="2">
        <v>32.36</v>
      </c>
      <c r="D12" s="2"/>
      <c r="E12" s="2"/>
      <c r="F12" s="2"/>
      <c r="G12" s="2"/>
      <c r="H12" s="2"/>
      <c r="I12" s="2"/>
      <c r="J12" s="2"/>
      <c r="K12" s="2"/>
      <c r="L12" s="2"/>
      <c r="M12" s="3">
        <v>0</v>
      </c>
    </row>
    <row r="13" spans="1:13" ht="15" thickBot="1" x14ac:dyDescent="0.45">
      <c r="A13" s="2" t="s">
        <v>14</v>
      </c>
      <c r="B13" s="2">
        <v>21.83</v>
      </c>
      <c r="C13" s="2">
        <v>22.72</v>
      </c>
      <c r="D13" s="2">
        <v>24.23</v>
      </c>
      <c r="E13" s="2">
        <v>24.78</v>
      </c>
      <c r="F13" s="2"/>
      <c r="G13" s="2"/>
      <c r="H13" s="2"/>
      <c r="I13" s="2"/>
      <c r="J13" s="2"/>
      <c r="K13" s="2"/>
      <c r="L13" s="2"/>
      <c r="M13" s="3">
        <v>1.51</v>
      </c>
    </row>
    <row r="14" spans="1:13" ht="15" thickBot="1" x14ac:dyDescent="0.45">
      <c r="A14" s="2"/>
      <c r="B14" s="4" t="s">
        <v>15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3">
        <v>7.82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C66C-FC16-43E0-9BCE-69B0F222B7B7}">
  <dimension ref="A1:J44"/>
  <sheetViews>
    <sheetView topLeftCell="A15" workbookViewId="0">
      <selection activeCell="A15" sqref="A1:XFD1048576"/>
    </sheetView>
  </sheetViews>
  <sheetFormatPr defaultRowHeight="14.6" x14ac:dyDescent="0.4"/>
  <cols>
    <col min="1" max="1" width="13.15234375" bestFit="1" customWidth="1"/>
    <col min="2" max="3" width="10" bestFit="1" customWidth="1"/>
    <col min="4" max="4" width="10.69140625" bestFit="1" customWidth="1"/>
    <col min="5" max="5" width="10.53515625" bestFit="1" customWidth="1"/>
    <col min="6" max="7" width="25.53515625" customWidth="1"/>
  </cols>
  <sheetData>
    <row r="1" spans="1:10" ht="15" thickBot="1" x14ac:dyDescent="0.45">
      <c r="A1" s="1" t="s">
        <v>32</v>
      </c>
      <c r="B1" s="1" t="s">
        <v>26</v>
      </c>
      <c r="C1" s="1" t="s">
        <v>18</v>
      </c>
      <c r="D1" s="1" t="s">
        <v>16</v>
      </c>
      <c r="E1" s="1" t="s">
        <v>17</v>
      </c>
      <c r="F1" s="6" t="s">
        <v>34</v>
      </c>
      <c r="G1" s="6" t="s">
        <v>33</v>
      </c>
      <c r="H1" s="6" t="s">
        <v>39</v>
      </c>
      <c r="I1" s="12" t="s">
        <v>40</v>
      </c>
      <c r="J1" s="12" t="s">
        <v>46</v>
      </c>
    </row>
    <row r="2" spans="1:10" ht="15" thickBot="1" x14ac:dyDescent="0.45">
      <c r="A2" s="2" t="s">
        <v>27</v>
      </c>
      <c r="B2" s="2" t="str">
        <f t="shared" ref="B2:B13" si="0">_xlfn.CONCAT(C2,1)</f>
        <v>CenArray1</v>
      </c>
      <c r="C2" s="2" t="s">
        <v>19</v>
      </c>
      <c r="D2" s="2">
        <v>43</v>
      </c>
      <c r="E2" s="2">
        <v>43.62</v>
      </c>
      <c r="F2" s="13">
        <f t="shared" ref="F2:G35" si="1">D2*1000000</f>
        <v>43000000</v>
      </c>
      <c r="G2" s="13">
        <f t="shared" si="1"/>
        <v>43620000</v>
      </c>
      <c r="H2">
        <f t="shared" ref="H2:H44" si="2">G2-F2</f>
        <v>620000</v>
      </c>
      <c r="I2" s="13" t="s">
        <v>41</v>
      </c>
      <c r="J2" t="str">
        <f>_xlfn.CONCAT(C2,A2)</f>
        <v>CenArrayChr01</v>
      </c>
    </row>
    <row r="3" spans="1:10" ht="15" thickBot="1" x14ac:dyDescent="0.45">
      <c r="A3" s="2" t="s">
        <v>28</v>
      </c>
      <c r="B3" s="2" t="str">
        <f t="shared" si="0"/>
        <v>CenArray1</v>
      </c>
      <c r="C3" s="2" t="s">
        <v>19</v>
      </c>
      <c r="D3" s="2">
        <v>40.9</v>
      </c>
      <c r="E3" s="2">
        <v>41.28</v>
      </c>
      <c r="F3">
        <f t="shared" si="1"/>
        <v>40900000</v>
      </c>
      <c r="G3">
        <f t="shared" si="1"/>
        <v>41280000</v>
      </c>
      <c r="H3">
        <f t="shared" si="2"/>
        <v>380000</v>
      </c>
      <c r="I3" t="s">
        <v>41</v>
      </c>
      <c r="J3" t="str">
        <f t="shared" ref="J3:J44" si="3">_xlfn.CONCAT(C3,A3)</f>
        <v>CenArrayChr02</v>
      </c>
    </row>
    <row r="4" spans="1:10" ht="15" thickBot="1" x14ac:dyDescent="0.45">
      <c r="A4" s="2" t="s">
        <v>21</v>
      </c>
      <c r="B4" s="2" t="str">
        <f t="shared" si="0"/>
        <v>CenArray1</v>
      </c>
      <c r="C4" s="2" t="s">
        <v>19</v>
      </c>
      <c r="D4" s="2">
        <v>26.65</v>
      </c>
      <c r="E4" s="2">
        <v>29.85</v>
      </c>
      <c r="F4">
        <f t="shared" si="1"/>
        <v>26650000</v>
      </c>
      <c r="G4">
        <f t="shared" si="1"/>
        <v>29850000</v>
      </c>
      <c r="H4">
        <f t="shared" si="2"/>
        <v>3200000</v>
      </c>
      <c r="I4" t="s">
        <v>41</v>
      </c>
      <c r="J4" t="str">
        <f t="shared" si="3"/>
        <v>CenArrayChr03</v>
      </c>
    </row>
    <row r="5" spans="1:10" ht="15" thickBot="1" x14ac:dyDescent="0.45">
      <c r="A5" s="2" t="s">
        <v>29</v>
      </c>
      <c r="B5" s="2" t="str">
        <f t="shared" si="0"/>
        <v>CenArray1</v>
      </c>
      <c r="C5" s="2" t="s">
        <v>19</v>
      </c>
      <c r="D5" s="2">
        <v>32.85</v>
      </c>
      <c r="E5" s="2">
        <v>34.94</v>
      </c>
      <c r="F5">
        <f t="shared" si="1"/>
        <v>32850000</v>
      </c>
      <c r="G5">
        <f t="shared" si="1"/>
        <v>34940000</v>
      </c>
      <c r="H5">
        <f t="shared" si="2"/>
        <v>2090000</v>
      </c>
      <c r="I5" t="s">
        <v>41</v>
      </c>
      <c r="J5" t="str">
        <f t="shared" si="3"/>
        <v>CenArrayChr04</v>
      </c>
    </row>
    <row r="6" spans="1:10" ht="15" thickBot="1" x14ac:dyDescent="0.45">
      <c r="A6" s="2" t="s">
        <v>22</v>
      </c>
      <c r="B6" s="2" t="str">
        <f t="shared" si="0"/>
        <v>CenArray1</v>
      </c>
      <c r="C6" s="2" t="s">
        <v>19</v>
      </c>
      <c r="D6" s="2">
        <v>48.25</v>
      </c>
      <c r="E6" s="2">
        <v>49.44</v>
      </c>
      <c r="F6">
        <f t="shared" si="1"/>
        <v>48250000</v>
      </c>
      <c r="G6">
        <f t="shared" si="1"/>
        <v>49440000</v>
      </c>
      <c r="H6">
        <f t="shared" si="2"/>
        <v>1190000</v>
      </c>
      <c r="I6" t="s">
        <v>41</v>
      </c>
      <c r="J6" t="str">
        <f t="shared" si="3"/>
        <v>CenArrayChr05</v>
      </c>
    </row>
    <row r="7" spans="1:10" ht="15" thickBot="1" x14ac:dyDescent="0.45">
      <c r="A7" s="2" t="s">
        <v>23</v>
      </c>
      <c r="B7" s="2" t="str">
        <f t="shared" si="0"/>
        <v>CenArray1</v>
      </c>
      <c r="C7" s="2" t="s">
        <v>19</v>
      </c>
      <c r="D7" s="2">
        <v>23.75</v>
      </c>
      <c r="E7" s="2">
        <v>24.78</v>
      </c>
      <c r="F7">
        <f t="shared" si="1"/>
        <v>23750000</v>
      </c>
      <c r="G7">
        <f t="shared" si="1"/>
        <v>24780000</v>
      </c>
      <c r="H7">
        <f t="shared" si="2"/>
        <v>1030000</v>
      </c>
      <c r="I7" t="s">
        <v>41</v>
      </c>
      <c r="J7" t="str">
        <f t="shared" si="3"/>
        <v>CenArrayChr06</v>
      </c>
    </row>
    <row r="8" spans="1:10" ht="15" thickBot="1" x14ac:dyDescent="0.45">
      <c r="A8" s="2" t="s">
        <v>30</v>
      </c>
      <c r="B8" s="2" t="str">
        <f t="shared" si="0"/>
        <v>CenArray1</v>
      </c>
      <c r="C8" s="2" t="s">
        <v>19</v>
      </c>
      <c r="D8" s="2">
        <v>28.35</v>
      </c>
      <c r="E8" s="2">
        <v>28.8</v>
      </c>
      <c r="F8">
        <f t="shared" si="1"/>
        <v>28350000</v>
      </c>
      <c r="G8">
        <f t="shared" si="1"/>
        <v>28800000</v>
      </c>
      <c r="H8">
        <f t="shared" si="2"/>
        <v>450000</v>
      </c>
      <c r="I8" t="s">
        <v>41</v>
      </c>
      <c r="J8" t="str">
        <f t="shared" si="3"/>
        <v>CenArrayChr07</v>
      </c>
    </row>
    <row r="9" spans="1:10" ht="15" thickBot="1" x14ac:dyDescent="0.45">
      <c r="A9" s="2" t="s">
        <v>31</v>
      </c>
      <c r="B9" s="2" t="str">
        <f t="shared" si="0"/>
        <v>CenArray1</v>
      </c>
      <c r="C9" s="2" t="s">
        <v>19</v>
      </c>
      <c r="D9" s="2">
        <v>39.090000000000003</v>
      </c>
      <c r="E9" s="2">
        <v>39.54</v>
      </c>
      <c r="F9">
        <f t="shared" si="1"/>
        <v>39090000</v>
      </c>
      <c r="G9">
        <f t="shared" si="1"/>
        <v>39540000</v>
      </c>
      <c r="H9">
        <f t="shared" si="2"/>
        <v>450000</v>
      </c>
      <c r="I9" t="s">
        <v>41</v>
      </c>
      <c r="J9" t="str">
        <f t="shared" si="3"/>
        <v>CenArrayChr08</v>
      </c>
    </row>
    <row r="10" spans="1:10" ht="15" thickBot="1" x14ac:dyDescent="0.45">
      <c r="A10" s="2" t="s">
        <v>24</v>
      </c>
      <c r="B10" s="2" t="str">
        <f t="shared" si="0"/>
        <v>CenArray1</v>
      </c>
      <c r="C10" s="2" t="s">
        <v>19</v>
      </c>
      <c r="D10" s="2">
        <v>16.62</v>
      </c>
      <c r="E10" s="2">
        <v>17.559999999999999</v>
      </c>
      <c r="F10">
        <f t="shared" si="1"/>
        <v>16620000.000000002</v>
      </c>
      <c r="G10">
        <f t="shared" si="1"/>
        <v>17560000</v>
      </c>
      <c r="H10">
        <f t="shared" si="2"/>
        <v>939999.99999999814</v>
      </c>
      <c r="I10" t="s">
        <v>41</v>
      </c>
      <c r="J10" t="str">
        <f t="shared" si="3"/>
        <v>CenArrayChr09</v>
      </c>
    </row>
    <row r="11" spans="1:10" ht="15" thickBot="1" x14ac:dyDescent="0.45">
      <c r="A11" s="2" t="s">
        <v>12</v>
      </c>
      <c r="B11" s="2" t="str">
        <f t="shared" si="0"/>
        <v>CenArray1</v>
      </c>
      <c r="C11" s="2" t="s">
        <v>19</v>
      </c>
      <c r="D11" s="2">
        <v>31.98</v>
      </c>
      <c r="E11" s="2">
        <v>33.28</v>
      </c>
      <c r="F11">
        <f t="shared" si="1"/>
        <v>31980000</v>
      </c>
      <c r="G11">
        <f t="shared" si="1"/>
        <v>33280000</v>
      </c>
      <c r="H11">
        <f t="shared" si="2"/>
        <v>1300000</v>
      </c>
      <c r="I11" t="s">
        <v>41</v>
      </c>
      <c r="J11" t="str">
        <f t="shared" si="3"/>
        <v>CenArrayChr10</v>
      </c>
    </row>
    <row r="12" spans="1:10" ht="15" thickBot="1" x14ac:dyDescent="0.45">
      <c r="A12" s="2" t="s">
        <v>13</v>
      </c>
      <c r="B12" s="2" t="str">
        <f t="shared" si="0"/>
        <v>CenArray1</v>
      </c>
      <c r="C12" s="2" t="s">
        <v>19</v>
      </c>
      <c r="D12" s="2">
        <v>30.28</v>
      </c>
      <c r="E12" s="2">
        <v>32.36</v>
      </c>
      <c r="F12">
        <f t="shared" si="1"/>
        <v>30280000</v>
      </c>
      <c r="G12">
        <f t="shared" si="1"/>
        <v>32360000</v>
      </c>
      <c r="H12">
        <f t="shared" si="2"/>
        <v>2080000</v>
      </c>
      <c r="I12" t="s">
        <v>41</v>
      </c>
      <c r="J12" t="str">
        <f t="shared" si="3"/>
        <v>CenArrayChr11</v>
      </c>
    </row>
    <row r="13" spans="1:10" ht="15" thickBot="1" x14ac:dyDescent="0.45">
      <c r="A13" s="2" t="s">
        <v>14</v>
      </c>
      <c r="B13" s="2" t="str">
        <f t="shared" si="0"/>
        <v>CenArray1</v>
      </c>
      <c r="C13" s="2" t="s">
        <v>19</v>
      </c>
      <c r="D13" s="2">
        <v>21.83</v>
      </c>
      <c r="E13" s="2">
        <v>22.72</v>
      </c>
      <c r="F13">
        <f t="shared" si="1"/>
        <v>21830000</v>
      </c>
      <c r="G13">
        <f t="shared" si="1"/>
        <v>22720000</v>
      </c>
      <c r="H13">
        <f t="shared" si="2"/>
        <v>890000</v>
      </c>
      <c r="I13" t="s">
        <v>41</v>
      </c>
      <c r="J13" t="str">
        <f t="shared" si="3"/>
        <v>CenArrayChr12</v>
      </c>
    </row>
    <row r="14" spans="1:10" ht="15" thickBot="1" x14ac:dyDescent="0.45">
      <c r="A14" s="2" t="s">
        <v>27</v>
      </c>
      <c r="B14" s="2" t="str">
        <f t="shared" ref="B14:B22" si="4">_xlfn.CONCAT(C14,2)</f>
        <v>CenArray2</v>
      </c>
      <c r="C14" s="2" t="s">
        <v>19</v>
      </c>
      <c r="D14" s="2">
        <v>44.3</v>
      </c>
      <c r="E14" s="2">
        <v>44.59</v>
      </c>
      <c r="F14">
        <f t="shared" si="1"/>
        <v>44300000</v>
      </c>
      <c r="G14">
        <f t="shared" si="1"/>
        <v>44590000</v>
      </c>
      <c r="H14">
        <f t="shared" si="2"/>
        <v>290000</v>
      </c>
      <c r="I14" t="s">
        <v>41</v>
      </c>
      <c r="J14" t="str">
        <f t="shared" si="3"/>
        <v>CenArrayChr01</v>
      </c>
    </row>
    <row r="15" spans="1:10" ht="15" thickBot="1" x14ac:dyDescent="0.45">
      <c r="A15" s="2" t="s">
        <v>28</v>
      </c>
      <c r="B15" s="2" t="str">
        <f t="shared" si="4"/>
        <v>CenArray2</v>
      </c>
      <c r="C15" s="2" t="s">
        <v>19</v>
      </c>
      <c r="D15" s="2">
        <v>42.1</v>
      </c>
      <c r="E15" s="2">
        <v>42.8</v>
      </c>
      <c r="F15">
        <f t="shared" si="1"/>
        <v>42100000</v>
      </c>
      <c r="G15">
        <f t="shared" si="1"/>
        <v>42800000</v>
      </c>
      <c r="H15">
        <f t="shared" si="2"/>
        <v>700000</v>
      </c>
      <c r="I15" t="s">
        <v>41</v>
      </c>
      <c r="J15" t="str">
        <f t="shared" si="3"/>
        <v>CenArrayChr02</v>
      </c>
    </row>
    <row r="16" spans="1:10" ht="15" thickBot="1" x14ac:dyDescent="0.45">
      <c r="A16" s="2" t="s">
        <v>22</v>
      </c>
      <c r="B16" s="2" t="str">
        <f t="shared" si="4"/>
        <v>CenArray2</v>
      </c>
      <c r="C16" s="2" t="s">
        <v>19</v>
      </c>
      <c r="D16" s="2">
        <v>50.26</v>
      </c>
      <c r="E16" s="2">
        <v>51.36</v>
      </c>
      <c r="F16">
        <f t="shared" si="1"/>
        <v>50260000</v>
      </c>
      <c r="G16">
        <f t="shared" si="1"/>
        <v>51360000</v>
      </c>
      <c r="H16">
        <f t="shared" si="2"/>
        <v>1100000</v>
      </c>
      <c r="I16" t="s">
        <v>41</v>
      </c>
      <c r="J16" t="str">
        <f t="shared" si="3"/>
        <v>CenArrayChr05</v>
      </c>
    </row>
    <row r="17" spans="1:10" ht="15" thickBot="1" x14ac:dyDescent="0.45">
      <c r="A17" s="2" t="s">
        <v>23</v>
      </c>
      <c r="B17" s="2" t="str">
        <f t="shared" si="4"/>
        <v>CenArray2</v>
      </c>
      <c r="C17" s="2" t="s">
        <v>19</v>
      </c>
      <c r="D17" s="2">
        <v>25.55</v>
      </c>
      <c r="E17" s="2">
        <v>26.31</v>
      </c>
      <c r="F17">
        <f t="shared" si="1"/>
        <v>25550000</v>
      </c>
      <c r="G17">
        <f t="shared" si="1"/>
        <v>26310000</v>
      </c>
      <c r="H17">
        <f t="shared" si="2"/>
        <v>760000</v>
      </c>
      <c r="I17" t="s">
        <v>41</v>
      </c>
      <c r="J17" t="str">
        <f t="shared" si="3"/>
        <v>CenArrayChr06</v>
      </c>
    </row>
    <row r="18" spans="1:10" ht="15" thickBot="1" x14ac:dyDescent="0.45">
      <c r="A18" s="2" t="s">
        <v>30</v>
      </c>
      <c r="B18" s="2" t="str">
        <f t="shared" si="4"/>
        <v>CenArray2</v>
      </c>
      <c r="C18" s="2" t="s">
        <v>19</v>
      </c>
      <c r="D18" s="2">
        <v>30</v>
      </c>
      <c r="E18" s="2">
        <v>30.42</v>
      </c>
      <c r="F18">
        <f t="shared" si="1"/>
        <v>30000000</v>
      </c>
      <c r="G18">
        <f t="shared" si="1"/>
        <v>30420000</v>
      </c>
      <c r="H18">
        <f t="shared" si="2"/>
        <v>420000</v>
      </c>
      <c r="I18" t="s">
        <v>41</v>
      </c>
      <c r="J18" t="str">
        <f t="shared" si="3"/>
        <v>CenArrayChr07</v>
      </c>
    </row>
    <row r="19" spans="1:10" ht="15" thickBot="1" x14ac:dyDescent="0.45">
      <c r="A19" s="2" t="s">
        <v>31</v>
      </c>
      <c r="B19" s="2" t="str">
        <f t="shared" si="4"/>
        <v>CenArray2</v>
      </c>
      <c r="C19" s="2" t="s">
        <v>19</v>
      </c>
      <c r="D19" s="2">
        <v>39.950000000000003</v>
      </c>
      <c r="E19" s="2">
        <v>41.18</v>
      </c>
      <c r="F19">
        <f t="shared" si="1"/>
        <v>39950000</v>
      </c>
      <c r="G19">
        <f t="shared" si="1"/>
        <v>41180000</v>
      </c>
      <c r="H19">
        <f t="shared" si="2"/>
        <v>1230000</v>
      </c>
      <c r="I19" t="s">
        <v>41</v>
      </c>
      <c r="J19" t="str">
        <f t="shared" si="3"/>
        <v>CenArrayChr08</v>
      </c>
    </row>
    <row r="20" spans="1:10" ht="15" thickBot="1" x14ac:dyDescent="0.45">
      <c r="A20" s="2" t="s">
        <v>24</v>
      </c>
      <c r="B20" s="2" t="str">
        <f t="shared" si="4"/>
        <v>CenArray2</v>
      </c>
      <c r="C20" s="2" t="s">
        <v>19</v>
      </c>
      <c r="D20" s="2">
        <v>17.86</v>
      </c>
      <c r="E20" s="2">
        <v>17.95</v>
      </c>
      <c r="F20">
        <f t="shared" si="1"/>
        <v>17860000</v>
      </c>
      <c r="G20">
        <f t="shared" si="1"/>
        <v>17950000</v>
      </c>
      <c r="H20">
        <f t="shared" si="2"/>
        <v>90000</v>
      </c>
      <c r="I20" t="s">
        <v>41</v>
      </c>
      <c r="J20" t="str">
        <f t="shared" si="3"/>
        <v>CenArrayChr09</v>
      </c>
    </row>
    <row r="21" spans="1:10" ht="15" thickBot="1" x14ac:dyDescent="0.45">
      <c r="A21" s="2" t="s">
        <v>12</v>
      </c>
      <c r="B21" s="2" t="str">
        <f t="shared" si="4"/>
        <v>CenArray2</v>
      </c>
      <c r="C21" s="2" t="s">
        <v>19</v>
      </c>
      <c r="D21" s="2">
        <v>33.82</v>
      </c>
      <c r="E21" s="2">
        <v>34.57</v>
      </c>
      <c r="F21">
        <f t="shared" si="1"/>
        <v>33820000</v>
      </c>
      <c r="G21">
        <f t="shared" si="1"/>
        <v>34570000</v>
      </c>
      <c r="H21">
        <f t="shared" si="2"/>
        <v>750000</v>
      </c>
      <c r="I21" t="s">
        <v>41</v>
      </c>
      <c r="J21" t="str">
        <f t="shared" si="3"/>
        <v>CenArrayChr10</v>
      </c>
    </row>
    <row r="22" spans="1:10" ht="15" thickBot="1" x14ac:dyDescent="0.45">
      <c r="A22" s="2" t="s">
        <v>14</v>
      </c>
      <c r="B22" s="2" t="str">
        <f t="shared" si="4"/>
        <v>CenArray2</v>
      </c>
      <c r="C22" s="2" t="s">
        <v>19</v>
      </c>
      <c r="D22" s="2">
        <v>24.23</v>
      </c>
      <c r="E22" s="2">
        <v>24.78</v>
      </c>
      <c r="F22">
        <f t="shared" si="1"/>
        <v>24230000</v>
      </c>
      <c r="G22">
        <f t="shared" si="1"/>
        <v>24780000</v>
      </c>
      <c r="H22">
        <f t="shared" si="2"/>
        <v>550000</v>
      </c>
      <c r="I22" t="s">
        <v>41</v>
      </c>
      <c r="J22" t="str">
        <f t="shared" si="3"/>
        <v>CenArrayChr12</v>
      </c>
    </row>
    <row r="23" spans="1:10" ht="15" thickBot="1" x14ac:dyDescent="0.45">
      <c r="A23" s="2" t="s">
        <v>27</v>
      </c>
      <c r="B23" s="2" t="str">
        <f>_xlfn.CONCAT(C23,3)</f>
        <v>CenArray3</v>
      </c>
      <c r="C23" s="2" t="s">
        <v>19</v>
      </c>
      <c r="D23" s="2">
        <v>45.27</v>
      </c>
      <c r="E23" s="2">
        <v>45.75</v>
      </c>
      <c r="F23">
        <f t="shared" si="1"/>
        <v>45270000</v>
      </c>
      <c r="G23">
        <f t="shared" si="1"/>
        <v>45750000</v>
      </c>
      <c r="H23">
        <f t="shared" si="2"/>
        <v>480000</v>
      </c>
      <c r="I23" t="s">
        <v>41</v>
      </c>
      <c r="J23" t="str">
        <f t="shared" si="3"/>
        <v>CenArrayChr01</v>
      </c>
    </row>
    <row r="24" spans="1:10" ht="15" customHeight="1" thickBot="1" x14ac:dyDescent="0.45">
      <c r="A24" s="2" t="s">
        <v>24</v>
      </c>
      <c r="B24" s="2" t="str">
        <f>_xlfn.CONCAT(C24,3)</f>
        <v>CenArray3</v>
      </c>
      <c r="C24" s="2" t="s">
        <v>19</v>
      </c>
      <c r="D24" s="2">
        <v>18.04</v>
      </c>
      <c r="E24" s="2">
        <v>18.760000000000002</v>
      </c>
      <c r="F24">
        <f t="shared" si="1"/>
        <v>18040000</v>
      </c>
      <c r="G24">
        <f t="shared" si="1"/>
        <v>18760000</v>
      </c>
      <c r="H24">
        <f t="shared" si="2"/>
        <v>720000</v>
      </c>
      <c r="I24" t="s">
        <v>41</v>
      </c>
      <c r="J24" t="str">
        <f t="shared" si="3"/>
        <v>CenArrayChr09</v>
      </c>
    </row>
    <row r="25" spans="1:10" ht="15" thickBot="1" x14ac:dyDescent="0.45">
      <c r="A25" s="2" t="s">
        <v>27</v>
      </c>
      <c r="B25" s="2" t="str">
        <f t="shared" ref="B25:B33" si="5">_xlfn.CONCAT(C25,1)</f>
        <v>InterArray1</v>
      </c>
      <c r="C25" s="13" t="s">
        <v>20</v>
      </c>
      <c r="D25" s="2">
        <v>43.62</v>
      </c>
      <c r="E25" s="10">
        <v>44.3</v>
      </c>
      <c r="F25">
        <f t="shared" si="1"/>
        <v>43620000</v>
      </c>
      <c r="G25">
        <f t="shared" si="1"/>
        <v>44300000</v>
      </c>
      <c r="H25">
        <f t="shared" si="2"/>
        <v>680000</v>
      </c>
      <c r="I25" t="s">
        <v>41</v>
      </c>
      <c r="J25" t="str">
        <f t="shared" si="3"/>
        <v>InterArrayChr01</v>
      </c>
    </row>
    <row r="26" spans="1:10" ht="15" thickBot="1" x14ac:dyDescent="0.45">
      <c r="A26" s="2" t="s">
        <v>28</v>
      </c>
      <c r="B26" s="2" t="str">
        <f t="shared" si="5"/>
        <v>InterArray1</v>
      </c>
      <c r="C26" s="13" t="s">
        <v>20</v>
      </c>
      <c r="D26" s="2">
        <v>41.28</v>
      </c>
      <c r="E26" s="10">
        <v>42.1</v>
      </c>
      <c r="F26">
        <f t="shared" si="1"/>
        <v>41280000</v>
      </c>
      <c r="G26">
        <f t="shared" si="1"/>
        <v>42100000</v>
      </c>
      <c r="H26">
        <f t="shared" si="2"/>
        <v>820000</v>
      </c>
      <c r="I26" t="s">
        <v>41</v>
      </c>
      <c r="J26" t="str">
        <f t="shared" si="3"/>
        <v>InterArrayChr02</v>
      </c>
    </row>
    <row r="27" spans="1:10" ht="15" thickBot="1" x14ac:dyDescent="0.45">
      <c r="A27" s="2" t="s">
        <v>22</v>
      </c>
      <c r="B27" s="2" t="str">
        <f t="shared" si="5"/>
        <v>InterArray1</v>
      </c>
      <c r="C27" s="13" t="s">
        <v>20</v>
      </c>
      <c r="D27" s="2">
        <v>49.44</v>
      </c>
      <c r="E27" s="10">
        <v>50.26</v>
      </c>
      <c r="F27">
        <f t="shared" si="1"/>
        <v>49440000</v>
      </c>
      <c r="G27">
        <f t="shared" si="1"/>
        <v>50260000</v>
      </c>
      <c r="H27">
        <f t="shared" si="2"/>
        <v>820000</v>
      </c>
      <c r="I27" t="s">
        <v>41</v>
      </c>
      <c r="J27" t="str">
        <f t="shared" si="3"/>
        <v>InterArrayChr05</v>
      </c>
    </row>
    <row r="28" spans="1:10" ht="15" thickBot="1" x14ac:dyDescent="0.45">
      <c r="A28" s="2" t="s">
        <v>23</v>
      </c>
      <c r="B28" s="2" t="str">
        <f t="shared" si="5"/>
        <v>InterArray1</v>
      </c>
      <c r="C28" s="13" t="s">
        <v>20</v>
      </c>
      <c r="D28" s="2">
        <v>24.78</v>
      </c>
      <c r="E28" s="10">
        <v>25.55</v>
      </c>
      <c r="F28">
        <f t="shared" si="1"/>
        <v>24780000</v>
      </c>
      <c r="G28">
        <f t="shared" si="1"/>
        <v>25550000</v>
      </c>
      <c r="H28">
        <f t="shared" si="2"/>
        <v>770000</v>
      </c>
      <c r="I28" t="s">
        <v>41</v>
      </c>
      <c r="J28" t="str">
        <f t="shared" si="3"/>
        <v>InterArrayChr06</v>
      </c>
    </row>
    <row r="29" spans="1:10" ht="15" thickBot="1" x14ac:dyDescent="0.45">
      <c r="A29" s="2" t="s">
        <v>30</v>
      </c>
      <c r="B29" s="2" t="str">
        <f t="shared" si="5"/>
        <v>InterArray1</v>
      </c>
      <c r="C29" t="s">
        <v>20</v>
      </c>
      <c r="D29" s="2">
        <v>28.8</v>
      </c>
      <c r="E29" s="10">
        <v>30</v>
      </c>
      <c r="F29">
        <f t="shared" si="1"/>
        <v>28800000</v>
      </c>
      <c r="G29">
        <f t="shared" si="1"/>
        <v>30000000</v>
      </c>
      <c r="H29">
        <f t="shared" si="2"/>
        <v>1200000</v>
      </c>
      <c r="I29" t="s">
        <v>41</v>
      </c>
      <c r="J29" t="str">
        <f t="shared" si="3"/>
        <v>InterArrayChr07</v>
      </c>
    </row>
    <row r="30" spans="1:10" ht="15" thickBot="1" x14ac:dyDescent="0.45">
      <c r="A30" s="2" t="s">
        <v>31</v>
      </c>
      <c r="B30" s="2" t="str">
        <f t="shared" si="5"/>
        <v>InterArray1</v>
      </c>
      <c r="C30" t="s">
        <v>20</v>
      </c>
      <c r="D30" s="2">
        <v>39.54</v>
      </c>
      <c r="E30" s="10">
        <v>39.950000000000003</v>
      </c>
      <c r="F30">
        <f t="shared" si="1"/>
        <v>39540000</v>
      </c>
      <c r="G30">
        <f t="shared" si="1"/>
        <v>39950000</v>
      </c>
      <c r="H30">
        <f t="shared" si="2"/>
        <v>410000</v>
      </c>
      <c r="I30" t="s">
        <v>41</v>
      </c>
      <c r="J30" t="str">
        <f t="shared" si="3"/>
        <v>InterArrayChr08</v>
      </c>
    </row>
    <row r="31" spans="1:10" ht="15" thickBot="1" x14ac:dyDescent="0.45">
      <c r="A31" s="2" t="s">
        <v>24</v>
      </c>
      <c r="B31" s="2" t="str">
        <f t="shared" si="5"/>
        <v>InterArray1</v>
      </c>
      <c r="C31" t="s">
        <v>20</v>
      </c>
      <c r="D31" s="2">
        <v>17.559999999999999</v>
      </c>
      <c r="E31" s="10">
        <v>17.86</v>
      </c>
      <c r="F31">
        <f t="shared" si="1"/>
        <v>17560000</v>
      </c>
      <c r="G31">
        <f t="shared" si="1"/>
        <v>17860000</v>
      </c>
      <c r="H31">
        <f t="shared" si="2"/>
        <v>300000</v>
      </c>
      <c r="I31" t="s">
        <v>41</v>
      </c>
      <c r="J31" t="str">
        <f t="shared" si="3"/>
        <v>InterArrayChr09</v>
      </c>
    </row>
    <row r="32" spans="1:10" ht="15" thickBot="1" x14ac:dyDescent="0.45">
      <c r="A32" s="8" t="s">
        <v>12</v>
      </c>
      <c r="B32" s="2" t="str">
        <f t="shared" si="5"/>
        <v>InterArray1</v>
      </c>
      <c r="C32" t="s">
        <v>20</v>
      </c>
      <c r="D32" s="10">
        <v>33.28</v>
      </c>
      <c r="E32" s="10">
        <v>33.82</v>
      </c>
      <c r="F32">
        <f t="shared" si="1"/>
        <v>33280000</v>
      </c>
      <c r="G32">
        <f t="shared" si="1"/>
        <v>33820000</v>
      </c>
      <c r="H32">
        <f t="shared" si="2"/>
        <v>540000</v>
      </c>
      <c r="I32" t="s">
        <v>41</v>
      </c>
      <c r="J32" t="str">
        <f t="shared" si="3"/>
        <v>InterArrayChr10</v>
      </c>
    </row>
    <row r="33" spans="1:10" ht="15" thickBot="1" x14ac:dyDescent="0.45">
      <c r="A33" s="2" t="s">
        <v>14</v>
      </c>
      <c r="B33" s="2" t="str">
        <f t="shared" si="5"/>
        <v>InterArray1</v>
      </c>
      <c r="C33" s="9" t="s">
        <v>20</v>
      </c>
      <c r="D33" s="2">
        <v>22.72</v>
      </c>
      <c r="E33" s="2">
        <v>24.23</v>
      </c>
      <c r="F33">
        <f t="shared" si="1"/>
        <v>22720000</v>
      </c>
      <c r="G33">
        <f t="shared" si="1"/>
        <v>24230000</v>
      </c>
      <c r="H33">
        <f t="shared" si="2"/>
        <v>1510000</v>
      </c>
      <c r="I33" t="s">
        <v>41</v>
      </c>
      <c r="J33" t="str">
        <f t="shared" si="3"/>
        <v>InterArrayChr12</v>
      </c>
    </row>
    <row r="34" spans="1:10" ht="15" thickBot="1" x14ac:dyDescent="0.45">
      <c r="A34" s="2" t="s">
        <v>27</v>
      </c>
      <c r="B34" s="2" t="str">
        <f>_xlfn.CONCAT(C34,2)</f>
        <v>InterArray2</v>
      </c>
      <c r="C34" s="9" t="s">
        <v>20</v>
      </c>
      <c r="D34" s="2">
        <v>44.59</v>
      </c>
      <c r="E34" s="2">
        <v>45.27</v>
      </c>
      <c r="F34">
        <f t="shared" si="1"/>
        <v>44590000</v>
      </c>
      <c r="G34">
        <f t="shared" si="1"/>
        <v>45270000</v>
      </c>
      <c r="H34">
        <f t="shared" si="2"/>
        <v>680000</v>
      </c>
      <c r="I34" t="s">
        <v>41</v>
      </c>
      <c r="J34" t="str">
        <f t="shared" si="3"/>
        <v>InterArrayChr01</v>
      </c>
    </row>
    <row r="35" spans="1:10" ht="15" thickBot="1" x14ac:dyDescent="0.45">
      <c r="A35" s="2" t="s">
        <v>24</v>
      </c>
      <c r="B35" s="2" t="str">
        <f>_xlfn.CONCAT(C35,2)</f>
        <v>InterArray2</v>
      </c>
      <c r="C35" s="9" t="s">
        <v>20</v>
      </c>
      <c r="D35" s="2">
        <v>17.95</v>
      </c>
      <c r="E35" s="2">
        <v>18.04</v>
      </c>
      <c r="F35">
        <f t="shared" si="1"/>
        <v>17950000</v>
      </c>
      <c r="G35">
        <f t="shared" si="1"/>
        <v>18040000</v>
      </c>
      <c r="H35">
        <f t="shared" si="2"/>
        <v>90000</v>
      </c>
      <c r="I35" t="s">
        <v>41</v>
      </c>
      <c r="J35" t="str">
        <f t="shared" si="3"/>
        <v>InterArrayChr09</v>
      </c>
    </row>
    <row r="36" spans="1:10" ht="15.9" thickBot="1" x14ac:dyDescent="0.45">
      <c r="A36" s="7" t="s">
        <v>12</v>
      </c>
      <c r="B36" s="2" t="str">
        <f t="shared" ref="B36:B42" si="6">_xlfn.CONCAT(C36,1)</f>
        <v>InterSpInv1</v>
      </c>
      <c r="C36" s="9" t="s">
        <v>35</v>
      </c>
      <c r="D36" s="11">
        <f>19037621/1000000</f>
        <v>19.037621000000001</v>
      </c>
      <c r="E36" s="11">
        <f>25083800/1000000</f>
        <v>25.0838</v>
      </c>
      <c r="F36" s="5">
        <v>19037621</v>
      </c>
      <c r="G36" s="5">
        <v>25083800</v>
      </c>
      <c r="H36">
        <f t="shared" si="2"/>
        <v>6046179</v>
      </c>
      <c r="I36" t="s">
        <v>42</v>
      </c>
      <c r="J36" t="str">
        <f t="shared" si="3"/>
        <v>InterSpInvChr10</v>
      </c>
    </row>
    <row r="37" spans="1:10" ht="15" thickBot="1" x14ac:dyDescent="0.45">
      <c r="A37" s="2" t="s">
        <v>21</v>
      </c>
      <c r="B37" s="2" t="str">
        <f t="shared" si="6"/>
        <v>IntraSpInv1</v>
      </c>
      <c r="C37" s="9" t="s">
        <v>25</v>
      </c>
      <c r="D37" s="2">
        <v>34.17</v>
      </c>
      <c r="E37" s="9">
        <v>36.65</v>
      </c>
      <c r="F37">
        <f t="shared" ref="F37:G44" si="7">D37*1000000</f>
        <v>34170000</v>
      </c>
      <c r="G37">
        <f t="shared" si="7"/>
        <v>36650000</v>
      </c>
      <c r="H37">
        <f t="shared" si="2"/>
        <v>2480000</v>
      </c>
      <c r="I37" t="s">
        <v>42</v>
      </c>
      <c r="J37" t="str">
        <f t="shared" si="3"/>
        <v>IntraSpInvChr03</v>
      </c>
    </row>
    <row r="38" spans="1:10" ht="15" thickBot="1" x14ac:dyDescent="0.45">
      <c r="A38" s="2" t="s">
        <v>22</v>
      </c>
      <c r="B38" s="2" t="str">
        <f t="shared" si="6"/>
        <v>IntraSpInv1</v>
      </c>
      <c r="C38" s="9" t="s">
        <v>25</v>
      </c>
      <c r="D38" s="2">
        <v>21.83</v>
      </c>
      <c r="E38" s="9">
        <v>25.54</v>
      </c>
      <c r="F38">
        <f t="shared" si="7"/>
        <v>21830000</v>
      </c>
      <c r="G38">
        <f t="shared" si="7"/>
        <v>25540000</v>
      </c>
      <c r="H38">
        <f t="shared" si="2"/>
        <v>3710000</v>
      </c>
      <c r="I38" t="s">
        <v>42</v>
      </c>
      <c r="J38" t="str">
        <f t="shared" si="3"/>
        <v>IntraSpInvChr05</v>
      </c>
    </row>
    <row r="39" spans="1:10" ht="15" thickBot="1" x14ac:dyDescent="0.45">
      <c r="A39" s="2" t="s">
        <v>23</v>
      </c>
      <c r="B39" s="2" t="str">
        <f t="shared" si="6"/>
        <v>IntraSpInv1</v>
      </c>
      <c r="C39" s="9" t="s">
        <v>25</v>
      </c>
      <c r="D39" s="2">
        <v>8.82</v>
      </c>
      <c r="E39" s="9">
        <v>11.36</v>
      </c>
      <c r="F39">
        <f t="shared" si="7"/>
        <v>8820000</v>
      </c>
      <c r="G39">
        <f t="shared" si="7"/>
        <v>11360000</v>
      </c>
      <c r="H39">
        <f t="shared" si="2"/>
        <v>2540000</v>
      </c>
      <c r="I39" t="s">
        <v>42</v>
      </c>
      <c r="J39" t="str">
        <f t="shared" si="3"/>
        <v>IntraSpInvChr06</v>
      </c>
    </row>
    <row r="40" spans="1:10" ht="15" thickBot="1" x14ac:dyDescent="0.45">
      <c r="A40" s="2" t="s">
        <v>24</v>
      </c>
      <c r="B40" s="2" t="str">
        <f t="shared" si="6"/>
        <v>IntraSpInv1</v>
      </c>
      <c r="C40" s="9" t="s">
        <v>25</v>
      </c>
      <c r="D40" s="2">
        <v>9.7899999999999991</v>
      </c>
      <c r="E40" s="9">
        <v>16.62</v>
      </c>
      <c r="F40">
        <f t="shared" si="7"/>
        <v>9790000</v>
      </c>
      <c r="G40">
        <f t="shared" si="7"/>
        <v>16620000.000000002</v>
      </c>
      <c r="H40">
        <f t="shared" si="2"/>
        <v>6830000.0000000019</v>
      </c>
      <c r="I40" t="s">
        <v>42</v>
      </c>
      <c r="J40" t="str">
        <f t="shared" si="3"/>
        <v>IntraSpInvChr09</v>
      </c>
    </row>
    <row r="41" spans="1:10" ht="15" thickBot="1" x14ac:dyDescent="0.45">
      <c r="A41" s="2" t="s">
        <v>24</v>
      </c>
      <c r="B41" s="2" t="str">
        <f t="shared" si="6"/>
        <v>IntraSpInv1</v>
      </c>
      <c r="C41" s="9" t="s">
        <v>25</v>
      </c>
      <c r="D41" s="2">
        <v>18.760000000000002</v>
      </c>
      <c r="E41" s="9">
        <v>22.01</v>
      </c>
      <c r="F41">
        <f t="shared" si="7"/>
        <v>18760000</v>
      </c>
      <c r="G41">
        <f t="shared" si="7"/>
        <v>22010000</v>
      </c>
      <c r="H41">
        <f t="shared" si="2"/>
        <v>3250000</v>
      </c>
      <c r="I41" t="s">
        <v>42</v>
      </c>
      <c r="J41" t="str">
        <f t="shared" si="3"/>
        <v>IntraSpInvChr09</v>
      </c>
    </row>
    <row r="42" spans="1:10" ht="15" thickBot="1" x14ac:dyDescent="0.45">
      <c r="A42" s="2" t="s">
        <v>13</v>
      </c>
      <c r="B42" s="2" t="str">
        <f t="shared" si="6"/>
        <v>IntraSpInv1</v>
      </c>
      <c r="C42" s="9" t="s">
        <v>25</v>
      </c>
      <c r="D42" s="2">
        <v>5.7</v>
      </c>
      <c r="E42" s="9">
        <v>21.24</v>
      </c>
      <c r="F42">
        <f t="shared" si="7"/>
        <v>5700000</v>
      </c>
      <c r="G42">
        <f t="shared" si="7"/>
        <v>21240000</v>
      </c>
      <c r="H42">
        <f t="shared" si="2"/>
        <v>15540000</v>
      </c>
      <c r="I42" t="s">
        <v>42</v>
      </c>
      <c r="J42" t="str">
        <f t="shared" si="3"/>
        <v>IntraSpInvChr11</v>
      </c>
    </row>
    <row r="43" spans="1:10" ht="15" thickBot="1" x14ac:dyDescent="0.45">
      <c r="A43" s="2" t="s">
        <v>23</v>
      </c>
      <c r="B43" s="2" t="str">
        <f>_xlfn.CONCAT(C43,2)</f>
        <v>IntraSpInv2</v>
      </c>
      <c r="C43" s="9" t="s">
        <v>25</v>
      </c>
      <c r="D43" s="2">
        <v>15.2</v>
      </c>
      <c r="E43" s="9">
        <v>16.96</v>
      </c>
      <c r="F43">
        <f t="shared" si="7"/>
        <v>15200000</v>
      </c>
      <c r="G43">
        <f t="shared" si="7"/>
        <v>16960000</v>
      </c>
      <c r="H43">
        <f t="shared" si="2"/>
        <v>1760000</v>
      </c>
      <c r="I43" t="s">
        <v>42</v>
      </c>
      <c r="J43" t="str">
        <f t="shared" si="3"/>
        <v>IntraSpInvChr06</v>
      </c>
    </row>
    <row r="44" spans="1:10" ht="15" thickBot="1" x14ac:dyDescent="0.45">
      <c r="A44" s="2" t="s">
        <v>23</v>
      </c>
      <c r="B44" s="2" t="str">
        <f>_xlfn.CONCAT(C44,3)</f>
        <v>IntraSpInv3</v>
      </c>
      <c r="C44" s="9" t="s">
        <v>25</v>
      </c>
      <c r="D44" s="2">
        <v>34.86</v>
      </c>
      <c r="E44" s="9">
        <v>45.82</v>
      </c>
      <c r="F44">
        <f t="shared" si="7"/>
        <v>34860000</v>
      </c>
      <c r="G44">
        <f t="shared" si="7"/>
        <v>45820000</v>
      </c>
      <c r="H44">
        <f t="shared" si="2"/>
        <v>10960000</v>
      </c>
      <c r="I44" t="s">
        <v>42</v>
      </c>
      <c r="J44" t="str">
        <f t="shared" si="3"/>
        <v>IntraSpInvChr06</v>
      </c>
    </row>
  </sheetData>
  <dataConsolidate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4D04-D64A-48D9-9054-1FAD38BE05F3}">
  <dimension ref="A1:B30"/>
  <sheetViews>
    <sheetView topLeftCell="A3" workbookViewId="0">
      <selection activeCell="B8" sqref="B8"/>
    </sheetView>
  </sheetViews>
  <sheetFormatPr defaultRowHeight="14.6" x14ac:dyDescent="0.4"/>
  <cols>
    <col min="1" max="1" width="14.3828125" bestFit="1" customWidth="1"/>
    <col min="2" max="3" width="12.69140625" bestFit="1" customWidth="1"/>
  </cols>
  <sheetData>
    <row r="1" spans="1:2" x14ac:dyDescent="0.4">
      <c r="A1" s="14" t="s">
        <v>47</v>
      </c>
      <c r="B1" t="s">
        <v>50</v>
      </c>
    </row>
    <row r="2" spans="1:2" x14ac:dyDescent="0.4">
      <c r="A2" s="15" t="s">
        <v>51</v>
      </c>
      <c r="B2" s="16">
        <v>1390000</v>
      </c>
    </row>
    <row r="3" spans="1:2" x14ac:dyDescent="0.4">
      <c r="A3" s="15" t="s">
        <v>52</v>
      </c>
      <c r="B3" s="16">
        <v>1080000</v>
      </c>
    </row>
    <row r="4" spans="1:2" x14ac:dyDescent="0.4">
      <c r="A4" s="15" t="s">
        <v>53</v>
      </c>
      <c r="B4" s="16">
        <v>3200000</v>
      </c>
    </row>
    <row r="5" spans="1:2" x14ac:dyDescent="0.4">
      <c r="A5" s="15" t="s">
        <v>54</v>
      </c>
      <c r="B5" s="16">
        <v>2090000</v>
      </c>
    </row>
    <row r="6" spans="1:2" x14ac:dyDescent="0.4">
      <c r="A6" s="15" t="s">
        <v>55</v>
      </c>
      <c r="B6" s="16">
        <v>2290000</v>
      </c>
    </row>
    <row r="7" spans="1:2" x14ac:dyDescent="0.4">
      <c r="A7" s="15" t="s">
        <v>56</v>
      </c>
      <c r="B7" s="16">
        <v>1790000</v>
      </c>
    </row>
    <row r="8" spans="1:2" x14ac:dyDescent="0.4">
      <c r="A8" s="15" t="s">
        <v>57</v>
      </c>
      <c r="B8" s="16">
        <v>870000</v>
      </c>
    </row>
    <row r="9" spans="1:2" x14ac:dyDescent="0.4">
      <c r="A9" s="15" t="s">
        <v>58</v>
      </c>
      <c r="B9" s="16">
        <v>1680000</v>
      </c>
    </row>
    <row r="10" spans="1:2" x14ac:dyDescent="0.4">
      <c r="A10" s="15" t="s">
        <v>59</v>
      </c>
      <c r="B10" s="16">
        <v>1749999.9999999981</v>
      </c>
    </row>
    <row r="11" spans="1:2" x14ac:dyDescent="0.4">
      <c r="A11" s="15" t="s">
        <v>60</v>
      </c>
      <c r="B11" s="16">
        <v>2050000</v>
      </c>
    </row>
    <row r="12" spans="1:2" x14ac:dyDescent="0.4">
      <c r="A12" s="15" t="s">
        <v>61</v>
      </c>
      <c r="B12" s="16">
        <v>2080000</v>
      </c>
    </row>
    <row r="13" spans="1:2" x14ac:dyDescent="0.4">
      <c r="A13" s="15" t="s">
        <v>62</v>
      </c>
      <c r="B13" s="16">
        <v>1440000</v>
      </c>
    </row>
    <row r="14" spans="1:2" x14ac:dyDescent="0.4">
      <c r="A14" s="15" t="s">
        <v>63</v>
      </c>
      <c r="B14" s="16">
        <v>1360000</v>
      </c>
    </row>
    <row r="15" spans="1:2" x14ac:dyDescent="0.4">
      <c r="A15" s="15" t="s">
        <v>64</v>
      </c>
      <c r="B15" s="16">
        <v>820000</v>
      </c>
    </row>
    <row r="16" spans="1:2" x14ac:dyDescent="0.4">
      <c r="A16" s="15" t="s">
        <v>65</v>
      </c>
      <c r="B16" s="16">
        <v>820000</v>
      </c>
    </row>
    <row r="17" spans="1:2" x14ac:dyDescent="0.4">
      <c r="A17" s="15" t="s">
        <v>66</v>
      </c>
      <c r="B17" s="16">
        <v>770000</v>
      </c>
    </row>
    <row r="18" spans="1:2" x14ac:dyDescent="0.4">
      <c r="A18" s="15" t="s">
        <v>67</v>
      </c>
      <c r="B18" s="16">
        <v>1200000</v>
      </c>
    </row>
    <row r="19" spans="1:2" x14ac:dyDescent="0.4">
      <c r="A19" s="15" t="s">
        <v>68</v>
      </c>
      <c r="B19" s="16">
        <v>410000</v>
      </c>
    </row>
    <row r="20" spans="1:2" x14ac:dyDescent="0.4">
      <c r="A20" s="15" t="s">
        <v>69</v>
      </c>
      <c r="B20" s="16">
        <v>390000</v>
      </c>
    </row>
    <row r="21" spans="1:2" x14ac:dyDescent="0.4">
      <c r="A21" s="15" t="s">
        <v>70</v>
      </c>
      <c r="B21" s="16">
        <v>540000</v>
      </c>
    </row>
    <row r="22" spans="1:2" x14ac:dyDescent="0.4">
      <c r="A22" s="15" t="s">
        <v>71</v>
      </c>
      <c r="B22" s="16">
        <v>1510000</v>
      </c>
    </row>
    <row r="23" spans="1:2" x14ac:dyDescent="0.4">
      <c r="A23" s="15" t="s">
        <v>72</v>
      </c>
      <c r="B23" s="16">
        <v>6046179</v>
      </c>
    </row>
    <row r="24" spans="1:2" x14ac:dyDescent="0.4">
      <c r="A24" s="15" t="s">
        <v>73</v>
      </c>
      <c r="B24" s="16">
        <v>2480000</v>
      </c>
    </row>
    <row r="25" spans="1:2" x14ac:dyDescent="0.4">
      <c r="A25" s="15" t="s">
        <v>74</v>
      </c>
      <c r="B25" s="16">
        <v>3710000</v>
      </c>
    </row>
    <row r="26" spans="1:2" x14ac:dyDescent="0.4">
      <c r="A26" s="15" t="s">
        <v>75</v>
      </c>
      <c r="B26" s="16">
        <v>15260000</v>
      </c>
    </row>
    <row r="27" spans="1:2" x14ac:dyDescent="0.4">
      <c r="A27" s="15" t="s">
        <v>76</v>
      </c>
      <c r="B27" s="16">
        <v>10080000.000000002</v>
      </c>
    </row>
    <row r="28" spans="1:2" x14ac:dyDescent="0.4">
      <c r="A28" s="15" t="s">
        <v>77</v>
      </c>
      <c r="B28" s="16">
        <v>15540000</v>
      </c>
    </row>
    <row r="29" spans="1:2" x14ac:dyDescent="0.4">
      <c r="A29" s="15" t="s">
        <v>48</v>
      </c>
      <c r="B29" s="16"/>
    </row>
    <row r="30" spans="1:2" x14ac:dyDescent="0.4">
      <c r="A30" s="15" t="s">
        <v>49</v>
      </c>
      <c r="B30" s="16">
        <v>82646179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68CA-CB62-481E-9F68-AF4F4EDBC0B3}">
  <dimension ref="A1:J12"/>
  <sheetViews>
    <sheetView workbookViewId="0">
      <selection activeCell="F18" sqref="F18"/>
    </sheetView>
  </sheetViews>
  <sheetFormatPr defaultRowHeight="14.6" x14ac:dyDescent="0.4"/>
  <cols>
    <col min="1" max="1" width="13.15234375" bestFit="1" customWidth="1"/>
    <col min="2" max="3" width="10" bestFit="1" customWidth="1"/>
    <col min="4" max="4" width="10.69140625" bestFit="1" customWidth="1"/>
    <col min="5" max="5" width="10.53515625" bestFit="1" customWidth="1"/>
    <col min="6" max="7" width="25.53515625" customWidth="1"/>
  </cols>
  <sheetData>
    <row r="1" spans="1:10" ht="15" thickBot="1" x14ac:dyDescent="0.45">
      <c r="A1" s="1" t="s">
        <v>32</v>
      </c>
      <c r="B1" s="1" t="s">
        <v>26</v>
      </c>
      <c r="C1" s="1" t="s">
        <v>18</v>
      </c>
      <c r="D1" s="1" t="s">
        <v>16</v>
      </c>
      <c r="E1" s="1" t="s">
        <v>17</v>
      </c>
      <c r="F1" s="6" t="s">
        <v>34</v>
      </c>
      <c r="G1" s="6" t="s">
        <v>33</v>
      </c>
      <c r="H1" s="6" t="s">
        <v>39</v>
      </c>
      <c r="I1" s="12" t="s">
        <v>40</v>
      </c>
      <c r="J1" s="12" t="s">
        <v>46</v>
      </c>
    </row>
    <row r="2" spans="1:10" ht="15" thickBot="1" x14ac:dyDescent="0.45">
      <c r="A2" s="2" t="s">
        <v>27</v>
      </c>
      <c r="B2" s="2" t="str">
        <f t="shared" ref="B2:B10" si="0">_xlfn.CONCAT(C2,1)</f>
        <v>InterArray1</v>
      </c>
      <c r="C2" s="13" t="s">
        <v>20</v>
      </c>
      <c r="D2" s="2">
        <v>43.62</v>
      </c>
      <c r="E2" s="10">
        <v>44.3</v>
      </c>
      <c r="F2">
        <f t="shared" ref="F2:G12" si="1">D2*1000000</f>
        <v>43620000</v>
      </c>
      <c r="G2">
        <f t="shared" si="1"/>
        <v>44300000</v>
      </c>
      <c r="H2">
        <f t="shared" ref="H2:H12" si="2">G2-F2</f>
        <v>680000</v>
      </c>
      <c r="I2" t="s">
        <v>41</v>
      </c>
      <c r="J2" t="str">
        <f t="shared" ref="J2:J12" si="3">_xlfn.CONCAT(C2,A2)</f>
        <v>InterArrayChr01</v>
      </c>
    </row>
    <row r="3" spans="1:10" ht="15" thickBot="1" x14ac:dyDescent="0.45">
      <c r="A3" s="2" t="s">
        <v>28</v>
      </c>
      <c r="B3" s="2" t="str">
        <f t="shared" si="0"/>
        <v>InterArray1</v>
      </c>
      <c r="C3" s="13" t="s">
        <v>20</v>
      </c>
      <c r="D3" s="2">
        <v>41.28</v>
      </c>
      <c r="E3" s="10">
        <v>42.1</v>
      </c>
      <c r="F3">
        <f t="shared" si="1"/>
        <v>41280000</v>
      </c>
      <c r="G3">
        <f t="shared" si="1"/>
        <v>42100000</v>
      </c>
      <c r="H3">
        <f t="shared" si="2"/>
        <v>820000</v>
      </c>
      <c r="I3" t="s">
        <v>41</v>
      </c>
      <c r="J3" t="str">
        <f t="shared" si="3"/>
        <v>InterArrayChr02</v>
      </c>
    </row>
    <row r="4" spans="1:10" ht="15" thickBot="1" x14ac:dyDescent="0.45">
      <c r="A4" s="2" t="s">
        <v>22</v>
      </c>
      <c r="B4" s="2" t="str">
        <f t="shared" si="0"/>
        <v>InterArray1</v>
      </c>
      <c r="C4" s="13" t="s">
        <v>20</v>
      </c>
      <c r="D4" s="2">
        <v>49.44</v>
      </c>
      <c r="E4" s="10">
        <v>50.26</v>
      </c>
      <c r="F4">
        <f t="shared" si="1"/>
        <v>49440000</v>
      </c>
      <c r="G4">
        <f t="shared" si="1"/>
        <v>50260000</v>
      </c>
      <c r="H4">
        <f t="shared" si="2"/>
        <v>820000</v>
      </c>
      <c r="I4" t="s">
        <v>41</v>
      </c>
      <c r="J4" t="str">
        <f t="shared" si="3"/>
        <v>InterArrayChr05</v>
      </c>
    </row>
    <row r="5" spans="1:10" ht="15" thickBot="1" x14ac:dyDescent="0.45">
      <c r="A5" s="2" t="s">
        <v>23</v>
      </c>
      <c r="B5" s="2" t="str">
        <f t="shared" si="0"/>
        <v>InterArray1</v>
      </c>
      <c r="C5" s="13" t="s">
        <v>20</v>
      </c>
      <c r="D5" s="2">
        <v>24.78</v>
      </c>
      <c r="E5" s="10">
        <v>25.55</v>
      </c>
      <c r="F5">
        <f t="shared" si="1"/>
        <v>24780000</v>
      </c>
      <c r="G5">
        <f t="shared" si="1"/>
        <v>25550000</v>
      </c>
      <c r="H5">
        <f t="shared" si="2"/>
        <v>770000</v>
      </c>
      <c r="I5" t="s">
        <v>41</v>
      </c>
      <c r="J5" t="str">
        <f t="shared" si="3"/>
        <v>InterArrayChr06</v>
      </c>
    </row>
    <row r="6" spans="1:10" ht="15" thickBot="1" x14ac:dyDescent="0.45">
      <c r="A6" s="2" t="s">
        <v>30</v>
      </c>
      <c r="B6" s="2" t="str">
        <f t="shared" si="0"/>
        <v>InterArray1</v>
      </c>
      <c r="C6" t="s">
        <v>20</v>
      </c>
      <c r="D6" s="2">
        <v>28.8</v>
      </c>
      <c r="E6" s="10">
        <v>30</v>
      </c>
      <c r="F6">
        <f t="shared" si="1"/>
        <v>28800000</v>
      </c>
      <c r="G6">
        <f t="shared" si="1"/>
        <v>30000000</v>
      </c>
      <c r="H6">
        <f t="shared" si="2"/>
        <v>1200000</v>
      </c>
      <c r="I6" t="s">
        <v>41</v>
      </c>
      <c r="J6" t="str">
        <f t="shared" si="3"/>
        <v>InterArrayChr07</v>
      </c>
    </row>
    <row r="7" spans="1:10" ht="15" thickBot="1" x14ac:dyDescent="0.45">
      <c r="A7" s="2" t="s">
        <v>31</v>
      </c>
      <c r="B7" s="2" t="str">
        <f t="shared" si="0"/>
        <v>InterArray1</v>
      </c>
      <c r="C7" t="s">
        <v>20</v>
      </c>
      <c r="D7" s="2">
        <v>39.54</v>
      </c>
      <c r="E7" s="10">
        <v>39.950000000000003</v>
      </c>
      <c r="F7">
        <f t="shared" si="1"/>
        <v>39540000</v>
      </c>
      <c r="G7">
        <f t="shared" si="1"/>
        <v>39950000</v>
      </c>
      <c r="H7">
        <f t="shared" si="2"/>
        <v>410000</v>
      </c>
      <c r="I7" t="s">
        <v>41</v>
      </c>
      <c r="J7" t="str">
        <f t="shared" si="3"/>
        <v>InterArrayChr08</v>
      </c>
    </row>
    <row r="8" spans="1:10" ht="15" thickBot="1" x14ac:dyDescent="0.45">
      <c r="A8" s="2" t="s">
        <v>24</v>
      </c>
      <c r="B8" s="2" t="str">
        <f t="shared" si="0"/>
        <v>InterArray1</v>
      </c>
      <c r="C8" t="s">
        <v>20</v>
      </c>
      <c r="D8" s="2">
        <v>17.559999999999999</v>
      </c>
      <c r="E8" s="10">
        <v>17.86</v>
      </c>
      <c r="F8">
        <f t="shared" si="1"/>
        <v>17560000</v>
      </c>
      <c r="G8">
        <f t="shared" si="1"/>
        <v>17860000</v>
      </c>
      <c r="H8">
        <f t="shared" si="2"/>
        <v>300000</v>
      </c>
      <c r="I8" t="s">
        <v>41</v>
      </c>
      <c r="J8" t="str">
        <f t="shared" si="3"/>
        <v>InterArrayChr09</v>
      </c>
    </row>
    <row r="9" spans="1:10" ht="15" thickBot="1" x14ac:dyDescent="0.45">
      <c r="A9" s="8" t="s">
        <v>12</v>
      </c>
      <c r="B9" s="2" t="str">
        <f t="shared" si="0"/>
        <v>InterArray1</v>
      </c>
      <c r="C9" t="s">
        <v>20</v>
      </c>
      <c r="D9" s="10">
        <v>33.28</v>
      </c>
      <c r="E9" s="10">
        <v>33.82</v>
      </c>
      <c r="F9">
        <f t="shared" si="1"/>
        <v>33280000</v>
      </c>
      <c r="G9">
        <f t="shared" si="1"/>
        <v>33820000</v>
      </c>
      <c r="H9">
        <f t="shared" si="2"/>
        <v>540000</v>
      </c>
      <c r="I9" t="s">
        <v>41</v>
      </c>
      <c r="J9" t="str">
        <f t="shared" si="3"/>
        <v>InterArrayChr10</v>
      </c>
    </row>
    <row r="10" spans="1:10" ht="15" thickBot="1" x14ac:dyDescent="0.45">
      <c r="A10" s="2" t="s">
        <v>14</v>
      </c>
      <c r="B10" s="2" t="str">
        <f t="shared" si="0"/>
        <v>InterArray1</v>
      </c>
      <c r="C10" s="9" t="s">
        <v>20</v>
      </c>
      <c r="D10" s="2">
        <v>22.72</v>
      </c>
      <c r="E10" s="2">
        <v>24.23</v>
      </c>
      <c r="F10">
        <f t="shared" si="1"/>
        <v>22720000</v>
      </c>
      <c r="G10">
        <f t="shared" si="1"/>
        <v>24230000</v>
      </c>
      <c r="H10">
        <f t="shared" si="2"/>
        <v>1510000</v>
      </c>
      <c r="I10" t="s">
        <v>41</v>
      </c>
      <c r="J10" t="str">
        <f t="shared" si="3"/>
        <v>InterArrayChr12</v>
      </c>
    </row>
    <row r="11" spans="1:10" ht="15" thickBot="1" x14ac:dyDescent="0.45">
      <c r="A11" s="2" t="s">
        <v>27</v>
      </c>
      <c r="B11" s="2" t="str">
        <f>_xlfn.CONCAT(C11,2)</f>
        <v>InterArray2</v>
      </c>
      <c r="C11" s="9" t="s">
        <v>20</v>
      </c>
      <c r="D11" s="2">
        <v>44.59</v>
      </c>
      <c r="E11" s="2">
        <v>45.27</v>
      </c>
      <c r="F11">
        <f t="shared" si="1"/>
        <v>44590000</v>
      </c>
      <c r="G11">
        <f t="shared" si="1"/>
        <v>45270000</v>
      </c>
      <c r="H11">
        <f t="shared" si="2"/>
        <v>680000</v>
      </c>
      <c r="I11" t="s">
        <v>41</v>
      </c>
      <c r="J11" t="str">
        <f t="shared" si="3"/>
        <v>InterArrayChr01</v>
      </c>
    </row>
    <row r="12" spans="1:10" ht="15" thickBot="1" x14ac:dyDescent="0.45">
      <c r="A12" s="2" t="s">
        <v>24</v>
      </c>
      <c r="B12" s="2" t="str">
        <f>_xlfn.CONCAT(C12,2)</f>
        <v>InterArray2</v>
      </c>
      <c r="C12" s="9" t="s">
        <v>20</v>
      </c>
      <c r="D12" s="2">
        <v>17.95</v>
      </c>
      <c r="E12" s="2">
        <v>18.04</v>
      </c>
      <c r="F12">
        <f t="shared" si="1"/>
        <v>17950000</v>
      </c>
      <c r="G12">
        <f t="shared" si="1"/>
        <v>18040000</v>
      </c>
      <c r="H12">
        <f t="shared" si="2"/>
        <v>90000</v>
      </c>
      <c r="I12" t="s">
        <v>41</v>
      </c>
      <c r="J12" t="str">
        <f t="shared" si="3"/>
        <v>InterArrayChr09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16D2-CC04-4FB7-A91B-9AFC6A68C781}">
  <dimension ref="A1:I44"/>
  <sheetViews>
    <sheetView topLeftCell="A22" workbookViewId="0">
      <selection activeCell="A2" sqref="A2:G35"/>
    </sheetView>
  </sheetViews>
  <sheetFormatPr defaultRowHeight="14.6" x14ac:dyDescent="0.4"/>
  <cols>
    <col min="1" max="1" width="13.15234375" bestFit="1" customWidth="1"/>
    <col min="2" max="3" width="10" bestFit="1" customWidth="1"/>
    <col min="4" max="4" width="10.69140625" bestFit="1" customWidth="1"/>
    <col min="5" max="5" width="10.53515625" bestFit="1" customWidth="1"/>
    <col min="6" max="7" width="25.53515625" customWidth="1"/>
  </cols>
  <sheetData>
    <row r="1" spans="1:9" ht="15" thickBot="1" x14ac:dyDescent="0.45">
      <c r="A1" s="1" t="s">
        <v>32</v>
      </c>
      <c r="B1" s="1" t="s">
        <v>26</v>
      </c>
      <c r="C1" s="1" t="s">
        <v>18</v>
      </c>
      <c r="D1" s="1" t="s">
        <v>16</v>
      </c>
      <c r="E1" s="1" t="s">
        <v>17</v>
      </c>
      <c r="F1" s="6" t="s">
        <v>34</v>
      </c>
      <c r="G1" s="6" t="s">
        <v>33</v>
      </c>
      <c r="I1" s="12" t="s">
        <v>40</v>
      </c>
    </row>
    <row r="2" spans="1:9" ht="15" thickBot="1" x14ac:dyDescent="0.45">
      <c r="A2" s="2" t="s">
        <v>27</v>
      </c>
      <c r="B2" s="2" t="str">
        <f>_xlfn.CONCAT(C2,1)</f>
        <v>CenArray1</v>
      </c>
      <c r="C2" s="2" t="s">
        <v>19</v>
      </c>
      <c r="D2" s="2">
        <v>43</v>
      </c>
      <c r="E2" s="2">
        <v>43.62</v>
      </c>
      <c r="F2" s="13">
        <f t="shared" ref="F2:G24" si="0">D2*1000000</f>
        <v>43000000</v>
      </c>
      <c r="G2" s="13">
        <f t="shared" si="0"/>
        <v>43620000</v>
      </c>
      <c r="H2">
        <f t="shared" ref="H2:H41" si="1">G2-F2</f>
        <v>620000</v>
      </c>
      <c r="I2" s="13" t="s">
        <v>80</v>
      </c>
    </row>
    <row r="3" spans="1:9" ht="15" thickBot="1" x14ac:dyDescent="0.45">
      <c r="A3" s="2" t="s">
        <v>27</v>
      </c>
      <c r="B3" s="2" t="str">
        <f>_xlfn.CONCAT(C3,2)</f>
        <v>CenArray2</v>
      </c>
      <c r="C3" s="2" t="s">
        <v>19</v>
      </c>
      <c r="D3" s="2">
        <v>44.3</v>
      </c>
      <c r="E3" s="2">
        <v>44.59</v>
      </c>
      <c r="F3">
        <f t="shared" si="0"/>
        <v>44300000</v>
      </c>
      <c r="G3">
        <f t="shared" si="0"/>
        <v>44590000</v>
      </c>
      <c r="H3">
        <f t="shared" si="1"/>
        <v>290000</v>
      </c>
      <c r="I3" s="13" t="s">
        <v>80</v>
      </c>
    </row>
    <row r="4" spans="1:9" ht="15" thickBot="1" x14ac:dyDescent="0.45">
      <c r="A4" s="2" t="s">
        <v>27</v>
      </c>
      <c r="B4" s="2" t="str">
        <f>_xlfn.CONCAT(C4,3)</f>
        <v>CenArray3</v>
      </c>
      <c r="C4" s="2" t="s">
        <v>19</v>
      </c>
      <c r="D4" s="2">
        <v>45.27</v>
      </c>
      <c r="E4" s="2">
        <v>45.75</v>
      </c>
      <c r="F4">
        <f t="shared" si="0"/>
        <v>45270000</v>
      </c>
      <c r="G4">
        <f t="shared" si="0"/>
        <v>45750000</v>
      </c>
      <c r="H4">
        <f t="shared" si="1"/>
        <v>480000</v>
      </c>
      <c r="I4" s="13" t="s">
        <v>80</v>
      </c>
    </row>
    <row r="5" spans="1:9" ht="15" thickBot="1" x14ac:dyDescent="0.45">
      <c r="A5" s="2" t="s">
        <v>28</v>
      </c>
      <c r="B5" s="2" t="str">
        <f>_xlfn.CONCAT(C5,1)</f>
        <v>CenArray1</v>
      </c>
      <c r="C5" s="2" t="s">
        <v>19</v>
      </c>
      <c r="D5" s="2">
        <v>40.9</v>
      </c>
      <c r="E5" s="2">
        <v>41.28</v>
      </c>
      <c r="F5">
        <f t="shared" si="0"/>
        <v>40900000</v>
      </c>
      <c r="G5">
        <f t="shared" si="0"/>
        <v>41280000</v>
      </c>
      <c r="H5">
        <f t="shared" si="1"/>
        <v>380000</v>
      </c>
      <c r="I5" s="13" t="s">
        <v>80</v>
      </c>
    </row>
    <row r="6" spans="1:9" ht="15" thickBot="1" x14ac:dyDescent="0.45">
      <c r="A6" s="2" t="s">
        <v>28</v>
      </c>
      <c r="B6" s="2" t="str">
        <f>_xlfn.CONCAT(C6,2)</f>
        <v>CenArray2</v>
      </c>
      <c r="C6" s="2" t="s">
        <v>19</v>
      </c>
      <c r="D6" s="2">
        <v>42.1</v>
      </c>
      <c r="E6" s="2">
        <v>42.8</v>
      </c>
      <c r="F6">
        <f t="shared" si="0"/>
        <v>42100000</v>
      </c>
      <c r="G6">
        <f t="shared" si="0"/>
        <v>42800000</v>
      </c>
      <c r="H6">
        <f t="shared" si="1"/>
        <v>700000</v>
      </c>
      <c r="I6" s="13" t="s">
        <v>80</v>
      </c>
    </row>
    <row r="7" spans="1:9" ht="15" thickBot="1" x14ac:dyDescent="0.45">
      <c r="A7" s="2" t="s">
        <v>21</v>
      </c>
      <c r="B7" s="2" t="str">
        <f>_xlfn.CONCAT(C7,1)</f>
        <v>CenArray1</v>
      </c>
      <c r="C7" s="2" t="s">
        <v>19</v>
      </c>
      <c r="D7" s="2">
        <v>26.65</v>
      </c>
      <c r="E7" s="2">
        <v>29.85</v>
      </c>
      <c r="F7">
        <f t="shared" si="0"/>
        <v>26650000</v>
      </c>
      <c r="G7">
        <f t="shared" si="0"/>
        <v>29850000</v>
      </c>
      <c r="H7">
        <f t="shared" si="1"/>
        <v>3200000</v>
      </c>
      <c r="I7" s="13" t="s">
        <v>80</v>
      </c>
    </row>
    <row r="8" spans="1:9" ht="15" thickBot="1" x14ac:dyDescent="0.45">
      <c r="A8" s="2" t="s">
        <v>29</v>
      </c>
      <c r="B8" s="2" t="str">
        <f>_xlfn.CONCAT(C8,1)</f>
        <v>CenArray1</v>
      </c>
      <c r="C8" s="2" t="s">
        <v>19</v>
      </c>
      <c r="D8" s="2">
        <v>32.85</v>
      </c>
      <c r="E8" s="2">
        <v>34.94</v>
      </c>
      <c r="F8">
        <f t="shared" si="0"/>
        <v>32850000</v>
      </c>
      <c r="G8">
        <f t="shared" si="0"/>
        <v>34940000</v>
      </c>
      <c r="H8">
        <f t="shared" si="1"/>
        <v>2090000</v>
      </c>
      <c r="I8" s="13" t="s">
        <v>80</v>
      </c>
    </row>
    <row r="9" spans="1:9" ht="15" thickBot="1" x14ac:dyDescent="0.45">
      <c r="A9" s="2" t="s">
        <v>22</v>
      </c>
      <c r="B9" s="2" t="str">
        <f>_xlfn.CONCAT(C9,1)</f>
        <v>CenArray1</v>
      </c>
      <c r="C9" s="2" t="s">
        <v>19</v>
      </c>
      <c r="D9" s="2">
        <v>48.25</v>
      </c>
      <c r="E9" s="2">
        <v>49.44</v>
      </c>
      <c r="F9">
        <f t="shared" si="0"/>
        <v>48250000</v>
      </c>
      <c r="G9">
        <f t="shared" si="0"/>
        <v>49440000</v>
      </c>
      <c r="H9">
        <f t="shared" si="1"/>
        <v>1190000</v>
      </c>
      <c r="I9" s="13" t="s">
        <v>80</v>
      </c>
    </row>
    <row r="10" spans="1:9" ht="15" thickBot="1" x14ac:dyDescent="0.45">
      <c r="A10" s="2" t="s">
        <v>22</v>
      </c>
      <c r="B10" s="2" t="str">
        <f>_xlfn.CONCAT(C10,2)</f>
        <v>CenArray2</v>
      </c>
      <c r="C10" s="2" t="s">
        <v>19</v>
      </c>
      <c r="D10" s="2">
        <v>50.26</v>
      </c>
      <c r="E10" s="2">
        <v>51.36</v>
      </c>
      <c r="F10">
        <f t="shared" si="0"/>
        <v>50260000</v>
      </c>
      <c r="G10">
        <f t="shared" si="0"/>
        <v>51360000</v>
      </c>
      <c r="H10">
        <f t="shared" si="1"/>
        <v>1100000</v>
      </c>
      <c r="I10" s="13" t="s">
        <v>80</v>
      </c>
    </row>
    <row r="11" spans="1:9" ht="15" thickBot="1" x14ac:dyDescent="0.45">
      <c r="A11" s="2" t="s">
        <v>23</v>
      </c>
      <c r="B11" s="2" t="str">
        <f>_xlfn.CONCAT(C11,1)</f>
        <v>CenArray1</v>
      </c>
      <c r="C11" s="2" t="s">
        <v>19</v>
      </c>
      <c r="D11" s="2">
        <v>23.75</v>
      </c>
      <c r="E11" s="2">
        <v>24.78</v>
      </c>
      <c r="F11">
        <f t="shared" si="0"/>
        <v>23750000</v>
      </c>
      <c r="G11">
        <f t="shared" si="0"/>
        <v>24780000</v>
      </c>
      <c r="H11">
        <f t="shared" si="1"/>
        <v>1030000</v>
      </c>
      <c r="I11" s="13" t="s">
        <v>80</v>
      </c>
    </row>
    <row r="12" spans="1:9" ht="15" thickBot="1" x14ac:dyDescent="0.45">
      <c r="A12" s="2" t="s">
        <v>23</v>
      </c>
      <c r="B12" s="2" t="str">
        <f>_xlfn.CONCAT(C12,2)</f>
        <v>CenArray2</v>
      </c>
      <c r="C12" s="2" t="s">
        <v>19</v>
      </c>
      <c r="D12" s="2">
        <v>25.55</v>
      </c>
      <c r="E12" s="2">
        <v>26.31</v>
      </c>
      <c r="F12">
        <f t="shared" si="0"/>
        <v>25550000</v>
      </c>
      <c r="G12">
        <f t="shared" si="0"/>
        <v>26310000</v>
      </c>
      <c r="H12">
        <f t="shared" si="1"/>
        <v>760000</v>
      </c>
      <c r="I12" s="13" t="s">
        <v>80</v>
      </c>
    </row>
    <row r="13" spans="1:9" ht="15" thickBot="1" x14ac:dyDescent="0.45">
      <c r="A13" s="2" t="s">
        <v>30</v>
      </c>
      <c r="B13" s="2" t="str">
        <f>_xlfn.CONCAT(C13,1)</f>
        <v>CenArray1</v>
      </c>
      <c r="C13" s="2" t="s">
        <v>19</v>
      </c>
      <c r="D13" s="2">
        <v>28.35</v>
      </c>
      <c r="E13" s="2">
        <v>28.8</v>
      </c>
      <c r="F13">
        <f t="shared" si="0"/>
        <v>28350000</v>
      </c>
      <c r="G13">
        <f t="shared" si="0"/>
        <v>28800000</v>
      </c>
      <c r="H13">
        <f t="shared" si="1"/>
        <v>450000</v>
      </c>
      <c r="I13" s="13" t="s">
        <v>80</v>
      </c>
    </row>
    <row r="14" spans="1:9" ht="15" thickBot="1" x14ac:dyDescent="0.45">
      <c r="A14" s="2" t="s">
        <v>30</v>
      </c>
      <c r="B14" s="2" t="str">
        <f>_xlfn.CONCAT(C14,2)</f>
        <v>CenArray2</v>
      </c>
      <c r="C14" s="2" t="s">
        <v>19</v>
      </c>
      <c r="D14" s="2">
        <v>30</v>
      </c>
      <c r="E14" s="2">
        <v>30.42</v>
      </c>
      <c r="F14">
        <f t="shared" si="0"/>
        <v>30000000</v>
      </c>
      <c r="G14">
        <f t="shared" si="0"/>
        <v>30420000</v>
      </c>
      <c r="H14">
        <f t="shared" si="1"/>
        <v>420000</v>
      </c>
      <c r="I14" s="13" t="s">
        <v>80</v>
      </c>
    </row>
    <row r="15" spans="1:9" ht="15" thickBot="1" x14ac:dyDescent="0.45">
      <c r="A15" s="2" t="s">
        <v>31</v>
      </c>
      <c r="B15" s="2" t="str">
        <f>_xlfn.CONCAT(C15,1)</f>
        <v>CenArray1</v>
      </c>
      <c r="C15" s="2" t="s">
        <v>19</v>
      </c>
      <c r="D15" s="2">
        <v>39.090000000000003</v>
      </c>
      <c r="E15" s="2">
        <v>39.54</v>
      </c>
      <c r="F15">
        <f t="shared" si="0"/>
        <v>39090000</v>
      </c>
      <c r="G15">
        <f t="shared" si="0"/>
        <v>39540000</v>
      </c>
      <c r="H15">
        <f t="shared" si="1"/>
        <v>450000</v>
      </c>
      <c r="I15" s="13" t="s">
        <v>80</v>
      </c>
    </row>
    <row r="16" spans="1:9" ht="15" thickBot="1" x14ac:dyDescent="0.45">
      <c r="A16" s="2" t="s">
        <v>31</v>
      </c>
      <c r="B16" s="2" t="str">
        <f>_xlfn.CONCAT(C16,2)</f>
        <v>CenArray2</v>
      </c>
      <c r="C16" s="2" t="s">
        <v>19</v>
      </c>
      <c r="D16" s="2">
        <v>39.950000000000003</v>
      </c>
      <c r="E16" s="2">
        <v>41.18</v>
      </c>
      <c r="F16">
        <f t="shared" si="0"/>
        <v>39950000</v>
      </c>
      <c r="G16">
        <f t="shared" si="0"/>
        <v>41180000</v>
      </c>
      <c r="H16">
        <f t="shared" si="1"/>
        <v>1230000</v>
      </c>
      <c r="I16" s="13" t="s">
        <v>80</v>
      </c>
    </row>
    <row r="17" spans="1:9" ht="15" thickBot="1" x14ac:dyDescent="0.45">
      <c r="A17" s="2" t="s">
        <v>24</v>
      </c>
      <c r="B17" s="2" t="str">
        <f>_xlfn.CONCAT(C17,1)</f>
        <v>CenArray1</v>
      </c>
      <c r="C17" s="2" t="s">
        <v>19</v>
      </c>
      <c r="D17" s="2">
        <v>16.62</v>
      </c>
      <c r="E17" s="2">
        <v>17.559999999999999</v>
      </c>
      <c r="F17">
        <f t="shared" si="0"/>
        <v>16620000.000000002</v>
      </c>
      <c r="G17">
        <f t="shared" si="0"/>
        <v>17560000</v>
      </c>
      <c r="H17">
        <f t="shared" si="1"/>
        <v>939999.99999999814</v>
      </c>
      <c r="I17" s="13" t="s">
        <v>80</v>
      </c>
    </row>
    <row r="18" spans="1:9" ht="15" thickBot="1" x14ac:dyDescent="0.45">
      <c r="A18" s="2" t="s">
        <v>24</v>
      </c>
      <c r="B18" s="2" t="str">
        <f>_xlfn.CONCAT(C18,2)</f>
        <v>CenArray2</v>
      </c>
      <c r="C18" s="2" t="s">
        <v>19</v>
      </c>
      <c r="D18" s="2">
        <v>17.86</v>
      </c>
      <c r="E18" s="2">
        <v>17.95</v>
      </c>
      <c r="F18">
        <f t="shared" si="0"/>
        <v>17860000</v>
      </c>
      <c r="G18">
        <f t="shared" si="0"/>
        <v>17950000</v>
      </c>
      <c r="H18">
        <f t="shared" si="1"/>
        <v>90000</v>
      </c>
      <c r="I18" s="13" t="s">
        <v>80</v>
      </c>
    </row>
    <row r="19" spans="1:9" ht="15" thickBot="1" x14ac:dyDescent="0.45">
      <c r="A19" s="2" t="s">
        <v>24</v>
      </c>
      <c r="B19" s="2" t="str">
        <f>_xlfn.CONCAT(C19,3)</f>
        <v>CenArray3</v>
      </c>
      <c r="C19" s="2" t="s">
        <v>19</v>
      </c>
      <c r="D19" s="2">
        <v>18.04</v>
      </c>
      <c r="E19" s="2">
        <v>18.760000000000002</v>
      </c>
      <c r="F19">
        <f t="shared" si="0"/>
        <v>18040000</v>
      </c>
      <c r="G19">
        <f t="shared" si="0"/>
        <v>18760000</v>
      </c>
      <c r="H19">
        <f t="shared" si="1"/>
        <v>720000</v>
      </c>
      <c r="I19" s="13" t="s">
        <v>80</v>
      </c>
    </row>
    <row r="20" spans="1:9" ht="15" thickBot="1" x14ac:dyDescent="0.45">
      <c r="A20" s="2" t="s">
        <v>12</v>
      </c>
      <c r="B20" s="2" t="str">
        <f>_xlfn.CONCAT(C20,1)</f>
        <v>CenArray1</v>
      </c>
      <c r="C20" s="2" t="s">
        <v>19</v>
      </c>
      <c r="D20" s="2">
        <v>31.98</v>
      </c>
      <c r="E20" s="2">
        <v>33.28</v>
      </c>
      <c r="F20">
        <f t="shared" si="0"/>
        <v>31980000</v>
      </c>
      <c r="G20">
        <f t="shared" si="0"/>
        <v>33280000</v>
      </c>
      <c r="H20">
        <f t="shared" si="1"/>
        <v>1300000</v>
      </c>
      <c r="I20" s="13" t="s">
        <v>80</v>
      </c>
    </row>
    <row r="21" spans="1:9" ht="15" thickBot="1" x14ac:dyDescent="0.45">
      <c r="A21" s="2" t="s">
        <v>12</v>
      </c>
      <c r="B21" s="2" t="str">
        <f>_xlfn.CONCAT(C21,2)</f>
        <v>CenArray2</v>
      </c>
      <c r="C21" s="2" t="s">
        <v>19</v>
      </c>
      <c r="D21" s="2">
        <v>33.82</v>
      </c>
      <c r="E21" s="2">
        <v>34.57</v>
      </c>
      <c r="F21">
        <f t="shared" si="0"/>
        <v>33820000</v>
      </c>
      <c r="G21">
        <f t="shared" si="0"/>
        <v>34570000</v>
      </c>
      <c r="H21">
        <f t="shared" si="1"/>
        <v>750000</v>
      </c>
      <c r="I21" s="13" t="s">
        <v>80</v>
      </c>
    </row>
    <row r="22" spans="1:9" ht="15" thickBot="1" x14ac:dyDescent="0.45">
      <c r="A22" s="2" t="s">
        <v>13</v>
      </c>
      <c r="B22" s="2" t="str">
        <f>_xlfn.CONCAT(C22,1)</f>
        <v>CenArray1</v>
      </c>
      <c r="C22" s="2" t="s">
        <v>19</v>
      </c>
      <c r="D22" s="2">
        <v>30.28</v>
      </c>
      <c r="E22" s="2">
        <v>32.36</v>
      </c>
      <c r="F22">
        <f t="shared" si="0"/>
        <v>30280000</v>
      </c>
      <c r="G22">
        <f t="shared" si="0"/>
        <v>32360000</v>
      </c>
      <c r="H22">
        <f t="shared" si="1"/>
        <v>2080000</v>
      </c>
      <c r="I22" s="13" t="s">
        <v>80</v>
      </c>
    </row>
    <row r="23" spans="1:9" ht="15" thickBot="1" x14ac:dyDescent="0.45">
      <c r="A23" s="2" t="s">
        <v>14</v>
      </c>
      <c r="B23" s="2" t="str">
        <f>_xlfn.CONCAT(C23,1)</f>
        <v>CenArray1</v>
      </c>
      <c r="C23" s="2" t="s">
        <v>19</v>
      </c>
      <c r="D23" s="2">
        <v>21.83</v>
      </c>
      <c r="E23" s="2">
        <v>22.72</v>
      </c>
      <c r="F23">
        <f t="shared" si="0"/>
        <v>21830000</v>
      </c>
      <c r="G23">
        <f t="shared" si="0"/>
        <v>22720000</v>
      </c>
      <c r="H23">
        <f t="shared" si="1"/>
        <v>890000</v>
      </c>
      <c r="I23" s="13" t="s">
        <v>80</v>
      </c>
    </row>
    <row r="24" spans="1:9" ht="15" customHeight="1" thickBot="1" x14ac:dyDescent="0.45">
      <c r="A24" s="2" t="s">
        <v>14</v>
      </c>
      <c r="B24" s="2" t="str">
        <f>_xlfn.CONCAT(C24,2)</f>
        <v>CenArray2</v>
      </c>
      <c r="C24" s="2" t="s">
        <v>19</v>
      </c>
      <c r="D24" s="2">
        <v>24.23</v>
      </c>
      <c r="E24" s="2">
        <v>24.78</v>
      </c>
      <c r="F24">
        <f t="shared" si="0"/>
        <v>24230000</v>
      </c>
      <c r="G24">
        <f t="shared" si="0"/>
        <v>24780000</v>
      </c>
      <c r="H24">
        <f t="shared" si="1"/>
        <v>550000</v>
      </c>
      <c r="I24" s="13" t="s">
        <v>80</v>
      </c>
    </row>
    <row r="25" spans="1:9" ht="15" thickBot="1" x14ac:dyDescent="0.45">
      <c r="A25" s="2" t="s">
        <v>27</v>
      </c>
      <c r="B25" s="2" t="str">
        <f t="shared" ref="B25" si="2">_xlfn.CONCAT(C25,1)</f>
        <v>InterArray1</v>
      </c>
      <c r="C25" s="13" t="s">
        <v>20</v>
      </c>
      <c r="D25" s="2">
        <v>43.62</v>
      </c>
      <c r="E25" s="10">
        <v>44.3</v>
      </c>
      <c r="F25">
        <f t="shared" ref="F25:G35" si="3">D25*1000000</f>
        <v>43620000</v>
      </c>
      <c r="G25">
        <f t="shared" si="3"/>
        <v>44300000</v>
      </c>
      <c r="H25">
        <f t="shared" si="1"/>
        <v>680000</v>
      </c>
      <c r="I25" s="13" t="s">
        <v>80</v>
      </c>
    </row>
    <row r="26" spans="1:9" ht="15" thickBot="1" x14ac:dyDescent="0.45">
      <c r="A26" s="2" t="s">
        <v>27</v>
      </c>
      <c r="B26" s="2" t="str">
        <f>_xlfn.CONCAT(C26,2)</f>
        <v>InterArray2</v>
      </c>
      <c r="C26" s="13" t="s">
        <v>20</v>
      </c>
      <c r="D26" s="2">
        <v>44.59</v>
      </c>
      <c r="E26" s="10">
        <v>45.27</v>
      </c>
      <c r="F26">
        <f t="shared" si="3"/>
        <v>44590000</v>
      </c>
      <c r="G26">
        <f t="shared" si="3"/>
        <v>45270000</v>
      </c>
      <c r="H26">
        <f t="shared" si="1"/>
        <v>680000</v>
      </c>
      <c r="I26" s="13" t="s">
        <v>80</v>
      </c>
    </row>
    <row r="27" spans="1:9" ht="15" thickBot="1" x14ac:dyDescent="0.45">
      <c r="A27" s="2" t="s">
        <v>28</v>
      </c>
      <c r="B27" s="2" t="str">
        <f t="shared" ref="B27:B32" si="4">_xlfn.CONCAT(C27,1)</f>
        <v>InterArray1</v>
      </c>
      <c r="C27" s="13" t="s">
        <v>20</v>
      </c>
      <c r="D27" s="2">
        <v>41.28</v>
      </c>
      <c r="E27" s="10">
        <v>42.1</v>
      </c>
      <c r="F27">
        <f t="shared" si="3"/>
        <v>41280000</v>
      </c>
      <c r="G27">
        <f t="shared" si="3"/>
        <v>42100000</v>
      </c>
      <c r="H27">
        <f t="shared" si="1"/>
        <v>820000</v>
      </c>
      <c r="I27" s="13" t="s">
        <v>80</v>
      </c>
    </row>
    <row r="28" spans="1:9" ht="15" thickBot="1" x14ac:dyDescent="0.45">
      <c r="A28" s="2" t="s">
        <v>22</v>
      </c>
      <c r="B28" s="2" t="str">
        <f t="shared" si="4"/>
        <v>InterArray1</v>
      </c>
      <c r="C28" s="13" t="s">
        <v>20</v>
      </c>
      <c r="D28" s="2">
        <v>49.44</v>
      </c>
      <c r="E28" s="10">
        <v>50.26</v>
      </c>
      <c r="F28">
        <f t="shared" si="3"/>
        <v>49440000</v>
      </c>
      <c r="G28">
        <f t="shared" si="3"/>
        <v>50260000</v>
      </c>
      <c r="H28">
        <f t="shared" si="1"/>
        <v>820000</v>
      </c>
      <c r="I28" s="13" t="s">
        <v>80</v>
      </c>
    </row>
    <row r="29" spans="1:9" ht="15" thickBot="1" x14ac:dyDescent="0.45">
      <c r="A29" s="2" t="s">
        <v>23</v>
      </c>
      <c r="B29" s="2" t="str">
        <f t="shared" si="4"/>
        <v>InterArray1</v>
      </c>
      <c r="C29" s="13" t="s">
        <v>20</v>
      </c>
      <c r="D29" s="2">
        <v>24.78</v>
      </c>
      <c r="E29" s="10">
        <v>25.55</v>
      </c>
      <c r="F29">
        <f t="shared" si="3"/>
        <v>24780000</v>
      </c>
      <c r="G29">
        <f t="shared" si="3"/>
        <v>25550000</v>
      </c>
      <c r="H29">
        <f t="shared" si="1"/>
        <v>770000</v>
      </c>
      <c r="I29" s="13" t="s">
        <v>80</v>
      </c>
    </row>
    <row r="30" spans="1:9" ht="15" thickBot="1" x14ac:dyDescent="0.45">
      <c r="A30" s="2" t="s">
        <v>30</v>
      </c>
      <c r="B30" s="2" t="str">
        <f t="shared" si="4"/>
        <v>InterArray1</v>
      </c>
      <c r="C30" t="s">
        <v>20</v>
      </c>
      <c r="D30" s="2">
        <v>28.8</v>
      </c>
      <c r="E30" s="10">
        <v>30</v>
      </c>
      <c r="F30">
        <f t="shared" si="3"/>
        <v>28800000</v>
      </c>
      <c r="G30">
        <f t="shared" si="3"/>
        <v>30000000</v>
      </c>
      <c r="H30">
        <f t="shared" si="1"/>
        <v>1200000</v>
      </c>
      <c r="I30" s="13" t="s">
        <v>80</v>
      </c>
    </row>
    <row r="31" spans="1:9" ht="15" thickBot="1" x14ac:dyDescent="0.45">
      <c r="A31" s="2" t="s">
        <v>31</v>
      </c>
      <c r="B31" s="2" t="str">
        <f t="shared" si="4"/>
        <v>InterArray1</v>
      </c>
      <c r="C31" t="s">
        <v>20</v>
      </c>
      <c r="D31" s="2">
        <v>39.54</v>
      </c>
      <c r="E31" s="10">
        <v>39.950000000000003</v>
      </c>
      <c r="F31">
        <f t="shared" si="3"/>
        <v>39540000</v>
      </c>
      <c r="G31">
        <f t="shared" si="3"/>
        <v>39950000</v>
      </c>
      <c r="H31">
        <f t="shared" si="1"/>
        <v>410000</v>
      </c>
      <c r="I31" s="13" t="s">
        <v>80</v>
      </c>
    </row>
    <row r="32" spans="1:9" ht="15" thickBot="1" x14ac:dyDescent="0.45">
      <c r="A32" s="8" t="s">
        <v>24</v>
      </c>
      <c r="B32" s="2" t="str">
        <f t="shared" si="4"/>
        <v>InterArray1</v>
      </c>
      <c r="C32" s="13" t="s">
        <v>20</v>
      </c>
      <c r="D32" s="10">
        <v>17.559999999999999</v>
      </c>
      <c r="E32" s="10">
        <v>17.86</v>
      </c>
      <c r="F32">
        <f t="shared" si="3"/>
        <v>17560000</v>
      </c>
      <c r="G32">
        <f t="shared" si="3"/>
        <v>17860000</v>
      </c>
      <c r="H32">
        <f t="shared" si="1"/>
        <v>300000</v>
      </c>
      <c r="I32" s="13" t="s">
        <v>80</v>
      </c>
    </row>
    <row r="33" spans="1:9" ht="15" thickBot="1" x14ac:dyDescent="0.45">
      <c r="A33" s="2" t="s">
        <v>24</v>
      </c>
      <c r="B33" s="2" t="str">
        <f>_xlfn.CONCAT(C33,2)</f>
        <v>InterArray2</v>
      </c>
      <c r="C33" s="9" t="s">
        <v>20</v>
      </c>
      <c r="D33" s="2">
        <v>17.95</v>
      </c>
      <c r="E33" s="2">
        <v>18.04</v>
      </c>
      <c r="F33">
        <f t="shared" si="3"/>
        <v>17950000</v>
      </c>
      <c r="G33">
        <f t="shared" si="3"/>
        <v>18040000</v>
      </c>
      <c r="H33">
        <f t="shared" si="1"/>
        <v>90000</v>
      </c>
      <c r="I33" s="13" t="s">
        <v>80</v>
      </c>
    </row>
    <row r="34" spans="1:9" ht="15" thickBot="1" x14ac:dyDescent="0.45">
      <c r="A34" s="2" t="s">
        <v>12</v>
      </c>
      <c r="B34" s="2" t="str">
        <f t="shared" ref="B34:B39" si="5">_xlfn.CONCAT(C34,1)</f>
        <v>InterArray1</v>
      </c>
      <c r="C34" s="9" t="s">
        <v>20</v>
      </c>
      <c r="D34" s="2">
        <v>33.28</v>
      </c>
      <c r="E34" s="2">
        <v>33.82</v>
      </c>
      <c r="F34">
        <f t="shared" si="3"/>
        <v>33280000</v>
      </c>
      <c r="G34">
        <f t="shared" si="3"/>
        <v>33820000</v>
      </c>
      <c r="H34">
        <f t="shared" si="1"/>
        <v>540000</v>
      </c>
      <c r="I34" s="13" t="s">
        <v>80</v>
      </c>
    </row>
    <row r="35" spans="1:9" ht="15" thickBot="1" x14ac:dyDescent="0.45">
      <c r="A35" s="2" t="s">
        <v>14</v>
      </c>
      <c r="B35" s="2" t="str">
        <f t="shared" si="5"/>
        <v>InterArray1</v>
      </c>
      <c r="C35" s="9" t="s">
        <v>20</v>
      </c>
      <c r="D35" s="2">
        <v>22.72</v>
      </c>
      <c r="E35" s="2">
        <v>24.23</v>
      </c>
      <c r="F35">
        <f t="shared" si="3"/>
        <v>22720000</v>
      </c>
      <c r="G35">
        <f t="shared" si="3"/>
        <v>24230000</v>
      </c>
      <c r="H35">
        <f t="shared" si="1"/>
        <v>1510000</v>
      </c>
      <c r="I35" s="13" t="s">
        <v>80</v>
      </c>
    </row>
    <row r="36" spans="1:9" ht="15.9" thickBot="1" x14ac:dyDescent="0.45">
      <c r="A36" s="7" t="s">
        <v>12</v>
      </c>
      <c r="B36" s="2" t="str">
        <f t="shared" si="5"/>
        <v>InterSpInv1</v>
      </c>
      <c r="C36" s="9" t="s">
        <v>35</v>
      </c>
      <c r="D36" s="11">
        <f>19037621/1000000</f>
        <v>19.037621000000001</v>
      </c>
      <c r="E36" s="11">
        <f>25083800/1000000</f>
        <v>25.0838</v>
      </c>
      <c r="F36" s="5">
        <v>19037621</v>
      </c>
      <c r="G36" s="5">
        <v>25083800</v>
      </c>
      <c r="H36">
        <f t="shared" si="1"/>
        <v>6046179</v>
      </c>
      <c r="I36" t="s">
        <v>81</v>
      </c>
    </row>
    <row r="37" spans="1:9" ht="15" thickBot="1" x14ac:dyDescent="0.45">
      <c r="A37" s="2" t="s">
        <v>21</v>
      </c>
      <c r="B37" s="2" t="str">
        <f t="shared" si="5"/>
        <v>IntraSpInv1</v>
      </c>
      <c r="C37" s="9" t="s">
        <v>25</v>
      </c>
      <c r="D37" s="2">
        <v>34.17</v>
      </c>
      <c r="E37" s="9">
        <v>36.65</v>
      </c>
      <c r="F37">
        <f t="shared" ref="F37:G44" si="6">D37*1000000</f>
        <v>34170000</v>
      </c>
      <c r="G37">
        <f t="shared" si="6"/>
        <v>36650000</v>
      </c>
      <c r="H37">
        <f t="shared" si="1"/>
        <v>2480000</v>
      </c>
      <c r="I37" t="s">
        <v>81</v>
      </c>
    </row>
    <row r="38" spans="1:9" ht="15" thickBot="1" x14ac:dyDescent="0.45">
      <c r="A38" s="2" t="s">
        <v>22</v>
      </c>
      <c r="B38" s="2" t="str">
        <f t="shared" si="5"/>
        <v>IntraSpInv1</v>
      </c>
      <c r="C38" s="9" t="s">
        <v>25</v>
      </c>
      <c r="D38" s="2">
        <v>21.83</v>
      </c>
      <c r="E38" s="9">
        <v>25.54</v>
      </c>
      <c r="F38">
        <f t="shared" si="6"/>
        <v>21830000</v>
      </c>
      <c r="G38">
        <f t="shared" si="6"/>
        <v>25540000</v>
      </c>
      <c r="H38">
        <f t="shared" si="1"/>
        <v>3710000</v>
      </c>
      <c r="I38" t="s">
        <v>81</v>
      </c>
    </row>
    <row r="39" spans="1:9" ht="15" thickBot="1" x14ac:dyDescent="0.45">
      <c r="A39" s="2" t="s">
        <v>23</v>
      </c>
      <c r="B39" s="2" t="str">
        <f t="shared" si="5"/>
        <v>IntraSpInv1</v>
      </c>
      <c r="C39" s="9" t="s">
        <v>25</v>
      </c>
      <c r="D39" s="2">
        <v>8.82</v>
      </c>
      <c r="E39" s="9">
        <v>11.36</v>
      </c>
      <c r="F39">
        <f t="shared" si="6"/>
        <v>8820000</v>
      </c>
      <c r="G39">
        <f t="shared" si="6"/>
        <v>11360000</v>
      </c>
      <c r="H39">
        <f t="shared" si="1"/>
        <v>2540000</v>
      </c>
      <c r="I39" t="s">
        <v>81</v>
      </c>
    </row>
    <row r="40" spans="1:9" ht="15" thickBot="1" x14ac:dyDescent="0.45">
      <c r="A40" s="2" t="s">
        <v>23</v>
      </c>
      <c r="B40" s="2" t="str">
        <f>_xlfn.CONCAT(C40,2)</f>
        <v>IntraSpInv2</v>
      </c>
      <c r="C40" s="9" t="s">
        <v>25</v>
      </c>
      <c r="D40" s="2">
        <v>15.2</v>
      </c>
      <c r="E40" s="9">
        <v>16.96</v>
      </c>
      <c r="F40">
        <f t="shared" si="6"/>
        <v>15200000</v>
      </c>
      <c r="G40">
        <f t="shared" si="6"/>
        <v>16960000</v>
      </c>
      <c r="H40">
        <f t="shared" si="1"/>
        <v>1760000</v>
      </c>
      <c r="I40" t="s">
        <v>81</v>
      </c>
    </row>
    <row r="41" spans="1:9" ht="15" thickBot="1" x14ac:dyDescent="0.45">
      <c r="A41" s="2" t="s">
        <v>23</v>
      </c>
      <c r="B41" s="2" t="str">
        <f>_xlfn.CONCAT(C41,3)</f>
        <v>IntraSpInv3</v>
      </c>
      <c r="C41" s="9" t="s">
        <v>25</v>
      </c>
      <c r="D41" s="2">
        <v>34.86</v>
      </c>
      <c r="E41" s="9">
        <v>45.82</v>
      </c>
      <c r="F41">
        <f t="shared" si="6"/>
        <v>34860000</v>
      </c>
      <c r="G41">
        <f t="shared" si="6"/>
        <v>45820000</v>
      </c>
      <c r="H41">
        <f t="shared" si="1"/>
        <v>10960000</v>
      </c>
      <c r="I41" t="s">
        <v>81</v>
      </c>
    </row>
    <row r="42" spans="1:9" ht="15" thickBot="1" x14ac:dyDescent="0.45">
      <c r="A42" s="2" t="s">
        <v>24</v>
      </c>
      <c r="B42" s="2" t="str">
        <f t="shared" ref="B42:B44" si="7">_xlfn.CONCAT(C42,1)</f>
        <v>IntraSpInv1</v>
      </c>
      <c r="C42" s="9" t="s">
        <v>25</v>
      </c>
      <c r="D42" s="2">
        <v>9.7899999999999991</v>
      </c>
      <c r="E42" s="9">
        <v>16.62</v>
      </c>
      <c r="F42">
        <f t="shared" si="6"/>
        <v>9790000</v>
      </c>
      <c r="G42">
        <f t="shared" si="6"/>
        <v>16620000.000000002</v>
      </c>
      <c r="H42">
        <f t="shared" ref="H42:H44" si="8">G42-F42</f>
        <v>6830000.0000000019</v>
      </c>
      <c r="I42" t="s">
        <v>81</v>
      </c>
    </row>
    <row r="43" spans="1:9" ht="15" thickBot="1" x14ac:dyDescent="0.45">
      <c r="A43" s="2" t="s">
        <v>24</v>
      </c>
      <c r="B43" s="2" t="str">
        <f t="shared" si="7"/>
        <v>IntraSpInv1</v>
      </c>
      <c r="C43" s="9" t="s">
        <v>25</v>
      </c>
      <c r="D43" s="2">
        <v>18.760000000000002</v>
      </c>
      <c r="E43" s="9">
        <v>22.01</v>
      </c>
      <c r="F43">
        <f t="shared" si="6"/>
        <v>18760000</v>
      </c>
      <c r="G43">
        <f t="shared" si="6"/>
        <v>22010000</v>
      </c>
      <c r="H43">
        <f t="shared" si="8"/>
        <v>3250000</v>
      </c>
      <c r="I43" t="s">
        <v>81</v>
      </c>
    </row>
    <row r="44" spans="1:9" ht="15" thickBot="1" x14ac:dyDescent="0.45">
      <c r="A44" s="2" t="s">
        <v>13</v>
      </c>
      <c r="B44" s="2" t="str">
        <f t="shared" si="7"/>
        <v>IntraSpInv1</v>
      </c>
      <c r="C44" s="9" t="s">
        <v>25</v>
      </c>
      <c r="D44" s="2">
        <v>5.7</v>
      </c>
      <c r="E44" s="9">
        <v>21.24</v>
      </c>
      <c r="F44">
        <f t="shared" si="6"/>
        <v>5700000</v>
      </c>
      <c r="G44">
        <f t="shared" si="6"/>
        <v>21240000</v>
      </c>
      <c r="H44">
        <f t="shared" si="8"/>
        <v>15540000</v>
      </c>
      <c r="I44" t="s">
        <v>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FB03-0FAD-47BC-AA75-12FB8893A0B8}">
  <dimension ref="A1:L61"/>
  <sheetViews>
    <sheetView tabSelected="1" topLeftCell="A31" workbookViewId="0">
      <selection activeCell="C15" sqref="C15"/>
    </sheetView>
  </sheetViews>
  <sheetFormatPr defaultRowHeight="12.9" x14ac:dyDescent="0.35"/>
  <cols>
    <col min="1" max="1" width="14.765625" style="17" bestFit="1" customWidth="1"/>
    <col min="2" max="9" width="9.23046875" style="17"/>
    <col min="10" max="10" width="8.921875" style="17" bestFit="1" customWidth="1"/>
    <col min="11" max="16384" width="9.23046875" style="17"/>
  </cols>
  <sheetData>
    <row r="1" spans="1:12" x14ac:dyDescent="0.35">
      <c r="A1" s="17" t="s">
        <v>82</v>
      </c>
      <c r="B1" s="17" t="s">
        <v>83</v>
      </c>
      <c r="C1" s="17" t="s">
        <v>84</v>
      </c>
      <c r="D1" s="17" t="s">
        <v>85</v>
      </c>
      <c r="E1" s="17" t="s">
        <v>86</v>
      </c>
      <c r="F1" s="17" t="s">
        <v>87</v>
      </c>
      <c r="G1" s="17" t="s">
        <v>88</v>
      </c>
      <c r="H1" s="17" t="s">
        <v>89</v>
      </c>
      <c r="I1" s="17" t="s">
        <v>90</v>
      </c>
      <c r="J1" s="17" t="s">
        <v>42</v>
      </c>
      <c r="K1" s="17" t="s">
        <v>41</v>
      </c>
      <c r="L1" s="17" t="s">
        <v>42</v>
      </c>
    </row>
    <row r="2" spans="1:12" x14ac:dyDescent="0.35">
      <c r="A2" s="17" t="s">
        <v>91</v>
      </c>
      <c r="B2" s="17" t="s">
        <v>27</v>
      </c>
      <c r="C2" s="17">
        <v>149626</v>
      </c>
      <c r="D2" s="17">
        <v>354871</v>
      </c>
      <c r="E2" s="17" t="s">
        <v>92</v>
      </c>
      <c r="F2" s="17" t="s">
        <v>42</v>
      </c>
      <c r="G2" s="17">
        <v>205246</v>
      </c>
      <c r="H2" s="17">
        <v>1962</v>
      </c>
      <c r="I2" s="17" t="s">
        <v>93</v>
      </c>
      <c r="J2" s="17" t="s">
        <v>94</v>
      </c>
    </row>
    <row r="3" spans="1:12" x14ac:dyDescent="0.35">
      <c r="A3" s="17" t="s">
        <v>179</v>
      </c>
      <c r="B3" s="22" t="s">
        <v>24</v>
      </c>
      <c r="C3" s="17">
        <v>2386252</v>
      </c>
      <c r="D3" s="17">
        <v>2464902</v>
      </c>
      <c r="E3" s="22" t="s">
        <v>180</v>
      </c>
      <c r="F3" s="22" t="s">
        <v>42</v>
      </c>
      <c r="G3" s="17">
        <v>78651</v>
      </c>
      <c r="H3" s="17">
        <v>502</v>
      </c>
      <c r="I3" s="17" t="s">
        <v>93</v>
      </c>
      <c r="J3" s="22" t="s">
        <v>101</v>
      </c>
      <c r="K3" s="22"/>
    </row>
    <row r="4" spans="1:12" x14ac:dyDescent="0.35">
      <c r="A4" s="17" t="s">
        <v>183</v>
      </c>
      <c r="B4" s="22" t="s">
        <v>24</v>
      </c>
      <c r="C4" s="17">
        <v>4450932</v>
      </c>
      <c r="D4" s="17">
        <v>4588744</v>
      </c>
      <c r="E4" s="22" t="s">
        <v>184</v>
      </c>
      <c r="F4" s="22" t="s">
        <v>42</v>
      </c>
      <c r="G4" s="17">
        <v>137813</v>
      </c>
      <c r="H4" s="17">
        <v>1239</v>
      </c>
      <c r="I4" s="17" t="s">
        <v>93</v>
      </c>
      <c r="J4" s="22" t="s">
        <v>94</v>
      </c>
      <c r="K4" s="22"/>
    </row>
    <row r="5" spans="1:12" x14ac:dyDescent="0.35">
      <c r="A5" s="17" t="s">
        <v>185</v>
      </c>
      <c r="B5" s="22" t="s">
        <v>24</v>
      </c>
      <c r="C5" s="17">
        <v>4711456</v>
      </c>
      <c r="D5" s="17">
        <v>5006687</v>
      </c>
      <c r="E5" s="22" t="s">
        <v>186</v>
      </c>
      <c r="F5" s="22" t="s">
        <v>42</v>
      </c>
      <c r="G5" s="17">
        <v>295232</v>
      </c>
      <c r="H5" s="17">
        <v>1546</v>
      </c>
      <c r="I5" s="17" t="s">
        <v>93</v>
      </c>
      <c r="J5" s="22" t="s">
        <v>101</v>
      </c>
      <c r="K5" s="22"/>
    </row>
    <row r="6" spans="1:12" x14ac:dyDescent="0.35">
      <c r="A6" s="17" t="s">
        <v>201</v>
      </c>
      <c r="B6" s="22" t="s">
        <v>12</v>
      </c>
      <c r="C6" s="17">
        <v>6735229</v>
      </c>
      <c r="D6" s="17">
        <v>6840108</v>
      </c>
      <c r="E6" s="22" t="s">
        <v>202</v>
      </c>
      <c r="F6" s="22" t="s">
        <v>42</v>
      </c>
      <c r="G6" s="17">
        <v>104880</v>
      </c>
      <c r="H6" s="17">
        <v>735</v>
      </c>
      <c r="I6" s="17" t="s">
        <v>93</v>
      </c>
      <c r="J6" s="22" t="s">
        <v>94</v>
      </c>
      <c r="K6" s="22"/>
    </row>
    <row r="7" spans="1:12" x14ac:dyDescent="0.35">
      <c r="A7" s="17" t="s">
        <v>108</v>
      </c>
      <c r="B7" s="17" t="s">
        <v>27</v>
      </c>
      <c r="C7" s="17">
        <v>7084189</v>
      </c>
      <c r="D7" s="17">
        <v>7214406</v>
      </c>
      <c r="E7" s="17" t="s">
        <v>109</v>
      </c>
      <c r="F7" s="17" t="s">
        <v>42</v>
      </c>
      <c r="G7" s="17">
        <v>130218</v>
      </c>
      <c r="H7" s="17">
        <v>780</v>
      </c>
      <c r="I7" s="17" t="s">
        <v>93</v>
      </c>
      <c r="J7" s="17" t="s">
        <v>101</v>
      </c>
    </row>
    <row r="8" spans="1:12" x14ac:dyDescent="0.35">
      <c r="A8" s="17" t="s">
        <v>187</v>
      </c>
      <c r="B8" s="22" t="s">
        <v>24</v>
      </c>
      <c r="C8" s="17">
        <v>7558860</v>
      </c>
      <c r="D8" s="17">
        <v>7610085</v>
      </c>
      <c r="E8" s="22" t="s">
        <v>188</v>
      </c>
      <c r="F8" s="22" t="s">
        <v>42</v>
      </c>
      <c r="G8" s="17">
        <v>51226</v>
      </c>
      <c r="H8" s="17">
        <v>50</v>
      </c>
      <c r="I8" s="17" t="s">
        <v>93</v>
      </c>
      <c r="J8" s="22" t="s">
        <v>94</v>
      </c>
      <c r="K8" s="22"/>
    </row>
    <row r="9" spans="1:12" x14ac:dyDescent="0.35">
      <c r="A9" s="17" t="s">
        <v>161</v>
      </c>
      <c r="B9" s="17" t="s">
        <v>23</v>
      </c>
      <c r="C9" s="17">
        <v>8815300</v>
      </c>
      <c r="D9" s="17">
        <v>11382742</v>
      </c>
      <c r="E9" s="17" t="s">
        <v>162</v>
      </c>
      <c r="F9" s="17" t="s">
        <v>42</v>
      </c>
      <c r="G9" s="17">
        <v>2567443</v>
      </c>
      <c r="H9" s="17">
        <v>11639</v>
      </c>
      <c r="I9" s="17" t="s">
        <v>93</v>
      </c>
      <c r="J9" s="17" t="s">
        <v>101</v>
      </c>
    </row>
    <row r="10" spans="1:12" x14ac:dyDescent="0.35">
      <c r="A10" s="17" t="s">
        <v>163</v>
      </c>
      <c r="B10" s="17" t="s">
        <v>30</v>
      </c>
      <c r="C10" s="17">
        <v>11394059</v>
      </c>
      <c r="D10" s="17">
        <v>11848929</v>
      </c>
      <c r="E10" s="17" t="s">
        <v>164</v>
      </c>
      <c r="F10" s="17" t="s">
        <v>42</v>
      </c>
      <c r="G10" s="17">
        <v>454871</v>
      </c>
      <c r="H10" s="17">
        <v>1376</v>
      </c>
      <c r="I10" s="17" t="s">
        <v>93</v>
      </c>
      <c r="J10" s="17" t="s">
        <v>101</v>
      </c>
    </row>
    <row r="11" spans="1:12" x14ac:dyDescent="0.35">
      <c r="A11" s="17" t="s">
        <v>120</v>
      </c>
      <c r="B11" s="17" t="s">
        <v>21</v>
      </c>
      <c r="C11" s="17">
        <v>13150635</v>
      </c>
      <c r="D11" s="17">
        <v>13381747</v>
      </c>
      <c r="E11" s="17" t="s">
        <v>121</v>
      </c>
      <c r="F11" s="17" t="s">
        <v>42</v>
      </c>
      <c r="G11" s="17">
        <v>231113</v>
      </c>
      <c r="H11" s="17">
        <v>366</v>
      </c>
      <c r="I11" s="17" t="s">
        <v>93</v>
      </c>
      <c r="J11" s="17" t="s">
        <v>101</v>
      </c>
    </row>
    <row r="12" spans="1:12" x14ac:dyDescent="0.35">
      <c r="A12" s="17" t="s">
        <v>155</v>
      </c>
      <c r="B12" s="17" t="s">
        <v>23</v>
      </c>
      <c r="C12" s="17">
        <v>15235577</v>
      </c>
      <c r="D12" s="17">
        <v>17029428</v>
      </c>
      <c r="E12" s="17" t="s">
        <v>156</v>
      </c>
      <c r="F12" s="17" t="s">
        <v>42</v>
      </c>
      <c r="G12" s="17">
        <v>1793852</v>
      </c>
      <c r="H12" s="17">
        <v>7765</v>
      </c>
      <c r="I12" s="17" t="s">
        <v>93</v>
      </c>
      <c r="J12" s="17" t="s">
        <v>101</v>
      </c>
    </row>
    <row r="13" spans="1:12" x14ac:dyDescent="0.35">
      <c r="A13" s="17" t="s">
        <v>177</v>
      </c>
      <c r="B13" s="22" t="s">
        <v>24</v>
      </c>
      <c r="C13" s="17">
        <v>17711839</v>
      </c>
      <c r="D13" s="17">
        <v>17765507</v>
      </c>
      <c r="E13" s="22" t="s">
        <v>178</v>
      </c>
      <c r="F13" s="22" t="s">
        <v>42</v>
      </c>
      <c r="G13" s="17">
        <v>53669</v>
      </c>
      <c r="H13" s="17">
        <v>690</v>
      </c>
      <c r="I13" s="17" t="s">
        <v>93</v>
      </c>
      <c r="J13" s="22" t="s">
        <v>94</v>
      </c>
      <c r="K13" s="22"/>
      <c r="L13" s="17" t="s">
        <v>217</v>
      </c>
    </row>
    <row r="14" spans="1:12" x14ac:dyDescent="0.35">
      <c r="A14" s="17" t="s">
        <v>137</v>
      </c>
      <c r="B14" s="17" t="s">
        <v>22</v>
      </c>
      <c r="C14" s="17">
        <v>17291346</v>
      </c>
      <c r="D14" s="17">
        <v>17932775</v>
      </c>
      <c r="E14" s="17" t="s">
        <v>138</v>
      </c>
      <c r="F14" s="17" t="s">
        <v>42</v>
      </c>
      <c r="G14" s="17">
        <v>641430</v>
      </c>
      <c r="H14" s="17">
        <v>4217</v>
      </c>
      <c r="I14" s="17" t="s">
        <v>93</v>
      </c>
      <c r="J14" s="17" t="s">
        <v>101</v>
      </c>
    </row>
    <row r="15" spans="1:12" x14ac:dyDescent="0.35">
      <c r="A15" s="17" t="s">
        <v>126</v>
      </c>
      <c r="B15" s="17" t="s">
        <v>29</v>
      </c>
      <c r="C15" s="17">
        <v>19470902</v>
      </c>
      <c r="D15" s="17">
        <v>19534140</v>
      </c>
      <c r="E15" s="17" t="s">
        <v>127</v>
      </c>
      <c r="F15" s="17" t="s">
        <v>42</v>
      </c>
      <c r="G15" s="17">
        <v>63239</v>
      </c>
      <c r="H15" s="17">
        <v>106</v>
      </c>
      <c r="I15" s="17" t="s">
        <v>93</v>
      </c>
      <c r="J15" s="17" t="s">
        <v>101</v>
      </c>
    </row>
    <row r="16" spans="1:12" x14ac:dyDescent="0.35">
      <c r="A16" s="17" t="s">
        <v>128</v>
      </c>
      <c r="B16" s="17" t="s">
        <v>29</v>
      </c>
      <c r="C16" s="17">
        <v>19649444</v>
      </c>
      <c r="D16" s="17">
        <v>20129119</v>
      </c>
      <c r="E16" s="17" t="s">
        <v>129</v>
      </c>
      <c r="F16" s="17" t="s">
        <v>42</v>
      </c>
      <c r="G16" s="17">
        <v>479676</v>
      </c>
      <c r="H16" s="17">
        <v>3267</v>
      </c>
      <c r="I16" s="17" t="s">
        <v>93</v>
      </c>
      <c r="J16" s="17" t="s">
        <v>101</v>
      </c>
    </row>
    <row r="17" spans="1:12" x14ac:dyDescent="0.35">
      <c r="A17" s="17" t="s">
        <v>207</v>
      </c>
      <c r="B17" s="22" t="s">
        <v>14</v>
      </c>
      <c r="C17" s="17">
        <v>20480427</v>
      </c>
      <c r="D17" s="17">
        <v>20552362</v>
      </c>
      <c r="E17" s="22" t="s">
        <v>208</v>
      </c>
      <c r="F17" s="17" t="s">
        <v>42</v>
      </c>
      <c r="G17" s="17">
        <v>71936</v>
      </c>
      <c r="H17" s="17">
        <v>701</v>
      </c>
      <c r="I17" s="17" t="s">
        <v>93</v>
      </c>
      <c r="J17" s="22" t="s">
        <v>94</v>
      </c>
    </row>
    <row r="18" spans="1:12" x14ac:dyDescent="0.35">
      <c r="A18" s="17" t="s">
        <v>209</v>
      </c>
      <c r="B18" s="22" t="s">
        <v>14</v>
      </c>
      <c r="C18" s="17">
        <v>20889855</v>
      </c>
      <c r="D18" s="17">
        <v>20979788</v>
      </c>
      <c r="E18" s="22" t="s">
        <v>210</v>
      </c>
      <c r="F18" s="17" t="s">
        <v>42</v>
      </c>
      <c r="G18" s="17">
        <v>89934</v>
      </c>
      <c r="H18" s="17">
        <v>1325</v>
      </c>
      <c r="I18" s="17" t="s">
        <v>93</v>
      </c>
      <c r="J18" s="22" t="s">
        <v>94</v>
      </c>
    </row>
    <row r="19" spans="1:12" x14ac:dyDescent="0.35">
      <c r="A19" s="17" t="s">
        <v>205</v>
      </c>
      <c r="B19" s="22" t="s">
        <v>13</v>
      </c>
      <c r="C19" s="17">
        <v>5721507</v>
      </c>
      <c r="D19" s="17">
        <v>21630600</v>
      </c>
      <c r="E19" s="22" t="s">
        <v>206</v>
      </c>
      <c r="F19" s="17" t="s">
        <v>42</v>
      </c>
      <c r="G19" s="17">
        <v>15909094</v>
      </c>
      <c r="H19" s="17">
        <v>75949</v>
      </c>
      <c r="I19" s="17" t="s">
        <v>93</v>
      </c>
      <c r="J19" s="22" t="s">
        <v>101</v>
      </c>
    </row>
    <row r="20" spans="1:12" x14ac:dyDescent="0.35">
      <c r="A20" s="17" t="s">
        <v>189</v>
      </c>
      <c r="B20" s="22" t="s">
        <v>24</v>
      </c>
      <c r="C20" s="17">
        <v>9809792</v>
      </c>
      <c r="D20" s="17">
        <v>22027565</v>
      </c>
      <c r="E20" s="22" t="s">
        <v>190</v>
      </c>
      <c r="F20" s="22" t="s">
        <v>42</v>
      </c>
      <c r="G20" s="17">
        <v>12217774</v>
      </c>
      <c r="H20" s="17">
        <v>59570</v>
      </c>
      <c r="I20" s="17" t="s">
        <v>93</v>
      </c>
      <c r="J20" s="22" t="s">
        <v>101</v>
      </c>
      <c r="K20" s="22"/>
    </row>
    <row r="21" spans="1:12" x14ac:dyDescent="0.35">
      <c r="A21" s="17" t="s">
        <v>211</v>
      </c>
      <c r="B21" s="22" t="s">
        <v>14</v>
      </c>
      <c r="C21" s="17">
        <v>23512955</v>
      </c>
      <c r="D21" s="17">
        <v>24234262</v>
      </c>
      <c r="E21" s="22" t="s">
        <v>212</v>
      </c>
      <c r="F21" s="22" t="s">
        <v>42</v>
      </c>
      <c r="G21" s="17">
        <v>721308</v>
      </c>
      <c r="H21" s="17">
        <v>2432</v>
      </c>
      <c r="I21" s="17" t="s">
        <v>93</v>
      </c>
      <c r="J21" s="22" t="s">
        <v>101</v>
      </c>
      <c r="K21" s="22"/>
      <c r="L21" s="17" t="s">
        <v>217</v>
      </c>
    </row>
    <row r="22" spans="1:12" x14ac:dyDescent="0.35">
      <c r="A22" s="17" t="s">
        <v>191</v>
      </c>
      <c r="B22" s="22" t="s">
        <v>12</v>
      </c>
      <c r="C22" s="17">
        <v>19037622</v>
      </c>
      <c r="D22" s="17">
        <v>25457012</v>
      </c>
      <c r="E22" s="22" t="s">
        <v>192</v>
      </c>
      <c r="F22" s="22" t="s">
        <v>42</v>
      </c>
      <c r="G22" s="17">
        <v>6419391</v>
      </c>
      <c r="H22" s="17">
        <v>61407</v>
      </c>
      <c r="I22" s="17" t="s">
        <v>93</v>
      </c>
      <c r="J22" s="22" t="s">
        <v>94</v>
      </c>
      <c r="K22" s="22"/>
    </row>
    <row r="23" spans="1:12" x14ac:dyDescent="0.35">
      <c r="A23" s="17" t="s">
        <v>139</v>
      </c>
      <c r="B23" s="17" t="s">
        <v>22</v>
      </c>
      <c r="C23" s="17">
        <v>21834661</v>
      </c>
      <c r="D23" s="17">
        <v>25523512</v>
      </c>
      <c r="E23" s="17" t="s">
        <v>140</v>
      </c>
      <c r="F23" s="17" t="s">
        <v>42</v>
      </c>
      <c r="G23" s="17">
        <v>3688852</v>
      </c>
      <c r="H23" s="17">
        <v>16837</v>
      </c>
      <c r="I23" s="17" t="s">
        <v>93</v>
      </c>
      <c r="J23" s="17" t="s">
        <v>101</v>
      </c>
    </row>
    <row r="24" spans="1:12" x14ac:dyDescent="0.35">
      <c r="A24" s="17" t="s">
        <v>165</v>
      </c>
      <c r="B24" s="17" t="s">
        <v>30</v>
      </c>
      <c r="C24" s="17">
        <v>28365157</v>
      </c>
      <c r="D24" s="17">
        <v>28621917</v>
      </c>
      <c r="E24" s="17" t="s">
        <v>166</v>
      </c>
      <c r="F24" s="17" t="s">
        <v>42</v>
      </c>
      <c r="G24" s="17">
        <v>256761</v>
      </c>
      <c r="H24" s="17">
        <v>1135</v>
      </c>
      <c r="I24" s="17" t="s">
        <v>93</v>
      </c>
      <c r="J24" s="17" t="s">
        <v>101</v>
      </c>
      <c r="L24" s="17" t="s">
        <v>215</v>
      </c>
    </row>
    <row r="25" spans="1:12" x14ac:dyDescent="0.35">
      <c r="A25" s="17" t="s">
        <v>130</v>
      </c>
      <c r="B25" s="17" t="s">
        <v>29</v>
      </c>
      <c r="C25" s="17">
        <v>29131061</v>
      </c>
      <c r="D25" s="17">
        <v>29185062</v>
      </c>
      <c r="E25" s="17" t="s">
        <v>131</v>
      </c>
      <c r="F25" s="17" t="s">
        <v>132</v>
      </c>
      <c r="G25" s="17">
        <v>54002</v>
      </c>
      <c r="H25" s="17">
        <v>3</v>
      </c>
      <c r="I25" s="17" t="s">
        <v>93</v>
      </c>
      <c r="J25" s="17" t="s">
        <v>101</v>
      </c>
    </row>
    <row r="26" spans="1:12" x14ac:dyDescent="0.35">
      <c r="A26" s="17" t="s">
        <v>193</v>
      </c>
      <c r="B26" s="22" t="s">
        <v>12</v>
      </c>
      <c r="C26" s="17">
        <v>29604687</v>
      </c>
      <c r="D26" s="17">
        <v>29678570</v>
      </c>
      <c r="E26" s="22" t="s">
        <v>194</v>
      </c>
      <c r="F26" s="22" t="s">
        <v>42</v>
      </c>
      <c r="G26" s="17">
        <v>73884</v>
      </c>
      <c r="H26" s="17">
        <v>1181</v>
      </c>
      <c r="I26" s="17" t="s">
        <v>93</v>
      </c>
      <c r="J26" s="22" t="s">
        <v>101</v>
      </c>
      <c r="K26" s="22"/>
    </row>
    <row r="27" spans="1:12" ht="13.3" thickBot="1" x14ac:dyDescent="0.4">
      <c r="A27" s="17" t="s">
        <v>122</v>
      </c>
      <c r="B27" s="17" t="s">
        <v>21</v>
      </c>
      <c r="C27" s="17">
        <v>29851424</v>
      </c>
      <c r="D27" s="17">
        <v>30938930</v>
      </c>
      <c r="E27" s="17" t="s">
        <v>123</v>
      </c>
      <c r="F27" s="17" t="s">
        <v>42</v>
      </c>
      <c r="G27" s="17">
        <v>1087507</v>
      </c>
      <c r="H27" s="17">
        <v>10433</v>
      </c>
      <c r="I27" s="17" t="s">
        <v>93</v>
      </c>
      <c r="J27" s="17" t="s">
        <v>94</v>
      </c>
      <c r="L27" s="17" t="s">
        <v>216</v>
      </c>
    </row>
    <row r="28" spans="1:12" ht="13.3" thickBot="1" x14ac:dyDescent="0.4">
      <c r="A28" s="17" t="s">
        <v>110</v>
      </c>
      <c r="B28" s="18" t="s">
        <v>28</v>
      </c>
      <c r="C28" s="17">
        <v>31281477</v>
      </c>
      <c r="D28" s="17">
        <v>31517355</v>
      </c>
      <c r="E28" s="18" t="s">
        <v>111</v>
      </c>
      <c r="F28" s="18" t="s">
        <v>42</v>
      </c>
      <c r="G28" s="17">
        <v>235879</v>
      </c>
      <c r="H28" s="17">
        <v>2329</v>
      </c>
      <c r="I28" s="17" t="s">
        <v>93</v>
      </c>
      <c r="J28" s="18" t="s">
        <v>94</v>
      </c>
      <c r="K28" s="18"/>
    </row>
    <row r="29" spans="1:12" ht="13.3" thickBot="1" x14ac:dyDescent="0.4">
      <c r="A29" s="17" t="s">
        <v>133</v>
      </c>
      <c r="B29" s="18" t="s">
        <v>29</v>
      </c>
      <c r="C29" s="17">
        <v>33405912</v>
      </c>
      <c r="D29" s="17">
        <v>33548495</v>
      </c>
      <c r="E29" s="18" t="s">
        <v>134</v>
      </c>
      <c r="F29" s="18" t="s">
        <v>42</v>
      </c>
      <c r="G29" s="17">
        <v>142584</v>
      </c>
      <c r="H29" s="17">
        <v>306</v>
      </c>
      <c r="I29" s="17" t="s">
        <v>93</v>
      </c>
      <c r="J29" s="18" t="s">
        <v>101</v>
      </c>
      <c r="K29" s="18"/>
      <c r="L29" s="17" t="s">
        <v>215</v>
      </c>
    </row>
    <row r="30" spans="1:12" ht="13.3" thickBot="1" x14ac:dyDescent="0.4">
      <c r="A30" s="17" t="s">
        <v>195</v>
      </c>
      <c r="B30" s="18" t="s">
        <v>12</v>
      </c>
      <c r="C30" s="17">
        <v>33282116</v>
      </c>
      <c r="D30" s="17">
        <v>33828931</v>
      </c>
      <c r="E30" s="18" t="s">
        <v>196</v>
      </c>
      <c r="F30" s="18" t="s">
        <v>42</v>
      </c>
      <c r="G30" s="17">
        <v>546816</v>
      </c>
      <c r="H30" s="17">
        <v>3336</v>
      </c>
      <c r="I30" s="17" t="s">
        <v>93</v>
      </c>
      <c r="J30" s="18" t="s">
        <v>94</v>
      </c>
      <c r="K30" s="18"/>
      <c r="L30" s="17" t="s">
        <v>217</v>
      </c>
    </row>
    <row r="31" spans="1:12" ht="13.3" thickBot="1" x14ac:dyDescent="0.4">
      <c r="A31" s="17" t="s">
        <v>167</v>
      </c>
      <c r="B31" s="18" t="s">
        <v>30</v>
      </c>
      <c r="C31" s="17">
        <v>33525886</v>
      </c>
      <c r="D31" s="17">
        <v>34075204</v>
      </c>
      <c r="E31" s="18" t="s">
        <v>168</v>
      </c>
      <c r="F31" s="18" t="s">
        <v>42</v>
      </c>
      <c r="G31" s="17">
        <v>549319</v>
      </c>
      <c r="H31" s="17">
        <v>3738</v>
      </c>
      <c r="I31" s="17" t="s">
        <v>93</v>
      </c>
      <c r="J31" s="18" t="s">
        <v>101</v>
      </c>
      <c r="K31" s="18"/>
    </row>
    <row r="32" spans="1:12" ht="13.3" thickBot="1" x14ac:dyDescent="0.4">
      <c r="A32" s="17" t="s">
        <v>135</v>
      </c>
      <c r="B32" s="18" t="s">
        <v>29</v>
      </c>
      <c r="C32" s="17">
        <v>33756784</v>
      </c>
      <c r="D32" s="17">
        <v>34078472</v>
      </c>
      <c r="E32" s="18" t="s">
        <v>136</v>
      </c>
      <c r="F32" s="18" t="s">
        <v>42</v>
      </c>
      <c r="G32" s="17">
        <v>321689</v>
      </c>
      <c r="H32" s="17">
        <v>680</v>
      </c>
      <c r="I32" s="17" t="s">
        <v>93</v>
      </c>
      <c r="J32" s="18" t="s">
        <v>101</v>
      </c>
      <c r="K32" s="18"/>
      <c r="L32" s="17" t="s">
        <v>215</v>
      </c>
    </row>
    <row r="33" spans="1:12" ht="13.3" thickBot="1" x14ac:dyDescent="0.4">
      <c r="A33" s="17" t="s">
        <v>169</v>
      </c>
      <c r="B33" s="18" t="s">
        <v>31</v>
      </c>
      <c r="C33" s="17">
        <v>35057395</v>
      </c>
      <c r="D33" s="17">
        <v>35210344</v>
      </c>
      <c r="E33" s="18" t="s">
        <v>170</v>
      </c>
      <c r="F33" s="18" t="s">
        <v>42</v>
      </c>
      <c r="G33" s="17">
        <v>152950</v>
      </c>
      <c r="H33" s="17">
        <v>970</v>
      </c>
      <c r="I33" s="17" t="s">
        <v>93</v>
      </c>
      <c r="J33" s="18" t="s">
        <v>101</v>
      </c>
      <c r="K33" s="18"/>
    </row>
    <row r="34" spans="1:12" ht="13.3" thickBot="1" x14ac:dyDescent="0.4">
      <c r="A34" s="17" t="s">
        <v>213</v>
      </c>
      <c r="B34" s="18" t="s">
        <v>14</v>
      </c>
      <c r="C34" s="17">
        <v>34704236</v>
      </c>
      <c r="D34" s="17">
        <v>36215729</v>
      </c>
      <c r="E34" s="18" t="s">
        <v>214</v>
      </c>
      <c r="F34" s="18" t="s">
        <v>42</v>
      </c>
      <c r="G34" s="17">
        <v>1511494</v>
      </c>
      <c r="H34" s="17">
        <v>9724</v>
      </c>
      <c r="I34" s="17" t="s">
        <v>93</v>
      </c>
      <c r="J34" s="18" t="s">
        <v>101</v>
      </c>
      <c r="K34" s="18"/>
    </row>
    <row r="35" spans="1:12" ht="13.3" thickBot="1" x14ac:dyDescent="0.4">
      <c r="A35" s="17" t="s">
        <v>124</v>
      </c>
      <c r="B35" s="18" t="s">
        <v>21</v>
      </c>
      <c r="C35" s="17">
        <v>34146215</v>
      </c>
      <c r="D35" s="17">
        <v>36728255</v>
      </c>
      <c r="E35" s="18" t="s">
        <v>125</v>
      </c>
      <c r="F35" s="18" t="s">
        <v>42</v>
      </c>
      <c r="G35" s="17">
        <v>2582041</v>
      </c>
      <c r="H35" s="17">
        <v>15086</v>
      </c>
      <c r="I35" s="17" t="s">
        <v>93</v>
      </c>
      <c r="J35" s="18" t="s">
        <v>101</v>
      </c>
      <c r="K35" s="18"/>
    </row>
    <row r="36" spans="1:12" ht="13.3" thickBot="1" x14ac:dyDescent="0.4">
      <c r="A36" s="17" t="s">
        <v>203</v>
      </c>
      <c r="B36" s="18" t="s">
        <v>13</v>
      </c>
      <c r="C36" s="17">
        <v>37234983</v>
      </c>
      <c r="D36" s="17">
        <v>37289301</v>
      </c>
      <c r="E36" s="18" t="s">
        <v>204</v>
      </c>
      <c r="F36" s="18" t="s">
        <v>42</v>
      </c>
      <c r="G36" s="17">
        <v>54319</v>
      </c>
      <c r="H36" s="17">
        <v>576</v>
      </c>
      <c r="I36" s="17" t="s">
        <v>93</v>
      </c>
      <c r="J36" s="18" t="s">
        <v>101</v>
      </c>
      <c r="K36" s="18"/>
    </row>
    <row r="37" spans="1:12" ht="13.3" thickBot="1" x14ac:dyDescent="0.4">
      <c r="A37" s="17" t="s">
        <v>95</v>
      </c>
      <c r="B37" s="18" t="s">
        <v>27</v>
      </c>
      <c r="C37" s="17">
        <v>37462949</v>
      </c>
      <c r="D37" s="17">
        <v>37530799</v>
      </c>
      <c r="E37" s="18" t="s">
        <v>96</v>
      </c>
      <c r="F37" s="18" t="s">
        <v>42</v>
      </c>
      <c r="G37" s="17">
        <v>67851</v>
      </c>
      <c r="H37" s="17">
        <v>1155</v>
      </c>
      <c r="I37" s="17" t="s">
        <v>93</v>
      </c>
      <c r="J37" s="18" t="s">
        <v>94</v>
      </c>
      <c r="K37" s="18"/>
    </row>
    <row r="38" spans="1:12" ht="13.3" thickBot="1" x14ac:dyDescent="0.4">
      <c r="A38" s="17" t="s">
        <v>181</v>
      </c>
      <c r="B38" s="18" t="s">
        <v>24</v>
      </c>
      <c r="C38" s="17">
        <v>39775010</v>
      </c>
      <c r="D38" s="17">
        <v>41809929</v>
      </c>
      <c r="E38" s="18" t="s">
        <v>182</v>
      </c>
      <c r="F38" s="18" t="s">
        <v>42</v>
      </c>
      <c r="G38" s="17">
        <v>2034920</v>
      </c>
      <c r="H38" s="17">
        <v>15291</v>
      </c>
      <c r="I38" s="17" t="s">
        <v>93</v>
      </c>
      <c r="J38" s="18" t="s">
        <v>94</v>
      </c>
      <c r="K38" s="18"/>
    </row>
    <row r="39" spans="1:12" ht="13.3" thickBot="1" x14ac:dyDescent="0.4">
      <c r="A39" s="17" t="s">
        <v>112</v>
      </c>
      <c r="B39" s="18" t="s">
        <v>28</v>
      </c>
      <c r="C39" s="17">
        <v>42821672</v>
      </c>
      <c r="D39" s="17">
        <v>43253858</v>
      </c>
      <c r="E39" s="18" t="s">
        <v>113</v>
      </c>
      <c r="F39" s="18" t="s">
        <v>42</v>
      </c>
      <c r="G39" s="17">
        <v>432187</v>
      </c>
      <c r="H39" s="17">
        <v>5757</v>
      </c>
      <c r="I39" s="17" t="s">
        <v>93</v>
      </c>
      <c r="J39" s="18" t="s">
        <v>94</v>
      </c>
      <c r="K39" s="18"/>
      <c r="L39" s="17" t="s">
        <v>216</v>
      </c>
    </row>
    <row r="40" spans="1:12" ht="13.3" thickBot="1" x14ac:dyDescent="0.4">
      <c r="A40" s="17" t="s">
        <v>114</v>
      </c>
      <c r="B40" s="18" t="s">
        <v>28</v>
      </c>
      <c r="C40" s="17">
        <v>44532205</v>
      </c>
      <c r="D40" s="17">
        <v>44645013</v>
      </c>
      <c r="E40" s="18" t="s">
        <v>115</v>
      </c>
      <c r="F40" s="18" t="s">
        <v>42</v>
      </c>
      <c r="G40" s="17">
        <v>112809</v>
      </c>
      <c r="H40" s="17">
        <v>2027</v>
      </c>
      <c r="I40" s="17" t="s">
        <v>93</v>
      </c>
      <c r="J40" s="18" t="s">
        <v>94</v>
      </c>
      <c r="K40" s="18"/>
    </row>
    <row r="41" spans="1:12" ht="13.3" thickBot="1" x14ac:dyDescent="0.4">
      <c r="A41" s="17" t="s">
        <v>97</v>
      </c>
      <c r="B41" s="18" t="s">
        <v>27</v>
      </c>
      <c r="C41" s="17">
        <v>44646605</v>
      </c>
      <c r="D41" s="17">
        <v>45238069</v>
      </c>
      <c r="E41" s="18" t="s">
        <v>98</v>
      </c>
      <c r="F41" s="18" t="s">
        <v>42</v>
      </c>
      <c r="G41" s="17">
        <v>591465</v>
      </c>
      <c r="H41" s="17">
        <v>3858</v>
      </c>
      <c r="I41" s="17" t="s">
        <v>93</v>
      </c>
      <c r="J41" s="18" t="s">
        <v>94</v>
      </c>
      <c r="K41" s="18"/>
      <c r="L41" s="17" t="s">
        <v>217</v>
      </c>
    </row>
    <row r="42" spans="1:12" ht="13.3" thickBot="1" x14ac:dyDescent="0.4">
      <c r="A42" s="17" t="s">
        <v>157</v>
      </c>
      <c r="B42" s="18" t="s">
        <v>23</v>
      </c>
      <c r="C42" s="17">
        <v>34928752</v>
      </c>
      <c r="D42" s="17">
        <v>45709542</v>
      </c>
      <c r="E42" s="18" t="s">
        <v>158</v>
      </c>
      <c r="F42" s="18" t="s">
        <v>42</v>
      </c>
      <c r="G42" s="17">
        <v>10780791</v>
      </c>
      <c r="H42" s="17">
        <v>57091</v>
      </c>
      <c r="I42" s="17" t="s">
        <v>93</v>
      </c>
      <c r="J42" s="18" t="s">
        <v>101</v>
      </c>
      <c r="K42" s="18"/>
    </row>
    <row r="43" spans="1:12" ht="13.3" thickBot="1" x14ac:dyDescent="0.4">
      <c r="A43" s="17" t="s">
        <v>171</v>
      </c>
      <c r="B43" s="18" t="s">
        <v>31</v>
      </c>
      <c r="C43" s="17">
        <v>45836191</v>
      </c>
      <c r="D43" s="17">
        <v>46017978</v>
      </c>
      <c r="E43" s="18" t="s">
        <v>172</v>
      </c>
      <c r="F43" s="18" t="s">
        <v>42</v>
      </c>
      <c r="G43" s="17">
        <v>181788</v>
      </c>
      <c r="H43" s="17">
        <v>1681</v>
      </c>
      <c r="I43" s="17" t="s">
        <v>93</v>
      </c>
      <c r="J43" s="18" t="s">
        <v>101</v>
      </c>
      <c r="K43" s="18"/>
    </row>
    <row r="44" spans="1:12" ht="13.3" thickBot="1" x14ac:dyDescent="0.4">
      <c r="A44" s="17" t="s">
        <v>141</v>
      </c>
      <c r="B44" s="18" t="s">
        <v>22</v>
      </c>
      <c r="C44" s="17">
        <v>47251888</v>
      </c>
      <c r="D44" s="17">
        <v>47314401</v>
      </c>
      <c r="E44" s="18" t="s">
        <v>142</v>
      </c>
      <c r="F44" s="18" t="s">
        <v>42</v>
      </c>
      <c r="G44" s="17">
        <v>62514</v>
      </c>
      <c r="H44" s="17">
        <v>1262</v>
      </c>
      <c r="I44" s="17" t="s">
        <v>93</v>
      </c>
      <c r="J44" s="18" t="s">
        <v>101</v>
      </c>
      <c r="K44" s="18"/>
    </row>
    <row r="45" spans="1:12" ht="13.3" thickBot="1" x14ac:dyDescent="0.4">
      <c r="A45" s="17" t="s">
        <v>159</v>
      </c>
      <c r="B45" s="18" t="s">
        <v>23</v>
      </c>
      <c r="C45" s="17">
        <v>47433824</v>
      </c>
      <c r="D45" s="17">
        <v>47492377</v>
      </c>
      <c r="E45" s="18" t="s">
        <v>160</v>
      </c>
      <c r="F45" s="18" t="s">
        <v>42</v>
      </c>
      <c r="G45" s="17">
        <v>58554</v>
      </c>
      <c r="H45" s="17">
        <v>386</v>
      </c>
      <c r="I45" s="17" t="s">
        <v>93</v>
      </c>
      <c r="J45" s="18" t="s">
        <v>94</v>
      </c>
      <c r="K45" s="18"/>
    </row>
    <row r="46" spans="1:12" ht="13.3" thickBot="1" x14ac:dyDescent="0.4">
      <c r="A46" s="17" t="s">
        <v>99</v>
      </c>
      <c r="B46" s="18" t="s">
        <v>27</v>
      </c>
      <c r="C46" s="17">
        <v>47849883</v>
      </c>
      <c r="D46" s="17">
        <v>47965246</v>
      </c>
      <c r="E46" s="18" t="s">
        <v>100</v>
      </c>
      <c r="F46" s="18" t="s">
        <v>42</v>
      </c>
      <c r="G46" s="17">
        <v>115364</v>
      </c>
      <c r="H46" s="17">
        <v>827</v>
      </c>
      <c r="I46" s="17" t="s">
        <v>93</v>
      </c>
      <c r="J46" s="18" t="s">
        <v>101</v>
      </c>
      <c r="K46" s="18"/>
    </row>
    <row r="47" spans="1:12" ht="13.3" thickBot="1" x14ac:dyDescent="0.4">
      <c r="A47" s="17" t="s">
        <v>143</v>
      </c>
      <c r="B47" s="18" t="s">
        <v>22</v>
      </c>
      <c r="C47" s="17">
        <v>49492465</v>
      </c>
      <c r="D47" s="17">
        <v>50263435</v>
      </c>
      <c r="E47" s="18" t="s">
        <v>144</v>
      </c>
      <c r="F47" s="18" t="s">
        <v>42</v>
      </c>
      <c r="G47" s="17">
        <v>770971</v>
      </c>
      <c r="H47" s="17">
        <v>3535</v>
      </c>
      <c r="I47" s="17" t="s">
        <v>93</v>
      </c>
      <c r="J47" s="18" t="s">
        <v>101</v>
      </c>
      <c r="K47" s="18"/>
      <c r="L47" s="17" t="s">
        <v>217</v>
      </c>
    </row>
    <row r="48" spans="1:12" ht="13.3" thickBot="1" x14ac:dyDescent="0.4">
      <c r="A48" s="17" t="s">
        <v>102</v>
      </c>
      <c r="B48" s="18" t="s">
        <v>27</v>
      </c>
      <c r="C48" s="17">
        <v>50991354</v>
      </c>
      <c r="D48" s="17">
        <v>51284670</v>
      </c>
      <c r="E48" s="18" t="s">
        <v>103</v>
      </c>
      <c r="F48" s="18" t="s">
        <v>42</v>
      </c>
      <c r="G48" s="17">
        <v>293317</v>
      </c>
      <c r="H48" s="17">
        <v>2555</v>
      </c>
      <c r="I48" s="17" t="s">
        <v>93</v>
      </c>
      <c r="J48" s="18" t="s">
        <v>101</v>
      </c>
      <c r="K48" s="18"/>
    </row>
    <row r="49" spans="1:12" ht="13.3" thickBot="1" x14ac:dyDescent="0.4">
      <c r="A49" s="17" t="s">
        <v>145</v>
      </c>
      <c r="B49" s="18" t="s">
        <v>22</v>
      </c>
      <c r="C49" s="17">
        <v>51327874</v>
      </c>
      <c r="D49" s="17">
        <v>51598716</v>
      </c>
      <c r="E49" s="18" t="s">
        <v>146</v>
      </c>
      <c r="F49" s="18" t="s">
        <v>42</v>
      </c>
      <c r="G49" s="17">
        <v>270843</v>
      </c>
      <c r="H49" s="17">
        <v>817</v>
      </c>
      <c r="I49" s="17" t="s">
        <v>93</v>
      </c>
      <c r="J49" s="18" t="s">
        <v>101</v>
      </c>
      <c r="K49" s="18"/>
      <c r="L49" s="17" t="s">
        <v>216</v>
      </c>
    </row>
    <row r="50" spans="1:12" ht="13.3" thickBot="1" x14ac:dyDescent="0.4">
      <c r="A50" s="17" t="s">
        <v>116</v>
      </c>
      <c r="B50" s="18" t="s">
        <v>28</v>
      </c>
      <c r="C50" s="17">
        <v>51581359</v>
      </c>
      <c r="D50" s="17">
        <v>51645885</v>
      </c>
      <c r="E50" s="18" t="s">
        <v>117</v>
      </c>
      <c r="F50" s="18" t="s">
        <v>42</v>
      </c>
      <c r="G50" s="17">
        <v>64527</v>
      </c>
      <c r="H50" s="17">
        <v>1050</v>
      </c>
      <c r="I50" s="17" t="s">
        <v>93</v>
      </c>
      <c r="J50" s="18" t="s">
        <v>94</v>
      </c>
      <c r="K50" s="18"/>
    </row>
    <row r="51" spans="1:12" ht="13.3" thickBot="1" x14ac:dyDescent="0.4">
      <c r="A51" s="17" t="s">
        <v>104</v>
      </c>
      <c r="B51" s="18" t="s">
        <v>27</v>
      </c>
      <c r="C51" s="17">
        <v>51285202</v>
      </c>
      <c r="D51" s="17">
        <v>51882879</v>
      </c>
      <c r="E51" s="18" t="s">
        <v>105</v>
      </c>
      <c r="F51" s="17" t="s">
        <v>42</v>
      </c>
      <c r="G51" s="17">
        <v>597678</v>
      </c>
      <c r="H51" s="17">
        <v>868</v>
      </c>
      <c r="I51" s="17" t="s">
        <v>93</v>
      </c>
      <c r="J51" s="18" t="s">
        <v>94</v>
      </c>
    </row>
    <row r="52" spans="1:12" ht="13.3" thickBot="1" x14ac:dyDescent="0.4">
      <c r="A52" s="17" t="s">
        <v>106</v>
      </c>
      <c r="B52" s="18" t="s">
        <v>27</v>
      </c>
      <c r="C52" s="17">
        <v>52189871</v>
      </c>
      <c r="D52" s="17">
        <v>52378704</v>
      </c>
      <c r="E52" s="18" t="s">
        <v>107</v>
      </c>
      <c r="F52" s="17" t="s">
        <v>42</v>
      </c>
      <c r="G52" s="17">
        <v>188834</v>
      </c>
      <c r="H52" s="17">
        <v>248</v>
      </c>
      <c r="I52" s="17" t="s">
        <v>93</v>
      </c>
      <c r="J52" s="18" t="s">
        <v>101</v>
      </c>
    </row>
    <row r="53" spans="1:12" ht="13.3" thickBot="1" x14ac:dyDescent="0.4">
      <c r="A53" s="17" t="s">
        <v>197</v>
      </c>
      <c r="B53" s="18" t="s">
        <v>12</v>
      </c>
      <c r="C53" s="17">
        <v>53484874</v>
      </c>
      <c r="D53" s="17">
        <v>54381035</v>
      </c>
      <c r="E53" s="18" t="s">
        <v>198</v>
      </c>
      <c r="F53" s="22" t="s">
        <v>42</v>
      </c>
      <c r="G53" s="17">
        <v>896162</v>
      </c>
      <c r="H53" s="17">
        <v>5440</v>
      </c>
      <c r="I53" s="17" t="s">
        <v>93</v>
      </c>
      <c r="J53" s="18" t="s">
        <v>101</v>
      </c>
      <c r="K53" s="22"/>
    </row>
    <row r="54" spans="1:12" ht="13.3" thickBot="1" x14ac:dyDescent="0.4">
      <c r="A54" s="17" t="s">
        <v>199</v>
      </c>
      <c r="B54" s="18" t="s">
        <v>12</v>
      </c>
      <c r="C54" s="17">
        <v>55425135</v>
      </c>
      <c r="D54" s="17">
        <v>55765647</v>
      </c>
      <c r="E54" s="18" t="s">
        <v>200</v>
      </c>
      <c r="F54" s="22" t="s">
        <v>42</v>
      </c>
      <c r="G54" s="17">
        <v>340513</v>
      </c>
      <c r="H54" s="17">
        <v>1769</v>
      </c>
      <c r="I54" s="17" t="s">
        <v>93</v>
      </c>
      <c r="J54" s="18" t="s">
        <v>101</v>
      </c>
      <c r="K54" s="22"/>
    </row>
    <row r="55" spans="1:12" ht="13.3" thickBot="1" x14ac:dyDescent="0.4">
      <c r="A55" s="17" t="s">
        <v>173</v>
      </c>
      <c r="B55" s="18" t="s">
        <v>31</v>
      </c>
      <c r="C55" s="17">
        <v>55873686</v>
      </c>
      <c r="D55" s="17">
        <v>55996025</v>
      </c>
      <c r="E55" s="18" t="s">
        <v>174</v>
      </c>
      <c r="F55" s="22" t="s">
        <v>42</v>
      </c>
      <c r="G55" s="17">
        <v>122340</v>
      </c>
      <c r="H55" s="17">
        <v>1123</v>
      </c>
      <c r="I55" s="17" t="s">
        <v>93</v>
      </c>
      <c r="J55" s="18" t="s">
        <v>94</v>
      </c>
      <c r="K55" s="22"/>
    </row>
    <row r="56" spans="1:12" ht="13.3" thickBot="1" x14ac:dyDescent="0.4">
      <c r="A56" s="17" t="s">
        <v>147</v>
      </c>
      <c r="B56" s="18" t="s">
        <v>22</v>
      </c>
      <c r="C56" s="17">
        <v>56273069</v>
      </c>
      <c r="D56" s="17">
        <v>56361155</v>
      </c>
      <c r="E56" s="18" t="s">
        <v>148</v>
      </c>
      <c r="F56" s="17" t="s">
        <v>42</v>
      </c>
      <c r="G56" s="17">
        <v>88087</v>
      </c>
      <c r="H56" s="17">
        <v>215</v>
      </c>
      <c r="I56" s="17" t="s">
        <v>93</v>
      </c>
      <c r="J56" s="18" t="s">
        <v>94</v>
      </c>
    </row>
    <row r="57" spans="1:12" ht="13.3" thickBot="1" x14ac:dyDescent="0.4">
      <c r="A57" s="17" t="s">
        <v>175</v>
      </c>
      <c r="B57" s="18" t="s">
        <v>31</v>
      </c>
      <c r="C57" s="17">
        <v>56940391</v>
      </c>
      <c r="D57" s="17">
        <v>58414468</v>
      </c>
      <c r="E57" s="18" t="s">
        <v>176</v>
      </c>
      <c r="F57" s="22" t="s">
        <v>42</v>
      </c>
      <c r="G57" s="17">
        <v>1474078</v>
      </c>
      <c r="H57" s="17">
        <v>6150</v>
      </c>
      <c r="I57" s="17" t="s">
        <v>93</v>
      </c>
      <c r="J57" s="18" t="s">
        <v>101</v>
      </c>
      <c r="K57" s="22"/>
    </row>
    <row r="58" spans="1:12" ht="13.3" thickBot="1" x14ac:dyDescent="0.4">
      <c r="A58" s="17" t="s">
        <v>149</v>
      </c>
      <c r="B58" s="23" t="s">
        <v>22</v>
      </c>
      <c r="C58" s="17">
        <v>64547172</v>
      </c>
      <c r="D58" s="17">
        <v>64773795</v>
      </c>
      <c r="E58" s="17" t="s">
        <v>150</v>
      </c>
      <c r="F58" s="17" t="s">
        <v>42</v>
      </c>
      <c r="G58" s="17">
        <v>226624</v>
      </c>
      <c r="H58" s="17">
        <v>1136</v>
      </c>
      <c r="I58" s="17" t="s">
        <v>93</v>
      </c>
      <c r="J58" s="18" t="s">
        <v>101</v>
      </c>
    </row>
    <row r="59" spans="1:12" ht="13.3" thickBot="1" x14ac:dyDescent="0.4">
      <c r="A59" s="17" t="s">
        <v>151</v>
      </c>
      <c r="B59" s="18" t="s">
        <v>22</v>
      </c>
      <c r="C59" s="17">
        <v>64821634</v>
      </c>
      <c r="D59" s="17">
        <v>65199053</v>
      </c>
      <c r="E59" s="18" t="s">
        <v>152</v>
      </c>
      <c r="F59" s="18" t="s">
        <v>42</v>
      </c>
      <c r="G59" s="17">
        <v>377420</v>
      </c>
      <c r="H59" s="17">
        <v>2669</v>
      </c>
      <c r="I59" s="17" t="s">
        <v>93</v>
      </c>
      <c r="J59" s="18" t="s">
        <v>94</v>
      </c>
      <c r="K59" s="18"/>
    </row>
    <row r="60" spans="1:12" ht="13.3" thickBot="1" x14ac:dyDescent="0.4">
      <c r="A60" s="17" t="s">
        <v>153</v>
      </c>
      <c r="B60" s="18" t="s">
        <v>22</v>
      </c>
      <c r="C60" s="17">
        <v>64954979</v>
      </c>
      <c r="D60" s="17">
        <v>65255639</v>
      </c>
      <c r="E60" s="18" t="s">
        <v>154</v>
      </c>
      <c r="F60" s="18" t="s">
        <v>42</v>
      </c>
      <c r="G60" s="17">
        <v>300661</v>
      </c>
      <c r="H60" s="17">
        <v>2295</v>
      </c>
      <c r="I60" s="17" t="s">
        <v>93</v>
      </c>
      <c r="J60" s="18" t="s">
        <v>101</v>
      </c>
      <c r="K60" s="18"/>
    </row>
    <row r="61" spans="1:12" ht="13.3" thickBot="1" x14ac:dyDescent="0.4">
      <c r="A61" s="17" t="s">
        <v>118</v>
      </c>
      <c r="B61" s="18" t="s">
        <v>28</v>
      </c>
      <c r="C61" s="17">
        <v>68146229</v>
      </c>
      <c r="D61" s="17">
        <v>68439509</v>
      </c>
      <c r="E61" s="18" t="s">
        <v>119</v>
      </c>
      <c r="F61" s="18" t="s">
        <v>42</v>
      </c>
      <c r="G61" s="17">
        <v>293281</v>
      </c>
      <c r="H61" s="17">
        <v>992</v>
      </c>
      <c r="I61" s="17" t="s">
        <v>93</v>
      </c>
      <c r="J61" s="18" t="s">
        <v>94</v>
      </c>
      <c r="K61" s="18"/>
    </row>
  </sheetData>
  <sortState xmlns:xlrd2="http://schemas.microsoft.com/office/spreadsheetml/2017/richdata2" ref="A2:L63">
    <sortCondition ref="K2:K63"/>
    <sortCondition ref="D2:D6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Sheet3</vt:lpstr>
      <vt:lpstr>Sheet4</vt:lpstr>
      <vt:lpstr>CentRegion</vt:lpstr>
      <vt:lpstr>CentInv</vt:lpstr>
      <vt:lpstr>Sheet2</vt:lpstr>
      <vt:lpstr>Sheet5</vt:lpstr>
      <vt:lpstr>Sheet6</vt:lpstr>
      <vt:lpstr>InterArrays</vt:lpstr>
      <vt:lpstr>simple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Rebekah Mohn</dc:creator>
  <cp:lastModifiedBy>Rebekah Mohn</cp:lastModifiedBy>
  <dcterms:created xsi:type="dcterms:W3CDTF">2015-06-05T18:17:20Z</dcterms:created>
  <dcterms:modified xsi:type="dcterms:W3CDTF">2026-06-03T20:00:06Z</dcterms:modified>
</cp:coreProperties>
</file>