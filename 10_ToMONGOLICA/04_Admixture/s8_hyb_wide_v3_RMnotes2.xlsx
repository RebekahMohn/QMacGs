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"/>
    </mc:Choice>
  </mc:AlternateContent>
  <xr:revisionPtr revIDLastSave="0" documentId="13_ncr:1_{62F24184-2627-4418-ABB3-1F0961966CFF}" xr6:coauthVersionLast="47" xr6:coauthVersionMax="47" xr10:uidLastSave="{00000000-0000-0000-0000-000000000000}"/>
  <bookViews>
    <workbookView minimized="1" xWindow="3077" yWindow="2683" windowWidth="12352" windowHeight="6883" xr2:uid="{00000000-000D-0000-FFFF-FFFF00000000}"/>
  </bookViews>
  <sheets>
    <sheet name="s8_hyb_wide_v3_RMnotes" sheetId="1" r:id="rId1"/>
    <sheet name="Sheet2" sheetId="3" r:id="rId2"/>
    <sheet name="Sheet3" sheetId="4" r:id="rId3"/>
    <sheet name="Sheet1" sheetId="2" r:id="rId4"/>
  </sheets>
  <definedNames>
    <definedName name="_xlnm._FilterDatabase" localSheetId="0" hidden="1">s8_hyb_wide_v3_RMnotes!$A$1:$AH$678</definedName>
    <definedName name="_xlnm._FilterDatabase" localSheetId="2" hidden="1">Sheet3!$A$1:$E$1047945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2" i="4"/>
  <c r="AD630" i="1"/>
  <c r="AD632" i="1"/>
  <c r="AD635" i="1"/>
  <c r="AD636" i="1"/>
  <c r="AD637" i="1"/>
  <c r="AD626" i="1"/>
  <c r="AB59" i="1"/>
  <c r="AB60" i="1"/>
  <c r="AB417" i="1"/>
  <c r="AB418" i="1"/>
  <c r="AB419" i="1"/>
  <c r="AB420" i="1"/>
  <c r="AB421" i="1"/>
  <c r="AB422" i="1"/>
  <c r="AB423" i="1"/>
  <c r="AB424" i="1"/>
  <c r="AB425" i="1"/>
  <c r="AB61" i="1"/>
  <c r="AB64" i="1"/>
  <c r="AB63" i="1"/>
  <c r="AB62" i="1"/>
  <c r="AB65" i="1"/>
  <c r="AB66" i="1"/>
  <c r="AB68" i="1"/>
  <c r="AB67" i="1"/>
  <c r="AB69" i="1"/>
  <c r="AB71" i="1"/>
  <c r="AB70" i="1"/>
  <c r="AB72" i="1"/>
  <c r="AB73" i="1"/>
  <c r="AB426" i="1"/>
  <c r="AB427" i="1"/>
  <c r="AB428" i="1"/>
  <c r="AB429" i="1"/>
  <c r="AB430" i="1"/>
  <c r="AB431" i="1"/>
  <c r="AB432" i="1"/>
  <c r="AB433" i="1"/>
  <c r="AB434" i="1"/>
  <c r="AB435" i="1"/>
  <c r="AB436" i="1"/>
  <c r="AB74" i="1"/>
  <c r="AB75" i="1"/>
  <c r="AB76" i="1"/>
  <c r="AB77" i="1"/>
  <c r="AB78" i="1"/>
  <c r="AB79" i="1"/>
  <c r="AB80" i="1"/>
  <c r="AB81" i="1"/>
  <c r="AB82" i="1"/>
  <c r="AB83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23" i="1"/>
  <c r="AB24" i="1"/>
  <c r="AB25" i="1"/>
  <c r="AB26" i="1"/>
  <c r="AB27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28" i="1"/>
  <c r="AB29" i="1"/>
  <c r="AB30" i="1"/>
  <c r="AB31" i="1"/>
  <c r="AB32" i="1"/>
  <c r="AB395" i="1"/>
  <c r="AB396" i="1"/>
  <c r="AB397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550" i="1"/>
  <c r="AB551" i="1"/>
  <c r="AB300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95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243" i="1"/>
  <c r="AB244" i="1"/>
  <c r="AB245" i="1"/>
  <c r="AB246" i="1"/>
  <c r="AB220" i="1"/>
  <c r="AB221" i="1"/>
  <c r="AB222" i="1"/>
  <c r="AB210" i="1"/>
  <c r="AB211" i="1"/>
  <c r="AB212" i="1"/>
  <c r="AB213" i="1"/>
  <c r="AB214" i="1"/>
  <c r="AB215" i="1"/>
  <c r="AB216" i="1"/>
  <c r="AB217" i="1"/>
  <c r="AB218" i="1"/>
  <c r="AB219" i="1"/>
  <c r="AB200" i="1"/>
  <c r="AB201" i="1"/>
  <c r="AB202" i="1"/>
  <c r="AB203" i="1"/>
  <c r="AB204" i="1"/>
  <c r="AB205" i="1"/>
  <c r="AB206" i="1"/>
  <c r="AB207" i="1"/>
  <c r="AB208" i="1"/>
  <c r="AB209" i="1"/>
  <c r="AB228" i="1"/>
  <c r="AB229" i="1"/>
  <c r="AB137" i="1"/>
  <c r="AB231" i="1"/>
  <c r="AB232" i="1"/>
  <c r="AB233" i="1"/>
  <c r="AB230" i="1"/>
  <c r="AB235" i="1"/>
  <c r="AB236" i="1"/>
  <c r="AB237" i="1"/>
  <c r="AB238" i="1"/>
  <c r="AB239" i="1"/>
  <c r="AB240" i="1"/>
  <c r="AB241" i="1"/>
  <c r="AB242" i="1"/>
  <c r="AB223" i="1"/>
  <c r="AB224" i="1"/>
  <c r="AB225" i="1"/>
  <c r="AB226" i="1"/>
  <c r="AB227" i="1"/>
  <c r="AB657" i="1"/>
  <c r="AB658" i="1"/>
  <c r="AB659" i="1"/>
  <c r="AB660" i="1"/>
  <c r="AB661" i="1"/>
  <c r="AB662" i="1"/>
  <c r="AB352" i="1"/>
  <c r="AB353" i="1"/>
  <c r="AB354" i="1"/>
  <c r="AB355" i="1"/>
  <c r="AB356" i="1"/>
  <c r="AB357" i="1"/>
  <c r="AB234" i="1"/>
  <c r="AB359" i="1"/>
  <c r="AB325" i="1"/>
  <c r="AB332" i="1"/>
  <c r="AB650" i="1"/>
  <c r="AB651" i="1"/>
  <c r="AB652" i="1"/>
  <c r="AB653" i="1"/>
  <c r="AB654" i="1"/>
  <c r="AB655" i="1"/>
  <c r="AB656" i="1"/>
  <c r="AB663" i="1"/>
  <c r="AB664" i="1"/>
  <c r="AB665" i="1"/>
  <c r="AB666" i="1"/>
  <c r="AB667" i="1"/>
  <c r="AB668" i="1"/>
  <c r="AB669" i="1"/>
  <c r="AB670" i="1"/>
  <c r="AB671" i="1"/>
  <c r="AB672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35" i="1"/>
  <c r="AB326" i="1"/>
  <c r="AB327" i="1"/>
  <c r="AB328" i="1"/>
  <c r="AB329" i="1"/>
  <c r="AB330" i="1"/>
  <c r="AB301" i="1"/>
  <c r="AB302" i="1"/>
  <c r="AB303" i="1"/>
  <c r="AB304" i="1"/>
  <c r="AB305" i="1"/>
  <c r="AB306" i="1"/>
  <c r="AB307" i="1"/>
  <c r="AB308" i="1"/>
  <c r="AB309" i="1"/>
  <c r="AB310" i="1"/>
  <c r="AB311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467" i="1"/>
  <c r="AB468" i="1"/>
  <c r="AB469" i="1"/>
  <c r="AB358" i="1"/>
  <c r="AB471" i="1"/>
  <c r="AB472" i="1"/>
  <c r="AB473" i="1"/>
  <c r="AB474" i="1"/>
  <c r="AB475" i="1"/>
  <c r="AB470" i="1"/>
  <c r="AB477" i="1"/>
  <c r="AB476" i="1"/>
  <c r="AB479" i="1"/>
  <c r="AB480" i="1"/>
  <c r="AB498" i="1"/>
  <c r="AB499" i="1"/>
  <c r="AB500" i="1"/>
  <c r="AB501" i="1"/>
  <c r="AB502" i="1"/>
  <c r="AB503" i="1"/>
  <c r="AB504" i="1"/>
  <c r="AB505" i="1"/>
  <c r="AB506" i="1"/>
  <c r="AB507" i="1"/>
  <c r="AB488" i="1"/>
  <c r="AB489" i="1"/>
  <c r="AB490" i="1"/>
  <c r="AB491" i="1"/>
  <c r="AB492" i="1"/>
  <c r="AB493" i="1"/>
  <c r="AB478" i="1"/>
  <c r="AB495" i="1"/>
  <c r="AB496" i="1"/>
  <c r="AB497" i="1"/>
  <c r="AB639" i="1"/>
  <c r="AB640" i="1"/>
  <c r="AB641" i="1"/>
  <c r="AB642" i="1"/>
  <c r="AB643" i="1"/>
  <c r="AB644" i="1"/>
  <c r="AB645" i="1"/>
  <c r="AB646" i="1"/>
  <c r="AB647" i="1"/>
  <c r="AB481" i="1"/>
  <c r="AB482" i="1"/>
  <c r="AB483" i="1"/>
  <c r="AB484" i="1"/>
  <c r="AB485" i="1"/>
  <c r="AB486" i="1"/>
  <c r="AB459" i="1"/>
  <c r="AB458" i="1"/>
  <c r="AB460" i="1"/>
  <c r="AB461" i="1"/>
  <c r="AB462" i="1"/>
  <c r="AB463" i="1"/>
  <c r="AB464" i="1"/>
  <c r="AB465" i="1"/>
  <c r="AB466" i="1"/>
  <c r="AB487" i="1"/>
  <c r="AB247" i="1"/>
  <c r="AB248" i="1"/>
  <c r="AB249" i="1"/>
  <c r="AB250" i="1"/>
  <c r="AB251" i="1"/>
  <c r="AB252" i="1"/>
  <c r="AB253" i="1"/>
  <c r="AB254" i="1"/>
  <c r="AB259" i="1"/>
  <c r="AB260" i="1"/>
  <c r="AB261" i="1"/>
  <c r="AB262" i="1"/>
  <c r="AB263" i="1"/>
  <c r="AB255" i="1"/>
  <c r="AB256" i="1"/>
  <c r="AB257" i="1"/>
  <c r="AB258" i="1"/>
  <c r="AB264" i="1"/>
  <c r="AB265" i="1"/>
  <c r="AB266" i="1"/>
  <c r="AB267" i="1"/>
  <c r="AB268" i="1"/>
  <c r="AB269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609" i="1"/>
  <c r="AB610" i="1"/>
  <c r="AB611" i="1"/>
  <c r="AB612" i="1"/>
  <c r="AB613" i="1"/>
  <c r="AB614" i="1"/>
  <c r="AB615" i="1"/>
  <c r="AB616" i="1"/>
  <c r="AB628" i="1"/>
  <c r="AB629" i="1"/>
  <c r="AB630" i="1"/>
  <c r="AB631" i="1"/>
  <c r="AB632" i="1"/>
  <c r="AB633" i="1"/>
  <c r="AB634" i="1"/>
  <c r="AB635" i="1"/>
  <c r="AB636" i="1"/>
  <c r="AE636" i="1" s="1"/>
  <c r="AB637" i="1"/>
  <c r="AE637" i="1" s="1"/>
  <c r="AB638" i="1"/>
  <c r="AB617" i="1"/>
  <c r="AB618" i="1"/>
  <c r="AB619" i="1"/>
  <c r="AB620" i="1"/>
  <c r="AB621" i="1"/>
  <c r="AB622" i="1"/>
  <c r="AB623" i="1"/>
  <c r="AB624" i="1"/>
  <c r="AB625" i="1"/>
  <c r="AB626" i="1"/>
  <c r="AB627" i="1"/>
  <c r="AB84" i="1"/>
  <c r="AB85" i="1"/>
  <c r="AB86" i="1"/>
  <c r="AB87" i="1"/>
  <c r="AB88" i="1"/>
  <c r="AB89" i="1"/>
  <c r="AB90" i="1"/>
  <c r="AB91" i="1"/>
  <c r="AB92" i="1"/>
  <c r="AB93" i="1"/>
  <c r="AB94" i="1"/>
  <c r="AB494" i="1"/>
  <c r="AB96" i="1"/>
  <c r="AB97" i="1"/>
  <c r="AB98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564" i="1"/>
  <c r="AB99" i="1"/>
  <c r="AB100" i="1"/>
  <c r="AB107" i="1"/>
  <c r="AB108" i="1"/>
  <c r="AB109" i="1"/>
  <c r="AB110" i="1"/>
  <c r="AB111" i="1"/>
  <c r="AB112" i="1"/>
  <c r="AB113" i="1"/>
  <c r="AB101" i="1"/>
  <c r="AB102" i="1"/>
  <c r="AB103" i="1"/>
  <c r="AB104" i="1"/>
  <c r="AB105" i="1"/>
  <c r="AB106" i="1"/>
  <c r="AB523" i="1"/>
  <c r="AB524" i="1"/>
  <c r="AB525" i="1"/>
  <c r="AB526" i="1"/>
  <c r="AB527" i="1"/>
  <c r="AB528" i="1"/>
  <c r="AB529" i="1"/>
  <c r="AB48" i="1"/>
  <c r="AB49" i="1"/>
  <c r="AB50" i="1"/>
  <c r="AB51" i="1"/>
  <c r="AB52" i="1"/>
  <c r="AB53" i="1"/>
  <c r="AB54" i="1"/>
  <c r="AB55" i="1"/>
  <c r="AB56" i="1"/>
  <c r="AB57" i="1"/>
  <c r="AB342" i="1"/>
  <c r="AB343" i="1"/>
  <c r="AB344" i="1"/>
  <c r="AB345" i="1"/>
  <c r="AB346" i="1"/>
  <c r="AB351" i="1"/>
  <c r="AB347" i="1"/>
  <c r="AB348" i="1"/>
  <c r="AB349" i="1"/>
  <c r="AB350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673" i="1"/>
  <c r="AB674" i="1"/>
  <c r="AB675" i="1"/>
  <c r="AB676" i="1"/>
  <c r="AB677" i="1"/>
  <c r="AB678" i="1"/>
  <c r="AB579" i="1"/>
  <c r="AB580" i="1"/>
  <c r="AB581" i="1"/>
  <c r="AB582" i="1"/>
  <c r="AB583" i="1"/>
  <c r="AB584" i="1"/>
  <c r="AB585" i="1"/>
  <c r="AB586" i="1"/>
  <c r="AB587" i="1"/>
  <c r="AB588" i="1"/>
  <c r="AB452" i="1"/>
  <c r="AB453" i="1"/>
  <c r="AB454" i="1"/>
  <c r="AB455" i="1"/>
  <c r="AB456" i="1"/>
  <c r="AB457" i="1"/>
  <c r="AB138" i="1"/>
  <c r="AB139" i="1"/>
  <c r="AB140" i="1"/>
  <c r="AB141" i="1"/>
  <c r="AB142" i="1"/>
  <c r="AB143" i="1"/>
  <c r="AB144" i="1"/>
  <c r="AB145" i="1"/>
  <c r="AB146" i="1"/>
  <c r="AB147" i="1"/>
  <c r="AB331" i="1"/>
  <c r="AB648" i="1"/>
  <c r="AB333" i="1"/>
  <c r="AB334" i="1"/>
  <c r="AB649" i="1"/>
  <c r="AB336" i="1"/>
  <c r="AB337" i="1"/>
  <c r="AB338" i="1"/>
  <c r="AB339" i="1"/>
  <c r="AB340" i="1"/>
  <c r="AB341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148" i="1"/>
  <c r="AB149" i="1"/>
  <c r="AB150" i="1"/>
  <c r="AB151" i="1"/>
  <c r="AB152" i="1"/>
  <c r="AB153" i="1"/>
  <c r="AB154" i="1"/>
  <c r="AB155" i="1"/>
  <c r="AB156" i="1"/>
  <c r="AB167" i="1"/>
  <c r="AB157" i="1"/>
  <c r="AB158" i="1"/>
  <c r="AB159" i="1"/>
  <c r="AB160" i="1"/>
  <c r="AB161" i="1"/>
  <c r="AB162" i="1"/>
  <c r="AB163" i="1"/>
  <c r="AB164" i="1"/>
  <c r="AB165" i="1"/>
  <c r="AB166" i="1"/>
  <c r="AB58" i="1"/>
  <c r="Y58" i="1"/>
  <c r="Y59" i="1"/>
  <c r="Y60" i="1"/>
  <c r="Y417" i="1"/>
  <c r="Y418" i="1"/>
  <c r="Y419" i="1"/>
  <c r="Y420" i="1"/>
  <c r="Y421" i="1"/>
  <c r="Y422" i="1"/>
  <c r="Y423" i="1"/>
  <c r="Y424" i="1"/>
  <c r="Y425" i="1"/>
  <c r="Y61" i="1"/>
  <c r="Y64" i="1"/>
  <c r="Y63" i="1"/>
  <c r="Y62" i="1"/>
  <c r="Y65" i="1"/>
  <c r="Y66" i="1"/>
  <c r="Y68" i="1"/>
  <c r="Y67" i="1"/>
  <c r="Y69" i="1"/>
  <c r="Y71" i="1"/>
  <c r="Y70" i="1"/>
  <c r="Y72" i="1"/>
  <c r="Y73" i="1"/>
  <c r="Y426" i="1"/>
  <c r="Y427" i="1"/>
  <c r="Y428" i="1"/>
  <c r="Y429" i="1"/>
  <c r="Y430" i="1"/>
  <c r="Y431" i="1"/>
  <c r="Y432" i="1"/>
  <c r="Y433" i="1"/>
  <c r="Y434" i="1"/>
  <c r="Y435" i="1"/>
  <c r="Y436" i="1"/>
  <c r="Y74" i="1"/>
  <c r="Y75" i="1"/>
  <c r="Y76" i="1"/>
  <c r="Y77" i="1"/>
  <c r="Y78" i="1"/>
  <c r="Y79" i="1"/>
  <c r="Y80" i="1"/>
  <c r="Y81" i="1"/>
  <c r="Y82" i="1"/>
  <c r="Y83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23" i="1"/>
  <c r="Y24" i="1"/>
  <c r="Y25" i="1"/>
  <c r="Y26" i="1"/>
  <c r="Y27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28" i="1"/>
  <c r="Y29" i="1"/>
  <c r="Y30" i="1"/>
  <c r="Y31" i="1"/>
  <c r="Y32" i="1"/>
  <c r="Y395" i="1"/>
  <c r="Y396" i="1"/>
  <c r="Y397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550" i="1"/>
  <c r="Y551" i="1"/>
  <c r="Y300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95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243" i="1"/>
  <c r="Y244" i="1"/>
  <c r="Y245" i="1"/>
  <c r="Y246" i="1"/>
  <c r="Y220" i="1"/>
  <c r="Y221" i="1"/>
  <c r="Y222" i="1"/>
  <c r="Y210" i="1"/>
  <c r="Y211" i="1"/>
  <c r="Y212" i="1"/>
  <c r="Y213" i="1"/>
  <c r="Y214" i="1"/>
  <c r="Y215" i="1"/>
  <c r="Y216" i="1"/>
  <c r="Y217" i="1"/>
  <c r="Y218" i="1"/>
  <c r="Y219" i="1"/>
  <c r="Y200" i="1"/>
  <c r="Y201" i="1"/>
  <c r="Y202" i="1"/>
  <c r="Y203" i="1"/>
  <c r="Y204" i="1"/>
  <c r="Y205" i="1"/>
  <c r="Y206" i="1"/>
  <c r="Y207" i="1"/>
  <c r="Y208" i="1"/>
  <c r="Y209" i="1"/>
  <c r="Y228" i="1"/>
  <c r="Y229" i="1"/>
  <c r="Y137" i="1"/>
  <c r="Y231" i="1"/>
  <c r="Y232" i="1"/>
  <c r="Y233" i="1"/>
  <c r="Y230" i="1"/>
  <c r="Y235" i="1"/>
  <c r="Y236" i="1"/>
  <c r="Y237" i="1"/>
  <c r="Y238" i="1"/>
  <c r="Y239" i="1"/>
  <c r="Y240" i="1"/>
  <c r="Y241" i="1"/>
  <c r="Y242" i="1"/>
  <c r="Y223" i="1"/>
  <c r="Y224" i="1"/>
  <c r="Y225" i="1"/>
  <c r="Y226" i="1"/>
  <c r="Y227" i="1"/>
  <c r="Y657" i="1"/>
  <c r="Y658" i="1"/>
  <c r="Y659" i="1"/>
  <c r="Y660" i="1"/>
  <c r="Y661" i="1"/>
  <c r="Y662" i="1"/>
  <c r="Y352" i="1"/>
  <c r="Y353" i="1"/>
  <c r="Y354" i="1"/>
  <c r="Y355" i="1"/>
  <c r="Y356" i="1"/>
  <c r="Y357" i="1"/>
  <c r="Y234" i="1"/>
  <c r="Y359" i="1"/>
  <c r="Y325" i="1"/>
  <c r="Y650" i="1"/>
  <c r="Y651" i="1"/>
  <c r="Y652" i="1"/>
  <c r="Y653" i="1"/>
  <c r="Y654" i="1"/>
  <c r="Y655" i="1"/>
  <c r="Y656" i="1"/>
  <c r="Y663" i="1"/>
  <c r="Y664" i="1"/>
  <c r="Y665" i="1"/>
  <c r="Y666" i="1"/>
  <c r="Y667" i="1"/>
  <c r="Y668" i="1"/>
  <c r="Y669" i="1"/>
  <c r="Y670" i="1"/>
  <c r="Y671" i="1"/>
  <c r="Y672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35" i="1"/>
  <c r="Y326" i="1"/>
  <c r="Y327" i="1"/>
  <c r="Y328" i="1"/>
  <c r="Y329" i="1"/>
  <c r="Y330" i="1"/>
  <c r="Y301" i="1"/>
  <c r="Y302" i="1"/>
  <c r="Y303" i="1"/>
  <c r="Y304" i="1"/>
  <c r="Y305" i="1"/>
  <c r="Y306" i="1"/>
  <c r="Y307" i="1"/>
  <c r="Y308" i="1"/>
  <c r="Y309" i="1"/>
  <c r="Y310" i="1"/>
  <c r="Y311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467" i="1"/>
  <c r="Y468" i="1"/>
  <c r="Y469" i="1"/>
  <c r="Y358" i="1"/>
  <c r="Y471" i="1"/>
  <c r="Y472" i="1"/>
  <c r="Y473" i="1"/>
  <c r="Y474" i="1"/>
  <c r="Y475" i="1"/>
  <c r="Y470" i="1"/>
  <c r="Y477" i="1"/>
  <c r="Y476" i="1"/>
  <c r="Y479" i="1"/>
  <c r="Y480" i="1"/>
  <c r="Y498" i="1"/>
  <c r="Y499" i="1"/>
  <c r="Y500" i="1"/>
  <c r="Y501" i="1"/>
  <c r="Y502" i="1"/>
  <c r="Y503" i="1"/>
  <c r="Y504" i="1"/>
  <c r="Y505" i="1"/>
  <c r="Y506" i="1"/>
  <c r="Y507" i="1"/>
  <c r="Y488" i="1"/>
  <c r="Y489" i="1"/>
  <c r="Y490" i="1"/>
  <c r="Y491" i="1"/>
  <c r="Y492" i="1"/>
  <c r="Y493" i="1"/>
  <c r="Y478" i="1"/>
  <c r="Y495" i="1"/>
  <c r="Y496" i="1"/>
  <c r="Y497" i="1"/>
  <c r="Y639" i="1"/>
  <c r="Y640" i="1"/>
  <c r="Y641" i="1"/>
  <c r="Y642" i="1"/>
  <c r="Y643" i="1"/>
  <c r="Y644" i="1"/>
  <c r="Y645" i="1"/>
  <c r="Y646" i="1"/>
  <c r="Y647" i="1"/>
  <c r="Y481" i="1"/>
  <c r="Y482" i="1"/>
  <c r="Y483" i="1"/>
  <c r="Y484" i="1"/>
  <c r="Y485" i="1"/>
  <c r="Y486" i="1"/>
  <c r="Y459" i="1"/>
  <c r="Y458" i="1"/>
  <c r="Y460" i="1"/>
  <c r="Y461" i="1"/>
  <c r="Y462" i="1"/>
  <c r="Y463" i="1"/>
  <c r="Y464" i="1"/>
  <c r="Y465" i="1"/>
  <c r="Y466" i="1"/>
  <c r="Y487" i="1"/>
  <c r="Y247" i="1"/>
  <c r="Y248" i="1"/>
  <c r="Y249" i="1"/>
  <c r="Y250" i="1"/>
  <c r="Y251" i="1"/>
  <c r="Y252" i="1"/>
  <c r="Y253" i="1"/>
  <c r="Y254" i="1"/>
  <c r="Y259" i="1"/>
  <c r="Y260" i="1"/>
  <c r="Y261" i="1"/>
  <c r="Y262" i="1"/>
  <c r="Y263" i="1"/>
  <c r="Y255" i="1"/>
  <c r="Y256" i="1"/>
  <c r="Y257" i="1"/>
  <c r="Y258" i="1"/>
  <c r="Y264" i="1"/>
  <c r="Y265" i="1"/>
  <c r="Y266" i="1"/>
  <c r="Y267" i="1"/>
  <c r="Y268" i="1"/>
  <c r="Y269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609" i="1"/>
  <c r="Y610" i="1"/>
  <c r="Y611" i="1"/>
  <c r="Y612" i="1"/>
  <c r="Y613" i="1"/>
  <c r="Y614" i="1"/>
  <c r="Y615" i="1"/>
  <c r="Y616" i="1"/>
  <c r="Y628" i="1"/>
  <c r="Y629" i="1"/>
  <c r="Y630" i="1"/>
  <c r="Y631" i="1"/>
  <c r="Y632" i="1"/>
  <c r="Y633" i="1"/>
  <c r="Y634" i="1"/>
  <c r="Y635" i="1"/>
  <c r="Y636" i="1"/>
  <c r="Y637" i="1"/>
  <c r="Y638" i="1"/>
  <c r="Y617" i="1"/>
  <c r="Y618" i="1"/>
  <c r="Y619" i="1"/>
  <c r="Y620" i="1"/>
  <c r="Y621" i="1"/>
  <c r="Y622" i="1"/>
  <c r="Y623" i="1"/>
  <c r="Y624" i="1"/>
  <c r="Y625" i="1"/>
  <c r="Y626" i="1"/>
  <c r="Y627" i="1"/>
  <c r="Y84" i="1"/>
  <c r="Y85" i="1"/>
  <c r="Y86" i="1"/>
  <c r="Y87" i="1"/>
  <c r="Y88" i="1"/>
  <c r="Y89" i="1"/>
  <c r="Y90" i="1"/>
  <c r="Y91" i="1"/>
  <c r="Y92" i="1"/>
  <c r="Y93" i="1"/>
  <c r="Y94" i="1"/>
  <c r="Y494" i="1"/>
  <c r="Y96" i="1"/>
  <c r="Y97" i="1"/>
  <c r="Y98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564" i="1"/>
  <c r="Y99" i="1"/>
  <c r="Y100" i="1"/>
  <c r="Y107" i="1"/>
  <c r="Y108" i="1"/>
  <c r="Y109" i="1"/>
  <c r="Y110" i="1"/>
  <c r="Y111" i="1"/>
  <c r="Y112" i="1"/>
  <c r="Y113" i="1"/>
  <c r="Y101" i="1"/>
  <c r="Y102" i="1"/>
  <c r="Y103" i="1"/>
  <c r="Y104" i="1"/>
  <c r="Y105" i="1"/>
  <c r="Y106" i="1"/>
  <c r="Y523" i="1"/>
  <c r="Y524" i="1"/>
  <c r="Y525" i="1"/>
  <c r="Y526" i="1"/>
  <c r="Y527" i="1"/>
  <c r="Y528" i="1"/>
  <c r="Y529" i="1"/>
  <c r="Y48" i="1"/>
  <c r="Y49" i="1"/>
  <c r="Y50" i="1"/>
  <c r="Y51" i="1"/>
  <c r="Y52" i="1"/>
  <c r="Y53" i="1"/>
  <c r="Y54" i="1"/>
  <c r="Y55" i="1"/>
  <c r="Y56" i="1"/>
  <c r="Y57" i="1"/>
  <c r="Y342" i="1"/>
  <c r="Y343" i="1"/>
  <c r="Y344" i="1"/>
  <c r="Y345" i="1"/>
  <c r="Y346" i="1"/>
  <c r="Y351" i="1"/>
  <c r="Y347" i="1"/>
  <c r="Y348" i="1"/>
  <c r="Y349" i="1"/>
  <c r="Y350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673" i="1"/>
  <c r="Y674" i="1"/>
  <c r="Y675" i="1"/>
  <c r="Y676" i="1"/>
  <c r="Y677" i="1"/>
  <c r="Y678" i="1"/>
  <c r="Y579" i="1"/>
  <c r="Y580" i="1"/>
  <c r="Y581" i="1"/>
  <c r="Y582" i="1"/>
  <c r="Y583" i="1"/>
  <c r="Y584" i="1"/>
  <c r="Y585" i="1"/>
  <c r="Y586" i="1"/>
  <c r="Y587" i="1"/>
  <c r="Y588" i="1"/>
  <c r="Y452" i="1"/>
  <c r="Y453" i="1"/>
  <c r="Y454" i="1"/>
  <c r="Y455" i="1"/>
  <c r="Y456" i="1"/>
  <c r="Y457" i="1"/>
  <c r="Y138" i="1"/>
  <c r="Y139" i="1"/>
  <c r="Y140" i="1"/>
  <c r="Y141" i="1"/>
  <c r="Y142" i="1"/>
  <c r="Y143" i="1"/>
  <c r="Y144" i="1"/>
  <c r="Y145" i="1"/>
  <c r="Y146" i="1"/>
  <c r="Y147" i="1"/>
  <c r="Y331" i="1"/>
  <c r="Y648" i="1"/>
  <c r="Y333" i="1"/>
  <c r="Y334" i="1"/>
  <c r="Y649" i="1"/>
  <c r="Y336" i="1"/>
  <c r="Y337" i="1"/>
  <c r="Y338" i="1"/>
  <c r="Y339" i="1"/>
  <c r="Y340" i="1"/>
  <c r="Y341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148" i="1"/>
  <c r="Y149" i="1"/>
  <c r="Y150" i="1"/>
  <c r="Y151" i="1"/>
  <c r="Y152" i="1"/>
  <c r="Y153" i="1"/>
  <c r="Y154" i="1"/>
  <c r="Y155" i="1"/>
  <c r="Y156" i="1"/>
  <c r="Y167" i="1"/>
  <c r="Y157" i="1"/>
  <c r="Y158" i="1"/>
  <c r="Y159" i="1"/>
  <c r="Y160" i="1"/>
  <c r="Y161" i="1"/>
  <c r="Y162" i="1"/>
  <c r="Y163" i="1"/>
  <c r="Y164" i="1"/>
  <c r="Y165" i="1"/>
  <c r="Y166" i="1"/>
  <c r="Y332" i="1"/>
  <c r="M630" i="1"/>
  <c r="M632" i="1"/>
  <c r="M635" i="1"/>
  <c r="M636" i="1"/>
  <c r="M637" i="1"/>
  <c r="M626" i="1"/>
  <c r="W58" i="1"/>
  <c r="M58" i="1" s="1"/>
  <c r="W59" i="1"/>
  <c r="W60" i="1"/>
  <c r="W417" i="1"/>
  <c r="W418" i="1"/>
  <c r="W419" i="1"/>
  <c r="W420" i="1"/>
  <c r="W421" i="1"/>
  <c r="W422" i="1"/>
  <c r="W423" i="1"/>
  <c r="W424" i="1"/>
  <c r="M424" i="1" s="1"/>
  <c r="W425" i="1"/>
  <c r="M425" i="1" s="1"/>
  <c r="W61" i="1"/>
  <c r="M61" i="1" s="1"/>
  <c r="W64" i="1"/>
  <c r="M64" i="1" s="1"/>
  <c r="W63" i="1"/>
  <c r="W62" i="1"/>
  <c r="W65" i="1"/>
  <c r="W66" i="1"/>
  <c r="W68" i="1"/>
  <c r="W67" i="1"/>
  <c r="W69" i="1"/>
  <c r="W71" i="1"/>
  <c r="W70" i="1"/>
  <c r="M70" i="1" s="1"/>
  <c r="W72" i="1"/>
  <c r="M72" i="1" s="1"/>
  <c r="W73" i="1"/>
  <c r="M73" i="1" s="1"/>
  <c r="W426" i="1"/>
  <c r="M426" i="1" s="1"/>
  <c r="W427" i="1"/>
  <c r="M427" i="1" s="1"/>
  <c r="W428" i="1"/>
  <c r="W429" i="1"/>
  <c r="W430" i="1"/>
  <c r="W431" i="1"/>
  <c r="W432" i="1"/>
  <c r="W433" i="1"/>
  <c r="W434" i="1"/>
  <c r="W435" i="1"/>
  <c r="M435" i="1" s="1"/>
  <c r="W436" i="1"/>
  <c r="M436" i="1" s="1"/>
  <c r="W74" i="1"/>
  <c r="M74" i="1" s="1"/>
  <c r="W75" i="1"/>
  <c r="W76" i="1"/>
  <c r="W77" i="1"/>
  <c r="W78" i="1"/>
  <c r="W79" i="1"/>
  <c r="W80" i="1"/>
  <c r="W81" i="1"/>
  <c r="M81" i="1" s="1"/>
  <c r="W82" i="1"/>
  <c r="W83" i="1"/>
  <c r="W380" i="1"/>
  <c r="M380" i="1" s="1"/>
  <c r="W381" i="1"/>
  <c r="M381" i="1" s="1"/>
  <c r="W382" i="1"/>
  <c r="M382" i="1" s="1"/>
  <c r="W383" i="1"/>
  <c r="M383" i="1" s="1"/>
  <c r="W384" i="1"/>
  <c r="M384" i="1" s="1"/>
  <c r="W385" i="1"/>
  <c r="M385" i="1" s="1"/>
  <c r="W386" i="1"/>
  <c r="M386" i="1" s="1"/>
  <c r="W387" i="1"/>
  <c r="W388" i="1"/>
  <c r="W389" i="1"/>
  <c r="W390" i="1"/>
  <c r="W391" i="1"/>
  <c r="W392" i="1"/>
  <c r="M392" i="1" s="1"/>
  <c r="W393" i="1"/>
  <c r="M393" i="1" s="1"/>
  <c r="W394" i="1"/>
  <c r="M394" i="1" s="1"/>
  <c r="W23" i="1"/>
  <c r="M23" i="1" s="1"/>
  <c r="W24" i="1"/>
  <c r="M24" i="1" s="1"/>
  <c r="W25" i="1"/>
  <c r="M25" i="1" s="1"/>
  <c r="W26" i="1"/>
  <c r="M26" i="1" s="1"/>
  <c r="W27" i="1"/>
  <c r="M27" i="1" s="1"/>
  <c r="W33" i="1"/>
  <c r="W34" i="1"/>
  <c r="W35" i="1"/>
  <c r="W36" i="1"/>
  <c r="W37" i="1"/>
  <c r="M37" i="1" s="1"/>
  <c r="W38" i="1"/>
  <c r="M38" i="1" s="1"/>
  <c r="W39" i="1"/>
  <c r="M39" i="1" s="1"/>
  <c r="W40" i="1"/>
  <c r="W41" i="1"/>
  <c r="W42" i="1"/>
  <c r="W43" i="1"/>
  <c r="M43" i="1" s="1"/>
  <c r="W44" i="1"/>
  <c r="W45" i="1"/>
  <c r="W46" i="1"/>
  <c r="W47" i="1"/>
  <c r="W28" i="1"/>
  <c r="W29" i="1"/>
  <c r="W30" i="1"/>
  <c r="M30" i="1" s="1"/>
  <c r="W31" i="1"/>
  <c r="M31" i="1" s="1"/>
  <c r="W32" i="1"/>
  <c r="M32" i="1" s="1"/>
  <c r="W395" i="1"/>
  <c r="M395" i="1" s="1"/>
  <c r="W396" i="1"/>
  <c r="M396" i="1" s="1"/>
  <c r="W397" i="1"/>
  <c r="M397" i="1" s="1"/>
  <c r="W437" i="1"/>
  <c r="W438" i="1"/>
  <c r="W439" i="1"/>
  <c r="W440" i="1"/>
  <c r="W441" i="1"/>
  <c r="W442" i="1"/>
  <c r="W443" i="1"/>
  <c r="W444" i="1"/>
  <c r="M444" i="1" s="1"/>
  <c r="W445" i="1"/>
  <c r="M445" i="1" s="1"/>
  <c r="W446" i="1"/>
  <c r="M446" i="1" s="1"/>
  <c r="W447" i="1"/>
  <c r="M447" i="1" s="1"/>
  <c r="W448" i="1"/>
  <c r="M448" i="1" s="1"/>
  <c r="W449" i="1"/>
  <c r="W450" i="1"/>
  <c r="W451" i="1"/>
  <c r="W398" i="1"/>
  <c r="W399" i="1"/>
  <c r="W400" i="1"/>
  <c r="W401" i="1"/>
  <c r="W402" i="1"/>
  <c r="W403" i="1"/>
  <c r="W404" i="1"/>
  <c r="W405" i="1"/>
  <c r="W406" i="1"/>
  <c r="M406" i="1" s="1"/>
  <c r="W407" i="1"/>
  <c r="W408" i="1"/>
  <c r="M408" i="1" s="1"/>
  <c r="W409" i="1"/>
  <c r="M409" i="1" s="1"/>
  <c r="W410" i="1"/>
  <c r="W411" i="1"/>
  <c r="W412" i="1"/>
  <c r="M412" i="1" s="1"/>
  <c r="W413" i="1"/>
  <c r="W414" i="1"/>
  <c r="W415" i="1"/>
  <c r="W416" i="1"/>
  <c r="M416" i="1" s="1"/>
  <c r="W550" i="1"/>
  <c r="M550" i="1" s="1"/>
  <c r="W551" i="1"/>
  <c r="M551" i="1" s="1"/>
  <c r="W300" i="1"/>
  <c r="W552" i="1"/>
  <c r="W553" i="1"/>
  <c r="W554" i="1"/>
  <c r="W555" i="1"/>
  <c r="W556" i="1"/>
  <c r="M556" i="1" s="1"/>
  <c r="W557" i="1"/>
  <c r="M557" i="1" s="1"/>
  <c r="W558" i="1"/>
  <c r="W559" i="1"/>
  <c r="W560" i="1"/>
  <c r="W561" i="1"/>
  <c r="M561" i="1" s="1"/>
  <c r="W562" i="1"/>
  <c r="M562" i="1" s="1"/>
  <c r="W563" i="1"/>
  <c r="M563" i="1" s="1"/>
  <c r="W564" i="1"/>
  <c r="M564" i="1" s="1"/>
  <c r="W565" i="1"/>
  <c r="M565" i="1" s="1"/>
  <c r="W566" i="1"/>
  <c r="W567" i="1"/>
  <c r="W568" i="1"/>
  <c r="M568" i="1" s="1"/>
  <c r="W569" i="1"/>
  <c r="M569" i="1" s="1"/>
  <c r="W570" i="1"/>
  <c r="M570" i="1" s="1"/>
  <c r="W571" i="1"/>
  <c r="W572" i="1"/>
  <c r="W573" i="1"/>
  <c r="W574" i="1"/>
  <c r="M574" i="1" s="1"/>
  <c r="W575" i="1"/>
  <c r="W576" i="1"/>
  <c r="W577" i="1"/>
  <c r="W578" i="1"/>
  <c r="W589" i="1"/>
  <c r="W590" i="1"/>
  <c r="M590" i="1" s="1"/>
  <c r="W591" i="1"/>
  <c r="M591" i="1" s="1"/>
  <c r="W592" i="1"/>
  <c r="W593" i="1"/>
  <c r="M593" i="1" s="1"/>
  <c r="W594" i="1"/>
  <c r="W595" i="1"/>
  <c r="W596" i="1"/>
  <c r="W597" i="1"/>
  <c r="W598" i="1"/>
  <c r="W599" i="1"/>
  <c r="W600" i="1"/>
  <c r="W601" i="1"/>
  <c r="W602" i="1"/>
  <c r="M602" i="1" s="1"/>
  <c r="W603" i="1"/>
  <c r="M603" i="1" s="1"/>
  <c r="W604" i="1"/>
  <c r="W605" i="1"/>
  <c r="M605" i="1" s="1"/>
  <c r="W606" i="1"/>
  <c r="M606" i="1" s="1"/>
  <c r="W607" i="1"/>
  <c r="W608" i="1"/>
  <c r="W243" i="1"/>
  <c r="W244" i="1"/>
  <c r="W245" i="1"/>
  <c r="W246" i="1"/>
  <c r="W220" i="1"/>
  <c r="W221" i="1"/>
  <c r="M221" i="1" s="1"/>
  <c r="W222" i="1"/>
  <c r="M222" i="1" s="1"/>
  <c r="W210" i="1"/>
  <c r="W211" i="1"/>
  <c r="M211" i="1" s="1"/>
  <c r="W212" i="1"/>
  <c r="M212" i="1" s="1"/>
  <c r="W213" i="1"/>
  <c r="M213" i="1" s="1"/>
  <c r="W214" i="1"/>
  <c r="W215" i="1"/>
  <c r="W216" i="1"/>
  <c r="W217" i="1"/>
  <c r="M217" i="1" s="1"/>
  <c r="W218" i="1"/>
  <c r="W219" i="1"/>
  <c r="W200" i="1"/>
  <c r="M200" i="1" s="1"/>
  <c r="W201" i="1"/>
  <c r="M201" i="1" s="1"/>
  <c r="W202" i="1"/>
  <c r="W203" i="1"/>
  <c r="M203" i="1" s="1"/>
  <c r="W204" i="1"/>
  <c r="W205" i="1"/>
  <c r="W206" i="1"/>
  <c r="W207" i="1"/>
  <c r="W208" i="1"/>
  <c r="W209" i="1"/>
  <c r="W228" i="1"/>
  <c r="W229" i="1"/>
  <c r="W230" i="1"/>
  <c r="M230" i="1" s="1"/>
  <c r="W231" i="1"/>
  <c r="M231" i="1" s="1"/>
  <c r="W232" i="1"/>
  <c r="M232" i="1" s="1"/>
  <c r="W233" i="1"/>
  <c r="M233" i="1" s="1"/>
  <c r="W234" i="1"/>
  <c r="M234" i="1" s="1"/>
  <c r="W235" i="1"/>
  <c r="M235" i="1" s="1"/>
  <c r="W236" i="1"/>
  <c r="M236" i="1" s="1"/>
  <c r="W237" i="1"/>
  <c r="M237" i="1" s="1"/>
  <c r="W238" i="1"/>
  <c r="W239" i="1"/>
  <c r="W240" i="1"/>
  <c r="W241" i="1"/>
  <c r="W242" i="1"/>
  <c r="M242" i="1" s="1"/>
  <c r="W223" i="1"/>
  <c r="M223" i="1" s="1"/>
  <c r="W224" i="1"/>
  <c r="W225" i="1"/>
  <c r="M225" i="1" s="1"/>
  <c r="W226" i="1"/>
  <c r="M226" i="1" s="1"/>
  <c r="W227" i="1"/>
  <c r="M227" i="1" s="1"/>
  <c r="W657" i="1"/>
  <c r="M657" i="1" s="1"/>
  <c r="W658" i="1"/>
  <c r="W659" i="1"/>
  <c r="M659" i="1" s="1"/>
  <c r="W660" i="1"/>
  <c r="W661" i="1"/>
  <c r="W662" i="1"/>
  <c r="W352" i="1"/>
  <c r="W353" i="1"/>
  <c r="M353" i="1" s="1"/>
  <c r="W354" i="1"/>
  <c r="W355" i="1"/>
  <c r="M355" i="1" s="1"/>
  <c r="W356" i="1"/>
  <c r="W357" i="1"/>
  <c r="W358" i="1"/>
  <c r="W359" i="1"/>
  <c r="M359" i="1" s="1"/>
  <c r="W648" i="1"/>
  <c r="M648" i="1" s="1"/>
  <c r="W649" i="1"/>
  <c r="M649" i="1" s="1"/>
  <c r="W650" i="1"/>
  <c r="W651" i="1"/>
  <c r="W652" i="1"/>
  <c r="W653" i="1"/>
  <c r="W654" i="1"/>
  <c r="W655" i="1"/>
  <c r="M655" i="1" s="1"/>
  <c r="W656" i="1"/>
  <c r="M656" i="1" s="1"/>
  <c r="W663" i="1"/>
  <c r="M663" i="1" s="1"/>
  <c r="W664" i="1"/>
  <c r="M664" i="1" s="1"/>
  <c r="W665" i="1"/>
  <c r="M665" i="1" s="1"/>
  <c r="W666" i="1"/>
  <c r="W667" i="1"/>
  <c r="W668" i="1"/>
  <c r="W669" i="1"/>
  <c r="W670" i="1"/>
  <c r="W671" i="1"/>
  <c r="W672" i="1"/>
  <c r="W508" i="1"/>
  <c r="M508" i="1" s="1"/>
  <c r="W509" i="1"/>
  <c r="M509" i="1" s="1"/>
  <c r="W510" i="1"/>
  <c r="M510" i="1" s="1"/>
  <c r="W511" i="1"/>
  <c r="M511" i="1" s="1"/>
  <c r="W512" i="1"/>
  <c r="M512" i="1" s="1"/>
  <c r="W513" i="1"/>
  <c r="M513" i="1" s="1"/>
  <c r="W514" i="1"/>
  <c r="W515" i="1"/>
  <c r="W516" i="1"/>
  <c r="W517" i="1"/>
  <c r="M517" i="1" s="1"/>
  <c r="W518" i="1"/>
  <c r="W519" i="1"/>
  <c r="W520" i="1"/>
  <c r="W521" i="1"/>
  <c r="W522" i="1"/>
  <c r="W312" i="1"/>
  <c r="W313" i="1"/>
  <c r="W314" i="1"/>
  <c r="W315" i="1"/>
  <c r="M315" i="1" s="1"/>
  <c r="W316" i="1"/>
  <c r="W317" i="1"/>
  <c r="W318" i="1"/>
  <c r="M318" i="1" s="1"/>
  <c r="W319" i="1"/>
  <c r="M319" i="1" s="1"/>
  <c r="W320" i="1"/>
  <c r="W321" i="1"/>
  <c r="W322" i="1"/>
  <c r="W323" i="1"/>
  <c r="M323" i="1" s="1"/>
  <c r="W324" i="1"/>
  <c r="M324" i="1" s="1"/>
  <c r="W325" i="1"/>
  <c r="M325" i="1" s="1"/>
  <c r="W326" i="1"/>
  <c r="W327" i="1"/>
  <c r="W328" i="1"/>
  <c r="W329" i="1"/>
  <c r="W330" i="1"/>
  <c r="M330" i="1" s="1"/>
  <c r="W301" i="1"/>
  <c r="M301" i="1" s="1"/>
  <c r="W302" i="1"/>
  <c r="W303" i="1"/>
  <c r="W304" i="1"/>
  <c r="W305" i="1"/>
  <c r="W306" i="1"/>
  <c r="M306" i="1" s="1"/>
  <c r="W307" i="1"/>
  <c r="W308" i="1"/>
  <c r="M308" i="1" s="1"/>
  <c r="W309" i="1"/>
  <c r="M309" i="1" s="1"/>
  <c r="W310" i="1"/>
  <c r="W311" i="1"/>
  <c r="W180" i="1"/>
  <c r="M180" i="1" s="1"/>
  <c r="W181" i="1"/>
  <c r="M181" i="1" s="1"/>
  <c r="W182" i="1"/>
  <c r="W183" i="1"/>
  <c r="W184" i="1"/>
  <c r="W185" i="1"/>
  <c r="W186" i="1"/>
  <c r="W187" i="1"/>
  <c r="M187" i="1" s="1"/>
  <c r="W188" i="1"/>
  <c r="M188" i="1" s="1"/>
  <c r="W189" i="1"/>
  <c r="M189" i="1" s="1"/>
  <c r="W190" i="1"/>
  <c r="W191" i="1"/>
  <c r="W192" i="1"/>
  <c r="M192" i="1" s="1"/>
  <c r="W193" i="1"/>
  <c r="M193" i="1" s="1"/>
  <c r="W194" i="1"/>
  <c r="W195" i="1"/>
  <c r="M195" i="1" s="1"/>
  <c r="W196" i="1"/>
  <c r="M196" i="1" s="1"/>
  <c r="W197" i="1"/>
  <c r="W198" i="1"/>
  <c r="W199" i="1"/>
  <c r="W168" i="1"/>
  <c r="W169" i="1"/>
  <c r="W170" i="1"/>
  <c r="W171" i="1"/>
  <c r="W172" i="1"/>
  <c r="M172" i="1" s="1"/>
  <c r="W173" i="1"/>
  <c r="M173" i="1" s="1"/>
  <c r="W174" i="1"/>
  <c r="M174" i="1" s="1"/>
  <c r="W175" i="1"/>
  <c r="M175" i="1" s="1"/>
  <c r="W176" i="1"/>
  <c r="M176" i="1" s="1"/>
  <c r="W177" i="1"/>
  <c r="M177" i="1" s="1"/>
  <c r="W178" i="1"/>
  <c r="W179" i="1"/>
  <c r="W467" i="1"/>
  <c r="W468" i="1"/>
  <c r="W469" i="1"/>
  <c r="W470" i="1"/>
  <c r="W471" i="1"/>
  <c r="M471" i="1" s="1"/>
  <c r="W472" i="1"/>
  <c r="M472" i="1" s="1"/>
  <c r="W473" i="1"/>
  <c r="W474" i="1"/>
  <c r="W475" i="1"/>
  <c r="M475" i="1" s="1"/>
  <c r="W476" i="1"/>
  <c r="M476" i="1" s="1"/>
  <c r="W477" i="1"/>
  <c r="M477" i="1" s="1"/>
  <c r="W478" i="1"/>
  <c r="W479" i="1"/>
  <c r="W480" i="1"/>
  <c r="W498" i="1"/>
  <c r="W499" i="1"/>
  <c r="W500" i="1"/>
  <c r="M500" i="1" s="1"/>
  <c r="W501" i="1"/>
  <c r="M501" i="1" s="1"/>
  <c r="W502" i="1"/>
  <c r="M502" i="1" s="1"/>
  <c r="W503" i="1"/>
  <c r="M503" i="1" s="1"/>
  <c r="W504" i="1"/>
  <c r="M504" i="1" s="1"/>
  <c r="W505" i="1"/>
  <c r="W506" i="1"/>
  <c r="W507" i="1"/>
  <c r="W488" i="1"/>
  <c r="W489" i="1"/>
  <c r="W490" i="1"/>
  <c r="W491" i="1"/>
  <c r="W492" i="1"/>
  <c r="M492" i="1" s="1"/>
  <c r="W493" i="1"/>
  <c r="M493" i="1" s="1"/>
  <c r="W494" i="1"/>
  <c r="W495" i="1"/>
  <c r="M495" i="1" s="1"/>
  <c r="W496" i="1"/>
  <c r="M496" i="1" s="1"/>
  <c r="W497" i="1"/>
  <c r="M497" i="1" s="1"/>
  <c r="W639" i="1"/>
  <c r="M639" i="1" s="1"/>
  <c r="W640" i="1"/>
  <c r="W641" i="1"/>
  <c r="M641" i="1" s="1"/>
  <c r="W642" i="1"/>
  <c r="W643" i="1"/>
  <c r="W644" i="1"/>
  <c r="W645" i="1"/>
  <c r="W646" i="1"/>
  <c r="M646" i="1" s="1"/>
  <c r="W647" i="1"/>
  <c r="W481" i="1"/>
  <c r="W482" i="1"/>
  <c r="M482" i="1" s="1"/>
  <c r="W483" i="1"/>
  <c r="M483" i="1" s="1"/>
  <c r="W484" i="1"/>
  <c r="M484" i="1" s="1"/>
  <c r="W485" i="1"/>
  <c r="W486" i="1"/>
  <c r="W459" i="1"/>
  <c r="W458" i="1"/>
  <c r="W460" i="1"/>
  <c r="W461" i="1"/>
  <c r="W462" i="1"/>
  <c r="W463" i="1"/>
  <c r="W464" i="1"/>
  <c r="M464" i="1" s="1"/>
  <c r="W465" i="1"/>
  <c r="M465" i="1" s="1"/>
  <c r="W466" i="1"/>
  <c r="W487" i="1"/>
  <c r="W247" i="1"/>
  <c r="W248" i="1"/>
  <c r="M248" i="1" s="1"/>
  <c r="W249" i="1"/>
  <c r="W250" i="1"/>
  <c r="W251" i="1"/>
  <c r="W252" i="1"/>
  <c r="W253" i="1"/>
  <c r="W254" i="1"/>
  <c r="W259" i="1"/>
  <c r="M259" i="1" s="1"/>
  <c r="W260" i="1"/>
  <c r="M260" i="1" s="1"/>
  <c r="W262" i="1"/>
  <c r="M262" i="1" s="1"/>
  <c r="W263" i="1"/>
  <c r="M263" i="1" s="1"/>
  <c r="W255" i="1"/>
  <c r="W256" i="1"/>
  <c r="W257" i="1"/>
  <c r="W258" i="1"/>
  <c r="W264" i="1"/>
  <c r="W265" i="1"/>
  <c r="W266" i="1"/>
  <c r="W267" i="1"/>
  <c r="W268" i="1"/>
  <c r="M268" i="1" s="1"/>
  <c r="W269" i="1"/>
  <c r="M269" i="1" s="1"/>
  <c r="W2" i="1"/>
  <c r="M2" i="1" s="1"/>
  <c r="W3" i="1"/>
  <c r="M3" i="1" s="1"/>
  <c r="W4" i="1"/>
  <c r="W5" i="1"/>
  <c r="M5" i="1" s="1"/>
  <c r="W6" i="1"/>
  <c r="W7" i="1"/>
  <c r="M7" i="1" s="1"/>
  <c r="W8" i="1"/>
  <c r="W9" i="1"/>
  <c r="M9" i="1" s="1"/>
  <c r="W10" i="1"/>
  <c r="W11" i="1"/>
  <c r="W12" i="1"/>
  <c r="W13" i="1"/>
  <c r="W14" i="1"/>
  <c r="W15" i="1"/>
  <c r="W16" i="1"/>
  <c r="W17" i="1"/>
  <c r="W18" i="1"/>
  <c r="W19" i="1"/>
  <c r="W20" i="1"/>
  <c r="W21" i="1"/>
  <c r="M21" i="1" s="1"/>
  <c r="W22" i="1"/>
  <c r="M22" i="1" s="1"/>
  <c r="W609" i="1"/>
  <c r="W610" i="1"/>
  <c r="W611" i="1"/>
  <c r="W612" i="1"/>
  <c r="M612" i="1" s="1"/>
  <c r="W613" i="1"/>
  <c r="M613" i="1" s="1"/>
  <c r="W614" i="1"/>
  <c r="M614" i="1" s="1"/>
  <c r="W615" i="1"/>
  <c r="W616" i="1"/>
  <c r="W628" i="1"/>
  <c r="W629" i="1"/>
  <c r="W631" i="1"/>
  <c r="M631" i="1" s="1"/>
  <c r="W633" i="1"/>
  <c r="W634" i="1"/>
  <c r="W638" i="1"/>
  <c r="M638" i="1" s="1"/>
  <c r="W617" i="1"/>
  <c r="W618" i="1"/>
  <c r="M618" i="1" s="1"/>
  <c r="W619" i="1"/>
  <c r="M619" i="1" s="1"/>
  <c r="W620" i="1"/>
  <c r="W621" i="1"/>
  <c r="W622" i="1"/>
  <c r="W623" i="1"/>
  <c r="M623" i="1" s="1"/>
  <c r="W624" i="1"/>
  <c r="W625" i="1"/>
  <c r="W627" i="1"/>
  <c r="M627" i="1" s="1"/>
  <c r="W84" i="1"/>
  <c r="M84" i="1" s="1"/>
  <c r="W85" i="1"/>
  <c r="W86" i="1"/>
  <c r="M86" i="1" s="1"/>
  <c r="W87" i="1"/>
  <c r="M87" i="1" s="1"/>
  <c r="W88" i="1"/>
  <c r="M88" i="1" s="1"/>
  <c r="W89" i="1"/>
  <c r="W90" i="1"/>
  <c r="W91" i="1"/>
  <c r="W92" i="1"/>
  <c r="W93" i="1"/>
  <c r="W94" i="1"/>
  <c r="W95" i="1"/>
  <c r="W96" i="1"/>
  <c r="W97" i="1"/>
  <c r="W98" i="1"/>
  <c r="M98" i="1" s="1"/>
  <c r="W114" i="1"/>
  <c r="M114" i="1" s="1"/>
  <c r="W115" i="1"/>
  <c r="M115" i="1" s="1"/>
  <c r="W116" i="1"/>
  <c r="M116" i="1" s="1"/>
  <c r="W117" i="1"/>
  <c r="W118" i="1"/>
  <c r="M118" i="1" s="1"/>
  <c r="W119" i="1"/>
  <c r="M119" i="1" s="1"/>
  <c r="W120" i="1"/>
  <c r="W121" i="1"/>
  <c r="W122" i="1"/>
  <c r="W123" i="1"/>
  <c r="W124" i="1"/>
  <c r="W125" i="1"/>
  <c r="M125" i="1" s="1"/>
  <c r="W126" i="1"/>
  <c r="W127" i="1"/>
  <c r="W128" i="1"/>
  <c r="W129" i="1"/>
  <c r="W130" i="1"/>
  <c r="W131" i="1"/>
  <c r="W132" i="1"/>
  <c r="W133" i="1"/>
  <c r="M133" i="1" s="1"/>
  <c r="W134" i="1"/>
  <c r="W135" i="1"/>
  <c r="W136" i="1"/>
  <c r="W137" i="1"/>
  <c r="W99" i="1"/>
  <c r="M99" i="1" s="1"/>
  <c r="W100" i="1"/>
  <c r="M100" i="1" s="1"/>
  <c r="W107" i="1"/>
  <c r="W108" i="1"/>
  <c r="M108" i="1" s="1"/>
  <c r="W109" i="1"/>
  <c r="W110" i="1"/>
  <c r="W111" i="1"/>
  <c r="W112" i="1"/>
  <c r="M112" i="1" s="1"/>
  <c r="W113" i="1"/>
  <c r="M113" i="1" s="1"/>
  <c r="W101" i="1"/>
  <c r="W102" i="1"/>
  <c r="W103" i="1"/>
  <c r="W104" i="1"/>
  <c r="W105" i="1"/>
  <c r="M105" i="1" s="1"/>
  <c r="W106" i="1"/>
  <c r="W523" i="1"/>
  <c r="W524" i="1"/>
  <c r="W525" i="1"/>
  <c r="W526" i="1"/>
  <c r="W527" i="1"/>
  <c r="M527" i="1" s="1"/>
  <c r="W528" i="1"/>
  <c r="M528" i="1" s="1"/>
  <c r="W529" i="1"/>
  <c r="W48" i="1"/>
  <c r="W49" i="1"/>
  <c r="W50" i="1"/>
  <c r="W51" i="1"/>
  <c r="W52" i="1"/>
  <c r="W53" i="1"/>
  <c r="M53" i="1" s="1"/>
  <c r="W54" i="1"/>
  <c r="W55" i="1"/>
  <c r="M55" i="1" s="1"/>
  <c r="W56" i="1"/>
  <c r="W57" i="1"/>
  <c r="M57" i="1" s="1"/>
  <c r="W342" i="1"/>
  <c r="M342" i="1" s="1"/>
  <c r="W343" i="1"/>
  <c r="W344" i="1"/>
  <c r="W345" i="1"/>
  <c r="M345" i="1" s="1"/>
  <c r="W346" i="1"/>
  <c r="W351" i="1"/>
  <c r="W347" i="1"/>
  <c r="W348" i="1"/>
  <c r="W349" i="1"/>
  <c r="W350" i="1"/>
  <c r="W270" i="1"/>
  <c r="W271" i="1"/>
  <c r="M271" i="1" s="1"/>
  <c r="W272" i="1"/>
  <c r="M272" i="1" s="1"/>
  <c r="W273" i="1"/>
  <c r="M273" i="1" s="1"/>
  <c r="W274" i="1"/>
  <c r="W275" i="1"/>
  <c r="M275" i="1" s="1"/>
  <c r="W276" i="1"/>
  <c r="M276" i="1" s="1"/>
  <c r="W277" i="1"/>
  <c r="W278" i="1"/>
  <c r="W279" i="1"/>
  <c r="W280" i="1"/>
  <c r="M280" i="1" s="1"/>
  <c r="W281" i="1"/>
  <c r="M281" i="1" s="1"/>
  <c r="W282" i="1"/>
  <c r="W283" i="1"/>
  <c r="M283" i="1" s="1"/>
  <c r="W284" i="1"/>
  <c r="M284" i="1" s="1"/>
  <c r="W285" i="1"/>
  <c r="W286" i="1"/>
  <c r="W287" i="1"/>
  <c r="W288" i="1"/>
  <c r="M288" i="1" s="1"/>
  <c r="W289" i="1"/>
  <c r="M289" i="1" s="1"/>
  <c r="W290" i="1"/>
  <c r="W291" i="1"/>
  <c r="W292" i="1"/>
  <c r="W293" i="1"/>
  <c r="W294" i="1"/>
  <c r="W295" i="1"/>
  <c r="M295" i="1" s="1"/>
  <c r="W296" i="1"/>
  <c r="M296" i="1" s="1"/>
  <c r="W297" i="1"/>
  <c r="M297" i="1" s="1"/>
  <c r="W298" i="1"/>
  <c r="W299" i="1"/>
  <c r="M299" i="1" s="1"/>
  <c r="W673" i="1"/>
  <c r="M673" i="1" s="1"/>
  <c r="W674" i="1"/>
  <c r="W675" i="1"/>
  <c r="W676" i="1"/>
  <c r="W677" i="1"/>
  <c r="W678" i="1"/>
  <c r="W579" i="1"/>
  <c r="W580" i="1"/>
  <c r="M580" i="1" s="1"/>
  <c r="W581" i="1"/>
  <c r="M581" i="1" s="1"/>
  <c r="W582" i="1"/>
  <c r="M582" i="1" s="1"/>
  <c r="W583" i="1"/>
  <c r="W584" i="1"/>
  <c r="M584" i="1" s="1"/>
  <c r="W585" i="1"/>
  <c r="M585" i="1" s="1"/>
  <c r="W586" i="1"/>
  <c r="M586" i="1" s="1"/>
  <c r="W587" i="1"/>
  <c r="W588" i="1"/>
  <c r="W452" i="1"/>
  <c r="W453" i="1"/>
  <c r="W454" i="1"/>
  <c r="W455" i="1"/>
  <c r="M455" i="1" s="1"/>
  <c r="W456" i="1"/>
  <c r="M456" i="1" s="1"/>
  <c r="W457" i="1"/>
  <c r="W138" i="1"/>
  <c r="W139" i="1"/>
  <c r="W140" i="1"/>
  <c r="M140" i="1" s="1"/>
  <c r="W141" i="1"/>
  <c r="M141" i="1" s="1"/>
  <c r="W142" i="1"/>
  <c r="M142" i="1" s="1"/>
  <c r="W143" i="1"/>
  <c r="M143" i="1" s="1"/>
  <c r="W144" i="1"/>
  <c r="M144" i="1" s="1"/>
  <c r="W145" i="1"/>
  <c r="W146" i="1"/>
  <c r="W147" i="1"/>
  <c r="W331" i="1"/>
  <c r="M331" i="1" s="1"/>
  <c r="W332" i="1"/>
  <c r="W333" i="1"/>
  <c r="W334" i="1"/>
  <c r="M334" i="1" s="1"/>
  <c r="W335" i="1"/>
  <c r="M335" i="1" s="1"/>
  <c r="W336" i="1"/>
  <c r="W337" i="1"/>
  <c r="W338" i="1"/>
  <c r="W339" i="1"/>
  <c r="W340" i="1"/>
  <c r="W341" i="1"/>
  <c r="W360" i="1"/>
  <c r="W361" i="1"/>
  <c r="M361" i="1" s="1"/>
  <c r="W362" i="1"/>
  <c r="M362" i="1" s="1"/>
  <c r="W363" i="1"/>
  <c r="W364" i="1"/>
  <c r="M364" i="1" s="1"/>
  <c r="W365" i="1"/>
  <c r="M365" i="1" s="1"/>
  <c r="W366" i="1"/>
  <c r="M366" i="1" s="1"/>
  <c r="W367" i="1"/>
  <c r="M367" i="1" s="1"/>
  <c r="W368" i="1"/>
  <c r="M368" i="1" s="1"/>
  <c r="W369" i="1"/>
  <c r="W370" i="1"/>
  <c r="W371" i="1"/>
  <c r="W372" i="1"/>
  <c r="W373" i="1"/>
  <c r="W374" i="1"/>
  <c r="W375" i="1"/>
  <c r="W376" i="1"/>
  <c r="M376" i="1" s="1"/>
  <c r="W377" i="1"/>
  <c r="M377" i="1" s="1"/>
  <c r="W378" i="1"/>
  <c r="M378" i="1" s="1"/>
  <c r="W379" i="1"/>
  <c r="W530" i="1"/>
  <c r="M530" i="1" s="1"/>
  <c r="W531" i="1"/>
  <c r="M531" i="1" s="1"/>
  <c r="W532" i="1"/>
  <c r="W533" i="1"/>
  <c r="W534" i="1"/>
  <c r="M534" i="1" s="1"/>
  <c r="W535" i="1"/>
  <c r="W536" i="1"/>
  <c r="W537" i="1"/>
  <c r="W538" i="1"/>
  <c r="W539" i="1"/>
  <c r="W540" i="1"/>
  <c r="M540" i="1" s="1"/>
  <c r="W541" i="1"/>
  <c r="M541" i="1" s="1"/>
  <c r="W542" i="1"/>
  <c r="M542" i="1" s="1"/>
  <c r="W543" i="1"/>
  <c r="W544" i="1"/>
  <c r="W545" i="1"/>
  <c r="W546" i="1"/>
  <c r="M546" i="1" s="1"/>
  <c r="W547" i="1"/>
  <c r="M547" i="1" s="1"/>
  <c r="W548" i="1"/>
  <c r="W549" i="1"/>
  <c r="W148" i="1"/>
  <c r="W149" i="1"/>
  <c r="M149" i="1" s="1"/>
  <c r="W150" i="1"/>
  <c r="W151" i="1"/>
  <c r="W152" i="1"/>
  <c r="W153" i="1"/>
  <c r="M153" i="1" s="1"/>
  <c r="W154" i="1"/>
  <c r="W155" i="1"/>
  <c r="W156" i="1"/>
  <c r="M156" i="1" s="1"/>
  <c r="W167" i="1"/>
  <c r="M167" i="1" s="1"/>
  <c r="W157" i="1"/>
  <c r="M157" i="1" s="1"/>
  <c r="W158" i="1"/>
  <c r="W159" i="1"/>
  <c r="W160" i="1"/>
  <c r="W161" i="1"/>
  <c r="M161" i="1" s="1"/>
  <c r="W162" i="1"/>
  <c r="W163" i="1"/>
  <c r="W164" i="1"/>
  <c r="W165" i="1"/>
  <c r="W166" i="1"/>
  <c r="W261" i="1"/>
  <c r="M261" i="1" s="1"/>
  <c r="AE626" i="1" l="1"/>
  <c r="AE635" i="1"/>
  <c r="AH635" i="1" s="1"/>
  <c r="AE632" i="1"/>
  <c r="AE630" i="1"/>
  <c r="AH630" i="1" s="1"/>
  <c r="AG641" i="1"/>
  <c r="AG504" i="1"/>
  <c r="AD530" i="1"/>
  <c r="AE530" i="1" s="1"/>
  <c r="AH530" i="1" s="1"/>
  <c r="AD582" i="1"/>
  <c r="AE582" i="1" s="1"/>
  <c r="AH582" i="1" s="1"/>
  <c r="AD272" i="1"/>
  <c r="AE272" i="1" s="1"/>
  <c r="AH272" i="1" s="1"/>
  <c r="AD133" i="1"/>
  <c r="AE133" i="1" s="1"/>
  <c r="AH133" i="1" s="1"/>
  <c r="AD619" i="1"/>
  <c r="AE619" i="1" s="1"/>
  <c r="AH619" i="1" s="1"/>
  <c r="AD21" i="1"/>
  <c r="AE21" i="1" s="1"/>
  <c r="AH21" i="1" s="1"/>
  <c r="AD484" i="1"/>
  <c r="AE484" i="1" s="1"/>
  <c r="AH484" i="1" s="1"/>
  <c r="AD502" i="1"/>
  <c r="AE502" i="1" s="1"/>
  <c r="AH502" i="1" s="1"/>
  <c r="AD172" i="1"/>
  <c r="AE172" i="1" s="1"/>
  <c r="AH172" i="1" s="1"/>
  <c r="AD323" i="1"/>
  <c r="AE323" i="1" s="1"/>
  <c r="AH323" i="1" s="1"/>
  <c r="AD663" i="1"/>
  <c r="AE663" i="1" s="1"/>
  <c r="AH663" i="1" s="1"/>
  <c r="AD200" i="1"/>
  <c r="AE200" i="1" s="1"/>
  <c r="AH200" i="1" s="1"/>
  <c r="AD557" i="1"/>
  <c r="AE557" i="1" s="1"/>
  <c r="AD31" i="1"/>
  <c r="AE31" i="1" s="1"/>
  <c r="AH31" i="1" s="1"/>
  <c r="AD380" i="1"/>
  <c r="AE380" i="1" s="1"/>
  <c r="AH380" i="1" s="1"/>
  <c r="AD368" i="1"/>
  <c r="AE368" i="1" s="1"/>
  <c r="AH368" i="1" s="1"/>
  <c r="AD581" i="1"/>
  <c r="AE581" i="1" s="1"/>
  <c r="AH581" i="1" s="1"/>
  <c r="AD271" i="1"/>
  <c r="AE271" i="1" s="1"/>
  <c r="AH271" i="1" s="1"/>
  <c r="AD125" i="1"/>
  <c r="AE125" i="1" s="1"/>
  <c r="AH125" i="1" s="1"/>
  <c r="AD618" i="1"/>
  <c r="AE618" i="1" s="1"/>
  <c r="AH618" i="1" s="1"/>
  <c r="AD9" i="1"/>
  <c r="AE9" i="1" s="1"/>
  <c r="AH9" i="1" s="1"/>
  <c r="AD483" i="1"/>
  <c r="AE483" i="1" s="1"/>
  <c r="AH483" i="1" s="1"/>
  <c r="AD501" i="1"/>
  <c r="AE501" i="1" s="1"/>
  <c r="AH501" i="1" s="1"/>
  <c r="AD196" i="1"/>
  <c r="AE196" i="1" s="1"/>
  <c r="AH196" i="1" s="1"/>
  <c r="AD319" i="1"/>
  <c r="AE319" i="1" s="1"/>
  <c r="AH319" i="1" s="1"/>
  <c r="AD359" i="1"/>
  <c r="AE359" i="1" s="1"/>
  <c r="AH359" i="1" s="1"/>
  <c r="AD213" i="1"/>
  <c r="AE213" i="1" s="1"/>
  <c r="AH213" i="1" s="1"/>
  <c r="AD556" i="1"/>
  <c r="AE556" i="1" s="1"/>
  <c r="AH556" i="1" s="1"/>
  <c r="AD30" i="1"/>
  <c r="AE30" i="1" s="1"/>
  <c r="AD81" i="1"/>
  <c r="AE81" i="1" s="1"/>
  <c r="AH81" i="1" s="1"/>
  <c r="AD367" i="1"/>
  <c r="AE367" i="1" s="1"/>
  <c r="AH367" i="1" s="1"/>
  <c r="AD580" i="1"/>
  <c r="AE580" i="1" s="1"/>
  <c r="AH580" i="1" s="1"/>
  <c r="AD342" i="1"/>
  <c r="AE342" i="1" s="1"/>
  <c r="AH342" i="1" s="1"/>
  <c r="AD118" i="1"/>
  <c r="AE118" i="1" s="1"/>
  <c r="AH118" i="1" s="1"/>
  <c r="AD638" i="1"/>
  <c r="AE638" i="1" s="1"/>
  <c r="AH638" i="1" s="1"/>
  <c r="AD3" i="1"/>
  <c r="AE3" i="1" s="1"/>
  <c r="AH3" i="1" s="1"/>
  <c r="AD482" i="1"/>
  <c r="AE482" i="1" s="1"/>
  <c r="AH482" i="1" s="1"/>
  <c r="AD500" i="1"/>
  <c r="AE500" i="1" s="1"/>
  <c r="AH500" i="1" s="1"/>
  <c r="AD195" i="1"/>
  <c r="AE195" i="1" s="1"/>
  <c r="AH195" i="1" s="1"/>
  <c r="AD318" i="1"/>
  <c r="AE318" i="1" s="1"/>
  <c r="AH318" i="1" s="1"/>
  <c r="AD355" i="1"/>
  <c r="AE355" i="1" s="1"/>
  <c r="AH355" i="1" s="1"/>
  <c r="AD212" i="1"/>
  <c r="AE212" i="1" s="1"/>
  <c r="AH212" i="1" s="1"/>
  <c r="AD412" i="1"/>
  <c r="AE412" i="1" s="1"/>
  <c r="AH412" i="1" s="1"/>
  <c r="AD39" i="1"/>
  <c r="AE39" i="1" s="1"/>
  <c r="AH39" i="1" s="1"/>
  <c r="AD74" i="1"/>
  <c r="AE74" i="1" s="1"/>
  <c r="AH74" i="1" s="1"/>
  <c r="AD58" i="1"/>
  <c r="AE58" i="1" s="1"/>
  <c r="AD366" i="1"/>
  <c r="AE366" i="1" s="1"/>
  <c r="AH366" i="1" s="1"/>
  <c r="AD673" i="1"/>
  <c r="AE673" i="1" s="1"/>
  <c r="AH673" i="1" s="1"/>
  <c r="AD57" i="1"/>
  <c r="AE57" i="1" s="1"/>
  <c r="AH57" i="1" s="1"/>
  <c r="AD116" i="1"/>
  <c r="AE116" i="1" s="1"/>
  <c r="AH116" i="1" s="1"/>
  <c r="AD2" i="1"/>
  <c r="AE2" i="1" s="1"/>
  <c r="AH2" i="1" s="1"/>
  <c r="AD641" i="1"/>
  <c r="AE641" i="1" s="1"/>
  <c r="AD477" i="1"/>
  <c r="AE477" i="1" s="1"/>
  <c r="AH477" i="1" s="1"/>
  <c r="AD193" i="1"/>
  <c r="AE193" i="1" s="1"/>
  <c r="AH193" i="1" s="1"/>
  <c r="AD517" i="1"/>
  <c r="AE517" i="1" s="1"/>
  <c r="AH517" i="1" s="1"/>
  <c r="AD353" i="1"/>
  <c r="AE353" i="1" s="1"/>
  <c r="AH353" i="1" s="1"/>
  <c r="AD211" i="1"/>
  <c r="AE211" i="1" s="1"/>
  <c r="AH211" i="1" s="1"/>
  <c r="AD408" i="1"/>
  <c r="AE408" i="1" s="1"/>
  <c r="AH408" i="1" s="1"/>
  <c r="AD38" i="1"/>
  <c r="AE38" i="1" s="1"/>
  <c r="AH38" i="1" s="1"/>
  <c r="AD436" i="1"/>
  <c r="AE436" i="1" s="1"/>
  <c r="AH436" i="1" s="1"/>
  <c r="AD157" i="1"/>
  <c r="AE157" i="1" s="1"/>
  <c r="AD365" i="1"/>
  <c r="AE365" i="1" s="1"/>
  <c r="AH365" i="1" s="1"/>
  <c r="AD299" i="1"/>
  <c r="AE299" i="1" s="1"/>
  <c r="AH299" i="1" s="1"/>
  <c r="AD53" i="1"/>
  <c r="AE53" i="1" s="1"/>
  <c r="AH53" i="1" s="1"/>
  <c r="AD115" i="1"/>
  <c r="AE115" i="1" s="1"/>
  <c r="AH115" i="1" s="1"/>
  <c r="AD269" i="1"/>
  <c r="AE269" i="1" s="1"/>
  <c r="AH269" i="1" s="1"/>
  <c r="AD639" i="1"/>
  <c r="AE639" i="1" s="1"/>
  <c r="AH639" i="1" s="1"/>
  <c r="AD470" i="1"/>
  <c r="AD192" i="1"/>
  <c r="AE192" i="1" s="1"/>
  <c r="AH192" i="1" s="1"/>
  <c r="AD513" i="1"/>
  <c r="AE513" i="1" s="1"/>
  <c r="AH513" i="1" s="1"/>
  <c r="AD236" i="1"/>
  <c r="AE236" i="1" s="1"/>
  <c r="AH236" i="1" s="1"/>
  <c r="AD603" i="1"/>
  <c r="AE603" i="1" s="1"/>
  <c r="AH603" i="1" s="1"/>
  <c r="AD406" i="1"/>
  <c r="AE406" i="1" s="1"/>
  <c r="AH406" i="1" s="1"/>
  <c r="AD37" i="1"/>
  <c r="AE37" i="1" s="1"/>
  <c r="AH37" i="1" s="1"/>
  <c r="AD435" i="1"/>
  <c r="AE435" i="1" s="1"/>
  <c r="AH435" i="1" s="1"/>
  <c r="AD167" i="1"/>
  <c r="AE167" i="1" s="1"/>
  <c r="AH167" i="1" s="1"/>
  <c r="AD364" i="1"/>
  <c r="AE364" i="1" s="1"/>
  <c r="AH364" i="1" s="1"/>
  <c r="AD297" i="1"/>
  <c r="AE297" i="1" s="1"/>
  <c r="AH297" i="1" s="1"/>
  <c r="AD527" i="1"/>
  <c r="AE527" i="1" s="1"/>
  <c r="AH527" i="1" s="1"/>
  <c r="AD114" i="1"/>
  <c r="AE114" i="1" s="1"/>
  <c r="AH114" i="1" s="1"/>
  <c r="AD268" i="1"/>
  <c r="AE268" i="1" s="1"/>
  <c r="AD497" i="1"/>
  <c r="AE497" i="1" s="1"/>
  <c r="AH497" i="1" s="1"/>
  <c r="AD475" i="1"/>
  <c r="AE475" i="1" s="1"/>
  <c r="AD180" i="1"/>
  <c r="AE180" i="1" s="1"/>
  <c r="AH180" i="1" s="1"/>
  <c r="AD512" i="1"/>
  <c r="AE512" i="1" s="1"/>
  <c r="AH512" i="1" s="1"/>
  <c r="AD235" i="1"/>
  <c r="AE235" i="1" s="1"/>
  <c r="AH235" i="1" s="1"/>
  <c r="AD602" i="1"/>
  <c r="AE602" i="1" s="1"/>
  <c r="AH602" i="1" s="1"/>
  <c r="AD446" i="1"/>
  <c r="AE446" i="1" s="1"/>
  <c r="AH446" i="1" s="1"/>
  <c r="AD25" i="1"/>
  <c r="AE25" i="1" s="1"/>
  <c r="AH25" i="1" s="1"/>
  <c r="AD427" i="1"/>
  <c r="AE427" i="1" s="1"/>
  <c r="AH427" i="1" s="1"/>
  <c r="AD156" i="1"/>
  <c r="AE156" i="1" s="1"/>
  <c r="AD362" i="1"/>
  <c r="AE362" i="1" s="1"/>
  <c r="AH362" i="1" s="1"/>
  <c r="AD296" i="1"/>
  <c r="AE296" i="1" s="1"/>
  <c r="AH296" i="1" s="1"/>
  <c r="AD105" i="1"/>
  <c r="AE105" i="1" s="1"/>
  <c r="AH105" i="1" s="1"/>
  <c r="AD98" i="1"/>
  <c r="AE98" i="1" s="1"/>
  <c r="AH98" i="1" s="1"/>
  <c r="AD261" i="1"/>
  <c r="AE261" i="1" s="1"/>
  <c r="AH261" i="1" s="1"/>
  <c r="AD496" i="1"/>
  <c r="AE496" i="1" s="1"/>
  <c r="AH496" i="1" s="1"/>
  <c r="AD471" i="1"/>
  <c r="AE471" i="1" s="1"/>
  <c r="AH471" i="1" s="1"/>
  <c r="AD309" i="1"/>
  <c r="AE309" i="1" s="1"/>
  <c r="AH309" i="1" s="1"/>
  <c r="AD511" i="1"/>
  <c r="AE511" i="1" s="1"/>
  <c r="AH511" i="1" s="1"/>
  <c r="AD230" i="1"/>
  <c r="AD593" i="1"/>
  <c r="AE593" i="1" s="1"/>
  <c r="AH593" i="1" s="1"/>
  <c r="AD445" i="1"/>
  <c r="AE445" i="1" s="1"/>
  <c r="AH445" i="1" s="1"/>
  <c r="AD24" i="1"/>
  <c r="AE24" i="1" s="1"/>
  <c r="AH24" i="1" s="1"/>
  <c r="AD426" i="1"/>
  <c r="AE426" i="1" s="1"/>
  <c r="AH426" i="1" s="1"/>
  <c r="AH637" i="1"/>
  <c r="AD149" i="1"/>
  <c r="AE149" i="1" s="1"/>
  <c r="AD361" i="1"/>
  <c r="AE361" i="1" s="1"/>
  <c r="AH361" i="1" s="1"/>
  <c r="AD295" i="1"/>
  <c r="AE295" i="1" s="1"/>
  <c r="AH295" i="1" s="1"/>
  <c r="AD113" i="1"/>
  <c r="AE113" i="1" s="1"/>
  <c r="AH113" i="1" s="1"/>
  <c r="AD87" i="1"/>
  <c r="AE87" i="1" s="1"/>
  <c r="AH87" i="1" s="1"/>
  <c r="AD631" i="1"/>
  <c r="AE631" i="1" s="1"/>
  <c r="AH631" i="1" s="1"/>
  <c r="AD260" i="1"/>
  <c r="AE260" i="1" s="1"/>
  <c r="AH260" i="1" s="1"/>
  <c r="AD495" i="1"/>
  <c r="AE495" i="1" s="1"/>
  <c r="AD177" i="1"/>
  <c r="AE177" i="1" s="1"/>
  <c r="AH177" i="1" s="1"/>
  <c r="AD308" i="1"/>
  <c r="AE308" i="1" s="1"/>
  <c r="AH308" i="1" s="1"/>
  <c r="AD510" i="1"/>
  <c r="AE510" i="1" s="1"/>
  <c r="AH510" i="1" s="1"/>
  <c r="AD233" i="1"/>
  <c r="AE233" i="1" s="1"/>
  <c r="AH233" i="1" s="1"/>
  <c r="AD591" i="1"/>
  <c r="AE591" i="1" s="1"/>
  <c r="AH591" i="1" s="1"/>
  <c r="AD444" i="1"/>
  <c r="AE444" i="1" s="1"/>
  <c r="AH444" i="1" s="1"/>
  <c r="AD23" i="1"/>
  <c r="AE23" i="1" s="1"/>
  <c r="AH23" i="1" s="1"/>
  <c r="AD73" i="1"/>
  <c r="AE73" i="1" s="1"/>
  <c r="AH73" i="1" s="1"/>
  <c r="AD547" i="1"/>
  <c r="AE547" i="1" s="1"/>
  <c r="AH547" i="1" s="1"/>
  <c r="AD331" i="1"/>
  <c r="AE331" i="1" s="1"/>
  <c r="AD283" i="1"/>
  <c r="AE283" i="1" s="1"/>
  <c r="AH283" i="1" s="1"/>
  <c r="AD112" i="1"/>
  <c r="AE112" i="1" s="1"/>
  <c r="AH112" i="1" s="1"/>
  <c r="AD86" i="1"/>
  <c r="AE86" i="1" s="1"/>
  <c r="AH86" i="1" s="1"/>
  <c r="AD259" i="1"/>
  <c r="AE259" i="1" s="1"/>
  <c r="AD493" i="1"/>
  <c r="AE493" i="1" s="1"/>
  <c r="AD176" i="1"/>
  <c r="AE176" i="1" s="1"/>
  <c r="AH176" i="1" s="1"/>
  <c r="AD301" i="1"/>
  <c r="AE301" i="1" s="1"/>
  <c r="AH301" i="1" s="1"/>
  <c r="AD509" i="1"/>
  <c r="AE509" i="1" s="1"/>
  <c r="AH509" i="1" s="1"/>
  <c r="AD231" i="1"/>
  <c r="AE231" i="1" s="1"/>
  <c r="AH231" i="1" s="1"/>
  <c r="AD590" i="1"/>
  <c r="AE590" i="1" s="1"/>
  <c r="AH590" i="1" s="1"/>
  <c r="AD397" i="1"/>
  <c r="AE397" i="1" s="1"/>
  <c r="AH397" i="1" s="1"/>
  <c r="AD394" i="1"/>
  <c r="AE394" i="1" s="1"/>
  <c r="AD64" i="1"/>
  <c r="AE64" i="1" s="1"/>
  <c r="AH64" i="1" s="1"/>
  <c r="AD546" i="1"/>
  <c r="AE546" i="1" s="1"/>
  <c r="AH546" i="1" s="1"/>
  <c r="AD142" i="1"/>
  <c r="AE142" i="1" s="1"/>
  <c r="AH142" i="1" s="1"/>
  <c r="AD276" i="1"/>
  <c r="AE276" i="1" s="1"/>
  <c r="AH276" i="1" s="1"/>
  <c r="AD108" i="1"/>
  <c r="AE108" i="1" s="1"/>
  <c r="AH108" i="1" s="1"/>
  <c r="AD84" i="1"/>
  <c r="AE84" i="1" s="1"/>
  <c r="AH84" i="1" s="1"/>
  <c r="AD614" i="1"/>
  <c r="AE614" i="1" s="1"/>
  <c r="AH614" i="1" s="1"/>
  <c r="AD248" i="1"/>
  <c r="AE248" i="1" s="1"/>
  <c r="AH248" i="1" s="1"/>
  <c r="AD492" i="1"/>
  <c r="AE492" i="1" s="1"/>
  <c r="AH492" i="1" s="1"/>
  <c r="AD175" i="1"/>
  <c r="AE175" i="1" s="1"/>
  <c r="AH175" i="1" s="1"/>
  <c r="AD330" i="1"/>
  <c r="AE330" i="1" s="1"/>
  <c r="AH330" i="1" s="1"/>
  <c r="AD508" i="1"/>
  <c r="AE508" i="1" s="1"/>
  <c r="AH508" i="1" s="1"/>
  <c r="AD137" i="1"/>
  <c r="AD95" i="1"/>
  <c r="AE95" i="1" s="1"/>
  <c r="AD396" i="1"/>
  <c r="AE396" i="1" s="1"/>
  <c r="AH396" i="1" s="1"/>
  <c r="AD383" i="1"/>
  <c r="AE383" i="1" s="1"/>
  <c r="AH383" i="1" s="1"/>
  <c r="AD61" i="1"/>
  <c r="AE61" i="1" s="1"/>
  <c r="AH61" i="1" s="1"/>
  <c r="AD540" i="1"/>
  <c r="AE540" i="1" s="1"/>
  <c r="AH540" i="1" s="1"/>
  <c r="AD140" i="1"/>
  <c r="AE140" i="1" s="1"/>
  <c r="AH140" i="1" s="1"/>
  <c r="AD275" i="1"/>
  <c r="AE275" i="1" s="1"/>
  <c r="AH275" i="1" s="1"/>
  <c r="AD100" i="1"/>
  <c r="AE100" i="1" s="1"/>
  <c r="AH100" i="1" s="1"/>
  <c r="AD627" i="1"/>
  <c r="AE627" i="1" s="1"/>
  <c r="AH627" i="1" s="1"/>
  <c r="AD612" i="1"/>
  <c r="AE612" i="1" s="1"/>
  <c r="AH612" i="1" s="1"/>
  <c r="AD465" i="1"/>
  <c r="AE465" i="1" s="1"/>
  <c r="AH465" i="1" s="1"/>
  <c r="AD504" i="1"/>
  <c r="AE504" i="1" s="1"/>
  <c r="AD174" i="1"/>
  <c r="AE174" i="1" s="1"/>
  <c r="AH174" i="1" s="1"/>
  <c r="AD335" i="1"/>
  <c r="AD665" i="1"/>
  <c r="AE665" i="1" s="1"/>
  <c r="AH665" i="1" s="1"/>
  <c r="AD203" i="1"/>
  <c r="AE203" i="1" s="1"/>
  <c r="AH203" i="1" s="1"/>
  <c r="AD563" i="1"/>
  <c r="AD395" i="1"/>
  <c r="AE395" i="1" s="1"/>
  <c r="AH395" i="1" s="1"/>
  <c r="AD382" i="1"/>
  <c r="AE382" i="1" s="1"/>
  <c r="AH382" i="1" s="1"/>
  <c r="AD425" i="1"/>
  <c r="AE425" i="1" s="1"/>
  <c r="AH425" i="1" s="1"/>
  <c r="AD531" i="1"/>
  <c r="AE531" i="1" s="1"/>
  <c r="AH531" i="1" s="1"/>
  <c r="AD455" i="1"/>
  <c r="AE455" i="1" s="1"/>
  <c r="AH455" i="1" s="1"/>
  <c r="AD273" i="1"/>
  <c r="AE273" i="1" s="1"/>
  <c r="AH273" i="1" s="1"/>
  <c r="AD99" i="1"/>
  <c r="AE99" i="1" s="1"/>
  <c r="AH99" i="1" s="1"/>
  <c r="AD22" i="1"/>
  <c r="AE22" i="1" s="1"/>
  <c r="AH22" i="1" s="1"/>
  <c r="AD464" i="1"/>
  <c r="AE464" i="1" s="1"/>
  <c r="AH464" i="1" s="1"/>
  <c r="AD503" i="1"/>
  <c r="AE503" i="1" s="1"/>
  <c r="AH503" i="1" s="1"/>
  <c r="AD173" i="1"/>
  <c r="AE173" i="1" s="1"/>
  <c r="AH173" i="1" s="1"/>
  <c r="AD324" i="1"/>
  <c r="AE324" i="1" s="1"/>
  <c r="AH324" i="1" s="1"/>
  <c r="AD664" i="1"/>
  <c r="AE664" i="1" s="1"/>
  <c r="AH664" i="1" s="1"/>
  <c r="AD201" i="1"/>
  <c r="AE201" i="1" s="1"/>
  <c r="AH201" i="1" s="1"/>
  <c r="AD561" i="1"/>
  <c r="AE561" i="1" s="1"/>
  <c r="AH561" i="1" s="1"/>
  <c r="AD32" i="1"/>
  <c r="AE32" i="1" s="1"/>
  <c r="AH32" i="1" s="1"/>
  <c r="AD381" i="1"/>
  <c r="AE381" i="1" s="1"/>
  <c r="AH381" i="1" s="1"/>
  <c r="AD424" i="1"/>
  <c r="AE424" i="1" s="1"/>
  <c r="AH424" i="1" s="1"/>
  <c r="M166" i="1"/>
  <c r="AD166" i="1"/>
  <c r="AE166" i="1" s="1"/>
  <c r="M155" i="1"/>
  <c r="AD155" i="1"/>
  <c r="AE155" i="1" s="1"/>
  <c r="AH155" i="1" s="1"/>
  <c r="M545" i="1"/>
  <c r="AD545" i="1"/>
  <c r="AE545" i="1" s="1"/>
  <c r="AH545" i="1" s="1"/>
  <c r="M533" i="1"/>
  <c r="AD533" i="1"/>
  <c r="AE533" i="1" s="1"/>
  <c r="AH533" i="1" s="1"/>
  <c r="M371" i="1"/>
  <c r="AD371" i="1"/>
  <c r="AE371" i="1" s="1"/>
  <c r="AH371" i="1" s="1"/>
  <c r="M341" i="1"/>
  <c r="AD341" i="1"/>
  <c r="AE341" i="1" s="1"/>
  <c r="M146" i="1"/>
  <c r="AD146" i="1"/>
  <c r="AE146" i="1" s="1"/>
  <c r="AH146" i="1" s="1"/>
  <c r="M454" i="1"/>
  <c r="AD454" i="1"/>
  <c r="AE454" i="1" s="1"/>
  <c r="AH454" i="1" s="1"/>
  <c r="M579" i="1"/>
  <c r="AD579" i="1"/>
  <c r="AE579" i="1" s="1"/>
  <c r="AH579" i="1" s="1"/>
  <c r="M294" i="1"/>
  <c r="AD294" i="1"/>
  <c r="AE294" i="1" s="1"/>
  <c r="AH294" i="1" s="1"/>
  <c r="M282" i="1"/>
  <c r="AD282" i="1"/>
  <c r="AE282" i="1" s="1"/>
  <c r="AH282" i="1" s="1"/>
  <c r="M270" i="1"/>
  <c r="AD270" i="1"/>
  <c r="AE270" i="1" s="1"/>
  <c r="AH270" i="1" s="1"/>
  <c r="M56" i="1"/>
  <c r="AD56" i="1"/>
  <c r="AE56" i="1" s="1"/>
  <c r="AH56" i="1" s="1"/>
  <c r="M526" i="1"/>
  <c r="AD526" i="1"/>
  <c r="AE526" i="1" s="1"/>
  <c r="M111" i="1"/>
  <c r="AD111" i="1"/>
  <c r="AE111" i="1" s="1"/>
  <c r="AH111" i="1" s="1"/>
  <c r="M132" i="1"/>
  <c r="AD132" i="1"/>
  <c r="AE132" i="1" s="1"/>
  <c r="AH132" i="1" s="1"/>
  <c r="M120" i="1"/>
  <c r="AD120" i="1"/>
  <c r="AE120" i="1" s="1"/>
  <c r="AH120" i="1" s="1"/>
  <c r="M93" i="1"/>
  <c r="AD93" i="1"/>
  <c r="AE93" i="1" s="1"/>
  <c r="AH93" i="1" s="1"/>
  <c r="M624" i="1"/>
  <c r="AD624" i="1"/>
  <c r="AE624" i="1" s="1"/>
  <c r="AH624" i="1" s="1"/>
  <c r="M629" i="1"/>
  <c r="AD629" i="1"/>
  <c r="AE629" i="1" s="1"/>
  <c r="AH629" i="1" s="1"/>
  <c r="M20" i="1"/>
  <c r="AD20" i="1"/>
  <c r="AE20" i="1" s="1"/>
  <c r="AH20" i="1" s="1"/>
  <c r="M8" i="1"/>
  <c r="AD8" i="1"/>
  <c r="AE8" i="1" s="1"/>
  <c r="AH8" i="1" s="1"/>
  <c r="M264" i="1"/>
  <c r="AD264" i="1"/>
  <c r="AE264" i="1" s="1"/>
  <c r="M251" i="1"/>
  <c r="AD251" i="1"/>
  <c r="AE251" i="1" s="1"/>
  <c r="AH251" i="1" s="1"/>
  <c r="M460" i="1"/>
  <c r="AD460" i="1"/>
  <c r="AE460" i="1" s="1"/>
  <c r="M644" i="1"/>
  <c r="AD644" i="1"/>
  <c r="AE644" i="1" s="1"/>
  <c r="M491" i="1"/>
  <c r="AD491" i="1"/>
  <c r="AE491" i="1" s="1"/>
  <c r="M499" i="1"/>
  <c r="AD499" i="1"/>
  <c r="AE499" i="1" s="1"/>
  <c r="AH499" i="1" s="1"/>
  <c r="M470" i="1"/>
  <c r="AD358" i="1"/>
  <c r="M171" i="1"/>
  <c r="AD171" i="1"/>
  <c r="AE171" i="1" s="1"/>
  <c r="AH171" i="1" s="1"/>
  <c r="M191" i="1"/>
  <c r="AD191" i="1"/>
  <c r="AE191" i="1" s="1"/>
  <c r="AH191" i="1" s="1"/>
  <c r="M311" i="1"/>
  <c r="AD311" i="1"/>
  <c r="AE311" i="1" s="1"/>
  <c r="M329" i="1"/>
  <c r="AD329" i="1"/>
  <c r="AE329" i="1" s="1"/>
  <c r="AH329" i="1" s="1"/>
  <c r="M317" i="1"/>
  <c r="AD317" i="1"/>
  <c r="AE317" i="1" s="1"/>
  <c r="AH317" i="1" s="1"/>
  <c r="M516" i="1"/>
  <c r="AD516" i="1"/>
  <c r="AE516" i="1" s="1"/>
  <c r="AH516" i="1" s="1"/>
  <c r="M669" i="1"/>
  <c r="AD669" i="1"/>
  <c r="AE669" i="1" s="1"/>
  <c r="AH669" i="1" s="1"/>
  <c r="M651" i="1"/>
  <c r="AD651" i="1"/>
  <c r="AE651" i="1" s="1"/>
  <c r="M662" i="1"/>
  <c r="AD662" i="1"/>
  <c r="AE662" i="1" s="1"/>
  <c r="AH662" i="1" s="1"/>
  <c r="M241" i="1"/>
  <c r="AD241" i="1"/>
  <c r="AE241" i="1" s="1"/>
  <c r="AH241" i="1" s="1"/>
  <c r="M229" i="1"/>
  <c r="AD229" i="1"/>
  <c r="AE229" i="1" s="1"/>
  <c r="AH229" i="1" s="1"/>
  <c r="M219" i="1"/>
  <c r="AD219" i="1"/>
  <c r="AE219" i="1" s="1"/>
  <c r="AH219" i="1" s="1"/>
  <c r="M220" i="1"/>
  <c r="AD220" i="1"/>
  <c r="AE220" i="1" s="1"/>
  <c r="AH220" i="1" s="1"/>
  <c r="M601" i="1"/>
  <c r="AD601" i="1"/>
  <c r="AE601" i="1" s="1"/>
  <c r="AH601" i="1" s="1"/>
  <c r="M589" i="1"/>
  <c r="AD589" i="1"/>
  <c r="AE589" i="1" s="1"/>
  <c r="AH589" i="1" s="1"/>
  <c r="M567" i="1"/>
  <c r="AD567" i="1"/>
  <c r="AE567" i="1" s="1"/>
  <c r="AH567" i="1" s="1"/>
  <c r="M555" i="1"/>
  <c r="AD555" i="1"/>
  <c r="AE555" i="1" s="1"/>
  <c r="AH555" i="1" s="1"/>
  <c r="M411" i="1"/>
  <c r="AD411" i="1"/>
  <c r="AE411" i="1" s="1"/>
  <c r="AH411" i="1" s="1"/>
  <c r="M399" i="1"/>
  <c r="AD399" i="1"/>
  <c r="AE399" i="1" s="1"/>
  <c r="AH399" i="1" s="1"/>
  <c r="M441" i="1"/>
  <c r="AD441" i="1"/>
  <c r="AE441" i="1" s="1"/>
  <c r="AH441" i="1" s="1"/>
  <c r="M28" i="1"/>
  <c r="AD28" i="1"/>
  <c r="AE28" i="1" s="1"/>
  <c r="AH28" i="1" s="1"/>
  <c r="M36" i="1"/>
  <c r="AD36" i="1"/>
  <c r="AE36" i="1" s="1"/>
  <c r="AH36" i="1" s="1"/>
  <c r="M391" i="1"/>
  <c r="AD391" i="1"/>
  <c r="AE391" i="1" s="1"/>
  <c r="M83" i="1"/>
  <c r="AD83" i="1"/>
  <c r="M434" i="1"/>
  <c r="AD434" i="1"/>
  <c r="AE434" i="1" s="1"/>
  <c r="AH434" i="1" s="1"/>
  <c r="M71" i="1"/>
  <c r="AD71" i="1"/>
  <c r="AE71" i="1" s="1"/>
  <c r="AH71" i="1" s="1"/>
  <c r="M423" i="1"/>
  <c r="AD423" i="1"/>
  <c r="AE423" i="1" s="1"/>
  <c r="AH423" i="1" s="1"/>
  <c r="M439" i="1"/>
  <c r="AD439" i="1"/>
  <c r="AE439" i="1" s="1"/>
  <c r="AH439" i="1" s="1"/>
  <c r="M46" i="1"/>
  <c r="AD46" i="1"/>
  <c r="AE46" i="1" s="1"/>
  <c r="AH46" i="1" s="1"/>
  <c r="AD409" i="1"/>
  <c r="AE409" i="1" s="1"/>
  <c r="AH409" i="1" s="1"/>
  <c r="M165" i="1"/>
  <c r="AD165" i="1"/>
  <c r="AE165" i="1" s="1"/>
  <c r="M370" i="1"/>
  <c r="AD370" i="1"/>
  <c r="AE370" i="1" s="1"/>
  <c r="AH370" i="1" s="1"/>
  <c r="M453" i="1"/>
  <c r="AD453" i="1"/>
  <c r="AE453" i="1" s="1"/>
  <c r="AH453" i="1" s="1"/>
  <c r="M293" i="1"/>
  <c r="AD293" i="1"/>
  <c r="AE293" i="1" s="1"/>
  <c r="AH293" i="1" s="1"/>
  <c r="M110" i="1"/>
  <c r="AD110" i="1"/>
  <c r="AE110" i="1" s="1"/>
  <c r="AH110" i="1" s="1"/>
  <c r="M92" i="1"/>
  <c r="AD92" i="1"/>
  <c r="AE92" i="1" s="1"/>
  <c r="AH92" i="1" s="1"/>
  <c r="M628" i="1"/>
  <c r="AD628" i="1"/>
  <c r="AE628" i="1" s="1"/>
  <c r="AH628" i="1" s="1"/>
  <c r="M258" i="1"/>
  <c r="AD258" i="1"/>
  <c r="AE258" i="1" s="1"/>
  <c r="AH258" i="1" s="1"/>
  <c r="M643" i="1"/>
  <c r="AD643" i="1"/>
  <c r="AE643" i="1" s="1"/>
  <c r="M498" i="1"/>
  <c r="AD498" i="1"/>
  <c r="AE498" i="1" s="1"/>
  <c r="AH498" i="1" s="1"/>
  <c r="M170" i="1"/>
  <c r="AD170" i="1"/>
  <c r="AE170" i="1" s="1"/>
  <c r="AH170" i="1" s="1"/>
  <c r="M190" i="1"/>
  <c r="AD190" i="1"/>
  <c r="AE190" i="1" s="1"/>
  <c r="AH190" i="1" s="1"/>
  <c r="M328" i="1"/>
  <c r="AD328" i="1"/>
  <c r="AE328" i="1" s="1"/>
  <c r="AH328" i="1" s="1"/>
  <c r="M316" i="1"/>
  <c r="AD316" i="1"/>
  <c r="AE316" i="1" s="1"/>
  <c r="AH316" i="1" s="1"/>
  <c r="M515" i="1"/>
  <c r="AD515" i="1"/>
  <c r="AE515" i="1" s="1"/>
  <c r="AH515" i="1" s="1"/>
  <c r="M650" i="1"/>
  <c r="AD650" i="1"/>
  <c r="AE650" i="1" s="1"/>
  <c r="M240" i="1"/>
  <c r="AD240" i="1"/>
  <c r="AE240" i="1" s="1"/>
  <c r="AH240" i="1" s="1"/>
  <c r="M218" i="1"/>
  <c r="AD218" i="1"/>
  <c r="AE218" i="1" s="1"/>
  <c r="AH218" i="1" s="1"/>
  <c r="M600" i="1"/>
  <c r="AD600" i="1"/>
  <c r="AE600" i="1" s="1"/>
  <c r="AH600" i="1" s="1"/>
  <c r="M566" i="1"/>
  <c r="AD566" i="1"/>
  <c r="AE566" i="1" s="1"/>
  <c r="AH566" i="1" s="1"/>
  <c r="M554" i="1"/>
  <c r="AD554" i="1"/>
  <c r="AE554" i="1" s="1"/>
  <c r="AH554" i="1" s="1"/>
  <c r="M398" i="1"/>
  <c r="AD398" i="1"/>
  <c r="AE398" i="1" s="1"/>
  <c r="AH398" i="1" s="1"/>
  <c r="M47" i="1"/>
  <c r="AD47" i="1"/>
  <c r="AE47" i="1" s="1"/>
  <c r="AH47" i="1" s="1"/>
  <c r="M35" i="1"/>
  <c r="AD35" i="1"/>
  <c r="AE35" i="1" s="1"/>
  <c r="AH35" i="1" s="1"/>
  <c r="M82" i="1"/>
  <c r="AD82" i="1"/>
  <c r="AE82" i="1" s="1"/>
  <c r="AH82" i="1" s="1"/>
  <c r="M433" i="1"/>
  <c r="AD433" i="1"/>
  <c r="AE433" i="1" s="1"/>
  <c r="AH433" i="1" s="1"/>
  <c r="M164" i="1"/>
  <c r="AD164" i="1"/>
  <c r="AE164" i="1" s="1"/>
  <c r="M543" i="1"/>
  <c r="AD543" i="1"/>
  <c r="AE543" i="1" s="1"/>
  <c r="AH543" i="1" s="1"/>
  <c r="M369" i="1"/>
  <c r="AD369" i="1"/>
  <c r="AE369" i="1" s="1"/>
  <c r="AH369" i="1" s="1"/>
  <c r="M54" i="1"/>
  <c r="AD54" i="1"/>
  <c r="AE54" i="1" s="1"/>
  <c r="AH54" i="1" s="1"/>
  <c r="M109" i="1"/>
  <c r="AD109" i="1"/>
  <c r="AE109" i="1" s="1"/>
  <c r="AH109" i="1" s="1"/>
  <c r="M622" i="1"/>
  <c r="AD622" i="1"/>
  <c r="AE622" i="1" s="1"/>
  <c r="AH622" i="1" s="1"/>
  <c r="M468" i="1"/>
  <c r="AD468" i="1"/>
  <c r="AE468" i="1" s="1"/>
  <c r="M67" i="1"/>
  <c r="AD67" i="1"/>
  <c r="AE67" i="1" s="1"/>
  <c r="AH67" i="1" s="1"/>
  <c r="M421" i="1"/>
  <c r="AD421" i="1"/>
  <c r="AE421" i="1" s="1"/>
  <c r="AH421" i="1" s="1"/>
  <c r="AD280" i="1"/>
  <c r="AE280" i="1" s="1"/>
  <c r="AH280" i="1" s="1"/>
  <c r="AD7" i="1"/>
  <c r="AE7" i="1" s="1"/>
  <c r="AH7" i="1" s="1"/>
  <c r="M163" i="1"/>
  <c r="AD163" i="1"/>
  <c r="AE163" i="1" s="1"/>
  <c r="M152" i="1"/>
  <c r="AD152" i="1"/>
  <c r="AE152" i="1" s="1"/>
  <c r="AH152" i="1" s="1"/>
  <c r="M338" i="1"/>
  <c r="AD338" i="1"/>
  <c r="AE338" i="1" s="1"/>
  <c r="M588" i="1"/>
  <c r="AD588" i="1"/>
  <c r="AE588" i="1" s="1"/>
  <c r="AH588" i="1" s="1"/>
  <c r="M676" i="1"/>
  <c r="AD676" i="1"/>
  <c r="AE676" i="1" s="1"/>
  <c r="AH676" i="1" s="1"/>
  <c r="M291" i="1"/>
  <c r="AD291" i="1"/>
  <c r="AE291" i="1" s="1"/>
  <c r="AH291" i="1" s="1"/>
  <c r="M279" i="1"/>
  <c r="AD279" i="1"/>
  <c r="AE279" i="1" s="1"/>
  <c r="AH279" i="1" s="1"/>
  <c r="M348" i="1"/>
  <c r="AD348" i="1"/>
  <c r="AE348" i="1" s="1"/>
  <c r="AH348" i="1" s="1"/>
  <c r="M523" i="1"/>
  <c r="AD523" i="1"/>
  <c r="AE523" i="1" s="1"/>
  <c r="AH523" i="1" s="1"/>
  <c r="M129" i="1"/>
  <c r="AD129" i="1"/>
  <c r="AE129" i="1" s="1"/>
  <c r="AH129" i="1" s="1"/>
  <c r="M117" i="1"/>
  <c r="AD117" i="1"/>
  <c r="AE117" i="1" s="1"/>
  <c r="AH117" i="1" s="1"/>
  <c r="M90" i="1"/>
  <c r="AD90" i="1"/>
  <c r="AE90" i="1" s="1"/>
  <c r="AH90" i="1" s="1"/>
  <c r="M621" i="1"/>
  <c r="AD621" i="1"/>
  <c r="AE621" i="1" s="1"/>
  <c r="AH621" i="1" s="1"/>
  <c r="M615" i="1"/>
  <c r="AD615" i="1"/>
  <c r="AE615" i="1" s="1"/>
  <c r="AH615" i="1" s="1"/>
  <c r="M17" i="1"/>
  <c r="AD17" i="1"/>
  <c r="AE17" i="1" s="1"/>
  <c r="AH17" i="1" s="1"/>
  <c r="M256" i="1"/>
  <c r="AD256" i="1"/>
  <c r="AE256" i="1" s="1"/>
  <c r="AH256" i="1" s="1"/>
  <c r="M486" i="1"/>
  <c r="AD486" i="1"/>
  <c r="AE486" i="1" s="1"/>
  <c r="AH486" i="1" s="1"/>
  <c r="M488" i="1"/>
  <c r="AD488" i="1"/>
  <c r="AE488" i="1" s="1"/>
  <c r="AH488" i="1" s="1"/>
  <c r="M479" i="1"/>
  <c r="AD479" i="1"/>
  <c r="AE479" i="1" s="1"/>
  <c r="AH479" i="1" s="1"/>
  <c r="M467" i="1"/>
  <c r="AD467" i="1"/>
  <c r="AE467" i="1" s="1"/>
  <c r="M168" i="1"/>
  <c r="AD168" i="1"/>
  <c r="AE168" i="1" s="1"/>
  <c r="AH168" i="1" s="1"/>
  <c r="M326" i="1"/>
  <c r="AD326" i="1"/>
  <c r="AE326" i="1" s="1"/>
  <c r="AH326" i="1" s="1"/>
  <c r="M314" i="1"/>
  <c r="AD314" i="1"/>
  <c r="AE314" i="1" s="1"/>
  <c r="AH314" i="1" s="1"/>
  <c r="M666" i="1"/>
  <c r="AD666" i="1"/>
  <c r="AE666" i="1" s="1"/>
  <c r="AH666" i="1" s="1"/>
  <c r="M238" i="1"/>
  <c r="AD238" i="1"/>
  <c r="AE238" i="1" s="1"/>
  <c r="AH238" i="1" s="1"/>
  <c r="M208" i="1"/>
  <c r="AD208" i="1"/>
  <c r="AE208" i="1" s="1"/>
  <c r="AH208" i="1" s="1"/>
  <c r="M216" i="1"/>
  <c r="AD216" i="1"/>
  <c r="AE216" i="1" s="1"/>
  <c r="AH216" i="1" s="1"/>
  <c r="M244" i="1"/>
  <c r="AD244" i="1"/>
  <c r="AE244" i="1" s="1"/>
  <c r="AH244" i="1" s="1"/>
  <c r="M598" i="1"/>
  <c r="AD598" i="1"/>
  <c r="AE598" i="1" s="1"/>
  <c r="AH598" i="1" s="1"/>
  <c r="M576" i="1"/>
  <c r="AD576" i="1"/>
  <c r="AE576" i="1" s="1"/>
  <c r="AH576" i="1" s="1"/>
  <c r="M552" i="1"/>
  <c r="AD552" i="1"/>
  <c r="AE552" i="1" s="1"/>
  <c r="AH552" i="1" s="1"/>
  <c r="M450" i="1"/>
  <c r="AD450" i="1"/>
  <c r="AE450" i="1" s="1"/>
  <c r="AH450" i="1" s="1"/>
  <c r="M438" i="1"/>
  <c r="AD438" i="1"/>
  <c r="AE438" i="1" s="1"/>
  <c r="AH438" i="1" s="1"/>
  <c r="M45" i="1"/>
  <c r="AD45" i="1"/>
  <c r="AE45" i="1" s="1"/>
  <c r="AH45" i="1" s="1"/>
  <c r="M33" i="1"/>
  <c r="AD33" i="1"/>
  <c r="AE33" i="1" s="1"/>
  <c r="AH33" i="1" s="1"/>
  <c r="M388" i="1"/>
  <c r="AD388" i="1"/>
  <c r="AE388" i="1" s="1"/>
  <c r="AH388" i="1" s="1"/>
  <c r="M80" i="1"/>
  <c r="AD80" i="1"/>
  <c r="AE80" i="1" s="1"/>
  <c r="AH80" i="1" s="1"/>
  <c r="M431" i="1"/>
  <c r="AD431" i="1"/>
  <c r="AE431" i="1" s="1"/>
  <c r="AH431" i="1" s="1"/>
  <c r="M68" i="1"/>
  <c r="AD68" i="1"/>
  <c r="AE68" i="1" s="1"/>
  <c r="AH68" i="1" s="1"/>
  <c r="M420" i="1"/>
  <c r="AD420" i="1"/>
  <c r="AE420" i="1" s="1"/>
  <c r="AH420" i="1" s="1"/>
  <c r="AE563" i="1"/>
  <c r="AH563" i="1" s="1"/>
  <c r="AD5" i="1"/>
  <c r="AE5" i="1" s="1"/>
  <c r="AH5" i="1" s="1"/>
  <c r="AD659" i="1"/>
  <c r="AE659" i="1" s="1"/>
  <c r="AH659" i="1" s="1"/>
  <c r="M162" i="1"/>
  <c r="AD162" i="1"/>
  <c r="AE162" i="1" s="1"/>
  <c r="M151" i="1"/>
  <c r="AD151" i="1"/>
  <c r="AE151" i="1" s="1"/>
  <c r="M379" i="1"/>
  <c r="AD379" i="1"/>
  <c r="AE379" i="1" s="1"/>
  <c r="AH379" i="1" s="1"/>
  <c r="M337" i="1"/>
  <c r="AD337" i="1"/>
  <c r="AE337" i="1" s="1"/>
  <c r="M587" i="1"/>
  <c r="AD587" i="1"/>
  <c r="AE587" i="1" s="1"/>
  <c r="AH587" i="1" s="1"/>
  <c r="M675" i="1"/>
  <c r="AD675" i="1"/>
  <c r="AE675" i="1" s="1"/>
  <c r="AH675" i="1" s="1"/>
  <c r="M290" i="1"/>
  <c r="AD290" i="1"/>
  <c r="AE290" i="1" s="1"/>
  <c r="AH290" i="1" s="1"/>
  <c r="M278" i="1"/>
  <c r="AD278" i="1"/>
  <c r="AE278" i="1" s="1"/>
  <c r="AH278" i="1" s="1"/>
  <c r="M347" i="1"/>
  <c r="AD347" i="1"/>
  <c r="AE347" i="1" s="1"/>
  <c r="M52" i="1"/>
  <c r="AD52" i="1"/>
  <c r="AE52" i="1" s="1"/>
  <c r="AH52" i="1" s="1"/>
  <c r="M106" i="1"/>
  <c r="AD106" i="1"/>
  <c r="AE106" i="1" s="1"/>
  <c r="AH106" i="1" s="1"/>
  <c r="M107" i="1"/>
  <c r="AD107" i="1"/>
  <c r="AE107" i="1" s="1"/>
  <c r="AH107" i="1" s="1"/>
  <c r="M128" i="1"/>
  <c r="AD128" i="1"/>
  <c r="AE128" i="1" s="1"/>
  <c r="AH128" i="1" s="1"/>
  <c r="M89" i="1"/>
  <c r="AD89" i="1"/>
  <c r="AE89" i="1" s="1"/>
  <c r="AH89" i="1" s="1"/>
  <c r="M620" i="1"/>
  <c r="AD620" i="1"/>
  <c r="AE620" i="1" s="1"/>
  <c r="AH620" i="1" s="1"/>
  <c r="M16" i="1"/>
  <c r="AD16" i="1"/>
  <c r="AE16" i="1" s="1"/>
  <c r="AH16" i="1" s="1"/>
  <c r="M4" i="1"/>
  <c r="AD4" i="1"/>
  <c r="AE4" i="1" s="1"/>
  <c r="AH4" i="1" s="1"/>
  <c r="M255" i="1"/>
  <c r="AD255" i="1"/>
  <c r="AE255" i="1" s="1"/>
  <c r="M247" i="1"/>
  <c r="AD247" i="1"/>
  <c r="AE247" i="1" s="1"/>
  <c r="AH247" i="1" s="1"/>
  <c r="M485" i="1"/>
  <c r="AD485" i="1"/>
  <c r="AE485" i="1" s="1"/>
  <c r="AH485" i="1" s="1"/>
  <c r="M640" i="1"/>
  <c r="AD640" i="1"/>
  <c r="AE640" i="1" s="1"/>
  <c r="M507" i="1"/>
  <c r="AD507" i="1"/>
  <c r="AE507" i="1" s="1"/>
  <c r="AH507" i="1" s="1"/>
  <c r="M478" i="1"/>
  <c r="AD476" i="1"/>
  <c r="M179" i="1"/>
  <c r="AD179" i="1"/>
  <c r="AE179" i="1" s="1"/>
  <c r="AH179" i="1" s="1"/>
  <c r="M199" i="1"/>
  <c r="AD199" i="1"/>
  <c r="AE199" i="1" s="1"/>
  <c r="AH199" i="1" s="1"/>
  <c r="M307" i="1"/>
  <c r="AD307" i="1"/>
  <c r="AE307" i="1" s="1"/>
  <c r="M313" i="1"/>
  <c r="AD313" i="1"/>
  <c r="AE313" i="1" s="1"/>
  <c r="AH313" i="1" s="1"/>
  <c r="M658" i="1"/>
  <c r="AD658" i="1"/>
  <c r="AE658" i="1" s="1"/>
  <c r="AH658" i="1" s="1"/>
  <c r="M207" i="1"/>
  <c r="AD207" i="1"/>
  <c r="AE207" i="1" s="1"/>
  <c r="AH207" i="1" s="1"/>
  <c r="M215" i="1"/>
  <c r="AD215" i="1"/>
  <c r="AE215" i="1" s="1"/>
  <c r="AH215" i="1" s="1"/>
  <c r="M243" i="1"/>
  <c r="AD243" i="1"/>
  <c r="AE243" i="1" s="1"/>
  <c r="AH243" i="1" s="1"/>
  <c r="M597" i="1"/>
  <c r="AD597" i="1"/>
  <c r="AE597" i="1" s="1"/>
  <c r="AH597" i="1" s="1"/>
  <c r="M575" i="1"/>
  <c r="AD575" i="1"/>
  <c r="AE575" i="1" s="1"/>
  <c r="AH575" i="1" s="1"/>
  <c r="M300" i="1"/>
  <c r="AD300" i="1"/>
  <c r="AE300" i="1" s="1"/>
  <c r="AH300" i="1" s="1"/>
  <c r="M407" i="1"/>
  <c r="AD407" i="1"/>
  <c r="AE407" i="1" s="1"/>
  <c r="AH407" i="1" s="1"/>
  <c r="M449" i="1"/>
  <c r="AD449" i="1"/>
  <c r="AE449" i="1" s="1"/>
  <c r="AH449" i="1" s="1"/>
  <c r="M437" i="1"/>
  <c r="AD437" i="1"/>
  <c r="AE437" i="1" s="1"/>
  <c r="AH437" i="1" s="1"/>
  <c r="M44" i="1"/>
  <c r="AD44" i="1"/>
  <c r="AE44" i="1" s="1"/>
  <c r="AH44" i="1" s="1"/>
  <c r="M387" i="1"/>
  <c r="AD387" i="1"/>
  <c r="AE387" i="1" s="1"/>
  <c r="AH387" i="1" s="1"/>
  <c r="M79" i="1"/>
  <c r="AD79" i="1"/>
  <c r="AE79" i="1" s="1"/>
  <c r="AH79" i="1" s="1"/>
  <c r="M430" i="1"/>
  <c r="AD430" i="1"/>
  <c r="AE430" i="1" s="1"/>
  <c r="AH430" i="1" s="1"/>
  <c r="M66" i="1"/>
  <c r="AD66" i="1"/>
  <c r="AE66" i="1" s="1"/>
  <c r="AH66" i="1" s="1"/>
  <c r="M419" i="1"/>
  <c r="AD419" i="1"/>
  <c r="AE419" i="1" s="1"/>
  <c r="AH419" i="1" s="1"/>
  <c r="AD153" i="1"/>
  <c r="AE153" i="1" s="1"/>
  <c r="AH153" i="1" s="1"/>
  <c r="AD237" i="1"/>
  <c r="AE237" i="1" s="1"/>
  <c r="AH237" i="1" s="1"/>
  <c r="AD217" i="1"/>
  <c r="AE217" i="1" s="1"/>
  <c r="AH217" i="1" s="1"/>
  <c r="AD565" i="1"/>
  <c r="AE565" i="1" s="1"/>
  <c r="AH565" i="1" s="1"/>
  <c r="AD27" i="1"/>
  <c r="AE27" i="1" s="1"/>
  <c r="AH27" i="1" s="1"/>
  <c r="M553" i="1"/>
  <c r="AD553" i="1"/>
  <c r="AE553" i="1" s="1"/>
  <c r="AH553" i="1" s="1"/>
  <c r="M451" i="1"/>
  <c r="AD451" i="1"/>
  <c r="AE451" i="1" s="1"/>
  <c r="AH451" i="1" s="1"/>
  <c r="M34" i="1"/>
  <c r="AD34" i="1"/>
  <c r="AE34" i="1" s="1"/>
  <c r="AH34" i="1" s="1"/>
  <c r="M536" i="1"/>
  <c r="AD536" i="1"/>
  <c r="AE536" i="1" s="1"/>
  <c r="AH536" i="1" s="1"/>
  <c r="M457" i="1"/>
  <c r="AD457" i="1"/>
  <c r="AE457" i="1" s="1"/>
  <c r="AH457" i="1" s="1"/>
  <c r="M285" i="1"/>
  <c r="AD285" i="1"/>
  <c r="AE285" i="1" s="1"/>
  <c r="AH285" i="1" s="1"/>
  <c r="M343" i="1"/>
  <c r="AD343" i="1"/>
  <c r="AE343" i="1" s="1"/>
  <c r="AH343" i="1" s="1"/>
  <c r="M101" i="1"/>
  <c r="AD101" i="1"/>
  <c r="AE101" i="1" s="1"/>
  <c r="AH101" i="1" s="1"/>
  <c r="M11" i="1"/>
  <c r="AD11" i="1"/>
  <c r="AE11" i="1" s="1"/>
  <c r="AH11" i="1" s="1"/>
  <c r="M254" i="1"/>
  <c r="AD254" i="1"/>
  <c r="AE254" i="1" s="1"/>
  <c r="AH254" i="1" s="1"/>
  <c r="M647" i="1"/>
  <c r="AD647" i="1"/>
  <c r="AE647" i="1" s="1"/>
  <c r="AH647" i="1" s="1"/>
  <c r="M473" i="1"/>
  <c r="AD473" i="1"/>
  <c r="AE473" i="1" s="1"/>
  <c r="AH473" i="1" s="1"/>
  <c r="M194" i="1"/>
  <c r="AD194" i="1"/>
  <c r="AE194" i="1" s="1"/>
  <c r="AH194" i="1" s="1"/>
  <c r="M302" i="1"/>
  <c r="AD302" i="1"/>
  <c r="AE302" i="1" s="1"/>
  <c r="AH302" i="1" s="1"/>
  <c r="M519" i="1"/>
  <c r="AD519" i="1"/>
  <c r="AE519" i="1" s="1"/>
  <c r="AH519" i="1" s="1"/>
  <c r="M654" i="1"/>
  <c r="AD654" i="1"/>
  <c r="AE654" i="1" s="1"/>
  <c r="AH654" i="1" s="1"/>
  <c r="M354" i="1"/>
  <c r="AD354" i="1"/>
  <c r="AE354" i="1" s="1"/>
  <c r="AH354" i="1" s="1"/>
  <c r="M224" i="1"/>
  <c r="AD224" i="1"/>
  <c r="AE224" i="1" s="1"/>
  <c r="AH224" i="1" s="1"/>
  <c r="M202" i="1"/>
  <c r="AD202" i="1"/>
  <c r="AE202" i="1" s="1"/>
  <c r="AH202" i="1" s="1"/>
  <c r="M604" i="1"/>
  <c r="AD604" i="1"/>
  <c r="AE604" i="1" s="1"/>
  <c r="AH604" i="1" s="1"/>
  <c r="M592" i="1"/>
  <c r="AD592" i="1"/>
  <c r="AE592" i="1" s="1"/>
  <c r="AH592" i="1" s="1"/>
  <c r="AD541" i="1"/>
  <c r="AE541" i="1" s="1"/>
  <c r="AH541" i="1" s="1"/>
  <c r="AD189" i="1"/>
  <c r="AE189" i="1" s="1"/>
  <c r="AH189" i="1" s="1"/>
  <c r="AD232" i="1"/>
  <c r="AE232" i="1" s="1"/>
  <c r="AH232" i="1" s="1"/>
  <c r="M544" i="1"/>
  <c r="AD544" i="1"/>
  <c r="AE544" i="1" s="1"/>
  <c r="AH544" i="1" s="1"/>
  <c r="M340" i="1"/>
  <c r="AD340" i="1"/>
  <c r="AE340" i="1" s="1"/>
  <c r="M525" i="1"/>
  <c r="AD525" i="1"/>
  <c r="AE525" i="1" s="1"/>
  <c r="AH525" i="1" s="1"/>
  <c r="M19" i="1"/>
  <c r="AD19" i="1"/>
  <c r="AE19" i="1" s="1"/>
  <c r="AH19" i="1" s="1"/>
  <c r="M250" i="1"/>
  <c r="AD250" i="1"/>
  <c r="AE250" i="1" s="1"/>
  <c r="AH250" i="1" s="1"/>
  <c r="M490" i="1"/>
  <c r="AD490" i="1"/>
  <c r="AE490" i="1" s="1"/>
  <c r="AH490" i="1" s="1"/>
  <c r="M310" i="1"/>
  <c r="AD310" i="1"/>
  <c r="AE310" i="1" s="1"/>
  <c r="AH310" i="1" s="1"/>
  <c r="M668" i="1"/>
  <c r="AD668" i="1"/>
  <c r="AE668" i="1" s="1"/>
  <c r="AH668" i="1" s="1"/>
  <c r="M228" i="1"/>
  <c r="AD228" i="1"/>
  <c r="AE228" i="1" s="1"/>
  <c r="AH228" i="1" s="1"/>
  <c r="M246" i="1"/>
  <c r="AD246" i="1"/>
  <c r="AE246" i="1" s="1"/>
  <c r="AH246" i="1" s="1"/>
  <c r="M578" i="1"/>
  <c r="AD578" i="1"/>
  <c r="AE578" i="1" s="1"/>
  <c r="AH578" i="1" s="1"/>
  <c r="M410" i="1"/>
  <c r="AD410" i="1"/>
  <c r="AE410" i="1" s="1"/>
  <c r="AH410" i="1" s="1"/>
  <c r="M440" i="1"/>
  <c r="AD440" i="1"/>
  <c r="AE440" i="1" s="1"/>
  <c r="AH440" i="1" s="1"/>
  <c r="M390" i="1"/>
  <c r="AD390" i="1"/>
  <c r="AE390" i="1" s="1"/>
  <c r="AH390" i="1" s="1"/>
  <c r="M69" i="1"/>
  <c r="AD69" i="1"/>
  <c r="AE69" i="1" s="1"/>
  <c r="AH69" i="1" s="1"/>
  <c r="M292" i="1"/>
  <c r="AD292" i="1"/>
  <c r="AE292" i="1" s="1"/>
  <c r="AH292" i="1" s="1"/>
  <c r="M616" i="1"/>
  <c r="AD616" i="1"/>
  <c r="AE616" i="1" s="1"/>
  <c r="AH616" i="1" s="1"/>
  <c r="M6" i="1"/>
  <c r="AD6" i="1"/>
  <c r="AE6" i="1" s="1"/>
  <c r="AH6" i="1" s="1"/>
  <c r="M459" i="1"/>
  <c r="AD459" i="1"/>
  <c r="AE459" i="1" s="1"/>
  <c r="M489" i="1"/>
  <c r="AD489" i="1"/>
  <c r="AE489" i="1" s="1"/>
  <c r="AH489" i="1" s="1"/>
  <c r="M667" i="1"/>
  <c r="AD667" i="1"/>
  <c r="AE667" i="1" s="1"/>
  <c r="AH667" i="1" s="1"/>
  <c r="M239" i="1"/>
  <c r="AD239" i="1"/>
  <c r="AE239" i="1" s="1"/>
  <c r="AH239" i="1" s="1"/>
  <c r="M432" i="1"/>
  <c r="AD432" i="1"/>
  <c r="AE432" i="1" s="1"/>
  <c r="AH432" i="1" s="1"/>
  <c r="AD542" i="1"/>
  <c r="AE542" i="1" s="1"/>
  <c r="AH542" i="1" s="1"/>
  <c r="M548" i="1"/>
  <c r="AD548" i="1"/>
  <c r="AE548" i="1" s="1"/>
  <c r="AH548" i="1" s="1"/>
  <c r="M374" i="1"/>
  <c r="AD374" i="1"/>
  <c r="AE374" i="1" s="1"/>
  <c r="AH374" i="1" s="1"/>
  <c r="M332" i="1"/>
  <c r="AD648" i="1"/>
  <c r="M529" i="1"/>
  <c r="AD529" i="1"/>
  <c r="AE529" i="1" s="1"/>
  <c r="AH529" i="1" s="1"/>
  <c r="M135" i="1"/>
  <c r="AD135" i="1"/>
  <c r="AE135" i="1" s="1"/>
  <c r="AH135" i="1" s="1"/>
  <c r="M123" i="1"/>
  <c r="AD123" i="1"/>
  <c r="AE123" i="1" s="1"/>
  <c r="AH123" i="1" s="1"/>
  <c r="M96" i="1"/>
  <c r="AD96" i="1"/>
  <c r="AE96" i="1" s="1"/>
  <c r="AH96" i="1" s="1"/>
  <c r="M634" i="1"/>
  <c r="AD634" i="1"/>
  <c r="AE634" i="1" s="1"/>
  <c r="AH634" i="1" s="1"/>
  <c r="M609" i="1"/>
  <c r="AD609" i="1"/>
  <c r="AE609" i="1" s="1"/>
  <c r="AH609" i="1" s="1"/>
  <c r="M267" i="1"/>
  <c r="AD267" i="1"/>
  <c r="AE267" i="1" s="1"/>
  <c r="M463" i="1"/>
  <c r="AD463" i="1"/>
  <c r="AE463" i="1" s="1"/>
  <c r="AH463" i="1" s="1"/>
  <c r="M494" i="1"/>
  <c r="AD478" i="1"/>
  <c r="M182" i="1"/>
  <c r="AD182" i="1"/>
  <c r="AE182" i="1" s="1"/>
  <c r="AH182" i="1" s="1"/>
  <c r="M320" i="1"/>
  <c r="AD320" i="1"/>
  <c r="AE320" i="1" s="1"/>
  <c r="AH320" i="1" s="1"/>
  <c r="M672" i="1"/>
  <c r="AD672" i="1"/>
  <c r="AE672" i="1" s="1"/>
  <c r="AH672" i="1" s="1"/>
  <c r="M210" i="1"/>
  <c r="AD210" i="1"/>
  <c r="AE210" i="1" s="1"/>
  <c r="AH210" i="1" s="1"/>
  <c r="AD144" i="1"/>
  <c r="AE144" i="1" s="1"/>
  <c r="AH144" i="1" s="1"/>
  <c r="AD623" i="1"/>
  <c r="AE623" i="1" s="1"/>
  <c r="AH623" i="1" s="1"/>
  <c r="AD188" i="1"/>
  <c r="AE188" i="1" s="1"/>
  <c r="AH188" i="1" s="1"/>
  <c r="AD332" i="1"/>
  <c r="AE332" i="1" s="1"/>
  <c r="M154" i="1"/>
  <c r="AD154" i="1"/>
  <c r="AE154" i="1" s="1"/>
  <c r="AH154" i="1" s="1"/>
  <c r="M532" i="1"/>
  <c r="AD532" i="1"/>
  <c r="AE532" i="1" s="1"/>
  <c r="AH532" i="1" s="1"/>
  <c r="M145" i="1"/>
  <c r="AD145" i="1"/>
  <c r="AE145" i="1" s="1"/>
  <c r="AH145" i="1" s="1"/>
  <c r="M678" i="1"/>
  <c r="AD678" i="1"/>
  <c r="AE678" i="1" s="1"/>
  <c r="AH678" i="1" s="1"/>
  <c r="M350" i="1"/>
  <c r="AD350" i="1"/>
  <c r="AE350" i="1" s="1"/>
  <c r="AH350" i="1" s="1"/>
  <c r="M131" i="1"/>
  <c r="AD131" i="1"/>
  <c r="AE131" i="1" s="1"/>
  <c r="AH131" i="1" s="1"/>
  <c r="M458" i="1"/>
  <c r="AD458" i="1"/>
  <c r="AE458" i="1" s="1"/>
  <c r="AH458" i="1" s="1"/>
  <c r="M469" i="1"/>
  <c r="AD469" i="1"/>
  <c r="AE469" i="1" s="1"/>
  <c r="M661" i="1"/>
  <c r="AD661" i="1"/>
  <c r="AE661" i="1" s="1"/>
  <c r="AH661" i="1" s="1"/>
  <c r="M422" i="1"/>
  <c r="AD422" i="1"/>
  <c r="AE422" i="1" s="1"/>
  <c r="AH422" i="1" s="1"/>
  <c r="AD281" i="1"/>
  <c r="AE281" i="1" s="1"/>
  <c r="AH281" i="1" s="1"/>
  <c r="M339" i="1"/>
  <c r="AD339" i="1"/>
  <c r="AE339" i="1" s="1"/>
  <c r="M452" i="1"/>
  <c r="AD452" i="1"/>
  <c r="AE452" i="1" s="1"/>
  <c r="AH452" i="1" s="1"/>
  <c r="M677" i="1"/>
  <c r="AD677" i="1"/>
  <c r="AE677" i="1" s="1"/>
  <c r="AH677" i="1" s="1"/>
  <c r="M349" i="1"/>
  <c r="AD349" i="1"/>
  <c r="AE349" i="1" s="1"/>
  <c r="AH349" i="1" s="1"/>
  <c r="M524" i="1"/>
  <c r="AD524" i="1"/>
  <c r="AE524" i="1" s="1"/>
  <c r="AH524" i="1" s="1"/>
  <c r="M130" i="1"/>
  <c r="AD130" i="1"/>
  <c r="AE130" i="1" s="1"/>
  <c r="AH130" i="1" s="1"/>
  <c r="M91" i="1"/>
  <c r="AD91" i="1"/>
  <c r="AE91" i="1" s="1"/>
  <c r="AH91" i="1" s="1"/>
  <c r="M18" i="1"/>
  <c r="AD18" i="1"/>
  <c r="AE18" i="1" s="1"/>
  <c r="AH18" i="1" s="1"/>
  <c r="M257" i="1"/>
  <c r="AD257" i="1"/>
  <c r="AE257" i="1" s="1"/>
  <c r="AH257" i="1" s="1"/>
  <c r="M249" i="1"/>
  <c r="AD249" i="1"/>
  <c r="AE249" i="1" s="1"/>
  <c r="AH249" i="1" s="1"/>
  <c r="M642" i="1"/>
  <c r="AD642" i="1"/>
  <c r="AE642" i="1" s="1"/>
  <c r="AH642" i="1" s="1"/>
  <c r="M480" i="1"/>
  <c r="AD480" i="1"/>
  <c r="AE480" i="1" s="1"/>
  <c r="M169" i="1"/>
  <c r="AD169" i="1"/>
  <c r="AE169" i="1" s="1"/>
  <c r="AH169" i="1" s="1"/>
  <c r="M327" i="1"/>
  <c r="AD327" i="1"/>
  <c r="AE327" i="1" s="1"/>
  <c r="AH327" i="1" s="1"/>
  <c r="M514" i="1"/>
  <c r="AD514" i="1"/>
  <c r="AE514" i="1" s="1"/>
  <c r="AH514" i="1" s="1"/>
  <c r="M660" i="1"/>
  <c r="AD660" i="1"/>
  <c r="AE660" i="1" s="1"/>
  <c r="AH660" i="1" s="1"/>
  <c r="M209" i="1"/>
  <c r="AD209" i="1"/>
  <c r="AE209" i="1" s="1"/>
  <c r="AH209" i="1" s="1"/>
  <c r="M245" i="1"/>
  <c r="AD245" i="1"/>
  <c r="AE245" i="1" s="1"/>
  <c r="AH245" i="1" s="1"/>
  <c r="M599" i="1"/>
  <c r="AD599" i="1"/>
  <c r="AE599" i="1" s="1"/>
  <c r="AH599" i="1" s="1"/>
  <c r="M577" i="1"/>
  <c r="AD577" i="1"/>
  <c r="AE577" i="1" s="1"/>
  <c r="AH577" i="1" s="1"/>
  <c r="M389" i="1"/>
  <c r="AD389" i="1"/>
  <c r="AE389" i="1" s="1"/>
  <c r="AH389" i="1" s="1"/>
  <c r="AD143" i="1"/>
  <c r="AE143" i="1" s="1"/>
  <c r="AH143" i="1" s="1"/>
  <c r="AD55" i="1"/>
  <c r="AE55" i="1" s="1"/>
  <c r="AH55" i="1" s="1"/>
  <c r="AD119" i="1"/>
  <c r="AE119" i="1" s="1"/>
  <c r="AH119" i="1" s="1"/>
  <c r="AD187" i="1"/>
  <c r="AE187" i="1" s="1"/>
  <c r="AH187" i="1" s="1"/>
  <c r="AD315" i="1"/>
  <c r="AE315" i="1" s="1"/>
  <c r="AH315" i="1" s="1"/>
  <c r="AD325" i="1"/>
  <c r="AE325" i="1" s="1"/>
  <c r="AD141" i="1"/>
  <c r="AE141" i="1" s="1"/>
  <c r="AH141" i="1" s="1"/>
  <c r="AD613" i="1"/>
  <c r="AE613" i="1" s="1"/>
  <c r="AH613" i="1" s="1"/>
  <c r="AD562" i="1"/>
  <c r="AE562" i="1" s="1"/>
  <c r="AH562" i="1" s="1"/>
  <c r="AD26" i="1"/>
  <c r="AE26" i="1" s="1"/>
  <c r="AH26" i="1" s="1"/>
  <c r="M573" i="1"/>
  <c r="AD573" i="1"/>
  <c r="AE573" i="1" s="1"/>
  <c r="AH573" i="1" s="1"/>
  <c r="AD586" i="1"/>
  <c r="AE586" i="1" s="1"/>
  <c r="AH586" i="1" s="1"/>
  <c r="AD656" i="1"/>
  <c r="AE656" i="1" s="1"/>
  <c r="AH656" i="1" s="1"/>
  <c r="AD227" i="1"/>
  <c r="AE227" i="1" s="1"/>
  <c r="AH227" i="1" s="1"/>
  <c r="AD606" i="1"/>
  <c r="AE606" i="1" s="1"/>
  <c r="AH606" i="1" s="1"/>
  <c r="AD551" i="1"/>
  <c r="AE551" i="1" s="1"/>
  <c r="AH551" i="1" s="1"/>
  <c r="AD386" i="1"/>
  <c r="AE386" i="1" s="1"/>
  <c r="AH386" i="1" s="1"/>
  <c r="M150" i="1"/>
  <c r="AD150" i="1"/>
  <c r="AE150" i="1" s="1"/>
  <c r="AH150" i="1" s="1"/>
  <c r="M336" i="1"/>
  <c r="AD336" i="1"/>
  <c r="AE336" i="1" s="1"/>
  <c r="M674" i="1"/>
  <c r="AD674" i="1"/>
  <c r="AE674" i="1" s="1"/>
  <c r="AH674" i="1" s="1"/>
  <c r="M277" i="1"/>
  <c r="AD277" i="1"/>
  <c r="AE277" i="1" s="1"/>
  <c r="AH277" i="1" s="1"/>
  <c r="M351" i="1"/>
  <c r="AD351" i="1"/>
  <c r="AE351" i="1" s="1"/>
  <c r="AH351" i="1" s="1"/>
  <c r="M51" i="1"/>
  <c r="AD51" i="1"/>
  <c r="AE51" i="1" s="1"/>
  <c r="AH51" i="1" s="1"/>
  <c r="M127" i="1"/>
  <c r="AD127" i="1"/>
  <c r="AE127" i="1" s="1"/>
  <c r="AH127" i="1" s="1"/>
  <c r="M15" i="1"/>
  <c r="AD15" i="1"/>
  <c r="AE15" i="1" s="1"/>
  <c r="AH15" i="1" s="1"/>
  <c r="M487" i="1"/>
  <c r="AD487" i="1"/>
  <c r="AE487" i="1" s="1"/>
  <c r="AH487" i="1" s="1"/>
  <c r="M506" i="1"/>
  <c r="AD506" i="1"/>
  <c r="AE506" i="1" s="1"/>
  <c r="AH506" i="1" s="1"/>
  <c r="M178" i="1"/>
  <c r="AD178" i="1"/>
  <c r="AE178" i="1" s="1"/>
  <c r="AH178" i="1" s="1"/>
  <c r="M198" i="1"/>
  <c r="AD198" i="1"/>
  <c r="AE198" i="1" s="1"/>
  <c r="AH198" i="1" s="1"/>
  <c r="M186" i="1"/>
  <c r="AD186" i="1"/>
  <c r="AE186" i="1" s="1"/>
  <c r="AH186" i="1" s="1"/>
  <c r="M312" i="1"/>
  <c r="AD312" i="1"/>
  <c r="AE312" i="1" s="1"/>
  <c r="AH312" i="1" s="1"/>
  <c r="M358" i="1"/>
  <c r="AD234" i="1"/>
  <c r="M206" i="1"/>
  <c r="AD206" i="1"/>
  <c r="AE206" i="1" s="1"/>
  <c r="AH206" i="1" s="1"/>
  <c r="M214" i="1"/>
  <c r="AD214" i="1"/>
  <c r="AE214" i="1" s="1"/>
  <c r="AH214" i="1" s="1"/>
  <c r="M608" i="1"/>
  <c r="AD608" i="1"/>
  <c r="AE608" i="1" s="1"/>
  <c r="AH608" i="1" s="1"/>
  <c r="M596" i="1"/>
  <c r="AD596" i="1"/>
  <c r="AE596" i="1" s="1"/>
  <c r="AH596" i="1" s="1"/>
  <c r="M78" i="1"/>
  <c r="AD78" i="1"/>
  <c r="AE78" i="1" s="1"/>
  <c r="AH78" i="1" s="1"/>
  <c r="M429" i="1"/>
  <c r="AD429" i="1"/>
  <c r="AE429" i="1" s="1"/>
  <c r="AH429" i="1" s="1"/>
  <c r="M65" i="1"/>
  <c r="AD65" i="1"/>
  <c r="AE65" i="1" s="1"/>
  <c r="AH65" i="1" s="1"/>
  <c r="M418" i="1"/>
  <c r="AD418" i="1"/>
  <c r="AE418" i="1" s="1"/>
  <c r="AH418" i="1" s="1"/>
  <c r="AD378" i="1"/>
  <c r="AE378" i="1" s="1"/>
  <c r="AH378" i="1" s="1"/>
  <c r="AD306" i="1"/>
  <c r="AE306" i="1" s="1"/>
  <c r="AH306" i="1" s="1"/>
  <c r="AD657" i="1"/>
  <c r="AE657" i="1" s="1"/>
  <c r="AH657" i="1" s="1"/>
  <c r="M160" i="1"/>
  <c r="AD160" i="1"/>
  <c r="AE160" i="1" s="1"/>
  <c r="M539" i="1"/>
  <c r="AD539" i="1"/>
  <c r="AE539" i="1" s="1"/>
  <c r="AH539" i="1" s="1"/>
  <c r="M346" i="1"/>
  <c r="AD346" i="1"/>
  <c r="AE346" i="1" s="1"/>
  <c r="AH346" i="1" s="1"/>
  <c r="M50" i="1"/>
  <c r="AD50" i="1"/>
  <c r="AE50" i="1" s="1"/>
  <c r="AH50" i="1" s="1"/>
  <c r="M104" i="1"/>
  <c r="AD104" i="1"/>
  <c r="AE104" i="1" s="1"/>
  <c r="AH104" i="1" s="1"/>
  <c r="M126" i="1"/>
  <c r="AD126" i="1"/>
  <c r="AE126" i="1" s="1"/>
  <c r="AH126" i="1" s="1"/>
  <c r="M14" i="1"/>
  <c r="AD14" i="1"/>
  <c r="AE14" i="1" s="1"/>
  <c r="AH14" i="1" s="1"/>
  <c r="M466" i="1"/>
  <c r="AD466" i="1"/>
  <c r="AE466" i="1" s="1"/>
  <c r="M505" i="1"/>
  <c r="AD505" i="1"/>
  <c r="AE505" i="1" s="1"/>
  <c r="M197" i="1"/>
  <c r="AD197" i="1"/>
  <c r="AE197" i="1" s="1"/>
  <c r="AH197" i="1" s="1"/>
  <c r="M185" i="1"/>
  <c r="AD185" i="1"/>
  <c r="AE185" i="1" s="1"/>
  <c r="AH185" i="1" s="1"/>
  <c r="M305" i="1"/>
  <c r="AD305" i="1"/>
  <c r="AE305" i="1" s="1"/>
  <c r="AH305" i="1" s="1"/>
  <c r="M522" i="1"/>
  <c r="AD522" i="1"/>
  <c r="AE522" i="1" s="1"/>
  <c r="AH522" i="1" s="1"/>
  <c r="M357" i="1"/>
  <c r="AD357" i="1"/>
  <c r="AE357" i="1" s="1"/>
  <c r="AH357" i="1" s="1"/>
  <c r="M205" i="1"/>
  <c r="AD205" i="1"/>
  <c r="AE205" i="1" s="1"/>
  <c r="AH205" i="1" s="1"/>
  <c r="M607" i="1"/>
  <c r="AD607" i="1"/>
  <c r="AE607" i="1" s="1"/>
  <c r="AH607" i="1" s="1"/>
  <c r="M595" i="1"/>
  <c r="AD595" i="1"/>
  <c r="AE595" i="1" s="1"/>
  <c r="AH595" i="1" s="1"/>
  <c r="AD376" i="1"/>
  <c r="AE376" i="1" s="1"/>
  <c r="AH376" i="1" s="1"/>
  <c r="AD334" i="1"/>
  <c r="AE334" i="1" s="1"/>
  <c r="AD585" i="1"/>
  <c r="AE585" i="1" s="1"/>
  <c r="AH585" i="1" s="1"/>
  <c r="AD289" i="1"/>
  <c r="AE289" i="1" s="1"/>
  <c r="AH289" i="1" s="1"/>
  <c r="AD345" i="1"/>
  <c r="AE345" i="1" s="1"/>
  <c r="AH345" i="1" s="1"/>
  <c r="AD263" i="1"/>
  <c r="AE263" i="1" s="1"/>
  <c r="AH263" i="1" s="1"/>
  <c r="AD655" i="1"/>
  <c r="AE655" i="1" s="1"/>
  <c r="AH655" i="1" s="1"/>
  <c r="AD226" i="1"/>
  <c r="AE226" i="1" s="1"/>
  <c r="AH226" i="1" s="1"/>
  <c r="AD605" i="1"/>
  <c r="AE605" i="1" s="1"/>
  <c r="AH605" i="1" s="1"/>
  <c r="AD550" i="1"/>
  <c r="AE550" i="1" s="1"/>
  <c r="AH550" i="1" s="1"/>
  <c r="AD448" i="1"/>
  <c r="AE448" i="1" s="1"/>
  <c r="AH448" i="1" s="1"/>
  <c r="AD385" i="1"/>
  <c r="AE385" i="1" s="1"/>
  <c r="AH385" i="1" s="1"/>
  <c r="M405" i="1"/>
  <c r="AD405" i="1"/>
  <c r="AE405" i="1" s="1"/>
  <c r="AH405" i="1" s="1"/>
  <c r="M42" i="1"/>
  <c r="AD42" i="1"/>
  <c r="AE42" i="1" s="1"/>
  <c r="AH42" i="1" s="1"/>
  <c r="M77" i="1"/>
  <c r="AD77" i="1"/>
  <c r="AE77" i="1" s="1"/>
  <c r="AH77" i="1" s="1"/>
  <c r="M428" i="1"/>
  <c r="AD428" i="1"/>
  <c r="AE428" i="1" s="1"/>
  <c r="AH428" i="1" s="1"/>
  <c r="M62" i="1"/>
  <c r="AD62" i="1"/>
  <c r="AE62" i="1" s="1"/>
  <c r="AH62" i="1" s="1"/>
  <c r="M417" i="1"/>
  <c r="AD417" i="1"/>
  <c r="AE417" i="1" s="1"/>
  <c r="AH417" i="1" s="1"/>
  <c r="AD377" i="1"/>
  <c r="AE377" i="1" s="1"/>
  <c r="AH377" i="1" s="1"/>
  <c r="AD649" i="1"/>
  <c r="AE649" i="1" s="1"/>
  <c r="M159" i="1"/>
  <c r="AD159" i="1"/>
  <c r="AE159" i="1" s="1"/>
  <c r="M148" i="1"/>
  <c r="AD148" i="1"/>
  <c r="AE148" i="1" s="1"/>
  <c r="AH148" i="1" s="1"/>
  <c r="M538" i="1"/>
  <c r="AD538" i="1"/>
  <c r="AE538" i="1" s="1"/>
  <c r="AH538" i="1" s="1"/>
  <c r="M139" i="1"/>
  <c r="AD139" i="1"/>
  <c r="AE139" i="1" s="1"/>
  <c r="AH139" i="1" s="1"/>
  <c r="M287" i="1"/>
  <c r="AD287" i="1"/>
  <c r="AE287" i="1" s="1"/>
  <c r="AH287" i="1" s="1"/>
  <c r="M49" i="1"/>
  <c r="AD49" i="1"/>
  <c r="AE49" i="1" s="1"/>
  <c r="AH49" i="1" s="1"/>
  <c r="M103" i="1"/>
  <c r="AD103" i="1"/>
  <c r="AE103" i="1" s="1"/>
  <c r="AH103" i="1" s="1"/>
  <c r="M137" i="1"/>
  <c r="AD564" i="1"/>
  <c r="M617" i="1"/>
  <c r="AD617" i="1"/>
  <c r="AE617" i="1" s="1"/>
  <c r="AH617" i="1" s="1"/>
  <c r="M611" i="1"/>
  <c r="AD611" i="1"/>
  <c r="AE611" i="1" s="1"/>
  <c r="AH611" i="1" s="1"/>
  <c r="M13" i="1"/>
  <c r="AD13" i="1"/>
  <c r="AE13" i="1" s="1"/>
  <c r="AH13" i="1" s="1"/>
  <c r="M184" i="1"/>
  <c r="AD184" i="1"/>
  <c r="AE184" i="1" s="1"/>
  <c r="AH184" i="1" s="1"/>
  <c r="M304" i="1"/>
  <c r="AD304" i="1"/>
  <c r="AE304" i="1" s="1"/>
  <c r="AH304" i="1" s="1"/>
  <c r="M322" i="1"/>
  <c r="AD322" i="1"/>
  <c r="AE322" i="1" s="1"/>
  <c r="AH322" i="1" s="1"/>
  <c r="M521" i="1"/>
  <c r="AD521" i="1"/>
  <c r="AE521" i="1" s="1"/>
  <c r="AH521" i="1" s="1"/>
  <c r="M356" i="1"/>
  <c r="AD356" i="1"/>
  <c r="AE356" i="1" s="1"/>
  <c r="AH356" i="1" s="1"/>
  <c r="M204" i="1"/>
  <c r="AD204" i="1"/>
  <c r="AE204" i="1" s="1"/>
  <c r="AH204" i="1" s="1"/>
  <c r="M594" i="1"/>
  <c r="AD594" i="1"/>
  <c r="AE594" i="1" s="1"/>
  <c r="AH594" i="1" s="1"/>
  <c r="M572" i="1"/>
  <c r="AD572" i="1"/>
  <c r="AE572" i="1" s="1"/>
  <c r="AH572" i="1" s="1"/>
  <c r="M560" i="1"/>
  <c r="AD560" i="1"/>
  <c r="AE560" i="1" s="1"/>
  <c r="AH560" i="1" s="1"/>
  <c r="M404" i="1"/>
  <c r="AD404" i="1"/>
  <c r="AE404" i="1" s="1"/>
  <c r="AH404" i="1" s="1"/>
  <c r="M41" i="1"/>
  <c r="AD41" i="1"/>
  <c r="AE41" i="1" s="1"/>
  <c r="AH41" i="1" s="1"/>
  <c r="M76" i="1"/>
  <c r="AD76" i="1"/>
  <c r="AE76" i="1" s="1"/>
  <c r="AH76" i="1" s="1"/>
  <c r="M63" i="1"/>
  <c r="AD63" i="1"/>
  <c r="AE63" i="1" s="1"/>
  <c r="AH63" i="1" s="1"/>
  <c r="M60" i="1"/>
  <c r="AD60" i="1"/>
  <c r="AE60" i="1" s="1"/>
  <c r="AH60" i="1" s="1"/>
  <c r="AH632" i="1"/>
  <c r="M158" i="1"/>
  <c r="AD158" i="1"/>
  <c r="AE158" i="1" s="1"/>
  <c r="M549" i="1"/>
  <c r="AD549" i="1"/>
  <c r="AE549" i="1" s="1"/>
  <c r="AH549" i="1" s="1"/>
  <c r="M537" i="1"/>
  <c r="AD537" i="1"/>
  <c r="AE537" i="1" s="1"/>
  <c r="AH537" i="1" s="1"/>
  <c r="M375" i="1"/>
  <c r="AD375" i="1"/>
  <c r="AE375" i="1" s="1"/>
  <c r="AH375" i="1" s="1"/>
  <c r="M363" i="1"/>
  <c r="AD363" i="1"/>
  <c r="AE363" i="1" s="1"/>
  <c r="AH363" i="1" s="1"/>
  <c r="M333" i="1"/>
  <c r="AD333" i="1"/>
  <c r="AE333" i="1" s="1"/>
  <c r="AH333" i="1" s="1"/>
  <c r="M138" i="1"/>
  <c r="AD138" i="1"/>
  <c r="AE138" i="1" s="1"/>
  <c r="AH138" i="1" s="1"/>
  <c r="M583" i="1"/>
  <c r="AD583" i="1"/>
  <c r="AE583" i="1" s="1"/>
  <c r="AH583" i="1" s="1"/>
  <c r="M298" i="1"/>
  <c r="AD298" i="1"/>
  <c r="AE298" i="1" s="1"/>
  <c r="AH298" i="1" s="1"/>
  <c r="M286" i="1"/>
  <c r="AD286" i="1"/>
  <c r="AE286" i="1" s="1"/>
  <c r="AH286" i="1" s="1"/>
  <c r="M274" i="1"/>
  <c r="AD274" i="1"/>
  <c r="AE274" i="1" s="1"/>
  <c r="AH274" i="1" s="1"/>
  <c r="M344" i="1"/>
  <c r="AD344" i="1"/>
  <c r="AE344" i="1" s="1"/>
  <c r="AH344" i="1" s="1"/>
  <c r="M48" i="1"/>
  <c r="AD48" i="1"/>
  <c r="AE48" i="1" s="1"/>
  <c r="AH48" i="1" s="1"/>
  <c r="M102" i="1"/>
  <c r="AD102" i="1"/>
  <c r="AE102" i="1" s="1"/>
  <c r="AH102" i="1" s="1"/>
  <c r="M136" i="1"/>
  <c r="AD136" i="1"/>
  <c r="AE136" i="1" s="1"/>
  <c r="AH136" i="1" s="1"/>
  <c r="M124" i="1"/>
  <c r="AD124" i="1"/>
  <c r="AE124" i="1" s="1"/>
  <c r="AH124" i="1" s="1"/>
  <c r="M97" i="1"/>
  <c r="AD97" i="1"/>
  <c r="AE97" i="1" s="1"/>
  <c r="AH97" i="1" s="1"/>
  <c r="M85" i="1"/>
  <c r="AD85" i="1"/>
  <c r="AE85" i="1" s="1"/>
  <c r="AH85" i="1" s="1"/>
  <c r="M610" i="1"/>
  <c r="AD610" i="1"/>
  <c r="AE610" i="1" s="1"/>
  <c r="AH610" i="1" s="1"/>
  <c r="M12" i="1"/>
  <c r="AD12" i="1"/>
  <c r="AE12" i="1" s="1"/>
  <c r="AH12" i="1" s="1"/>
  <c r="M481" i="1"/>
  <c r="AD481" i="1"/>
  <c r="AE481" i="1" s="1"/>
  <c r="AH481" i="1" s="1"/>
  <c r="M474" i="1"/>
  <c r="AD474" i="1"/>
  <c r="AE474" i="1" s="1"/>
  <c r="AH474" i="1" s="1"/>
  <c r="M183" i="1"/>
  <c r="AD183" i="1"/>
  <c r="AE183" i="1" s="1"/>
  <c r="AH183" i="1" s="1"/>
  <c r="M303" i="1"/>
  <c r="AD303" i="1"/>
  <c r="AE303" i="1" s="1"/>
  <c r="M321" i="1"/>
  <c r="AD321" i="1"/>
  <c r="AE321" i="1" s="1"/>
  <c r="AH321" i="1" s="1"/>
  <c r="M520" i="1"/>
  <c r="AD520" i="1"/>
  <c r="AE520" i="1" s="1"/>
  <c r="AH520" i="1" s="1"/>
  <c r="M571" i="1"/>
  <c r="AD571" i="1"/>
  <c r="AE571" i="1" s="1"/>
  <c r="AH571" i="1" s="1"/>
  <c r="M559" i="1"/>
  <c r="AD559" i="1"/>
  <c r="AE559" i="1" s="1"/>
  <c r="AH559" i="1" s="1"/>
  <c r="M415" i="1"/>
  <c r="AD415" i="1"/>
  <c r="AE415" i="1" s="1"/>
  <c r="AH415" i="1" s="1"/>
  <c r="M403" i="1"/>
  <c r="AD403" i="1"/>
  <c r="AE403" i="1" s="1"/>
  <c r="AH403" i="1" s="1"/>
  <c r="M40" i="1"/>
  <c r="AD40" i="1"/>
  <c r="AE40" i="1" s="1"/>
  <c r="AH40" i="1" s="1"/>
  <c r="M75" i="1"/>
  <c r="AD75" i="1"/>
  <c r="AE75" i="1" s="1"/>
  <c r="AH75" i="1" s="1"/>
  <c r="M59" i="1"/>
  <c r="AD59" i="1"/>
  <c r="AE59" i="1" s="1"/>
  <c r="AH59" i="1" s="1"/>
  <c r="AD161" i="1"/>
  <c r="AE161" i="1" s="1"/>
  <c r="AD584" i="1"/>
  <c r="AE584" i="1" s="1"/>
  <c r="AH584" i="1" s="1"/>
  <c r="AD288" i="1"/>
  <c r="AE288" i="1" s="1"/>
  <c r="AH288" i="1" s="1"/>
  <c r="AD88" i="1"/>
  <c r="AE88" i="1" s="1"/>
  <c r="AH88" i="1" s="1"/>
  <c r="AD262" i="1"/>
  <c r="AE262" i="1" s="1"/>
  <c r="AD225" i="1"/>
  <c r="AE225" i="1" s="1"/>
  <c r="AH225" i="1" s="1"/>
  <c r="AD574" i="1"/>
  <c r="AE574" i="1" s="1"/>
  <c r="AH574" i="1" s="1"/>
  <c r="AD416" i="1"/>
  <c r="AE416" i="1" s="1"/>
  <c r="AH416" i="1" s="1"/>
  <c r="AD447" i="1"/>
  <c r="AE447" i="1" s="1"/>
  <c r="AH447" i="1" s="1"/>
  <c r="AD43" i="1"/>
  <c r="AE43" i="1" s="1"/>
  <c r="AH43" i="1" s="1"/>
  <c r="AD384" i="1"/>
  <c r="AE384" i="1" s="1"/>
  <c r="AH384" i="1" s="1"/>
  <c r="M558" i="1"/>
  <c r="AD558" i="1"/>
  <c r="AE558" i="1" s="1"/>
  <c r="AH558" i="1" s="1"/>
  <c r="M402" i="1"/>
  <c r="AD402" i="1"/>
  <c r="AE402" i="1" s="1"/>
  <c r="AH402" i="1" s="1"/>
  <c r="AD570" i="1"/>
  <c r="AE570" i="1" s="1"/>
  <c r="AH570" i="1" s="1"/>
  <c r="AD393" i="1"/>
  <c r="AE393" i="1" s="1"/>
  <c r="AH393" i="1" s="1"/>
  <c r="AD72" i="1"/>
  <c r="AE72" i="1" s="1"/>
  <c r="AH72" i="1" s="1"/>
  <c r="M414" i="1"/>
  <c r="AD414" i="1"/>
  <c r="AE414" i="1" s="1"/>
  <c r="AH414" i="1" s="1"/>
  <c r="M535" i="1"/>
  <c r="AD535" i="1"/>
  <c r="AE535" i="1" s="1"/>
  <c r="AH535" i="1" s="1"/>
  <c r="M373" i="1"/>
  <c r="AD373" i="1"/>
  <c r="AE373" i="1" s="1"/>
  <c r="AH373" i="1" s="1"/>
  <c r="M134" i="1"/>
  <c r="AD134" i="1"/>
  <c r="AE134" i="1" s="1"/>
  <c r="AH134" i="1" s="1"/>
  <c r="M122" i="1"/>
  <c r="AD122" i="1"/>
  <c r="AE122" i="1" s="1"/>
  <c r="AH122" i="1" s="1"/>
  <c r="M95" i="1"/>
  <c r="AD494" i="1"/>
  <c r="AE494" i="1" s="1"/>
  <c r="M633" i="1"/>
  <c r="AD633" i="1"/>
  <c r="AE633" i="1" s="1"/>
  <c r="AH633" i="1" s="1"/>
  <c r="M10" i="1"/>
  <c r="AD10" i="1"/>
  <c r="AE10" i="1" s="1"/>
  <c r="M266" i="1"/>
  <c r="AD266" i="1"/>
  <c r="AE266" i="1" s="1"/>
  <c r="AH266" i="1" s="1"/>
  <c r="M253" i="1"/>
  <c r="AD253" i="1"/>
  <c r="AE253" i="1" s="1"/>
  <c r="M462" i="1"/>
  <c r="AD462" i="1"/>
  <c r="AE462" i="1" s="1"/>
  <c r="M518" i="1"/>
  <c r="AD518" i="1"/>
  <c r="AE518" i="1" s="1"/>
  <c r="AH518" i="1" s="1"/>
  <c r="M671" i="1"/>
  <c r="AD671" i="1"/>
  <c r="AE671" i="1" s="1"/>
  <c r="AH671" i="1" s="1"/>
  <c r="M653" i="1"/>
  <c r="AD653" i="1"/>
  <c r="AE653" i="1" s="1"/>
  <c r="AH653" i="1" s="1"/>
  <c r="M413" i="1"/>
  <c r="AD413" i="1"/>
  <c r="AE413" i="1" s="1"/>
  <c r="AH413" i="1" s="1"/>
  <c r="M401" i="1"/>
  <c r="AD401" i="1"/>
  <c r="AE401" i="1" s="1"/>
  <c r="AH401" i="1" s="1"/>
  <c r="M443" i="1"/>
  <c r="AD443" i="1"/>
  <c r="AE443" i="1" s="1"/>
  <c r="AH443" i="1" s="1"/>
  <c r="AD223" i="1"/>
  <c r="AE223" i="1" s="1"/>
  <c r="AH223" i="1" s="1"/>
  <c r="AD222" i="1"/>
  <c r="AE222" i="1" s="1"/>
  <c r="AH222" i="1" s="1"/>
  <c r="AD569" i="1"/>
  <c r="AE569" i="1" s="1"/>
  <c r="AH569" i="1" s="1"/>
  <c r="AD392" i="1"/>
  <c r="AE392" i="1" s="1"/>
  <c r="AH392" i="1" s="1"/>
  <c r="AD70" i="1"/>
  <c r="AE70" i="1" s="1"/>
  <c r="AH70" i="1" s="1"/>
  <c r="M372" i="1"/>
  <c r="AD372" i="1"/>
  <c r="AE372" i="1" s="1"/>
  <c r="AH372" i="1" s="1"/>
  <c r="M360" i="1"/>
  <c r="AD360" i="1"/>
  <c r="AE360" i="1" s="1"/>
  <c r="AH360" i="1" s="1"/>
  <c r="M147" i="1"/>
  <c r="AD147" i="1"/>
  <c r="AE147" i="1" s="1"/>
  <c r="AH147" i="1" s="1"/>
  <c r="M121" i="1"/>
  <c r="AD121" i="1"/>
  <c r="AE121" i="1" s="1"/>
  <c r="AH121" i="1" s="1"/>
  <c r="M94" i="1"/>
  <c r="AD94" i="1"/>
  <c r="AE94" i="1" s="1"/>
  <c r="AH94" i="1" s="1"/>
  <c r="M625" i="1"/>
  <c r="AD625" i="1"/>
  <c r="AE625" i="1" s="1"/>
  <c r="AH625" i="1" s="1"/>
  <c r="M265" i="1"/>
  <c r="AD265" i="1"/>
  <c r="AE265" i="1" s="1"/>
  <c r="M252" i="1"/>
  <c r="AD252" i="1"/>
  <c r="AE252" i="1" s="1"/>
  <c r="AH252" i="1" s="1"/>
  <c r="M461" i="1"/>
  <c r="AD461" i="1"/>
  <c r="AE461" i="1" s="1"/>
  <c r="AH461" i="1" s="1"/>
  <c r="M645" i="1"/>
  <c r="AD645" i="1"/>
  <c r="AE645" i="1" s="1"/>
  <c r="AH645" i="1" s="1"/>
  <c r="M670" i="1"/>
  <c r="AD670" i="1"/>
  <c r="AE670" i="1" s="1"/>
  <c r="AH670" i="1" s="1"/>
  <c r="M652" i="1"/>
  <c r="AD652" i="1"/>
  <c r="AE652" i="1" s="1"/>
  <c r="AH652" i="1" s="1"/>
  <c r="M352" i="1"/>
  <c r="AD352" i="1"/>
  <c r="AE352" i="1" s="1"/>
  <c r="AH352" i="1" s="1"/>
  <c r="M400" i="1"/>
  <c r="AD400" i="1"/>
  <c r="AE400" i="1" s="1"/>
  <c r="AH400" i="1" s="1"/>
  <c r="M442" i="1"/>
  <c r="AD442" i="1"/>
  <c r="AE442" i="1" s="1"/>
  <c r="AH442" i="1" s="1"/>
  <c r="M29" i="1"/>
  <c r="AD29" i="1"/>
  <c r="AE29" i="1" s="1"/>
  <c r="AH29" i="1" s="1"/>
  <c r="AD534" i="1"/>
  <c r="AE534" i="1" s="1"/>
  <c r="AH534" i="1" s="1"/>
  <c r="AD456" i="1"/>
  <c r="AE456" i="1" s="1"/>
  <c r="AH456" i="1" s="1"/>
  <c r="AD284" i="1"/>
  <c r="AE284" i="1" s="1"/>
  <c r="AH284" i="1" s="1"/>
  <c r="AD528" i="1"/>
  <c r="AE528" i="1" s="1"/>
  <c r="AH528" i="1" s="1"/>
  <c r="AD646" i="1"/>
  <c r="AE646" i="1" s="1"/>
  <c r="AH646" i="1" s="1"/>
  <c r="AD472" i="1"/>
  <c r="AE472" i="1" s="1"/>
  <c r="AD181" i="1"/>
  <c r="AE181" i="1" s="1"/>
  <c r="AH181" i="1" s="1"/>
  <c r="AD242" i="1"/>
  <c r="AE242" i="1" s="1"/>
  <c r="AH242" i="1" s="1"/>
  <c r="AD221" i="1"/>
  <c r="AE221" i="1" s="1"/>
  <c r="AH221" i="1" s="1"/>
  <c r="AD568" i="1"/>
  <c r="AE568" i="1" s="1"/>
  <c r="AH568" i="1" s="1"/>
  <c r="AH626" i="1"/>
  <c r="AH636" i="1"/>
  <c r="AH462" i="1" l="1"/>
  <c r="AH334" i="1"/>
  <c r="AH253" i="1"/>
  <c r="AH325" i="1"/>
  <c r="AH480" i="1"/>
  <c r="AH157" i="1"/>
  <c r="AH557" i="1"/>
  <c r="AH340" i="1"/>
  <c r="AH644" i="1"/>
  <c r="AH259" i="1"/>
  <c r="AH158" i="1"/>
  <c r="AH156" i="1"/>
  <c r="AH459" i="1"/>
  <c r="AH651" i="1"/>
  <c r="AH460" i="1"/>
  <c r="AH166" i="1"/>
  <c r="AH95" i="1"/>
  <c r="AH495" i="1"/>
  <c r="AH303" i="1"/>
  <c r="AH30" i="1"/>
  <c r="AE230" i="1"/>
  <c r="AH230" i="1" s="1"/>
  <c r="AH341" i="1"/>
  <c r="AH394" i="1"/>
  <c r="AH331" i="1"/>
  <c r="AH163" i="1"/>
  <c r="AE137" i="1"/>
  <c r="AH137" i="1" s="1"/>
  <c r="AH641" i="1"/>
  <c r="AH649" i="1"/>
  <c r="AH162" i="1"/>
  <c r="AH264" i="1"/>
  <c r="AH161" i="1"/>
  <c r="AH267" i="1"/>
  <c r="AH255" i="1"/>
  <c r="AH391" i="1"/>
  <c r="AE83" i="1"/>
  <c r="AH83" i="1" s="1"/>
  <c r="AH165" i="1"/>
  <c r="AH505" i="1"/>
  <c r="AH466" i="1"/>
  <c r="AH332" i="1"/>
  <c r="AH160" i="1"/>
  <c r="AE234" i="1"/>
  <c r="AH234" i="1" s="1"/>
  <c r="AH469" i="1"/>
  <c r="AH338" i="1"/>
  <c r="AH494" i="1"/>
  <c r="AH336" i="1"/>
  <c r="AH467" i="1"/>
  <c r="AH159" i="1"/>
  <c r="AH151" i="1"/>
  <c r="AH149" i="1"/>
  <c r="AH475" i="1"/>
  <c r="AH472" i="1"/>
  <c r="AH265" i="1"/>
  <c r="AE648" i="1"/>
  <c r="AH648" i="1" s="1"/>
  <c r="AE476" i="1"/>
  <c r="AH476" i="1" s="1"/>
  <c r="AH491" i="1"/>
  <c r="AH311" i="1"/>
  <c r="AH468" i="1"/>
  <c r="AH640" i="1"/>
  <c r="AH337" i="1"/>
  <c r="AE470" i="1"/>
  <c r="AH470" i="1" s="1"/>
  <c r="AH164" i="1"/>
  <c r="AH643" i="1"/>
  <c r="AE335" i="1"/>
  <c r="AH335" i="1" s="1"/>
  <c r="AE564" i="1"/>
  <c r="AH564" i="1" s="1"/>
  <c r="AH504" i="1"/>
  <c r="AH262" i="1"/>
  <c r="AE478" i="1"/>
  <c r="AH478" i="1" s="1"/>
  <c r="AH307" i="1"/>
  <c r="AH339" i="1"/>
  <c r="AH10" i="1"/>
  <c r="AH650" i="1"/>
  <c r="AH493" i="1"/>
  <c r="AH268" i="1"/>
  <c r="AE358" i="1"/>
  <c r="AH358" i="1" s="1"/>
  <c r="AH347" i="1"/>
  <c r="AH526" i="1"/>
  <c r="AG58" i="1"/>
</calcChain>
</file>

<file path=xl/sharedStrings.xml><?xml version="1.0" encoding="utf-8"?>
<sst xmlns="http://schemas.openxmlformats.org/spreadsheetml/2006/main" count="9147" uniqueCount="1435">
  <si>
    <t>sample</t>
  </si>
  <si>
    <t>alb</t>
  </si>
  <si>
    <t>biclyr</t>
  </si>
  <si>
    <t>lob</t>
  </si>
  <si>
    <t>mac</t>
  </si>
  <si>
    <t>micmon</t>
  </si>
  <si>
    <t>muepri</t>
  </si>
  <si>
    <t>sinstemar</t>
  </si>
  <si>
    <t>pureCount</t>
  </si>
  <si>
    <t>hybCount</t>
  </si>
  <si>
    <t>hyb</t>
  </si>
  <si>
    <t>sinstemar_1</t>
  </si>
  <si>
    <t>muepri_1</t>
  </si>
  <si>
    <t>alb_1</t>
  </si>
  <si>
    <t>biclyr_1</t>
  </si>
  <si>
    <t>lob_1</t>
  </si>
  <si>
    <t>mac1_1</t>
  </si>
  <si>
    <t>mac2_1</t>
  </si>
  <si>
    <t>micmon_1</t>
  </si>
  <si>
    <t>macComb</t>
  </si>
  <si>
    <t>collectionNumber</t>
  </si>
  <si>
    <t>none</t>
  </si>
  <si>
    <t>pure?</t>
  </si>
  <si>
    <t>pure</t>
  </si>
  <si>
    <t>SYST-MOR-0006717</t>
  </si>
  <si>
    <t>hybrid?</t>
  </si>
  <si>
    <t>hybrid</t>
  </si>
  <si>
    <t>IL_HP_MG919_MG</t>
  </si>
  <si>
    <t>SYST-MOR-0006718</t>
  </si>
  <si>
    <t>IL_HP_MG920_MG</t>
  </si>
  <si>
    <t>SYST-MOR-0006719</t>
  </si>
  <si>
    <t>IL_HP_MG921_MG</t>
  </si>
  <si>
    <t>SYST-MOR-0006720</t>
  </si>
  <si>
    <t>MO_SH_001_MG</t>
  </si>
  <si>
    <t>SYST-MOR-0006721</t>
  </si>
  <si>
    <t>MO_SH_002_All</t>
  </si>
  <si>
    <t>SYST-MOR-0006722</t>
  </si>
  <si>
    <t>MO_SH_003_All</t>
  </si>
  <si>
    <t>SYST-MOR-0006723</t>
  </si>
  <si>
    <t>MO_SH_004_All</t>
  </si>
  <si>
    <t>SYST-MOR-0006724</t>
  </si>
  <si>
    <t>MO_SH_005_All</t>
  </si>
  <si>
    <t>SYST-MOR-0006725</t>
  </si>
  <si>
    <t>MO_SH_006_All</t>
  </si>
  <si>
    <t>SYST-MOR-0006726</t>
  </si>
  <si>
    <t>MO_SH_007_All</t>
  </si>
  <si>
    <t>SYST-MOR-0006727</t>
  </si>
  <si>
    <t>MO_SH_008_All</t>
  </si>
  <si>
    <t>SYST-MOR-0006728</t>
  </si>
  <si>
    <t>MO_SH_009_All</t>
  </si>
  <si>
    <t>SYST-MOR-0006729</t>
  </si>
  <si>
    <t>IL_MOR_135_MG</t>
  </si>
  <si>
    <t>SYST-MOR-0006730</t>
  </si>
  <si>
    <t>IL_MOR_138_MG</t>
  </si>
  <si>
    <t>SYST-MOR-0006731</t>
  </si>
  <si>
    <t>IL_MOR_137_MG</t>
  </si>
  <si>
    <t>SYST-MOR-0006732</t>
  </si>
  <si>
    <t>IL_MOR_136_MG</t>
  </si>
  <si>
    <t>SYST-MOR-0006733</t>
  </si>
  <si>
    <t>IL_MOR_139_MG</t>
  </si>
  <si>
    <t>SYST-MOR-0006734</t>
  </si>
  <si>
    <t>IL_MOR_140_MG</t>
  </si>
  <si>
    <t>SYST-MOR-0006735</t>
  </si>
  <si>
    <t>IL_MOR_142_MG</t>
  </si>
  <si>
    <t>SYST-MOR-0006736</t>
  </si>
  <si>
    <t>IL_MOR_141_MG</t>
  </si>
  <si>
    <t>SYST-MOR-0006737</t>
  </si>
  <si>
    <t>IL_MOR_143_MG</t>
  </si>
  <si>
    <t>SYST-MOR-0006738</t>
  </si>
  <si>
    <t>IL_MOR_145_MG</t>
  </si>
  <si>
    <t>SYST-MOR-0006739</t>
  </si>
  <si>
    <t>IL_MOR_144_MG</t>
  </si>
  <si>
    <t>SYST-MOR-0006740</t>
  </si>
  <si>
    <t>IL_MOR_146_MG</t>
  </si>
  <si>
    <t>SYST-MOR-0006741</t>
  </si>
  <si>
    <t>IL_MOR_147_MG</t>
  </si>
  <si>
    <t>SYST-MOR-0006742</t>
  </si>
  <si>
    <t>MO_SH_010_All</t>
  </si>
  <si>
    <t>SYST-MOR-0006743</t>
  </si>
  <si>
    <t>MO_SH_011_All</t>
  </si>
  <si>
    <t>SYST-MOR-0006744</t>
  </si>
  <si>
    <t>MO_SH_012_All</t>
  </si>
  <si>
    <t>SYST-MOR-0006745</t>
  </si>
  <si>
    <t>MO_SH_013_All</t>
  </si>
  <si>
    <t>SYST-MOR-0006746</t>
  </si>
  <si>
    <t>MO_SH_014_All</t>
  </si>
  <si>
    <t>SYST-MOR-0006747</t>
  </si>
  <si>
    <t>MO_SH_015_All</t>
  </si>
  <si>
    <t>SYST-MOR-0006748</t>
  </si>
  <si>
    <t>MO_SH_016_All</t>
  </si>
  <si>
    <t>SYST-MOR-0006749</t>
  </si>
  <si>
    <t>MO_SH_017_All</t>
  </si>
  <si>
    <t>SYST-MOR-0006750</t>
  </si>
  <si>
    <t>MO_SH_018_All</t>
  </si>
  <si>
    <t>SYST-MOR-0006751</t>
  </si>
  <si>
    <t>MO_SH_019_All</t>
  </si>
  <si>
    <t>SYST-MOR-0006752</t>
  </si>
  <si>
    <t>MO_SH_020_All</t>
  </si>
  <si>
    <t>SYST-MOR-0006753</t>
  </si>
  <si>
    <t>IL_OB_021_All</t>
  </si>
  <si>
    <t>SYST-MOR-0006754</t>
  </si>
  <si>
    <t>IL_OB_022_All</t>
  </si>
  <si>
    <t>SYST-MOR-0006755</t>
  </si>
  <si>
    <t>IL_OB_023_All</t>
  </si>
  <si>
    <t>SYST-MOR-0006756</t>
  </si>
  <si>
    <t>IL_OB_024_All</t>
  </si>
  <si>
    <t>SYST-MOR-0006757</t>
  </si>
  <si>
    <t>IL_OB_025_All</t>
  </si>
  <si>
    <t>SYST-MOR-0006758</t>
  </si>
  <si>
    <t>IL_OB_026_All</t>
  </si>
  <si>
    <t>SYST-MOR-0006759</t>
  </si>
  <si>
    <t>IL_OB_027_All</t>
  </si>
  <si>
    <t>SYST-MOR-0006760</t>
  </si>
  <si>
    <t>IL_OB_028_All</t>
  </si>
  <si>
    <t>SYST-MOR-0006761</t>
  </si>
  <si>
    <t>IL_OB_029_All</t>
  </si>
  <si>
    <t>SYST-MOR-0006762</t>
  </si>
  <si>
    <t>IL_OB_030_All</t>
  </si>
  <si>
    <t>SYST-MOR-0006763</t>
  </si>
  <si>
    <t>MO_BOT_031_MG</t>
  </si>
  <si>
    <t>SYST-MOR-0006764</t>
  </si>
  <si>
    <t>MO_BOT_032_MG</t>
  </si>
  <si>
    <t>SYST-MOR-0006765</t>
  </si>
  <si>
    <t>MO_BOT_033_MG</t>
  </si>
  <si>
    <t>SYST-MOR-0006766</t>
  </si>
  <si>
    <t>MO_BOT_034_All</t>
  </si>
  <si>
    <t>SYST-MOR-0006767</t>
  </si>
  <si>
    <t>MO_BOT_035_All</t>
  </si>
  <si>
    <t>SYST-MOR-0006768</t>
  </si>
  <si>
    <t>MO_BOT_036_All</t>
  </si>
  <si>
    <t>SYST-MOR-0006769</t>
  </si>
  <si>
    <t>MO_BOT_037_All</t>
  </si>
  <si>
    <t>SYST-MOR-0006770</t>
  </si>
  <si>
    <t>MO_BOT_038_All</t>
  </si>
  <si>
    <t>SYST-MOR-0006771</t>
  </si>
  <si>
    <t>MO_BOT_039_All</t>
  </si>
  <si>
    <t>SYST-MOR-0006772</t>
  </si>
  <si>
    <t>MO_BOT_040_All</t>
  </si>
  <si>
    <t>SYST-MOR-0006773</t>
  </si>
  <si>
    <t>MO_BOT_041_All</t>
  </si>
  <si>
    <t>SYST-MOR-0006774</t>
  </si>
  <si>
    <t>MO_BOT_042_All</t>
  </si>
  <si>
    <t>SYST-MOR-0006775</t>
  </si>
  <si>
    <t>MO_BOT_043_All</t>
  </si>
  <si>
    <t>SYST-MOR-0006776</t>
  </si>
  <si>
    <t>MO_BOT_044_All</t>
  </si>
  <si>
    <t>SYST-MOR-0006777</t>
  </si>
  <si>
    <t>MO_BOT_045_All</t>
  </si>
  <si>
    <t>SYST-MOR-0006778</t>
  </si>
  <si>
    <t>IA_BSP_046_MG</t>
  </si>
  <si>
    <t>SYST-MOR-0006779</t>
  </si>
  <si>
    <t>IA_BSP_047_MG</t>
  </si>
  <si>
    <t>SYST-MOR-0006780</t>
  </si>
  <si>
    <t>IA_BSP_048_MG</t>
  </si>
  <si>
    <t>SYST-MOR-0006781</t>
  </si>
  <si>
    <t>IA_BSP_049_MG</t>
  </si>
  <si>
    <t>SYST-MOR-0006782</t>
  </si>
  <si>
    <t>IA_BSP_050_MG</t>
  </si>
  <si>
    <t>SYST-MOR-0006783</t>
  </si>
  <si>
    <t>IA_LNW_051_MG</t>
  </si>
  <si>
    <t>SYST-MOR-0006784</t>
  </si>
  <si>
    <t>IA_LNW_052_MG</t>
  </si>
  <si>
    <t>SYST-MOR-0006785</t>
  </si>
  <si>
    <t>IA_LNW_053_MG</t>
  </si>
  <si>
    <t>SYST-MOR-0006786</t>
  </si>
  <si>
    <t>IA_LNW_054_MG</t>
  </si>
  <si>
    <t>SYST-MOR-0006787</t>
  </si>
  <si>
    <t>IA_LNW_055_MG</t>
  </si>
  <si>
    <t>SYST-MOR-0006788</t>
  </si>
  <si>
    <t>IA_LNW_056_MG</t>
  </si>
  <si>
    <t>SYST-MOR-0006789</t>
  </si>
  <si>
    <t>IA_LNW_057_MG</t>
  </si>
  <si>
    <t>SYST-MOR-0006790</t>
  </si>
  <si>
    <t>IA_LNW_058_MG</t>
  </si>
  <si>
    <t>SYST-MOR-0006791</t>
  </si>
  <si>
    <t>IA_LNW_059_MG</t>
  </si>
  <si>
    <t>SYST-MOR-0006792</t>
  </si>
  <si>
    <t>IA_LNW_060_MG</t>
  </si>
  <si>
    <t>SYST-MOR-0006793</t>
  </si>
  <si>
    <t>IA_LNW_061_MG</t>
  </si>
  <si>
    <t>SYST-MOR-0006794</t>
  </si>
  <si>
    <t>IA_LNW_062_MG</t>
  </si>
  <si>
    <t>SYST-MOR-0006795</t>
  </si>
  <si>
    <t>IA_LNW_063_MG</t>
  </si>
  <si>
    <t>SYST-MOR-0006796</t>
  </si>
  <si>
    <t>IA_LNW_064_MG</t>
  </si>
  <si>
    <t>SYST-MOR-0006797</t>
  </si>
  <si>
    <t>IA_LNW_065_MG</t>
  </si>
  <si>
    <t>SYST-MOR-0006798</t>
  </si>
  <si>
    <t>IA_CHP_066_MG</t>
  </si>
  <si>
    <t>SYST-MOR-0006799</t>
  </si>
  <si>
    <t>IA_CHP_067_MG</t>
  </si>
  <si>
    <t>SYST-MOR-0006800</t>
  </si>
  <si>
    <t>uncertain hybrid</t>
  </si>
  <si>
    <t>IA_CHP_068_MG</t>
  </si>
  <si>
    <t>SYST-MOR-0006801</t>
  </si>
  <si>
    <t>IA_CHP_069_MG</t>
  </si>
  <si>
    <t>SYST-MOR-0006802</t>
  </si>
  <si>
    <t>IA_CHP_070_MG</t>
  </si>
  <si>
    <t>SYST-MOR-0006803</t>
  </si>
  <si>
    <t>MO_CSW_071_MGLS</t>
  </si>
  <si>
    <t>SYST-MOR-0006804</t>
  </si>
  <si>
    <t>MO_CSW_072_MGLS</t>
  </si>
  <si>
    <t>SYST-MOR-0006805</t>
  </si>
  <si>
    <t>MO_CSW_073_MGLS</t>
  </si>
  <si>
    <t>SYST-MOR-0006806</t>
  </si>
  <si>
    <t>MO_TRC_074_MG</t>
  </si>
  <si>
    <t>SYST-MOR-0006807</t>
  </si>
  <si>
    <t>MO_TRC_075_MG</t>
  </si>
  <si>
    <t>SYST-MOR-0006808</t>
  </si>
  <si>
    <t>MO_TRC_076_MG</t>
  </si>
  <si>
    <t>SYST-MOR-0006809</t>
  </si>
  <si>
    <t>MO_TRC_077_MG</t>
  </si>
  <si>
    <t>SYST-MOR-0006810</t>
  </si>
  <si>
    <t>MO_TRC_078_MG</t>
  </si>
  <si>
    <t>SYST-MOR-0006811</t>
  </si>
  <si>
    <t>MO_TRC_079_MG</t>
  </si>
  <si>
    <t>SYST-MOR-0006812</t>
  </si>
  <si>
    <t>MO_TRC_080_MG</t>
  </si>
  <si>
    <t>SYST-MOR-0006813</t>
  </si>
  <si>
    <t>MO_TRC_081_MG</t>
  </si>
  <si>
    <t>SYST-MOR-0006814</t>
  </si>
  <si>
    <t>MO_TRC_082_MG</t>
  </si>
  <si>
    <t>SYST-MOR-0006815</t>
  </si>
  <si>
    <t>MO_TRC_083_MG</t>
  </si>
  <si>
    <t>SYST-MOR-0006816</t>
  </si>
  <si>
    <t>MO_TRC_084_MG</t>
  </si>
  <si>
    <t>SYST-MOR-0006817</t>
  </si>
  <si>
    <t>MO_TRC_085_MG</t>
  </si>
  <si>
    <t>SYST-MOR-0006818</t>
  </si>
  <si>
    <t>MO_TRC_086_MG</t>
  </si>
  <si>
    <t>SYST-MOR-0006819</t>
  </si>
  <si>
    <t>MO_TRC_087_MG</t>
  </si>
  <si>
    <t>SYST-MOR-0006820</t>
  </si>
  <si>
    <t>MO_TRC_088_MG</t>
  </si>
  <si>
    <t>SYST-MOR-0006821</t>
  </si>
  <si>
    <t>MO_HHT_089_MG</t>
  </si>
  <si>
    <t>SYST-MOR-0006822</t>
  </si>
  <si>
    <t>MO_HHT_090_MG</t>
  </si>
  <si>
    <t>SYST-MOR-0006823</t>
  </si>
  <si>
    <t>MO_HHT_091_MG</t>
  </si>
  <si>
    <t>SYST-MOR-0006824</t>
  </si>
  <si>
    <t>MO_HHT_092_MG</t>
  </si>
  <si>
    <t>SYST-MOR-0006825</t>
  </si>
  <si>
    <t>MO_HHT_093_MG</t>
  </si>
  <si>
    <t>SYST-MOR-0006826</t>
  </si>
  <si>
    <t>MO_HHT_094_MG</t>
  </si>
  <si>
    <t>SYST-MOR-0006827</t>
  </si>
  <si>
    <t>MO_HHT_095_MG</t>
  </si>
  <si>
    <t>SYST-MOR-0006828</t>
  </si>
  <si>
    <t>MO_HHT_096_MG</t>
  </si>
  <si>
    <t>SYST-MOR-0006829</t>
  </si>
  <si>
    <t>MO_HHT_097_MG</t>
  </si>
  <si>
    <t>SYST-MOR-0006830</t>
  </si>
  <si>
    <t>MO_HHT_098_MG</t>
  </si>
  <si>
    <t>SYST-MOR-0006831</t>
  </si>
  <si>
    <t>MO_HHT_099_MG</t>
  </si>
  <si>
    <t>SYST-MOR-0006832</t>
  </si>
  <si>
    <t>MO_HHT_100_MG</t>
  </si>
  <si>
    <t>SYST-MOR-0006833</t>
  </si>
  <si>
    <t>MO_HHT_101_MG</t>
  </si>
  <si>
    <t>SYST-MOR-0006834</t>
  </si>
  <si>
    <t>MO_PSP_MG922_MG</t>
  </si>
  <si>
    <t>SYST-MOR-0006835</t>
  </si>
  <si>
    <t>MO_PSP_MG923_MG</t>
  </si>
  <si>
    <t>SYST-MOR-0006836</t>
  </si>
  <si>
    <t>MO_PSP_MG924_MG</t>
  </si>
  <si>
    <t>SYST-MOR-0006837</t>
  </si>
  <si>
    <t>MO_PSP_MG925_MG</t>
  </si>
  <si>
    <t>SYST-MOR-0006838</t>
  </si>
  <si>
    <t>MO_PSP_MG926_MG</t>
  </si>
  <si>
    <t>SYST-MOR-0006839</t>
  </si>
  <si>
    <t>MO_PSP_MG927_MG</t>
  </si>
  <si>
    <t>SYST-MOR-0006840</t>
  </si>
  <si>
    <t>OK_RRC_106_MG</t>
  </si>
  <si>
    <t>SYST-MOR-0006841</t>
  </si>
  <si>
    <t>OK_RRC_107_MG</t>
  </si>
  <si>
    <t>SYST-MOR-0006842</t>
  </si>
  <si>
    <t>MG_928</t>
  </si>
  <si>
    <t>SYST-MOR-0006843</t>
  </si>
  <si>
    <t>OK_RRC_108_MG</t>
  </si>
  <si>
    <t>SYST-MOR-0006844</t>
  </si>
  <si>
    <t>OK_RRC_109_MG</t>
  </si>
  <si>
    <t>SYST-MOR-0006845</t>
  </si>
  <si>
    <t>OK_RRC_110_MG</t>
  </si>
  <si>
    <t>SYST-MOR-0006846</t>
  </si>
  <si>
    <t>OK_RRC_111_MG</t>
  </si>
  <si>
    <t>SYST-MOR-0006847</t>
  </si>
  <si>
    <t>OK_RRC_112_MG</t>
  </si>
  <si>
    <t>SYST-MOR-0006848</t>
  </si>
  <si>
    <t>OK_RRC_113_MG</t>
  </si>
  <si>
    <t>SYST-MOR-0006849</t>
  </si>
  <si>
    <t>OK_RRC_114_MG</t>
  </si>
  <si>
    <t>SYST-MOR-0006850</t>
  </si>
  <si>
    <t>OK_RRC_115_MG</t>
  </si>
  <si>
    <t>SYST-MOR-0006851</t>
  </si>
  <si>
    <t>OK_RRC_116_MG</t>
  </si>
  <si>
    <t>SYST-MOR-0006852</t>
  </si>
  <si>
    <t>OK_RRC_117_MG</t>
  </si>
  <si>
    <t>SYST-MOR-0006853</t>
  </si>
  <si>
    <t>OK_RRC_118_MG</t>
  </si>
  <si>
    <t>SYST-MOR-0006854</t>
  </si>
  <si>
    <t>OK_RRC_119_MG</t>
  </si>
  <si>
    <t>SYST-MOR-0006855</t>
  </si>
  <si>
    <t>OK_RRC_120_MG</t>
  </si>
  <si>
    <t>SYST-MOR-0006856</t>
  </si>
  <si>
    <t>OK_RRC_121_MG</t>
  </si>
  <si>
    <t>SYST-MOR-0006857</t>
  </si>
  <si>
    <t>OK_TGP_122_MG</t>
  </si>
  <si>
    <t>SYST-MOR-0006858</t>
  </si>
  <si>
    <t>OK_TGP_123_MG</t>
  </si>
  <si>
    <t>SYST-MOR-0006859</t>
  </si>
  <si>
    <t>OK_TGP_124_MG</t>
  </si>
  <si>
    <t>SYST-MOR-0006860</t>
  </si>
  <si>
    <t>OK_TGP_125_MG</t>
  </si>
  <si>
    <t>SYST-MOR-0006861</t>
  </si>
  <si>
    <t>OK_TGP_126_MG</t>
  </si>
  <si>
    <t>SYST-MOR-0006862</t>
  </si>
  <si>
    <t>OK_TGP_127_MG</t>
  </si>
  <si>
    <t>SYST-MOR-0006863</t>
  </si>
  <si>
    <t>OK_TGP_128_MG</t>
  </si>
  <si>
    <t>SYST-MOR-0006864</t>
  </si>
  <si>
    <t>OK_TGP_129_MG</t>
  </si>
  <si>
    <t>SYST-MOR-0006865</t>
  </si>
  <si>
    <t>OK_TGP_130_MG</t>
  </si>
  <si>
    <t>SYST-MOR-0006866</t>
  </si>
  <si>
    <t>OK_TGP_131_MG</t>
  </si>
  <si>
    <t>SYST-MOR-0006867</t>
  </si>
  <si>
    <t>OK_TGP_132_MG</t>
  </si>
  <si>
    <t>SYST-MOR-0006868</t>
  </si>
  <si>
    <t>OK_TGP_133_MG</t>
  </si>
  <si>
    <t>SYST-MOR-0006869</t>
  </si>
  <si>
    <t>OK_TGP_134_MG</t>
  </si>
  <si>
    <t>SYST-MOR-0006870</t>
  </si>
  <si>
    <t>TN_BCP_148_MG</t>
  </si>
  <si>
    <t>SYST-MOR-0006871</t>
  </si>
  <si>
    <t>TN_BCP_149_MG</t>
  </si>
  <si>
    <t>SYST-MOR-0006872</t>
  </si>
  <si>
    <t>TN_BCP_150_MG</t>
  </si>
  <si>
    <t>SYST-MOR-0006873</t>
  </si>
  <si>
    <t>TN_BCP_151_MG</t>
  </si>
  <si>
    <t>SYST-MOR-0006874</t>
  </si>
  <si>
    <t>TN_BCP_152_MG</t>
  </si>
  <si>
    <t>SYST-MOR-0006875</t>
  </si>
  <si>
    <t>TN_BCP_153_MG</t>
  </si>
  <si>
    <t>SYST-MOR-0006876</t>
  </si>
  <si>
    <t>TN_BCP_154_MG</t>
  </si>
  <si>
    <t>SYST-MOR-0006877</t>
  </si>
  <si>
    <t>TN_BCP_155_MG</t>
  </si>
  <si>
    <t>SYST-MOR-0006878</t>
  </si>
  <si>
    <t>TN_BCP_156_MG</t>
  </si>
  <si>
    <t>SYST-MOR-0006879</t>
  </si>
  <si>
    <t>TN_BCP_157_MG</t>
  </si>
  <si>
    <t>SYST-MOR-0006880</t>
  </si>
  <si>
    <t>TN_BCP_158_MG</t>
  </si>
  <si>
    <t>SYST-MOR-0006881</t>
  </si>
  <si>
    <t>TN_BCP_159_MG</t>
  </si>
  <si>
    <t>SYST-MOR-0006882</t>
  </si>
  <si>
    <t>TN_BCP_160_MG</t>
  </si>
  <si>
    <t>SYST-MOR-0006883</t>
  </si>
  <si>
    <t>TN_BCP_161_MG</t>
  </si>
  <si>
    <t>SYST-MOR-0006884</t>
  </si>
  <si>
    <t>TN_BCP_162_MG</t>
  </si>
  <si>
    <t>SYST-MOR-0006885</t>
  </si>
  <si>
    <t>TN_CLP_163_MG</t>
  </si>
  <si>
    <t>SYST-MOR-0006886</t>
  </si>
  <si>
    <t>TN_CLP_164_MG</t>
  </si>
  <si>
    <t>SYST-MOR-0006887</t>
  </si>
  <si>
    <t>TN_CLP_165_MG</t>
  </si>
  <si>
    <t>SYST-MOR-0006888</t>
  </si>
  <si>
    <t>TN_CLP_166_MG</t>
  </si>
  <si>
    <t>SYST-MOR-0006889</t>
  </si>
  <si>
    <t>TN_CLP_167_MG</t>
  </si>
  <si>
    <t>SYST-MOR-0006890</t>
  </si>
  <si>
    <t>KY_LXC_168_MG</t>
  </si>
  <si>
    <t>SYST-MOR-0006891</t>
  </si>
  <si>
    <t>KY_LXC_169_MG</t>
  </si>
  <si>
    <t>SYST-MOR-0006892</t>
  </si>
  <si>
    <t>KY_LXC_170_MG</t>
  </si>
  <si>
    <t>SYST-MOR-0006893</t>
  </si>
  <si>
    <t>KY_LXC_171_MG</t>
  </si>
  <si>
    <t>SYST-MOR-0006894</t>
  </si>
  <si>
    <t>KY_CSW_172_MG</t>
  </si>
  <si>
    <t>SYST-MOR-0006895</t>
  </si>
  <si>
    <t>KY_CSW_173_MG</t>
  </si>
  <si>
    <t>SYST-MOR-0006896</t>
  </si>
  <si>
    <t>KY_CSW_174_MG</t>
  </si>
  <si>
    <t>SYST-MOR-0006897</t>
  </si>
  <si>
    <t>KY_BBF_175_MG</t>
  </si>
  <si>
    <t>SYST-MOR-0006898</t>
  </si>
  <si>
    <t>KY_BBF_176_MG</t>
  </si>
  <si>
    <t>SYST-MOR-0006899</t>
  </si>
  <si>
    <t>KY_BBF_177_MG</t>
  </si>
  <si>
    <t>SYST-MOR-0006900</t>
  </si>
  <si>
    <t>KY_BBF_178_MG</t>
  </si>
  <si>
    <t>SYST-MOR-0006901</t>
  </si>
  <si>
    <t>KY_BBF_179_MG</t>
  </si>
  <si>
    <t>SYST-MOR-0006902</t>
  </si>
  <si>
    <t>KY_BBF_180_MG</t>
  </si>
  <si>
    <t>SYST-MOR-0006903</t>
  </si>
  <si>
    <t>KY_BBF_181_MG</t>
  </si>
  <si>
    <t>SYST-MOR-0006904</t>
  </si>
  <si>
    <t>KY_BBF_182_MG</t>
  </si>
  <si>
    <t>SYST-MOR-0006905</t>
  </si>
  <si>
    <t>KY_BBF_183_MG</t>
  </si>
  <si>
    <t>SYST-MOR-0006906</t>
  </si>
  <si>
    <t>KY_BBF_184_MG</t>
  </si>
  <si>
    <t>SYST-MOR-0006907</t>
  </si>
  <si>
    <t>KY_ASF_185_MG</t>
  </si>
  <si>
    <t>SYST-MOR-0006908</t>
  </si>
  <si>
    <t>KY_ASF_186_MG</t>
  </si>
  <si>
    <t>SYST-MOR-0006909</t>
  </si>
  <si>
    <t>KY_ASF_187_MG</t>
  </si>
  <si>
    <t>SYST-MOR-0006910</t>
  </si>
  <si>
    <t>KY_ASF_188_MG</t>
  </si>
  <si>
    <t>SYST-MOR-0006911</t>
  </si>
  <si>
    <t>KY_ASF_189_MG</t>
  </si>
  <si>
    <t>SYST-MOR-0006912</t>
  </si>
  <si>
    <t>KY_ASF_190_MG</t>
  </si>
  <si>
    <t>SYST-MOR-0006913</t>
  </si>
  <si>
    <t>KY_ASF_191_MG</t>
  </si>
  <si>
    <t>SYST-MOR-0006914</t>
  </si>
  <si>
    <t>KY_ASF_192_MG</t>
  </si>
  <si>
    <t>SYST-MOR-0006915</t>
  </si>
  <si>
    <t>KY_ASF_193_MG</t>
  </si>
  <si>
    <t>SYST-MOR-0006916</t>
  </si>
  <si>
    <t>KY_ASF_194_MG</t>
  </si>
  <si>
    <t>SYST-MOR-0006917</t>
  </si>
  <si>
    <t>KY_JJA_195_MG</t>
  </si>
  <si>
    <t>SYST-MOR-0006918</t>
  </si>
  <si>
    <t>KY_JJA_196_MG</t>
  </si>
  <si>
    <t>SYST-MOR-0006919</t>
  </si>
  <si>
    <t>KY_JJA_197_MG</t>
  </si>
  <si>
    <t>SYST-MOR-0006920</t>
  </si>
  <si>
    <t>KY_JJA_198_MG</t>
  </si>
  <si>
    <t>SYST-MOR-0006921</t>
  </si>
  <si>
    <t>KY_JJA_199_MG</t>
  </si>
  <si>
    <t>SYST-MOR-0006922</t>
  </si>
  <si>
    <t>KY_JJA_200_MG</t>
  </si>
  <si>
    <t>SYST-MOR-0006923</t>
  </si>
  <si>
    <t>KY_JJA_201_MG</t>
  </si>
  <si>
    <t>SYST-MOR-0006924</t>
  </si>
  <si>
    <t>KY_JJA_202_MG</t>
  </si>
  <si>
    <t>SYST-MOR-0006925</t>
  </si>
  <si>
    <t>KY_JJA_203_MG</t>
  </si>
  <si>
    <t>SYST-MOR-0006926</t>
  </si>
  <si>
    <t>KY_JJA_204_MG</t>
  </si>
  <si>
    <t>SYST-MOR-0006927</t>
  </si>
  <si>
    <t>KY_JJA_205_MG</t>
  </si>
  <si>
    <t>SYST-MOR-0006928</t>
  </si>
  <si>
    <t>KY_JJA_206_MG</t>
  </si>
  <si>
    <t>SYST-MOR-0006929</t>
  </si>
  <si>
    <t>KY_JJA_207_MG</t>
  </si>
  <si>
    <t>SYST-MOR-0006930</t>
  </si>
  <si>
    <t>KY_JJA_208_MG</t>
  </si>
  <si>
    <t>SYST-MOR-0006931</t>
  </si>
  <si>
    <t>KY_JJA_209_MG</t>
  </si>
  <si>
    <t>SYST-MOR-0006932</t>
  </si>
  <si>
    <t>KY_GRF_210_MG</t>
  </si>
  <si>
    <t>SYST-MOR-0006933</t>
  </si>
  <si>
    <t>KY_GRF_211_MG</t>
  </si>
  <si>
    <t>SYST-MOR-0006934</t>
  </si>
  <si>
    <t>KY_GRF_212_MG</t>
  </si>
  <si>
    <t>SYST-MOR-0006935</t>
  </si>
  <si>
    <t>KY_GRF_213_MG</t>
  </si>
  <si>
    <t>SYST-MOR-0006936</t>
  </si>
  <si>
    <t>KY_GRF_214_MG</t>
  </si>
  <si>
    <t>SYST-MOR-0006937</t>
  </si>
  <si>
    <t>WI_THB_215_MG</t>
  </si>
  <si>
    <t>SYST-MOR-0006938</t>
  </si>
  <si>
    <t>WI_THB_216_MG</t>
  </si>
  <si>
    <t>SYST-MOR-0006939</t>
  </si>
  <si>
    <t>WI_THB_217_MG</t>
  </si>
  <si>
    <t>SYST-MOR-0006940</t>
  </si>
  <si>
    <t>WI_THB_218_MG</t>
  </si>
  <si>
    <t>SYST-MOR-0006941</t>
  </si>
  <si>
    <t>WI_THB_219_MG</t>
  </si>
  <si>
    <t>SYST-MOR-0006942</t>
  </si>
  <si>
    <t>WI_THB_220_MG</t>
  </si>
  <si>
    <t>SYST-MOR-0006943</t>
  </si>
  <si>
    <t>MN_PMN_221_MG</t>
  </si>
  <si>
    <t>SYST-MOR-0006944</t>
  </si>
  <si>
    <t>MN_PMN_222_MG</t>
  </si>
  <si>
    <t>SYST-MOR-0006945</t>
  </si>
  <si>
    <t>MN_PMN_223_MG</t>
  </si>
  <si>
    <t>SYST-MOR-0006946</t>
  </si>
  <si>
    <t>MN_PMN_224_MG</t>
  </si>
  <si>
    <t>SYST-MOR-0006947</t>
  </si>
  <si>
    <t>MN_PMN_225_MG</t>
  </si>
  <si>
    <t>SYST-MOR-0006948</t>
  </si>
  <si>
    <t>MN_PMN_226_MG</t>
  </si>
  <si>
    <t>SYST-MOR-0006949</t>
  </si>
  <si>
    <t>MN_PMN_227_MG</t>
  </si>
  <si>
    <t>SYST-MOR-0006950</t>
  </si>
  <si>
    <t>MN_PMN_228_MG</t>
  </si>
  <si>
    <t>SYST-MOR-0006951</t>
  </si>
  <si>
    <t>WI_PKL_229_MG</t>
  </si>
  <si>
    <t>SYST-MOR-0006952</t>
  </si>
  <si>
    <t>WI_PKL_230_MG</t>
  </si>
  <si>
    <t>SYST-MOR-0006953</t>
  </si>
  <si>
    <t>WI_PKL_231_MG</t>
  </si>
  <si>
    <t>SYST-MOR-0006954</t>
  </si>
  <si>
    <t>WI_PKL_232_MG</t>
  </si>
  <si>
    <t>SYST-MOR-0006955</t>
  </si>
  <si>
    <t>WI_PKL_233_MG</t>
  </si>
  <si>
    <t>SYST-MOR-0006956</t>
  </si>
  <si>
    <t>WI_PKL_234_MG</t>
  </si>
  <si>
    <t>SYST-MOR-0006957</t>
  </si>
  <si>
    <t>WI_PKL_235_MG</t>
  </si>
  <si>
    <t>SYST-MOR-0006958</t>
  </si>
  <si>
    <t>WI_PKL_236_MG</t>
  </si>
  <si>
    <t>SYST-MOR-0006959</t>
  </si>
  <si>
    <t>WI_PKL_237_MG</t>
  </si>
  <si>
    <t>SYST-MOR-0006960</t>
  </si>
  <si>
    <t>WI_WFS_238_MG</t>
  </si>
  <si>
    <t>SYST-MOR-0006961</t>
  </si>
  <si>
    <t>WI_WFS_239_MG</t>
  </si>
  <si>
    <t>SYST-MOR-0006962</t>
  </si>
  <si>
    <t>WI_WFS_240_MG</t>
  </si>
  <si>
    <t>SYST-MOR-0006963</t>
  </si>
  <si>
    <t>WI_WFS_241_MG</t>
  </si>
  <si>
    <t>SYST-MOR-0006964</t>
  </si>
  <si>
    <t>WI_WFS_242_MG</t>
  </si>
  <si>
    <t>SYST-MOR-0006965</t>
  </si>
  <si>
    <t>WI_WFS_243_MG</t>
  </si>
  <si>
    <t>SYST-MOR-0006966</t>
  </si>
  <si>
    <t>WI_WFS_244_MG</t>
  </si>
  <si>
    <t>SYST-MOR-0006967</t>
  </si>
  <si>
    <t>WI_WFS_247_MG</t>
  </si>
  <si>
    <t>SYST-MOR-0006968</t>
  </si>
  <si>
    <t>WI_WFS_248_MG</t>
  </si>
  <si>
    <t>SYST-MOR-0006969</t>
  </si>
  <si>
    <t>WI_WFS_249_MG</t>
  </si>
  <si>
    <t>SYST-MOR-0006970</t>
  </si>
  <si>
    <t>OH_GLW_250_MG</t>
  </si>
  <si>
    <t>SYST-MOR-0006971</t>
  </si>
  <si>
    <t>OH_GLW_251_MG</t>
  </si>
  <si>
    <t>SYST-MOR-0006972</t>
  </si>
  <si>
    <t>OH_GLW_252_MG</t>
  </si>
  <si>
    <t>SYST-MOR-0006973</t>
  </si>
  <si>
    <t>OH_GLW_253_MG</t>
  </si>
  <si>
    <t>SYST-MOR-0006974</t>
  </si>
  <si>
    <t>OH_GLW_254_MG</t>
  </si>
  <si>
    <t>SYST-MOR-0006975</t>
  </si>
  <si>
    <t>OH_GLW_255_MG</t>
  </si>
  <si>
    <t>SYST-MOR-0006976</t>
  </si>
  <si>
    <t>OH_GLW_256_MG</t>
  </si>
  <si>
    <t>SYST-MOR-0006977</t>
  </si>
  <si>
    <t>OH_GLW_257_MG</t>
  </si>
  <si>
    <t>SYST-MOR-0006978</t>
  </si>
  <si>
    <t>OH_GLW_258_MG</t>
  </si>
  <si>
    <t>SYST-MOR-0006979</t>
  </si>
  <si>
    <t>OH_GLW_259_MG</t>
  </si>
  <si>
    <t>SYST-MOR-0006980</t>
  </si>
  <si>
    <t>OH_GLW_260_MG</t>
  </si>
  <si>
    <t>SYST-MOR-0006981</t>
  </si>
  <si>
    <t>OH_GLW_261_MG</t>
  </si>
  <si>
    <t>SYST-MOR-0006982</t>
  </si>
  <si>
    <t>OH_GLW_262_MG</t>
  </si>
  <si>
    <t>SYST-MOR-0006983</t>
  </si>
  <si>
    <t>OH_GLW_263_MG</t>
  </si>
  <si>
    <t>SYST-MOR-0006984</t>
  </si>
  <si>
    <t>OH_GLW_264_MG</t>
  </si>
  <si>
    <t>SYST-MOR-0006985</t>
  </si>
  <si>
    <t>MI_PRA_265_MG</t>
  </si>
  <si>
    <t>SYST-MOR-0006986</t>
  </si>
  <si>
    <t>MI_PRA_266_MG</t>
  </si>
  <si>
    <t>SYST-MOR-0006987</t>
  </si>
  <si>
    <t>MI_PRA_267_MG</t>
  </si>
  <si>
    <t>SYST-MOR-0006988</t>
  </si>
  <si>
    <t>MI_PRA_268_MG</t>
  </si>
  <si>
    <t>SYST-MOR-0006989</t>
  </si>
  <si>
    <t>MI_PRA_269_MG</t>
  </si>
  <si>
    <t>SYST-MOR-0006990</t>
  </si>
  <si>
    <t>MI_PRA_270_MG</t>
  </si>
  <si>
    <t>SYST-MOR-0006991</t>
  </si>
  <si>
    <t>MI_PRA_271_MG</t>
  </si>
  <si>
    <t>SYST-MOR-0006992</t>
  </si>
  <si>
    <t>MI_PRA_272_MG</t>
  </si>
  <si>
    <t>SYST-MOR-0006993</t>
  </si>
  <si>
    <t>MI_PRA_273_MG</t>
  </si>
  <si>
    <t>SYST-MOR-0006994</t>
  </si>
  <si>
    <t>MI_PRA_274_MG</t>
  </si>
  <si>
    <t>SYST-MOR-0006995</t>
  </si>
  <si>
    <t>MI_PRA_275_MG</t>
  </si>
  <si>
    <t>SYST-MOR-0006996</t>
  </si>
  <si>
    <t>MI_PRA_276_MG</t>
  </si>
  <si>
    <t>SYST-MOR-0006997</t>
  </si>
  <si>
    <t>MI_PRA_277_MG</t>
  </si>
  <si>
    <t>SYST-MOR-0006998</t>
  </si>
  <si>
    <t>MI_PRA_278_MG</t>
  </si>
  <si>
    <t>SYST-MOR-0006999</t>
  </si>
  <si>
    <t>MI_PRA_279_MG</t>
  </si>
  <si>
    <t>SYST-MOR-0007000</t>
  </si>
  <si>
    <t>MI_PRA_280_MG</t>
  </si>
  <si>
    <t>SYST-MOR-0007001</t>
  </si>
  <si>
    <t>MI_PRA_281_MG</t>
  </si>
  <si>
    <t>SYST-MOR-0007002</t>
  </si>
  <si>
    <t>MI_PRA_282_MG</t>
  </si>
  <si>
    <t>SYST-MOR-0007003</t>
  </si>
  <si>
    <t>MI_PRA_283_MG</t>
  </si>
  <si>
    <t>SYST-MOR-0007004</t>
  </si>
  <si>
    <t>MI_LLP_284_MG</t>
  </si>
  <si>
    <t>SYST-MOR-0007005</t>
  </si>
  <si>
    <t>MI_LLP_285_MG</t>
  </si>
  <si>
    <t>SYST-MOR-0007006</t>
  </si>
  <si>
    <t>MI_LLP_286_MG</t>
  </si>
  <si>
    <t>SYST-MOR-0007007</t>
  </si>
  <si>
    <t>MI_LLP_287_MG</t>
  </si>
  <si>
    <t>SYST-MOR-0007008</t>
  </si>
  <si>
    <t>MI_LLP_288_MG</t>
  </si>
  <si>
    <t>SYST-MOR-0007009</t>
  </si>
  <si>
    <t>MI_LLP_289_MG</t>
  </si>
  <si>
    <t>SYST-MOR-0007010</t>
  </si>
  <si>
    <t>MI_LLP_290_MG</t>
  </si>
  <si>
    <t>SYST-MOR-0007011</t>
  </si>
  <si>
    <t>MI_LLP_291_MG</t>
  </si>
  <si>
    <t>SYST-MOR-0007012</t>
  </si>
  <si>
    <t>MI_LLP_292_MG</t>
  </si>
  <si>
    <t>SYST-MOR-0007013</t>
  </si>
  <si>
    <t>MI_LLP_293_MG</t>
  </si>
  <si>
    <t>SYST-MOR-0007014</t>
  </si>
  <si>
    <t>MI_LLP_294_MG</t>
  </si>
  <si>
    <t>SYST-MOR-0007015</t>
  </si>
  <si>
    <t>KS_SMP_295_MG</t>
  </si>
  <si>
    <t>SYST-MOR-0007016</t>
  </si>
  <si>
    <t>KS_SMP_296_MG</t>
  </si>
  <si>
    <t>SYST-MOR-0007017</t>
  </si>
  <si>
    <t>KS_SMP_297_MG</t>
  </si>
  <si>
    <t>SYST-MOR-0007018</t>
  </si>
  <si>
    <t>KS_SMP_298_MG</t>
  </si>
  <si>
    <t>SYST-MOR-0007019</t>
  </si>
  <si>
    <t>KS_SMP_299_MG</t>
  </si>
  <si>
    <t>SYST-MOR-0007020</t>
  </si>
  <si>
    <t>KS_SMP_300_MG</t>
  </si>
  <si>
    <t>SYST-MOR-0007021</t>
  </si>
  <si>
    <t>KS_SMP_301_MG</t>
  </si>
  <si>
    <t>SYST-MOR-0007022</t>
  </si>
  <si>
    <t>KS_SMP_302_MG</t>
  </si>
  <si>
    <t>SYST-MOR-0007023</t>
  </si>
  <si>
    <t>KS_SMP_303_MG</t>
  </si>
  <si>
    <t>SYST-MOR-0007024</t>
  </si>
  <si>
    <t>KS_SMP_304_MG</t>
  </si>
  <si>
    <t>SYST-MOR-0007025</t>
  </si>
  <si>
    <t>KS_SMP_305_MG</t>
  </si>
  <si>
    <t>SYST-MOR-0007026</t>
  </si>
  <si>
    <t>KS_SMP_306_MG</t>
  </si>
  <si>
    <t>SYST-MOR-0007027</t>
  </si>
  <si>
    <t>KS_SMP_307_MG</t>
  </si>
  <si>
    <t>SYST-MOR-0007028</t>
  </si>
  <si>
    <t>KS_SMP_308_MG</t>
  </si>
  <si>
    <t>SYST-MOR-0007029</t>
  </si>
  <si>
    <t>KS_SMP_309_MG</t>
  </si>
  <si>
    <t>SYST-MOR-0007030</t>
  </si>
  <si>
    <t>KS_SMP_310_MG</t>
  </si>
  <si>
    <t>SYST-MOR-0007031</t>
  </si>
  <si>
    <t>KS_SMP_311_MG</t>
  </si>
  <si>
    <t>SYST-MOR-0007032</t>
  </si>
  <si>
    <t>KS_SMP_312_MG</t>
  </si>
  <si>
    <t>SYST-MOR-0007033</t>
  </si>
  <si>
    <t>KS_SMP_313_MG</t>
  </si>
  <si>
    <t>SYST-MOR-0007034</t>
  </si>
  <si>
    <t>KS_SMP_314_MG</t>
  </si>
  <si>
    <t>SYST-MOR-0007035</t>
  </si>
  <si>
    <t>KS_KCP_315_MG</t>
  </si>
  <si>
    <t>SYST-MOR-0007036</t>
  </si>
  <si>
    <t>KS_KCP_316_MG</t>
  </si>
  <si>
    <t>SYST-MOR-0007037</t>
  </si>
  <si>
    <t>KS_KZP_317_MG</t>
  </si>
  <si>
    <t>SYST-MOR-0007038</t>
  </si>
  <si>
    <t>KS_KZP_318_MG</t>
  </si>
  <si>
    <t>SYST-MOR-0007039</t>
  </si>
  <si>
    <t>KS_KZP_319_MG</t>
  </si>
  <si>
    <t>SYST-MOR-0007040</t>
  </si>
  <si>
    <t>KS_KZP_320_MG</t>
  </si>
  <si>
    <t>SYST-MOR-0007041</t>
  </si>
  <si>
    <t>KS_KZP_321_MG</t>
  </si>
  <si>
    <t>SYST-MOR-0007042</t>
  </si>
  <si>
    <t>KS_KZP_322_MG</t>
  </si>
  <si>
    <t>SYST-MOR-0007043</t>
  </si>
  <si>
    <t>KS_KZP_323_MG</t>
  </si>
  <si>
    <t>SYST-MOR-0007044</t>
  </si>
  <si>
    <t>KS_KZP_324_MG</t>
  </si>
  <si>
    <t>SYST-MOR-0007045</t>
  </si>
  <si>
    <t>KS_KZP_325_MG</t>
  </si>
  <si>
    <t>SYST-MOR-0007046</t>
  </si>
  <si>
    <t>KS_KZP_326_MG</t>
  </si>
  <si>
    <t>SYST-MOR-0007047</t>
  </si>
  <si>
    <t>NY_BIP_327_MG</t>
  </si>
  <si>
    <t>SYST-MOR-0007048</t>
  </si>
  <si>
    <t>NY_BIP_328_MG</t>
  </si>
  <si>
    <t>SYST-MOR-0007049</t>
  </si>
  <si>
    <t>NY_BIP_329_MG</t>
  </si>
  <si>
    <t>SYST-MOR-0007050</t>
  </si>
  <si>
    <t>NY_BIP_330_MG</t>
  </si>
  <si>
    <t>SYST-MOR-0007051</t>
  </si>
  <si>
    <t>NY_BIP_331_MG</t>
  </si>
  <si>
    <t>SYST-MOR-0007052</t>
  </si>
  <si>
    <t>NY_BIP_332_MG</t>
  </si>
  <si>
    <t>SYST-MOR-0007053</t>
  </si>
  <si>
    <t>NY_BIP_333_MG</t>
  </si>
  <si>
    <t>SYST-MOR-0007054</t>
  </si>
  <si>
    <t>NY_BIP_334_MG</t>
  </si>
  <si>
    <t>SYST-MOR-0007055</t>
  </si>
  <si>
    <t>NY_BIP_335_MG</t>
  </si>
  <si>
    <t>SYST-MOR-0007056</t>
  </si>
  <si>
    <t>NY_BIP_336_MG</t>
  </si>
  <si>
    <t>SYST-MOR-0007057</t>
  </si>
  <si>
    <t>NY_BIP_337_MG</t>
  </si>
  <si>
    <t>SYST-MOR-0007058</t>
  </si>
  <si>
    <t>NY_BIP_338_MG</t>
  </si>
  <si>
    <t>SYST-MOR-0007059</t>
  </si>
  <si>
    <t>NY_BIP_339_MG</t>
  </si>
  <si>
    <t>SYST-MOR-0007060</t>
  </si>
  <si>
    <t>NY_BIP_340_MG</t>
  </si>
  <si>
    <t>SYST-MOR-0007061</t>
  </si>
  <si>
    <t>NY_SSP_341_MG</t>
  </si>
  <si>
    <t>SYST-MOR-0007062</t>
  </si>
  <si>
    <t>NY_SSP_342_MG</t>
  </si>
  <si>
    <t>SYST-MOR-0007063</t>
  </si>
  <si>
    <t>NY_SSP_343_MG</t>
  </si>
  <si>
    <t>SYST-MOR-0007064</t>
  </si>
  <si>
    <t>NY_SSP_344_MG</t>
  </si>
  <si>
    <t>SYST-MOR-0007065</t>
  </si>
  <si>
    <t>NY_SSP_345_MG</t>
  </si>
  <si>
    <t>SYST-MOR-0007066</t>
  </si>
  <si>
    <t>NY_SSP_346_MG</t>
  </si>
  <si>
    <t>SYST-MOR-0007067</t>
  </si>
  <si>
    <t>NY_SSP_347_MG</t>
  </si>
  <si>
    <t>SYST-MOR-0007068</t>
  </si>
  <si>
    <t>NY_SSP_348_MG</t>
  </si>
  <si>
    <t>SYST-MOR-0007069</t>
  </si>
  <si>
    <t>NY_SSP_349_MG</t>
  </si>
  <si>
    <t>SYST-MOR-0007070</t>
  </si>
  <si>
    <t>NY_SSP_350_MG</t>
  </si>
  <si>
    <t>SYST-MOR-0007071</t>
  </si>
  <si>
    <t>NY_CMB_351_MG</t>
  </si>
  <si>
    <t>SYST-MOR-0007072</t>
  </si>
  <si>
    <t>NY_CMB_352_MG</t>
  </si>
  <si>
    <t>SYST-MOR-0007073</t>
  </si>
  <si>
    <t>NY_CMB_353_MG</t>
  </si>
  <si>
    <t>SYST-MOR-0007074</t>
  </si>
  <si>
    <t>NY_CMB_354_MG</t>
  </si>
  <si>
    <t>SYST-MOR-0007075</t>
  </si>
  <si>
    <t>NY_CMB_355_MG</t>
  </si>
  <si>
    <t>SYST-MOR-0007076</t>
  </si>
  <si>
    <t>NY_CMB_356_MG</t>
  </si>
  <si>
    <t>SYST-MOR-0007077</t>
  </si>
  <si>
    <t>NY_CMB_357_MG</t>
  </si>
  <si>
    <t>SYST-MOR-0007078</t>
  </si>
  <si>
    <t>NY_CMB_358_MG</t>
  </si>
  <si>
    <t>SYST-MOR-0007079</t>
  </si>
  <si>
    <t>NY_CMB_359_MG</t>
  </si>
  <si>
    <t>SYST-MOR-0007080</t>
  </si>
  <si>
    <t>NY_CMB_360_MG</t>
  </si>
  <si>
    <t>SYST-MOR-0007081</t>
  </si>
  <si>
    <t>VT_DHT_361_MG</t>
  </si>
  <si>
    <t>SYST-MOR-0007082</t>
  </si>
  <si>
    <t>VT_DHT_362_MG</t>
  </si>
  <si>
    <t>SYST-MOR-0007083</t>
  </si>
  <si>
    <t>VT_DHT_363_MG</t>
  </si>
  <si>
    <t>SYST-MOR-0007084</t>
  </si>
  <si>
    <t>VT_DHT_364_MG</t>
  </si>
  <si>
    <t>SYST-MOR-0007085</t>
  </si>
  <si>
    <t>VT_DHT_365_MG</t>
  </si>
  <si>
    <t>SYST-MOR-0007086</t>
  </si>
  <si>
    <t>VT_DHT_366_MG</t>
  </si>
  <si>
    <t>SYST-MOR-0007087</t>
  </si>
  <si>
    <t>VT_DHT_367_MG</t>
  </si>
  <si>
    <t>SYST-MOR-0007088</t>
  </si>
  <si>
    <t>VT_DHT_368_MG</t>
  </si>
  <si>
    <t>SYST-MOR-0007089</t>
  </si>
  <si>
    <t>VT_DHT_369_MG</t>
  </si>
  <si>
    <t>SYST-MOR-0007090</t>
  </si>
  <si>
    <t>NY_BKF_370_MG</t>
  </si>
  <si>
    <t>SYST-MOR-0007091</t>
  </si>
  <si>
    <t>NY_BKF_371_MG</t>
  </si>
  <si>
    <t>SYST-MOR-0007092</t>
  </si>
  <si>
    <t>NY_BKF_372_MG</t>
  </si>
  <si>
    <t>SYST-MOR-0007093</t>
  </si>
  <si>
    <t>NY_BKF_373_MG</t>
  </si>
  <si>
    <t>SYST-MOR-0007094</t>
  </si>
  <si>
    <t>NY_BKF_374_MG</t>
  </si>
  <si>
    <t>SYST-MOR-0007095</t>
  </si>
  <si>
    <t>NY_BKF_375_MG</t>
  </si>
  <si>
    <t>SYST-MOR-0007096</t>
  </si>
  <si>
    <t>NY_APB_377_MG</t>
  </si>
  <si>
    <t>SYST-MOR-0007097</t>
  </si>
  <si>
    <t>NY_APB_376_MG</t>
  </si>
  <si>
    <t>SYST-MOR-0007098</t>
  </si>
  <si>
    <t>NY_APB_378_MG</t>
  </si>
  <si>
    <t>SYST-MOR-0007099</t>
  </si>
  <si>
    <t>NY_APB_379_MG</t>
  </si>
  <si>
    <t>SYST-MOR-0007100</t>
  </si>
  <si>
    <t>NY_APB_380_MG</t>
  </si>
  <si>
    <t>SYST-MOR-0007101</t>
  </si>
  <si>
    <t>NY_APB_381_MG</t>
  </si>
  <si>
    <t>SYST-MOR-0007102</t>
  </si>
  <si>
    <t>NY_APB_382_MG</t>
  </si>
  <si>
    <t>SYST-MOR-0007103</t>
  </si>
  <si>
    <t>NY_APB_383_MG</t>
  </si>
  <si>
    <t>SYST-MOR-0007104</t>
  </si>
  <si>
    <t>NY_APB_384_MG</t>
  </si>
  <si>
    <t>SYST-MOR-0007105</t>
  </si>
  <si>
    <t>NY_BKF_385_MG</t>
  </si>
  <si>
    <t>SYST-MOR-0007106</t>
  </si>
  <si>
    <t>MA_BTC_386_MG</t>
  </si>
  <si>
    <t>SYST-MOR-0007107</t>
  </si>
  <si>
    <t>MA_BTC_387_MG</t>
  </si>
  <si>
    <t>SYST-MOR-0007108</t>
  </si>
  <si>
    <t>MA_BTC_388_MG</t>
  </si>
  <si>
    <t>SYST-MOR-0007109</t>
  </si>
  <si>
    <t>MA_BTC_389_MG</t>
  </si>
  <si>
    <t>SYST-MOR-0007110</t>
  </si>
  <si>
    <t>MA_BTC_390_MG</t>
  </si>
  <si>
    <t>SYST-MOR-0007111</t>
  </si>
  <si>
    <t>MA_BTC_391_MG</t>
  </si>
  <si>
    <t>SYST-MOR-0007112</t>
  </si>
  <si>
    <t>MA_BTC_392_MG</t>
  </si>
  <si>
    <t>SYST-MOR-0007113</t>
  </si>
  <si>
    <t>MA_BTC_393_MG</t>
  </si>
  <si>
    <t>SYST-MOR-0007114</t>
  </si>
  <si>
    <t>MA_NMK_394_MG</t>
  </si>
  <si>
    <t>SYST-MOR-0007115</t>
  </si>
  <si>
    <t>MA_NMK_395_MG</t>
  </si>
  <si>
    <t>SYST-MOR-0007116</t>
  </si>
  <si>
    <t>MA_NMK_396_MG</t>
  </si>
  <si>
    <t>SYST-MOR-0007117</t>
  </si>
  <si>
    <t>MA_NMK_397_MG</t>
  </si>
  <si>
    <t>SYST-MOR-0007118</t>
  </si>
  <si>
    <t>MA_NMK_398_MG</t>
  </si>
  <si>
    <t>SYST-MOR-0007119</t>
  </si>
  <si>
    <t>MA_LKN_399_MG</t>
  </si>
  <si>
    <t>SYST-MOR-0007120</t>
  </si>
  <si>
    <t>MA_LKN_400_MG</t>
  </si>
  <si>
    <t>SYST-MOR-0007121</t>
  </si>
  <si>
    <t>MA_LKN_401_MG</t>
  </si>
  <si>
    <t>SYST-MOR-0007122</t>
  </si>
  <si>
    <t>MA_LKN_402_MG</t>
  </si>
  <si>
    <t>SYST-MOR-0007123</t>
  </si>
  <si>
    <t>MA_SBF_403_MG</t>
  </si>
  <si>
    <t>SYST-MOR-0007124</t>
  </si>
  <si>
    <t>MA_SBF_404_MG</t>
  </si>
  <si>
    <t>SYST-MOR-0007125</t>
  </si>
  <si>
    <t>MA_SBF_405_MG</t>
  </si>
  <si>
    <t>SYST-MOR-0007126</t>
  </si>
  <si>
    <t>MA_SBF_406_MG</t>
  </si>
  <si>
    <t>SYST-MOR-0007127</t>
  </si>
  <si>
    <t>MA_SBF_407_MG</t>
  </si>
  <si>
    <t>SYST-MOR-0007128</t>
  </si>
  <si>
    <t>MA_SBF_408_MG</t>
  </si>
  <si>
    <t>SYST-MOR-0007129</t>
  </si>
  <si>
    <t>AR_BRP_409_MG</t>
  </si>
  <si>
    <t>SYST-MOR-0007130</t>
  </si>
  <si>
    <t>AR_BRP_410_MG</t>
  </si>
  <si>
    <t>SYST-MOR-0007131</t>
  </si>
  <si>
    <t>AR_BRP_411_MG</t>
  </si>
  <si>
    <t>SYST-MOR-0007132</t>
  </si>
  <si>
    <t>AR_BRP_412_MG</t>
  </si>
  <si>
    <t>SYST-MOR-0007133</t>
  </si>
  <si>
    <t>AR_BRP_413_MG</t>
  </si>
  <si>
    <t>SYST-MOR-0007134</t>
  </si>
  <si>
    <t>AR_BRP_414_MG</t>
  </si>
  <si>
    <t>SYST-MOR-0007135</t>
  </si>
  <si>
    <t>AR_BRP_415_MG</t>
  </si>
  <si>
    <t>SYST-MOR-0007136</t>
  </si>
  <si>
    <t>AR_BRP_416_MG</t>
  </si>
  <si>
    <t>SYST-MOR-0007137</t>
  </si>
  <si>
    <t>AR_BRP_417_MG</t>
  </si>
  <si>
    <t>SYST-MOR-0007138</t>
  </si>
  <si>
    <t>AR_BRP_418_MG</t>
  </si>
  <si>
    <t>SYST-MOR-0007139</t>
  </si>
  <si>
    <t>AR_BRP_419_MG</t>
  </si>
  <si>
    <t>SYST-MOR-0007140</t>
  </si>
  <si>
    <t>AR_BRP_420_MG</t>
  </si>
  <si>
    <t>SYST-MOR-0007141</t>
  </si>
  <si>
    <t>AR_BRP_421_MG</t>
  </si>
  <si>
    <t>SYST-MOR-0007142</t>
  </si>
  <si>
    <t>AR_BRP_422_MG</t>
  </si>
  <si>
    <t>SYST-MOR-0007143</t>
  </si>
  <si>
    <t>AR_BRP_423_MG</t>
  </si>
  <si>
    <t>SYST-MOR-0007144</t>
  </si>
  <si>
    <t>AR_BRP_424_MG</t>
  </si>
  <si>
    <t>SYST-MOR-0007145</t>
  </si>
  <si>
    <t>AR_BRP_425_MG</t>
  </si>
  <si>
    <t>SYST-MOR-0007146</t>
  </si>
  <si>
    <t>AR_BRP_426_MG</t>
  </si>
  <si>
    <t>SYST-MOR-0007147</t>
  </si>
  <si>
    <t>AR_BRP_427_MG</t>
  </si>
  <si>
    <t>SYST-MOR-0007148</t>
  </si>
  <si>
    <t>AR_BRP_428_MG</t>
  </si>
  <si>
    <t>SYST-MOR-0007149</t>
  </si>
  <si>
    <t>AR_BRP_429_MG</t>
  </si>
  <si>
    <t>SYST-MOR-0007150</t>
  </si>
  <si>
    <t>TX_BRZ_430_MG</t>
  </si>
  <si>
    <t>SYST-MOR-0007151</t>
  </si>
  <si>
    <t>TX_BRZ_431_MG</t>
  </si>
  <si>
    <t>SYST-MOR-0007152</t>
  </si>
  <si>
    <t>TX_BRZ_432_MG</t>
  </si>
  <si>
    <t>SYST-MOR-0007153</t>
  </si>
  <si>
    <t>TX_BRZ_433_MG</t>
  </si>
  <si>
    <t>SYST-MOR-0007154</t>
  </si>
  <si>
    <t>TX_BRZ_434_MG</t>
  </si>
  <si>
    <t>SYST-MOR-0007155</t>
  </si>
  <si>
    <t>TX_BRZ_435_MG</t>
  </si>
  <si>
    <t>SYST-MOR-0007156</t>
  </si>
  <si>
    <t>TX_BRZ_436_MG</t>
  </si>
  <si>
    <t>SYST-MOR-0007157</t>
  </si>
  <si>
    <t>TX_BRZ_437_MG</t>
  </si>
  <si>
    <t>SYST-MOR-0007158</t>
  </si>
  <si>
    <t>TX_PLM_438_MG</t>
  </si>
  <si>
    <t>SYST-MOR-0007159</t>
  </si>
  <si>
    <t>TX_PLM_439_MG</t>
  </si>
  <si>
    <t>SYST-MOR-0007160</t>
  </si>
  <si>
    <t>TX_PLM_440_MG</t>
  </si>
  <si>
    <t>SYST-MOR-0007161</t>
  </si>
  <si>
    <t>TX_PLM_441_MG</t>
  </si>
  <si>
    <t>SYST-MOR-0007162</t>
  </si>
  <si>
    <t>TX_PLM_442_MG</t>
  </si>
  <si>
    <t>SYST-MOR-0007163</t>
  </si>
  <si>
    <t>TX_PLM_443_MG</t>
  </si>
  <si>
    <t>SYST-MOR-0007164</t>
  </si>
  <si>
    <t>TX_PLM_444_MG</t>
  </si>
  <si>
    <t>SYST-MOR-0007165</t>
  </si>
  <si>
    <t>TX_PLM_445_MG</t>
  </si>
  <si>
    <t>SYST-MOR-0007166</t>
  </si>
  <si>
    <t>TX_PLM_446_MG</t>
  </si>
  <si>
    <t>SYST-MOR-0007167</t>
  </si>
  <si>
    <t>TX_PLM_447_MG</t>
  </si>
  <si>
    <t>SYST-MOR-0007168</t>
  </si>
  <si>
    <t>TX_PLM_448_MG</t>
  </si>
  <si>
    <t>SYST-MOR-0007169</t>
  </si>
  <si>
    <t>TX_CHP_449_MG</t>
  </si>
  <si>
    <t>SYST-MOR-0007170</t>
  </si>
  <si>
    <t>TX_CHP_450_MG</t>
  </si>
  <si>
    <t>SYST-MOR-0007171</t>
  </si>
  <si>
    <t>TX_CHP_451_MG</t>
  </si>
  <si>
    <t>SYST-MOR-0007172</t>
  </si>
  <si>
    <t>TX_CHP_452_MG</t>
  </si>
  <si>
    <t>SYST-MOR-0007173</t>
  </si>
  <si>
    <t>TX_CHP_453_MG</t>
  </si>
  <si>
    <t>SYST-MOR-0007174</t>
  </si>
  <si>
    <t>TX_CHP_454_MG</t>
  </si>
  <si>
    <t>SYST-MOR-0007175</t>
  </si>
  <si>
    <t>TX_CHP_455_MG</t>
  </si>
  <si>
    <t>SYST-MOR-0007176</t>
  </si>
  <si>
    <t>TX_CHP_456_MG</t>
  </si>
  <si>
    <t>SYST-MOR-0007177</t>
  </si>
  <si>
    <t>TX_CHP_457_MG</t>
  </si>
  <si>
    <t>SYST-MOR-0007178</t>
  </si>
  <si>
    <t>TX_CHP_458_MG</t>
  </si>
  <si>
    <t>SYST-MOR-0007179</t>
  </si>
  <si>
    <t>TX_CHP_459_MG</t>
  </si>
  <si>
    <t>SYST-MOR-0007180</t>
  </si>
  <si>
    <t>IL_RCA_460_MG</t>
  </si>
  <si>
    <t>SYST-MOR-0007181</t>
  </si>
  <si>
    <t>IL_RCA_461_MG</t>
  </si>
  <si>
    <t>SYST-MOR-0007182</t>
  </si>
  <si>
    <t>IL_RCA_462_MG</t>
  </si>
  <si>
    <t>SYST-MOR-0007183</t>
  </si>
  <si>
    <t>IL_RCA_463_MG</t>
  </si>
  <si>
    <t>SYST-MOR-0007184</t>
  </si>
  <si>
    <t>IL_RCA_464_MG</t>
  </si>
  <si>
    <t>SYST-MOR-0007185</t>
  </si>
  <si>
    <t>IL_RCA_465_MG</t>
  </si>
  <si>
    <t>SYST-MOR-0007186</t>
  </si>
  <si>
    <t>IL_RCA_466_MG</t>
  </si>
  <si>
    <t>SYST-MOR-0007187</t>
  </si>
  <si>
    <t>IL_RCA_467_MG</t>
  </si>
  <si>
    <t>SYST-MOR-0007188</t>
  </si>
  <si>
    <t>IL_RCA_468_MG</t>
  </si>
  <si>
    <t>SYST-MOR-0007189</t>
  </si>
  <si>
    <t>IL_RCA_469_MG</t>
  </si>
  <si>
    <t>SYST-MOR-0007190</t>
  </si>
  <si>
    <t>IL_RCA_470_MG</t>
  </si>
  <si>
    <t>SYST-MOR-0007191</t>
  </si>
  <si>
    <t>IL_RCA_471_MG</t>
  </si>
  <si>
    <t>SYST-MOR-0007192</t>
  </si>
  <si>
    <t>IL_RCA_472_MG</t>
  </si>
  <si>
    <t>SYST-MOR-0007193</t>
  </si>
  <si>
    <t>IL_RCA_473_MG</t>
  </si>
  <si>
    <t>SYST-MOR-0007194</t>
  </si>
  <si>
    <t>IL_RCA_474_MG</t>
  </si>
  <si>
    <t>SYST-MOR-0007195</t>
  </si>
  <si>
    <t>IN_MWT_475_MG</t>
  </si>
  <si>
    <t>SYST-MOR-0007196</t>
  </si>
  <si>
    <t>IN_MWT_476_MG</t>
  </si>
  <si>
    <t>SYST-MOR-0007197</t>
  </si>
  <si>
    <t>IN_MWT_477_MG</t>
  </si>
  <si>
    <t>SYST-MOR-0007198</t>
  </si>
  <si>
    <t>IN_MWT_478_MG</t>
  </si>
  <si>
    <t>SYST-MOR-0007199</t>
  </si>
  <si>
    <t>IN_MWT_479_MG</t>
  </si>
  <si>
    <t>SYST-MOR-0007200</t>
  </si>
  <si>
    <t>IN_MWT_480_MG</t>
  </si>
  <si>
    <t>SYST-MOR-0007201</t>
  </si>
  <si>
    <t>IN_MWT_481_MG</t>
  </si>
  <si>
    <t>SYST-MOR-0007202</t>
  </si>
  <si>
    <t>IN_MWT_482_MG</t>
  </si>
  <si>
    <t>SYST-MOR-0007203</t>
  </si>
  <si>
    <t>IN_MWT_483_MG</t>
  </si>
  <si>
    <t>SYST-MOR-0007204</t>
  </si>
  <si>
    <t>IN_MWT_484_MG</t>
  </si>
  <si>
    <t>SYST-MOR-0007205</t>
  </si>
  <si>
    <t>IN_TYL_485_MG</t>
  </si>
  <si>
    <t>SYST-MOR-0007206</t>
  </si>
  <si>
    <t>IN_TYL_486_MG</t>
  </si>
  <si>
    <t>SYST-MOR-0007207</t>
  </si>
  <si>
    <t>IN_TYL_487_MG</t>
  </si>
  <si>
    <t>SYST-MOR-0007208</t>
  </si>
  <si>
    <t>IN_TYL_488_MG</t>
  </si>
  <si>
    <t>SYST-MOR-0007209</t>
  </si>
  <si>
    <t>IN_TYL_489_MG</t>
  </si>
  <si>
    <t>SYST-MOR-0007210</t>
  </si>
  <si>
    <t>IN_TYL_490_MG</t>
  </si>
  <si>
    <t>SYST-MOR-0007211</t>
  </si>
  <si>
    <t>IN_TYL_491_MG</t>
  </si>
  <si>
    <t>SYST-MOR-0007212</t>
  </si>
  <si>
    <t>IN_TYL_492_MG</t>
  </si>
  <si>
    <t>SYST-MOR-0007213</t>
  </si>
  <si>
    <t>IN_TYL_493_MG</t>
  </si>
  <si>
    <t>SYST-MOR-0007214</t>
  </si>
  <si>
    <t>IN_TYL_494_MG</t>
  </si>
  <si>
    <t>SYST-MOR-0007215</t>
  </si>
  <si>
    <t>IN_TYL_495_MG</t>
  </si>
  <si>
    <t>SYST-MOR-0007216</t>
  </si>
  <si>
    <t>IN_TYL_496_MG</t>
  </si>
  <si>
    <t>SYST-MOR-0007217</t>
  </si>
  <si>
    <t>IN_TYL_497_MG</t>
  </si>
  <si>
    <t>SYST-MOR-0007218</t>
  </si>
  <si>
    <t>IN_TYL_498_MG</t>
  </si>
  <si>
    <t>SYST-MOR-0007219</t>
  </si>
  <si>
    <t>IN_BLR_499_MG</t>
  </si>
  <si>
    <t>SYST-MOR-0007220</t>
  </si>
  <si>
    <t>IN_BLR_500_MG</t>
  </si>
  <si>
    <t>SYST-MOR-0007221</t>
  </si>
  <si>
    <t>IN_LCP_501_MG</t>
  </si>
  <si>
    <t>SYST-MOR-0007222</t>
  </si>
  <si>
    <t>IN_LCP_502_MG</t>
  </si>
  <si>
    <t>SYST-MOR-0007223</t>
  </si>
  <si>
    <t>IN_LCP_503_MG</t>
  </si>
  <si>
    <t>SYST-MOR-0007224</t>
  </si>
  <si>
    <t>IN_LCP_504_MG</t>
  </si>
  <si>
    <t>SYST-MOR-0007225</t>
  </si>
  <si>
    <t>IN_LCP_505_MG</t>
  </si>
  <si>
    <t>SYST-MOR-0007226</t>
  </si>
  <si>
    <t>IN_LCP_506_MG</t>
  </si>
  <si>
    <t>SYST-MOR-0007227</t>
  </si>
  <si>
    <t>IN_LCP_507_MG</t>
  </si>
  <si>
    <t>SYST-MOR-0007228</t>
  </si>
  <si>
    <t>IN_GRL_508_MG</t>
  </si>
  <si>
    <t>SYST-MOR-0007229</t>
  </si>
  <si>
    <t>IN_GRL_509_MG</t>
  </si>
  <si>
    <t>SYST-MOR-0007230</t>
  </si>
  <si>
    <t>IN_GRL_510_MG</t>
  </si>
  <si>
    <t>SYST-MOR-0007231</t>
  </si>
  <si>
    <t>IN_GRL_511_MG</t>
  </si>
  <si>
    <t>SYST-MOR-0007232</t>
  </si>
  <si>
    <t>IN_GRL_512_MG</t>
  </si>
  <si>
    <t>SYST-MOR-0007233</t>
  </si>
  <si>
    <t>IN_IUC_513_MG</t>
  </si>
  <si>
    <t>SYST-MOR-0007234</t>
  </si>
  <si>
    <t>OH_STR_514_MG</t>
  </si>
  <si>
    <t>SYST-MOR-0007235</t>
  </si>
  <si>
    <t>OH_STR_515_MG</t>
  </si>
  <si>
    <t>SYST-MOR-0007236</t>
  </si>
  <si>
    <t>OH_STR_516_MG</t>
  </si>
  <si>
    <t>SYST-MOR-0007237</t>
  </si>
  <si>
    <t>uncertain pure</t>
  </si>
  <si>
    <t>OH_STR_517_MG</t>
  </si>
  <si>
    <t>SYST-MOR-0007238</t>
  </si>
  <si>
    <t>OH_STR_518_MG</t>
  </si>
  <si>
    <t>SYST-MOR-0007239</t>
  </si>
  <si>
    <t>OH_STR_519_MG</t>
  </si>
  <si>
    <t>SYST-MOR-0007240</t>
  </si>
  <si>
    <t>OH_STR_520_MG</t>
  </si>
  <si>
    <t>SYST-MOR-0007241</t>
  </si>
  <si>
    <t>IL_CHB_521_MG</t>
  </si>
  <si>
    <t>SYST-MOR-0007242</t>
  </si>
  <si>
    <t>IL_CHB_522_MG</t>
  </si>
  <si>
    <t>SYST-MOR-0007243</t>
  </si>
  <si>
    <t>IL_CHB_523_MG</t>
  </si>
  <si>
    <t>SYST-MOR-0007244</t>
  </si>
  <si>
    <t>IL_CHB_524_MG</t>
  </si>
  <si>
    <t>SYST-MOR-0007245</t>
  </si>
  <si>
    <t>IL_CHB_525_MG</t>
  </si>
  <si>
    <t>SYST-MOR-0007246</t>
  </si>
  <si>
    <t>IL_CHB_526_MG</t>
  </si>
  <si>
    <t>SYST-MOR-0007247</t>
  </si>
  <si>
    <t>IL_CHB_527_MG</t>
  </si>
  <si>
    <t>SYST-MOR-0007248</t>
  </si>
  <si>
    <t>IL_CHB_528_MG</t>
  </si>
  <si>
    <t>SYST-MOR-0007249</t>
  </si>
  <si>
    <t>IL_CHB_529_MG</t>
  </si>
  <si>
    <t>SYST-MOR-0007250</t>
  </si>
  <si>
    <t>IL_CHB_530_MG</t>
  </si>
  <si>
    <t>SYST-MOR-0007251</t>
  </si>
  <si>
    <t>MN_CDR_215_BF</t>
  </si>
  <si>
    <t>SYST-MOR-0007252</t>
  </si>
  <si>
    <t>MN_CDR_216_BF</t>
  </si>
  <si>
    <t>SYST-MOR-0007253</t>
  </si>
  <si>
    <t>MN_CDR_217_BF</t>
  </si>
  <si>
    <t>SYST-MOR-0007254</t>
  </si>
  <si>
    <t>MN_CDR_218_BF</t>
  </si>
  <si>
    <t>SYST-MOR-0007255</t>
  </si>
  <si>
    <t>MN_CDR_219_BF</t>
  </si>
  <si>
    <t>SYST-MOR-0007256</t>
  </si>
  <si>
    <t>MN_CDR_531_BF</t>
  </si>
  <si>
    <t>SYST-MOR-0007257</t>
  </si>
  <si>
    <t>MN_CDR_220_BF</t>
  </si>
  <si>
    <t>SYST-MOR-0007258</t>
  </si>
  <si>
    <t>MN_CDR_221_BF</t>
  </si>
  <si>
    <t>SYST-MOR-0007259</t>
  </si>
  <si>
    <t>MN_CDR_222_BF</t>
  </si>
  <si>
    <t>SYST-MOR-0007260</t>
  </si>
  <si>
    <t>MN_CDR_223_BF</t>
  </si>
  <si>
    <t>SYST-MOR-0007357</t>
  </si>
  <si>
    <t>MB-MG506</t>
  </si>
  <si>
    <t>SYST-MOR-0007358</t>
  </si>
  <si>
    <t>MB-MG507</t>
  </si>
  <si>
    <t>SYST-MOR-0007359</t>
  </si>
  <si>
    <t>MB-MG508</t>
  </si>
  <si>
    <t>SYST-MOR-0007360</t>
  </si>
  <si>
    <t>MB-MG509</t>
  </si>
  <si>
    <t>SYST-MOR-0007361</t>
  </si>
  <si>
    <t>MB-MG510</t>
  </si>
  <si>
    <t>SYST-MOR-0007362</t>
  </si>
  <si>
    <t>MB-MG511</t>
  </si>
  <si>
    <t>SYST-MOR-0007363</t>
  </si>
  <si>
    <t>MB-MG512</t>
  </si>
  <si>
    <t>SYST-MOR-0007364</t>
  </si>
  <si>
    <t>MB-MG513</t>
  </si>
  <si>
    <t>SYST-MOR-0007365</t>
  </si>
  <si>
    <t>MB-MG514</t>
  </si>
  <si>
    <t>SYST-MOR-0007366</t>
  </si>
  <si>
    <t>MB-MG515</t>
  </si>
  <si>
    <t>SYST-MOR-0007367</t>
  </si>
  <si>
    <t>MB-MG516</t>
  </si>
  <si>
    <t>SYST-MOR-0007368</t>
  </si>
  <si>
    <t>MB-MG517</t>
  </si>
  <si>
    <t>SYST-MOR-0007369</t>
  </si>
  <si>
    <t>MB-MG518</t>
  </si>
  <si>
    <t>SYST-MOR-0007370</t>
  </si>
  <si>
    <t>MB-MG519</t>
  </si>
  <si>
    <t>SYST-MOR-0007371</t>
  </si>
  <si>
    <t>MB-MG520</t>
  </si>
  <si>
    <t>SYST-MOR-0007372</t>
  </si>
  <si>
    <t>MB-MG521</t>
  </si>
  <si>
    <t>SYST-MOR-0007373</t>
  </si>
  <si>
    <t>MB-MG522</t>
  </si>
  <si>
    <t>SYST-MOR-0007374</t>
  </si>
  <si>
    <t>MB-MG523</t>
  </si>
  <si>
    <t>SYST-MOR-0007375</t>
  </si>
  <si>
    <t>MB-MG524</t>
  </si>
  <si>
    <t>SYST-MOR-0007376</t>
  </si>
  <si>
    <t>MB-MG525</t>
  </si>
  <si>
    <t>SYST-MOR-0007377</t>
  </si>
  <si>
    <t>MB-MG526</t>
  </si>
  <si>
    <t>SYST-MOR-0007378</t>
  </si>
  <si>
    <t>MB-MG527</t>
  </si>
  <si>
    <t>SYST-MOR-0007379</t>
  </si>
  <si>
    <t>MB-MG528</t>
  </si>
  <si>
    <t>SYST-MOR-0007380</t>
  </si>
  <si>
    <t>MB-MG529</t>
  </si>
  <si>
    <t>SYST-MOR-0007381</t>
  </si>
  <si>
    <t>MB-MG530</t>
  </si>
  <si>
    <t>SYST-MOR-0007382</t>
  </si>
  <si>
    <t>MB-MG531</t>
  </si>
  <si>
    <t>SYST-MOR-0007383</t>
  </si>
  <si>
    <t>MB-MG532</t>
  </si>
  <si>
    <t>SYST-MOR-0007384</t>
  </si>
  <si>
    <t>MB-MG533</t>
  </si>
  <si>
    <t>SYST-MOR-0007385</t>
  </si>
  <si>
    <t>MB-MG534</t>
  </si>
  <si>
    <t>SYST-MOR-0007386</t>
  </si>
  <si>
    <t>MB-MG535</t>
  </si>
  <si>
    <t>SYST-MOR-0007387</t>
  </si>
  <si>
    <t>WI-MG536</t>
  </si>
  <si>
    <t>SYST-MOR-0007388</t>
  </si>
  <si>
    <t>WI-MG537</t>
  </si>
  <si>
    <t>SYST-MOR-0007389</t>
  </si>
  <si>
    <t>WI-MG538</t>
  </si>
  <si>
    <t>SYST-MOR-0007390</t>
  </si>
  <si>
    <t>WI-MG539</t>
  </si>
  <si>
    <t>SYST-MOR-0007391</t>
  </si>
  <si>
    <t>WI-MG540</t>
  </si>
  <si>
    <t>SYST-MOR-0007392</t>
  </si>
  <si>
    <t>WI-MG541</t>
  </si>
  <si>
    <t>SYST-MOR-0007409</t>
  </si>
  <si>
    <t>OK-MG372</t>
  </si>
  <si>
    <t>SYST-MOR-0007410</t>
  </si>
  <si>
    <t>OK-MG373</t>
  </si>
  <si>
    <t>SYST-MOR-0007411</t>
  </si>
  <si>
    <t>OK-MG374</t>
  </si>
  <si>
    <t>SYST-MOR-0007412</t>
  </si>
  <si>
    <t>OK-MG375</t>
  </si>
  <si>
    <t>SYST-MOR-0007413</t>
  </si>
  <si>
    <t>OK-MG376</t>
  </si>
  <si>
    <t>SYST-MOR-0007414</t>
  </si>
  <si>
    <t>OK-MG377</t>
  </si>
  <si>
    <t>SYST-MOR-0007415</t>
  </si>
  <si>
    <t>OK-MG378</t>
  </si>
  <si>
    <t>SYST-MOR-0007416</t>
  </si>
  <si>
    <t>OK-MG379</t>
  </si>
  <si>
    <t>SYST-MOR-0007417</t>
  </si>
  <si>
    <t>OK-MG380</t>
  </si>
  <si>
    <t>SYST-MOR-0007418</t>
  </si>
  <si>
    <t>OK-MG381</t>
  </si>
  <si>
    <t>SYST-MOR-0007419</t>
  </si>
  <si>
    <t>MO-MG398</t>
  </si>
  <si>
    <t>SYST-MOR-0007420</t>
  </si>
  <si>
    <t>MO-MG400</t>
  </si>
  <si>
    <t>SYST-MOR-0007421</t>
  </si>
  <si>
    <t>MO-MG402</t>
  </si>
  <si>
    <t>SYST-MOR-0007422</t>
  </si>
  <si>
    <t>MO-MG403</t>
  </si>
  <si>
    <t>SYST-MOR-0007423</t>
  </si>
  <si>
    <t>MO-MG404</t>
  </si>
  <si>
    <t>SYST-MOR-0007424</t>
  </si>
  <si>
    <t>MO-MG405</t>
  </si>
  <si>
    <t>SYST-MOR-0007425</t>
  </si>
  <si>
    <t>IN-MG631</t>
  </si>
  <si>
    <t>SYST-MOR-0007426</t>
  </si>
  <si>
    <t>IN-MG632</t>
  </si>
  <si>
    <t>SYST-MOR-0007427</t>
  </si>
  <si>
    <t>IN-MG633</t>
  </si>
  <si>
    <t>SYST-MOR-0007428</t>
  </si>
  <si>
    <t>IN-MG634</t>
  </si>
  <si>
    <t>SYST-MOR-0007429</t>
  </si>
  <si>
    <t>IN-MG635</t>
  </si>
  <si>
    <t>SYST-MOR-0007430</t>
  </si>
  <si>
    <t>IN-MG636</t>
  </si>
  <si>
    <t>SYST-MOR-0007431</t>
  </si>
  <si>
    <t>IN-MG637</t>
  </si>
  <si>
    <t>SYST-MOR-0007432</t>
  </si>
  <si>
    <t>IN-MG638</t>
  </si>
  <si>
    <t>SYST-MOR-0007433</t>
  </si>
  <si>
    <t>IN-MG639</t>
  </si>
  <si>
    <t>SYST-MOR-0007434</t>
  </si>
  <si>
    <t>IN-MG640</t>
  </si>
  <si>
    <t>SYST-MOR-0007435</t>
  </si>
  <si>
    <t>MI-MG662</t>
  </si>
  <si>
    <t>SYST-MOR-0007436</t>
  </si>
  <si>
    <t>MI-MG663</t>
  </si>
  <si>
    <t>SYST-MOR-0007437</t>
  </si>
  <si>
    <t>MI-MG664</t>
  </si>
  <si>
    <t>SYST-MOR-0007438</t>
  </si>
  <si>
    <t>MI-MG665</t>
  </si>
  <si>
    <t>SYST-MOR-0007439</t>
  </si>
  <si>
    <t>MI-MG666</t>
  </si>
  <si>
    <t>SYST-MOR-0007440</t>
  </si>
  <si>
    <t>MI-MG667</t>
  </si>
  <si>
    <t>SYST-MOR-0007441</t>
  </si>
  <si>
    <t>MI-MG668</t>
  </si>
  <si>
    <t>SYST-MOR-0007442</t>
  </si>
  <si>
    <t>MI-MG669</t>
  </si>
  <si>
    <t>SYST-MOR-0007443</t>
  </si>
  <si>
    <t>MI-MG670</t>
  </si>
  <si>
    <t>SYST-MOR-0007444</t>
  </si>
  <si>
    <t>MI-MG671</t>
  </si>
  <si>
    <t>SYST-MOR-0007445</t>
  </si>
  <si>
    <t>MI-MG672</t>
  </si>
  <si>
    <t>SYST-MOR-0007446</t>
  </si>
  <si>
    <t>MN-MG761</t>
  </si>
  <si>
    <t>SYST-MOR-0007447</t>
  </si>
  <si>
    <t>MN-MG762</t>
  </si>
  <si>
    <t>SYST-MOR-0007448</t>
  </si>
  <si>
    <t>MN-MG763</t>
  </si>
  <si>
    <t>SYST-MOR-0007449</t>
  </si>
  <si>
    <t>MN-MG764</t>
  </si>
  <si>
    <t>SYST-MOR-0007450</t>
  </si>
  <si>
    <t>MN-MG765</t>
  </si>
  <si>
    <t>SYST-MOR-0007451</t>
  </si>
  <si>
    <t>MN-MG766</t>
  </si>
  <si>
    <t>SYST-MOR-0007452</t>
  </si>
  <si>
    <t>MN-MG767</t>
  </si>
  <si>
    <t>SYST-MOR-0007453</t>
  </si>
  <si>
    <t>MN-MG768</t>
  </si>
  <si>
    <t>SYST-MOR-0007454</t>
  </si>
  <si>
    <t>MN-MG769</t>
  </si>
  <si>
    <t>SYST-MOR-0007455</t>
  </si>
  <si>
    <t>MN-MG770</t>
  </si>
  <si>
    <t>SYST-MOR-0007456</t>
  </si>
  <si>
    <t>MN-MG771</t>
  </si>
  <si>
    <t>SYST-MOR-0007457</t>
  </si>
  <si>
    <t>MN-MG772</t>
  </si>
  <si>
    <t>SYST-MOR-0007458</t>
  </si>
  <si>
    <t>MN-MG773</t>
  </si>
  <si>
    <t>SYST-MOR-0007459</t>
  </si>
  <si>
    <t>MN-MG774</t>
  </si>
  <si>
    <t>SYST-MOR-0007460</t>
  </si>
  <si>
    <t>MN-MG775</t>
  </si>
  <si>
    <t>SYST-MOR-0007461</t>
  </si>
  <si>
    <t>MN-MG776</t>
  </si>
  <si>
    <t>SYST-MOR-0007462</t>
  </si>
  <si>
    <t>MN-MG777</t>
  </si>
  <si>
    <t>SYST-MOR-0007463</t>
  </si>
  <si>
    <t>MN-MG778</t>
  </si>
  <si>
    <t>SYST-MOR-0007464</t>
  </si>
  <si>
    <t>MN-MG779</t>
  </si>
  <si>
    <t>SYST-MOR-0007465</t>
  </si>
  <si>
    <t>MN-MG780</t>
  </si>
  <si>
    <t>SYST-MOR-0007466</t>
  </si>
  <si>
    <t>OH-MG797</t>
  </si>
  <si>
    <t>SYST-MOR-0007467</t>
  </si>
  <si>
    <t>OH-MG798</t>
  </si>
  <si>
    <t>SYST-MOR-0007468</t>
  </si>
  <si>
    <t>OH-MG799</t>
  </si>
  <si>
    <t>SYST-MOR-0007469</t>
  </si>
  <si>
    <t>OH-MG800</t>
  </si>
  <si>
    <t>SYST-MOR-0007470</t>
  </si>
  <si>
    <t>OH-MG801</t>
  </si>
  <si>
    <t>SYST-MOR-0007471</t>
  </si>
  <si>
    <t>OH-MG802</t>
  </si>
  <si>
    <t>SYST-MOR-0007472</t>
  </si>
  <si>
    <t>OH-MG803</t>
  </si>
  <si>
    <t>SYST-MOR-0007473</t>
  </si>
  <si>
    <t>OH-MG804</t>
  </si>
  <si>
    <t>SYST-MOR-0007474</t>
  </si>
  <si>
    <t>OH-MG805</t>
  </si>
  <si>
    <t>SYST-MOR-0007475</t>
  </si>
  <si>
    <t>OH-MG806</t>
  </si>
  <si>
    <t>SYST-MOR-0007476</t>
  </si>
  <si>
    <t>OH-MG807</t>
  </si>
  <si>
    <t>SYST-MOR-0007477</t>
  </si>
  <si>
    <t>OH-MG808</t>
  </si>
  <si>
    <t>SYST-MOR-0007478</t>
  </si>
  <si>
    <t>OH-MG809</t>
  </si>
  <si>
    <t>SYST-MOR-0007479</t>
  </si>
  <si>
    <t>OH-MG810</t>
  </si>
  <si>
    <t>SYST-MOR-0007480</t>
  </si>
  <si>
    <t>OH-MG811</t>
  </si>
  <si>
    <t>SYST-MOR-0007481</t>
  </si>
  <si>
    <t>OH-MG812</t>
  </si>
  <si>
    <t>SYST-MOR-0007482</t>
  </si>
  <si>
    <t>OH-MG813</t>
  </si>
  <si>
    <t>SYST-MOR-0007483</t>
  </si>
  <si>
    <t>OH-MG814</t>
  </si>
  <si>
    <t>SYST-MOR-0007484</t>
  </si>
  <si>
    <t>OH-MG815</t>
  </si>
  <si>
    <t>SYST-MOR-0007485</t>
  </si>
  <si>
    <t>OH-MG816</t>
  </si>
  <si>
    <t>SYST-MOR-0007486</t>
  </si>
  <si>
    <t>JCB-SD-CSP-1001</t>
  </si>
  <si>
    <t>SYST-MOR-0007487</t>
  </si>
  <si>
    <t>JCB-SD-CSP-1002</t>
  </si>
  <si>
    <t>SYST-MOR-0007488</t>
  </si>
  <si>
    <t>JCB-SD-CSP-1003</t>
  </si>
  <si>
    <t>SYST-MOR-0007489</t>
  </si>
  <si>
    <t>JCB-SD-CSP-1004</t>
  </si>
  <si>
    <t>SYST-MOR-0007490</t>
  </si>
  <si>
    <t>JCB-SD-CSP-1005</t>
  </si>
  <si>
    <t>SYST-MOR-0007491</t>
  </si>
  <si>
    <t>JCB-SD-CSP-1006</t>
  </si>
  <si>
    <t>SYST-MOR-0007492</t>
  </si>
  <si>
    <t>JCB-SD-CSP-1007</t>
  </si>
  <si>
    <t>SYST-MOR-0007493</t>
  </si>
  <si>
    <t>JCB-SD-CSP-1008</t>
  </si>
  <si>
    <t>SYST-MOR-0007494</t>
  </si>
  <si>
    <t>JCB-SD-CSP-1009</t>
  </si>
  <si>
    <t>SYST-MOR-0007495</t>
  </si>
  <si>
    <t>JCB-SD-US16-1010</t>
  </si>
  <si>
    <t>SYST-MOR-0007496</t>
  </si>
  <si>
    <t>JCB-SD-SPF-1011</t>
  </si>
  <si>
    <t>SYST-MOR-0007497</t>
  </si>
  <si>
    <t>JCB-SD-SPF-1012</t>
  </si>
  <si>
    <t>SYST-MOR-0007498</t>
  </si>
  <si>
    <t>JCB-SD-SPF-1013</t>
  </si>
  <si>
    <t>SYST-MOR-0007499</t>
  </si>
  <si>
    <t>JCB-SD-SPF-1014</t>
  </si>
  <si>
    <t>SYST-MOR-0007500</t>
  </si>
  <si>
    <t>JCB-SD-SPF-1015</t>
  </si>
  <si>
    <t>SYST-MOR-0007501</t>
  </si>
  <si>
    <t>JCB-SD-SPF-1016</t>
  </si>
  <si>
    <t>SYST-MOR-0007502</t>
  </si>
  <si>
    <t>JCB-SD-SPF-1017</t>
  </si>
  <si>
    <t>SYST-MOR-0007503</t>
  </si>
  <si>
    <t>JCB-SD-SPF-1018</t>
  </si>
  <si>
    <t>SYST-MOR-0007504</t>
  </si>
  <si>
    <t>JCB-SD-SPF-1019</t>
  </si>
  <si>
    <t>SYST-MOR-0007505</t>
  </si>
  <si>
    <t>JCB-SD-SPF-1020</t>
  </si>
  <si>
    <t>GenomicVoucherID_USE_THIS</t>
  </si>
  <si>
    <t>Quercus lyrata Walt.</t>
  </si>
  <si>
    <t>Quercus macrocarpa Michx.</t>
  </si>
  <si>
    <t>Quercus stellata Wangenh.</t>
  </si>
  <si>
    <t>Quercus alba L.</t>
  </si>
  <si>
    <t>Quercus muehlenbergii Engelm.</t>
  </si>
  <si>
    <t>Quercus bicolor Willd.</t>
  </si>
  <si>
    <t>Quercus michauxii Nutt.</t>
  </si>
  <si>
    <t>Quercus prinoides Willd.</t>
  </si>
  <si>
    <t>Minooka 1</t>
  </si>
  <si>
    <t>Minooka 10</t>
  </si>
  <si>
    <t>Minooka 2</t>
  </si>
  <si>
    <t>Minooka 3</t>
  </si>
  <si>
    <t>Minooka 4</t>
  </si>
  <si>
    <t>Minooka 5</t>
  </si>
  <si>
    <t>Minooka 6</t>
  </si>
  <si>
    <t>Minooka 7</t>
  </si>
  <si>
    <t>Minooka 8</t>
  </si>
  <si>
    <t>Minooka 9</t>
  </si>
  <si>
    <t>Salina 1</t>
  </si>
  <si>
    <t>Salina 2</t>
  </si>
  <si>
    <t>Salina 3</t>
  </si>
  <si>
    <t>Salina 4</t>
  </si>
  <si>
    <t>Salina 5</t>
  </si>
  <si>
    <t>Salina 6</t>
  </si>
  <si>
    <t>Quercus alba L. x michauxii Nutt.</t>
  </si>
  <si>
    <t>Quercus montana Willd.</t>
  </si>
  <si>
    <t>Quercus margaretiae Ashe ex Small</t>
  </si>
  <si>
    <t>Quercus sinuata Walt.</t>
  </si>
  <si>
    <t>Quercus lobata  Nee.</t>
  </si>
  <si>
    <t>Quercus rubra L.</t>
  </si>
  <si>
    <t>genomeID</t>
  </si>
  <si>
    <t>Parent1</t>
  </si>
  <si>
    <t>P1%</t>
  </si>
  <si>
    <t>Parent2</t>
  </si>
  <si>
    <t>P2%</t>
  </si>
  <si>
    <t>Parent3</t>
  </si>
  <si>
    <t>P3%</t>
  </si>
  <si>
    <t>Overwrite</t>
  </si>
  <si>
    <t>Quercus macrocarpa</t>
  </si>
  <si>
    <t>Quercus lyrata x Quercus macrocarpa</t>
  </si>
  <si>
    <t>Quercus bicolor x Quercus macrocarpa</t>
  </si>
  <si>
    <t>Quercus alba x Quercus muehlenbergii</t>
  </si>
  <si>
    <t>Quercus lyrata x Quercus michauxii</t>
  </si>
  <si>
    <t>Quercus alba x Quercus macrocarpa</t>
  </si>
  <si>
    <t>Quercus macrocarpa x Quercus muehlenbergii?</t>
  </si>
  <si>
    <t>Quercus michauxii</t>
  </si>
  <si>
    <t>other oaks</t>
  </si>
  <si>
    <t>Quercus alba</t>
  </si>
  <si>
    <t>Quercus bicolor</t>
  </si>
  <si>
    <t>Quercus lobata</t>
  </si>
  <si>
    <t>Quercus muehlenbergii</t>
  </si>
  <si>
    <t>editedpure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</si>
</sst>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0" fontId="0" fillId="33" borderId="0" xfId="0" applyFill="1"/>
    <xf numFmtId="0" fontId="14" fillId="0" borderId="0" xfId="0" applyFont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78"/>
  <sheetViews>
    <sheetView tabSelected="1" topLeftCell="V1" workbookViewId="0">
      <pane ySplit="1" topLeftCell="A692" activePane="bottomLeft" state="frozen"/>
      <selection activeCell="H1" sqref="H1"/>
      <selection pane="bottomLeft" activeCell="Z617" sqref="Z617"/>
    </sheetView>
  </sheetViews>
  <sheetFormatPr defaultRowHeight="14.6" x14ac:dyDescent="0.4"/>
  <cols>
    <col min="12" max="12" width="12.61328125" customWidth="1"/>
    <col min="24" max="24" width="16.3046875" customWidth="1"/>
    <col min="25" max="25" width="30" bestFit="1" customWidth="1"/>
    <col min="27" max="27" width="25.765625" customWidth="1"/>
    <col min="29" max="29" width="20.23046875" bestFit="1" customWidth="1"/>
  </cols>
  <sheetData>
    <row r="1" spans="1:3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20</v>
      </c>
      <c r="Y1" t="s">
        <v>1413</v>
      </c>
      <c r="Z1" t="s">
        <v>1413</v>
      </c>
      <c r="AA1" t="s">
        <v>1414</v>
      </c>
      <c r="AB1" t="s">
        <v>1415</v>
      </c>
      <c r="AC1" t="s">
        <v>1416</v>
      </c>
      <c r="AD1" t="s">
        <v>1417</v>
      </c>
      <c r="AF1" t="s">
        <v>1418</v>
      </c>
      <c r="AG1" t="s">
        <v>1419</v>
      </c>
    </row>
    <row r="2" spans="1:34" x14ac:dyDescent="0.4">
      <c r="A2">
        <v>430</v>
      </c>
      <c r="B2" t="s">
        <v>851</v>
      </c>
      <c r="C2" t="s">
        <v>21</v>
      </c>
      <c r="D2" t="s">
        <v>22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>
        <v>1</v>
      </c>
      <c r="K2">
        <v>0</v>
      </c>
      <c r="L2" t="s">
        <v>23</v>
      </c>
      <c r="M2" t="str">
        <f t="shared" ref="M2:M65" si="0">IF(AND(W2&lt;0.58,W2&gt;0.2),"F1",IF(W2&lt;0.74,"BC1?","&gt;0.74"))</f>
        <v>&gt;0.74</v>
      </c>
      <c r="N2">
        <v>0</v>
      </c>
      <c r="O2">
        <v>0</v>
      </c>
      <c r="P2">
        <v>0</v>
      </c>
      <c r="Q2">
        <v>0.99990000000000001</v>
      </c>
      <c r="R2">
        <v>0</v>
      </c>
      <c r="S2">
        <v>0</v>
      </c>
      <c r="T2">
        <v>0</v>
      </c>
      <c r="U2">
        <v>0</v>
      </c>
      <c r="V2" s="1">
        <v>2.0000000000000002E-5</v>
      </c>
      <c r="W2" s="1">
        <f t="shared" ref="W2:W65" si="1">MAX(N2:R2,U2,V2)</f>
        <v>0.99990000000000001</v>
      </c>
      <c r="X2" t="s">
        <v>852</v>
      </c>
      <c r="Y2" t="str">
        <f>VLOOKUP(X2,Sheet1!A:B,2,FALSE)</f>
        <v>Quercus lyrata Walt.</v>
      </c>
      <c r="Z2" t="s">
        <v>1383</v>
      </c>
      <c r="AB2" s="1">
        <f t="shared" ref="AB2:AB65" si="2">MAX(N2:R2,U2,V2)</f>
        <v>0.99990000000000001</v>
      </c>
      <c r="AD2" t="str">
        <f>IF(W2&lt;0.99,LARGE((N2:R2,U2,V2),2),"0")</f>
        <v>0</v>
      </c>
      <c r="AE2" t="str">
        <f t="shared" ref="AE2:AE9" si="3">IF(AND(AB2&lt;0.99,AD2&gt;0.1),"admixed with",IF(AND(AB2&lt;0.99,AD2&gt;0.01),"trace admixed with ",""))</f>
        <v/>
      </c>
      <c r="AH2" t="str">
        <f t="shared" ref="AH2:AH33" si="4">_xlfn.CONCAT("Based on ADMIXTURE results of 78,187 SNPs, ",AE2,AC2)</f>
        <v xml:space="preserve">Based on ADMIXTURE results of 78,187 SNPs, </v>
      </c>
    </row>
    <row r="3" spans="1:34" x14ac:dyDescent="0.4">
      <c r="A3">
        <v>431</v>
      </c>
      <c r="B3" t="s">
        <v>853</v>
      </c>
      <c r="C3" t="s">
        <v>21</v>
      </c>
      <c r="D3" t="s">
        <v>21</v>
      </c>
      <c r="E3" t="s">
        <v>21</v>
      </c>
      <c r="F3" t="s">
        <v>22</v>
      </c>
      <c r="G3" t="s">
        <v>21</v>
      </c>
      <c r="H3" t="s">
        <v>21</v>
      </c>
      <c r="I3" t="s">
        <v>21</v>
      </c>
      <c r="J3">
        <v>1</v>
      </c>
      <c r="K3">
        <v>0</v>
      </c>
      <c r="L3" t="s">
        <v>23</v>
      </c>
      <c r="M3" t="str">
        <f t="shared" si="0"/>
        <v>&gt;0.74</v>
      </c>
      <c r="N3">
        <v>0</v>
      </c>
      <c r="O3">
        <v>0</v>
      </c>
      <c r="P3">
        <v>0</v>
      </c>
      <c r="Q3">
        <v>0</v>
      </c>
      <c r="R3">
        <v>0</v>
      </c>
      <c r="S3">
        <v>0.99990000000000001</v>
      </c>
      <c r="T3">
        <v>0</v>
      </c>
      <c r="U3">
        <v>0</v>
      </c>
      <c r="V3">
        <v>0.99994000000000005</v>
      </c>
      <c r="W3" s="1">
        <f t="shared" si="1"/>
        <v>0.99994000000000005</v>
      </c>
      <c r="X3" t="s">
        <v>854</v>
      </c>
      <c r="Y3" t="str">
        <f>VLOOKUP(X3,Sheet1!A:B,2,FALSE)</f>
        <v>Quercus macrocarpa Michx.</v>
      </c>
      <c r="Z3" t="s">
        <v>1384</v>
      </c>
      <c r="AB3" s="1">
        <f t="shared" si="2"/>
        <v>0.99994000000000005</v>
      </c>
      <c r="AD3" t="str">
        <f>IF(W3&lt;0.99,LARGE((N3:R3,U3,V3),2),"0")</f>
        <v>0</v>
      </c>
      <c r="AE3" t="str">
        <f t="shared" si="3"/>
        <v/>
      </c>
      <c r="AH3" t="str">
        <f t="shared" si="4"/>
        <v xml:space="preserve">Based on ADMIXTURE results of 78,187 SNPs, </v>
      </c>
    </row>
    <row r="4" spans="1:34" x14ac:dyDescent="0.4">
      <c r="A4">
        <v>432</v>
      </c>
      <c r="B4" t="s">
        <v>855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22</v>
      </c>
      <c r="J4">
        <v>1</v>
      </c>
      <c r="K4">
        <v>0</v>
      </c>
      <c r="L4" t="s">
        <v>23</v>
      </c>
      <c r="M4" t="str">
        <f t="shared" si="0"/>
        <v>&gt;0.74</v>
      </c>
      <c r="N4">
        <v>0.99990000000000001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1">
        <v>2.0000000000000002E-5</v>
      </c>
      <c r="W4" s="1">
        <f t="shared" si="1"/>
        <v>0.99990000000000001</v>
      </c>
      <c r="X4" t="s">
        <v>856</v>
      </c>
      <c r="Y4" t="str">
        <f>VLOOKUP(X4,Sheet1!A:B,2,FALSE)</f>
        <v>Quercus stellata Wangenh.</v>
      </c>
      <c r="Z4" t="s">
        <v>1385</v>
      </c>
      <c r="AB4" s="1">
        <f t="shared" si="2"/>
        <v>0.99990000000000001</v>
      </c>
      <c r="AD4" t="str">
        <f>IF(W4&lt;0.99,LARGE((N4:R4,U4,V4),2),"0")</f>
        <v>0</v>
      </c>
      <c r="AE4" t="str">
        <f t="shared" si="3"/>
        <v/>
      </c>
      <c r="AH4" t="str">
        <f t="shared" si="4"/>
        <v xml:space="preserve">Based on ADMIXTURE results of 78,187 SNPs, </v>
      </c>
    </row>
    <row r="5" spans="1:34" x14ac:dyDescent="0.4">
      <c r="A5">
        <v>433</v>
      </c>
      <c r="B5" t="s">
        <v>857</v>
      </c>
      <c r="C5" t="s">
        <v>21</v>
      </c>
      <c r="D5" t="s">
        <v>21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>
        <v>1</v>
      </c>
      <c r="K5">
        <v>0</v>
      </c>
      <c r="L5" t="s">
        <v>23</v>
      </c>
      <c r="M5" t="str">
        <f t="shared" si="0"/>
        <v>&gt;0.74</v>
      </c>
      <c r="N5">
        <v>0</v>
      </c>
      <c r="O5">
        <v>0</v>
      </c>
      <c r="P5">
        <v>0</v>
      </c>
      <c r="Q5">
        <v>0</v>
      </c>
      <c r="R5">
        <v>0</v>
      </c>
      <c r="S5">
        <v>0.99990000000000001</v>
      </c>
      <c r="T5">
        <v>0</v>
      </c>
      <c r="U5">
        <v>0</v>
      </c>
      <c r="V5">
        <v>0.99994000000000005</v>
      </c>
      <c r="W5" s="1">
        <f t="shared" si="1"/>
        <v>0.99994000000000005</v>
      </c>
      <c r="X5" t="s">
        <v>858</v>
      </c>
      <c r="Y5" t="str">
        <f>VLOOKUP(X5,Sheet1!A:B,2,FALSE)</f>
        <v>Quercus macrocarpa Michx.</v>
      </c>
      <c r="Z5" t="s">
        <v>1384</v>
      </c>
      <c r="AB5" s="1">
        <f t="shared" si="2"/>
        <v>0.99994000000000005</v>
      </c>
      <c r="AD5" t="str">
        <f>IF(W5&lt;0.99,LARGE((N5:R5,U5,V5),2),"0")</f>
        <v>0</v>
      </c>
      <c r="AE5" t="str">
        <f t="shared" si="3"/>
        <v/>
      </c>
      <c r="AH5" t="str">
        <f t="shared" si="4"/>
        <v xml:space="preserve">Based on ADMIXTURE results of 78,187 SNPs, </v>
      </c>
    </row>
    <row r="6" spans="1:34" x14ac:dyDescent="0.4">
      <c r="A6">
        <v>434</v>
      </c>
      <c r="B6" t="s">
        <v>859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>
        <v>1</v>
      </c>
      <c r="K6">
        <v>0</v>
      </c>
      <c r="L6" t="s">
        <v>23</v>
      </c>
      <c r="M6" t="str">
        <f t="shared" si="0"/>
        <v>&gt;0.74</v>
      </c>
      <c r="N6">
        <v>0.99990000000000001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1">
        <v>2.0000000000000002E-5</v>
      </c>
      <c r="W6" s="1">
        <f t="shared" si="1"/>
        <v>0.99990000000000001</v>
      </c>
      <c r="X6" t="s">
        <v>860</v>
      </c>
      <c r="Y6" t="str">
        <f>VLOOKUP(X6,Sheet1!A:B,2,FALSE)</f>
        <v>Quercus stellata Wangenh.</v>
      </c>
      <c r="Z6" t="s">
        <v>1385</v>
      </c>
      <c r="AB6" s="1">
        <f t="shared" si="2"/>
        <v>0.99990000000000001</v>
      </c>
      <c r="AD6" t="str">
        <f>IF(W6&lt;0.99,LARGE((N6:R6,U6,V6),2),"0")</f>
        <v>0</v>
      </c>
      <c r="AE6" t="str">
        <f t="shared" si="3"/>
        <v/>
      </c>
      <c r="AH6" t="str">
        <f t="shared" si="4"/>
        <v xml:space="preserve">Based on ADMIXTURE results of 78,187 SNPs, </v>
      </c>
    </row>
    <row r="7" spans="1:34" x14ac:dyDescent="0.4">
      <c r="A7">
        <v>435</v>
      </c>
      <c r="B7" t="s">
        <v>861</v>
      </c>
      <c r="C7" t="s">
        <v>21</v>
      </c>
      <c r="D7" t="s">
        <v>22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>
        <v>1</v>
      </c>
      <c r="K7">
        <v>0</v>
      </c>
      <c r="L7" t="s">
        <v>23</v>
      </c>
      <c r="M7" t="str">
        <f t="shared" si="0"/>
        <v>&gt;0.74</v>
      </c>
      <c r="N7">
        <v>0</v>
      </c>
      <c r="O7">
        <v>0</v>
      </c>
      <c r="P7">
        <v>0</v>
      </c>
      <c r="Q7">
        <v>0.99990000000000001</v>
      </c>
      <c r="R7">
        <v>0</v>
      </c>
      <c r="S7">
        <v>0</v>
      </c>
      <c r="T7">
        <v>0</v>
      </c>
      <c r="U7">
        <v>0</v>
      </c>
      <c r="V7" s="1">
        <v>2.0000000000000002E-5</v>
      </c>
      <c r="W7" s="1">
        <f t="shared" si="1"/>
        <v>0.99990000000000001</v>
      </c>
      <c r="X7" t="s">
        <v>862</v>
      </c>
      <c r="Y7" t="str">
        <f>VLOOKUP(X7,Sheet1!A:B,2,FALSE)</f>
        <v>Quercus lyrata Walt.</v>
      </c>
      <c r="Z7" t="s">
        <v>1383</v>
      </c>
      <c r="AB7" s="1">
        <f t="shared" si="2"/>
        <v>0.99990000000000001</v>
      </c>
      <c r="AD7" t="str">
        <f>IF(W7&lt;0.99,LARGE((N7:R7,U7,V7),2),"0")</f>
        <v>0</v>
      </c>
      <c r="AE7" t="str">
        <f t="shared" si="3"/>
        <v/>
      </c>
      <c r="AH7" t="str">
        <f t="shared" si="4"/>
        <v xml:space="preserve">Based on ADMIXTURE results of 78,187 SNPs, </v>
      </c>
    </row>
    <row r="8" spans="1:34" x14ac:dyDescent="0.4">
      <c r="A8">
        <v>436</v>
      </c>
      <c r="B8" t="s">
        <v>863</v>
      </c>
      <c r="C8" t="s">
        <v>22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>
        <v>1</v>
      </c>
      <c r="K8">
        <v>0</v>
      </c>
      <c r="L8" t="s">
        <v>23</v>
      </c>
      <c r="M8" t="str">
        <f t="shared" si="0"/>
        <v>&gt;0.74</v>
      </c>
      <c r="N8">
        <v>0</v>
      </c>
      <c r="O8">
        <v>0</v>
      </c>
      <c r="P8">
        <v>0.99990000000000001</v>
      </c>
      <c r="Q8">
        <v>0</v>
      </c>
      <c r="R8">
        <v>0</v>
      </c>
      <c r="S8">
        <v>0</v>
      </c>
      <c r="T8">
        <v>0</v>
      </c>
      <c r="U8">
        <v>0</v>
      </c>
      <c r="V8" s="1">
        <v>2.0000000000000002E-5</v>
      </c>
      <c r="W8" s="1">
        <f t="shared" si="1"/>
        <v>0.99990000000000001</v>
      </c>
      <c r="X8" t="s">
        <v>864</v>
      </c>
      <c r="Y8" t="str">
        <f>VLOOKUP(X8,Sheet1!A:B,2,FALSE)</f>
        <v>Quercus alba L.</v>
      </c>
      <c r="Z8" t="s">
        <v>1386</v>
      </c>
      <c r="AB8" s="1">
        <f t="shared" si="2"/>
        <v>0.99990000000000001</v>
      </c>
      <c r="AD8" t="str">
        <f>IF(W8&lt;0.99,LARGE((N8:R8,U8,V8),2),"0")</f>
        <v>0</v>
      </c>
      <c r="AE8" t="str">
        <f t="shared" si="3"/>
        <v/>
      </c>
      <c r="AH8" t="str">
        <f t="shared" si="4"/>
        <v xml:space="preserve">Based on ADMIXTURE results of 78,187 SNPs, </v>
      </c>
    </row>
    <row r="9" spans="1:34" x14ac:dyDescent="0.4">
      <c r="A9">
        <v>437</v>
      </c>
      <c r="B9" t="s">
        <v>865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>
        <v>1</v>
      </c>
      <c r="K9">
        <v>0</v>
      </c>
      <c r="L9" t="s">
        <v>23</v>
      </c>
      <c r="M9" t="str">
        <f t="shared" si="0"/>
        <v>&gt;0.74</v>
      </c>
      <c r="N9">
        <v>0.99990000000000001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1">
        <v>2.0000000000000002E-5</v>
      </c>
      <c r="W9" s="1">
        <f t="shared" si="1"/>
        <v>0.99990000000000001</v>
      </c>
      <c r="X9" t="s">
        <v>866</v>
      </c>
      <c r="Y9" t="str">
        <f>VLOOKUP(X9,Sheet1!A:B,2,FALSE)</f>
        <v>Quercus stellata Wangenh.</v>
      </c>
      <c r="Z9" t="s">
        <v>1385</v>
      </c>
      <c r="AB9" s="1">
        <f t="shared" si="2"/>
        <v>0.99990000000000001</v>
      </c>
      <c r="AD9" t="str">
        <f>IF(W9&lt;0.99,LARGE((N9:R9,U9,V9),2),"0")</f>
        <v>0</v>
      </c>
      <c r="AE9" t="str">
        <f t="shared" si="3"/>
        <v/>
      </c>
      <c r="AH9" t="str">
        <f t="shared" si="4"/>
        <v xml:space="preserve">Based on ADMIXTURE results of 78,187 SNPs, </v>
      </c>
    </row>
    <row r="10" spans="1:34" x14ac:dyDescent="0.4">
      <c r="A10">
        <v>438</v>
      </c>
      <c r="B10" t="s">
        <v>867</v>
      </c>
      <c r="C10" t="s">
        <v>21</v>
      </c>
      <c r="D10" t="s">
        <v>25</v>
      </c>
      <c r="E10" t="s">
        <v>21</v>
      </c>
      <c r="F10" t="s">
        <v>22</v>
      </c>
      <c r="G10" t="s">
        <v>21</v>
      </c>
      <c r="H10" t="s">
        <v>21</v>
      </c>
      <c r="I10" t="s">
        <v>21</v>
      </c>
      <c r="J10">
        <v>1</v>
      </c>
      <c r="K10">
        <v>1</v>
      </c>
      <c r="L10" t="s">
        <v>193</v>
      </c>
      <c r="M10" t="str">
        <f t="shared" si="0"/>
        <v>&gt;0.74</v>
      </c>
      <c r="N10">
        <v>0</v>
      </c>
      <c r="O10">
        <v>0</v>
      </c>
      <c r="P10">
        <v>0</v>
      </c>
      <c r="Q10">
        <v>2.4299999999999999E-2</v>
      </c>
      <c r="R10">
        <v>0</v>
      </c>
      <c r="S10">
        <v>0.95450000000000002</v>
      </c>
      <c r="T10">
        <v>2.12E-2</v>
      </c>
      <c r="U10">
        <v>0</v>
      </c>
      <c r="V10">
        <v>0.97567700000000002</v>
      </c>
      <c r="W10" s="1">
        <f t="shared" si="1"/>
        <v>0.97567700000000002</v>
      </c>
      <c r="X10" t="s">
        <v>868</v>
      </c>
      <c r="Y10" t="str">
        <f>VLOOKUP(X10,Sheet1!A:B,2,FALSE)</f>
        <v>Quercus macrocarpa Michx.</v>
      </c>
      <c r="Z10" t="s">
        <v>1384</v>
      </c>
      <c r="AB10" s="1">
        <f t="shared" si="2"/>
        <v>0.97567700000000002</v>
      </c>
      <c r="AC10" t="s">
        <v>1431</v>
      </c>
      <c r="AD10">
        <f>IF(W10&lt;0.99,LARGE((N10:R10,U10,V10),2),"0")</f>
        <v>2.4299999999999999E-2</v>
      </c>
      <c r="AE10" t="str">
        <f>IF(AND(AB10&lt;0.99,AD10&gt;0.1,AB10&gt;0.6),"admixed with ",IF(AND(AB10&lt;0.99,AD10&gt;0.01,AD10&lt;0.4),"may be trace admixed with ",""))</f>
        <v xml:space="preserve">may be trace admixed with </v>
      </c>
      <c r="AH10" t="str">
        <f t="shared" si="4"/>
        <v>Based on ADMIXTURE results of 78,187 SNPs, may be trace admixed with Quercus bicolor</v>
      </c>
    </row>
    <row r="11" spans="1:34" x14ac:dyDescent="0.4">
      <c r="A11">
        <v>439</v>
      </c>
      <c r="B11" t="s">
        <v>869</v>
      </c>
      <c r="C11" t="s">
        <v>21</v>
      </c>
      <c r="D11" t="s">
        <v>22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>
        <v>1</v>
      </c>
      <c r="K11">
        <v>0</v>
      </c>
      <c r="L11" t="s">
        <v>23</v>
      </c>
      <c r="M11" t="str">
        <f t="shared" si="0"/>
        <v>&gt;0.74</v>
      </c>
      <c r="N11">
        <v>0</v>
      </c>
      <c r="O11">
        <v>0</v>
      </c>
      <c r="P11">
        <v>0</v>
      </c>
      <c r="Q11">
        <v>0.99990000000000001</v>
      </c>
      <c r="R11">
        <v>0</v>
      </c>
      <c r="S11">
        <v>0</v>
      </c>
      <c r="T11">
        <v>0</v>
      </c>
      <c r="U11">
        <v>0</v>
      </c>
      <c r="V11" s="1">
        <v>2.0000000000000002E-5</v>
      </c>
      <c r="W11" s="1">
        <f t="shared" si="1"/>
        <v>0.99990000000000001</v>
      </c>
      <c r="X11" t="s">
        <v>870</v>
      </c>
      <c r="Y11" t="str">
        <f>VLOOKUP(X11,Sheet1!A:B,2,FALSE)</f>
        <v>Quercus lyrata Walt.</v>
      </c>
      <c r="Z11" t="s">
        <v>1383</v>
      </c>
      <c r="AB11" s="1">
        <f t="shared" si="2"/>
        <v>0.99990000000000001</v>
      </c>
      <c r="AD11" t="str">
        <f>IF(W11&lt;0.99,LARGE((N11:R11,U11,V11),2),"0")</f>
        <v>0</v>
      </c>
      <c r="AE11" t="str">
        <f t="shared" ref="AE11:AE29" si="5">IF(AND(AB11&lt;0.99,AD11&gt;0.1),"admixed with",IF(AND(AB11&lt;0.99,AD11&gt;0.01),"trace admixed with ",""))</f>
        <v/>
      </c>
      <c r="AH11" t="str">
        <f t="shared" si="4"/>
        <v xml:space="preserve">Based on ADMIXTURE results of 78,187 SNPs, </v>
      </c>
    </row>
    <row r="12" spans="1:34" x14ac:dyDescent="0.4">
      <c r="A12">
        <v>440</v>
      </c>
      <c r="B12" t="s">
        <v>871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22</v>
      </c>
      <c r="J12">
        <v>1</v>
      </c>
      <c r="K12">
        <v>0</v>
      </c>
      <c r="L12" t="s">
        <v>23</v>
      </c>
      <c r="M12" t="str">
        <f t="shared" si="0"/>
        <v>&gt;0.74</v>
      </c>
      <c r="N12">
        <v>0.99990000000000001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1">
        <v>2.0000000000000002E-5</v>
      </c>
      <c r="W12" s="1">
        <f t="shared" si="1"/>
        <v>0.99990000000000001</v>
      </c>
      <c r="X12" t="s">
        <v>872</v>
      </c>
      <c r="Y12" t="str">
        <f>VLOOKUP(X12,Sheet1!A:B,2,FALSE)</f>
        <v>Quercus stellata Wangenh.</v>
      </c>
      <c r="Z12" t="s">
        <v>1385</v>
      </c>
      <c r="AB12" s="1">
        <f t="shared" si="2"/>
        <v>0.99990000000000001</v>
      </c>
      <c r="AD12" t="str">
        <f>IF(W12&lt;0.99,LARGE((N12:R12,U12,V12),2),"0")</f>
        <v>0</v>
      </c>
      <c r="AE12" t="str">
        <f t="shared" si="5"/>
        <v/>
      </c>
      <c r="AH12" t="str">
        <f t="shared" si="4"/>
        <v xml:space="preserve">Based on ADMIXTURE results of 78,187 SNPs, </v>
      </c>
    </row>
    <row r="13" spans="1:34" x14ac:dyDescent="0.4">
      <c r="A13">
        <v>441</v>
      </c>
      <c r="B13" t="s">
        <v>873</v>
      </c>
      <c r="C13" t="s">
        <v>22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>
        <v>1</v>
      </c>
      <c r="K13">
        <v>0</v>
      </c>
      <c r="L13" t="s">
        <v>23</v>
      </c>
      <c r="M13" t="str">
        <f t="shared" si="0"/>
        <v>&gt;0.74</v>
      </c>
      <c r="N13">
        <v>0</v>
      </c>
      <c r="O13">
        <v>0</v>
      </c>
      <c r="P13">
        <v>0.99990000000000001</v>
      </c>
      <c r="Q13">
        <v>0</v>
      </c>
      <c r="R13">
        <v>0</v>
      </c>
      <c r="S13">
        <v>0</v>
      </c>
      <c r="T13">
        <v>0</v>
      </c>
      <c r="U13">
        <v>0</v>
      </c>
      <c r="V13" s="1">
        <v>2.0000000000000002E-5</v>
      </c>
      <c r="W13" s="1">
        <f t="shared" si="1"/>
        <v>0.99990000000000001</v>
      </c>
      <c r="X13" t="s">
        <v>874</v>
      </c>
      <c r="Y13" t="str">
        <f>VLOOKUP(X13,Sheet1!A:B,2,FALSE)</f>
        <v>Quercus alba L.</v>
      </c>
      <c r="Z13" t="s">
        <v>1386</v>
      </c>
      <c r="AB13" s="1">
        <f t="shared" si="2"/>
        <v>0.99990000000000001</v>
      </c>
      <c r="AD13" t="str">
        <f>IF(W13&lt;0.99,LARGE((N13:R13,U13,V13),2),"0")</f>
        <v>0</v>
      </c>
      <c r="AE13" t="str">
        <f t="shared" si="5"/>
        <v/>
      </c>
      <c r="AH13" t="str">
        <f t="shared" si="4"/>
        <v xml:space="preserve">Based on ADMIXTURE results of 78,187 SNPs, </v>
      </c>
    </row>
    <row r="14" spans="1:34" x14ac:dyDescent="0.4">
      <c r="A14">
        <v>442</v>
      </c>
      <c r="B14" t="s">
        <v>875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>
        <v>1</v>
      </c>
      <c r="K14">
        <v>0</v>
      </c>
      <c r="L14" t="s">
        <v>23</v>
      </c>
      <c r="M14" t="str">
        <f t="shared" si="0"/>
        <v>&gt;0.74</v>
      </c>
      <c r="N14">
        <v>0</v>
      </c>
      <c r="O14">
        <v>0.99990000000000001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1">
        <v>2.0000000000000002E-5</v>
      </c>
      <c r="W14" s="1">
        <f t="shared" si="1"/>
        <v>0.99990000000000001</v>
      </c>
      <c r="X14" t="s">
        <v>876</v>
      </c>
      <c r="Y14" t="str">
        <f>VLOOKUP(X14,Sheet1!A:B,2,FALSE)</f>
        <v>Quercus muehlenbergii Engelm.</v>
      </c>
      <c r="Z14" t="s">
        <v>1387</v>
      </c>
      <c r="AB14" s="1">
        <f t="shared" si="2"/>
        <v>0.99990000000000001</v>
      </c>
      <c r="AD14" t="str">
        <f>IF(W14&lt;0.99,LARGE((N14:R14,U14,V14),2),"0")</f>
        <v>0</v>
      </c>
      <c r="AE14" t="str">
        <f t="shared" si="5"/>
        <v/>
      </c>
      <c r="AH14" t="str">
        <f t="shared" si="4"/>
        <v xml:space="preserve">Based on ADMIXTURE results of 78,187 SNPs, </v>
      </c>
    </row>
    <row r="15" spans="1:34" x14ac:dyDescent="0.4">
      <c r="A15">
        <v>443</v>
      </c>
      <c r="B15" t="s">
        <v>877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22</v>
      </c>
      <c r="I15" t="s">
        <v>21</v>
      </c>
      <c r="J15">
        <v>1</v>
      </c>
      <c r="K15">
        <v>0</v>
      </c>
      <c r="L15" t="s">
        <v>23</v>
      </c>
      <c r="M15" t="str">
        <f t="shared" si="0"/>
        <v>&gt;0.74</v>
      </c>
      <c r="N15">
        <v>0</v>
      </c>
      <c r="O15">
        <v>0.99990000000000001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1">
        <v>2.0000000000000002E-5</v>
      </c>
      <c r="W15" s="1">
        <f t="shared" si="1"/>
        <v>0.99990000000000001</v>
      </c>
      <c r="X15" t="s">
        <v>878</v>
      </c>
      <c r="Y15" t="str">
        <f>VLOOKUP(X15,Sheet1!A:B,2,FALSE)</f>
        <v>Quercus muehlenbergii Engelm.</v>
      </c>
      <c r="Z15" t="s">
        <v>1387</v>
      </c>
      <c r="AB15" s="1">
        <f t="shared" si="2"/>
        <v>0.99990000000000001</v>
      </c>
      <c r="AD15" t="str">
        <f>IF(W15&lt;0.99,LARGE((N15:R15,U15,V15),2),"0")</f>
        <v>0</v>
      </c>
      <c r="AE15" t="str">
        <f t="shared" si="5"/>
        <v/>
      </c>
      <c r="AH15" t="str">
        <f t="shared" si="4"/>
        <v xml:space="preserve">Based on ADMIXTURE results of 78,187 SNPs, </v>
      </c>
    </row>
    <row r="16" spans="1:34" x14ac:dyDescent="0.4">
      <c r="A16">
        <v>444</v>
      </c>
      <c r="B16" t="s">
        <v>879</v>
      </c>
      <c r="C16" t="s">
        <v>21</v>
      </c>
      <c r="D16" t="s">
        <v>21</v>
      </c>
      <c r="E16" t="s">
        <v>21</v>
      </c>
      <c r="F16" t="s">
        <v>22</v>
      </c>
      <c r="G16" t="s">
        <v>21</v>
      </c>
      <c r="H16" t="s">
        <v>21</v>
      </c>
      <c r="I16" t="s">
        <v>21</v>
      </c>
      <c r="J16">
        <v>1</v>
      </c>
      <c r="K16">
        <v>0</v>
      </c>
      <c r="L16" t="s">
        <v>23</v>
      </c>
      <c r="M16" t="str">
        <f t="shared" si="0"/>
        <v>&gt;0.74</v>
      </c>
      <c r="N16">
        <v>0</v>
      </c>
      <c r="O16">
        <v>0</v>
      </c>
      <c r="P16">
        <v>0</v>
      </c>
      <c r="Q16">
        <v>0</v>
      </c>
      <c r="R16">
        <v>0</v>
      </c>
      <c r="S16">
        <v>0.99990000000000001</v>
      </c>
      <c r="T16">
        <v>0</v>
      </c>
      <c r="U16">
        <v>0</v>
      </c>
      <c r="V16">
        <v>0.99994000000000005</v>
      </c>
      <c r="W16" s="1">
        <f t="shared" si="1"/>
        <v>0.99994000000000005</v>
      </c>
      <c r="X16" t="s">
        <v>880</v>
      </c>
      <c r="Y16" t="str">
        <f>VLOOKUP(X16,Sheet1!A:B,2,FALSE)</f>
        <v>Quercus macrocarpa Michx.</v>
      </c>
      <c r="Z16" t="s">
        <v>1384</v>
      </c>
      <c r="AB16" s="1">
        <f t="shared" si="2"/>
        <v>0.99994000000000005</v>
      </c>
      <c r="AD16" t="str">
        <f>IF(W16&lt;0.99,LARGE((N16:R16,U16,V16),2),"0")</f>
        <v>0</v>
      </c>
      <c r="AE16" t="str">
        <f t="shared" si="5"/>
        <v/>
      </c>
      <c r="AH16" t="str">
        <f t="shared" si="4"/>
        <v xml:space="preserve">Based on ADMIXTURE results of 78,187 SNPs, </v>
      </c>
    </row>
    <row r="17" spans="1:34" x14ac:dyDescent="0.4">
      <c r="A17">
        <v>445</v>
      </c>
      <c r="B17" t="s">
        <v>881</v>
      </c>
      <c r="C17" t="s">
        <v>22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>
        <v>1</v>
      </c>
      <c r="K17">
        <v>0</v>
      </c>
      <c r="L17" t="s">
        <v>23</v>
      </c>
      <c r="M17" t="str">
        <f t="shared" si="0"/>
        <v>&gt;0.74</v>
      </c>
      <c r="N17">
        <v>0</v>
      </c>
      <c r="O17">
        <v>0</v>
      </c>
      <c r="P17">
        <v>0.99990000000000001</v>
      </c>
      <c r="Q17">
        <v>0</v>
      </c>
      <c r="R17">
        <v>0</v>
      </c>
      <c r="S17">
        <v>0</v>
      </c>
      <c r="T17">
        <v>0</v>
      </c>
      <c r="U17">
        <v>0</v>
      </c>
      <c r="V17" s="1">
        <v>2.0000000000000002E-5</v>
      </c>
      <c r="W17" s="1">
        <f t="shared" si="1"/>
        <v>0.99990000000000001</v>
      </c>
      <c r="X17" t="s">
        <v>882</v>
      </c>
      <c r="Y17" t="str">
        <f>VLOOKUP(X17,Sheet1!A:B,2,FALSE)</f>
        <v>Quercus alba L.</v>
      </c>
      <c r="Z17" t="s">
        <v>1386</v>
      </c>
      <c r="AB17" s="1">
        <f t="shared" si="2"/>
        <v>0.99990000000000001</v>
      </c>
      <c r="AD17" t="str">
        <f>IF(W17&lt;0.99,LARGE((N17:R17,U17,V17),2),"0")</f>
        <v>0</v>
      </c>
      <c r="AE17" t="str">
        <f t="shared" si="5"/>
        <v/>
      </c>
      <c r="AH17" t="str">
        <f t="shared" si="4"/>
        <v xml:space="preserve">Based on ADMIXTURE results of 78,187 SNPs, </v>
      </c>
    </row>
    <row r="18" spans="1:34" x14ac:dyDescent="0.4">
      <c r="A18">
        <v>446</v>
      </c>
      <c r="B18" t="s">
        <v>883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22</v>
      </c>
      <c r="J18">
        <v>1</v>
      </c>
      <c r="K18">
        <v>0</v>
      </c>
      <c r="L18" t="s">
        <v>23</v>
      </c>
      <c r="M18" t="str">
        <f t="shared" si="0"/>
        <v>&gt;0.74</v>
      </c>
      <c r="N18">
        <v>0.99990000000000001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1">
        <v>2.0000000000000002E-5</v>
      </c>
      <c r="W18" s="1">
        <f t="shared" si="1"/>
        <v>0.99990000000000001</v>
      </c>
      <c r="X18" t="s">
        <v>884</v>
      </c>
      <c r="Y18" t="str">
        <f>VLOOKUP(X18,Sheet1!A:B,2,FALSE)</f>
        <v>Quercus stellata Wangenh.</v>
      </c>
      <c r="Z18" t="s">
        <v>1385</v>
      </c>
      <c r="AB18" s="1">
        <f t="shared" si="2"/>
        <v>0.99990000000000001</v>
      </c>
      <c r="AD18" t="str">
        <f>IF(W18&lt;0.99,LARGE((N18:R18,U18,V18),2),"0")</f>
        <v>0</v>
      </c>
      <c r="AE18" t="str">
        <f t="shared" si="5"/>
        <v/>
      </c>
      <c r="AH18" t="str">
        <f t="shared" si="4"/>
        <v xml:space="preserve">Based on ADMIXTURE results of 78,187 SNPs, </v>
      </c>
    </row>
    <row r="19" spans="1:34" x14ac:dyDescent="0.4">
      <c r="A19">
        <v>447</v>
      </c>
      <c r="B19" t="s">
        <v>885</v>
      </c>
      <c r="C19" t="s">
        <v>21</v>
      </c>
      <c r="D19" t="s">
        <v>21</v>
      </c>
      <c r="E19" t="s">
        <v>21</v>
      </c>
      <c r="F19" t="s">
        <v>22</v>
      </c>
      <c r="G19" t="s">
        <v>21</v>
      </c>
      <c r="H19" t="s">
        <v>21</v>
      </c>
      <c r="I19" t="s">
        <v>21</v>
      </c>
      <c r="J19">
        <v>1</v>
      </c>
      <c r="K19">
        <v>0</v>
      </c>
      <c r="L19" t="s">
        <v>23</v>
      </c>
      <c r="M19" t="str">
        <f t="shared" si="0"/>
        <v>&gt;0.74</v>
      </c>
      <c r="N19">
        <v>0</v>
      </c>
      <c r="O19">
        <v>0</v>
      </c>
      <c r="P19">
        <v>0</v>
      </c>
      <c r="Q19">
        <v>1.7299999999999999E-2</v>
      </c>
      <c r="R19">
        <v>0</v>
      </c>
      <c r="S19">
        <v>0.98270000000000002</v>
      </c>
      <c r="T19">
        <v>0</v>
      </c>
      <c r="U19">
        <v>0</v>
      </c>
      <c r="V19">
        <v>0.98268100000000003</v>
      </c>
      <c r="W19" s="1">
        <f t="shared" si="1"/>
        <v>0.98268100000000003</v>
      </c>
      <c r="X19" t="s">
        <v>886</v>
      </c>
      <c r="Y19" t="str">
        <f>VLOOKUP(X19,Sheet1!A:B,2,FALSE)</f>
        <v>Quercus macrocarpa Michx.</v>
      </c>
      <c r="Z19" t="s">
        <v>1384</v>
      </c>
      <c r="AB19" s="1">
        <f t="shared" si="2"/>
        <v>0.98268100000000003</v>
      </c>
      <c r="AD19">
        <f>IF(W19&lt;0.99,LARGE((N19:R19,U19,V19),2),"0")</f>
        <v>1.7299999999999999E-2</v>
      </c>
      <c r="AE19" t="str">
        <f t="shared" si="5"/>
        <v xml:space="preserve">trace admixed with </v>
      </c>
      <c r="AH19" t="str">
        <f t="shared" si="4"/>
        <v xml:space="preserve">Based on ADMIXTURE results of 78,187 SNPs, trace admixed with </v>
      </c>
    </row>
    <row r="20" spans="1:34" x14ac:dyDescent="0.4">
      <c r="A20">
        <v>448</v>
      </c>
      <c r="B20" t="s">
        <v>887</v>
      </c>
      <c r="C20" t="s">
        <v>21</v>
      </c>
      <c r="D20" t="s">
        <v>22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>
        <v>1</v>
      </c>
      <c r="K20">
        <v>0</v>
      </c>
      <c r="L20" t="s">
        <v>23</v>
      </c>
      <c r="M20" t="str">
        <f t="shared" si="0"/>
        <v>&gt;0.74</v>
      </c>
      <c r="N20">
        <v>0</v>
      </c>
      <c r="O20">
        <v>0</v>
      </c>
      <c r="P20">
        <v>0</v>
      </c>
      <c r="Q20">
        <v>0.99990000000000001</v>
      </c>
      <c r="R20">
        <v>0</v>
      </c>
      <c r="S20">
        <v>0</v>
      </c>
      <c r="T20">
        <v>0</v>
      </c>
      <c r="U20">
        <v>0</v>
      </c>
      <c r="V20" s="1">
        <v>2.0000000000000002E-5</v>
      </c>
      <c r="W20" s="1">
        <f t="shared" si="1"/>
        <v>0.99990000000000001</v>
      </c>
      <c r="X20" t="s">
        <v>888</v>
      </c>
      <c r="Y20" t="str">
        <f>VLOOKUP(X20,Sheet1!A:B,2,FALSE)</f>
        <v>Quercus lyrata Walt.</v>
      </c>
      <c r="Z20" t="s">
        <v>1383</v>
      </c>
      <c r="AB20" s="1">
        <f t="shared" si="2"/>
        <v>0.99990000000000001</v>
      </c>
      <c r="AD20" t="str">
        <f>IF(W20&lt;0.99,LARGE((N20:R20,U20,V20),2),"0")</f>
        <v>0</v>
      </c>
      <c r="AE20" t="str">
        <f t="shared" si="5"/>
        <v/>
      </c>
      <c r="AH20" t="str">
        <f t="shared" si="4"/>
        <v xml:space="preserve">Based on ADMIXTURE results of 78,187 SNPs, </v>
      </c>
    </row>
    <row r="21" spans="1:34" x14ac:dyDescent="0.4">
      <c r="A21">
        <v>449</v>
      </c>
      <c r="B21" t="s">
        <v>889</v>
      </c>
      <c r="C21" t="s">
        <v>22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>
        <v>1</v>
      </c>
      <c r="K21">
        <v>0</v>
      </c>
      <c r="L21" t="s">
        <v>23</v>
      </c>
      <c r="M21" t="str">
        <f t="shared" si="0"/>
        <v>&gt;0.74</v>
      </c>
      <c r="N21">
        <v>0</v>
      </c>
      <c r="O21">
        <v>0</v>
      </c>
      <c r="P21">
        <v>0.99990000000000001</v>
      </c>
      <c r="Q21">
        <v>0</v>
      </c>
      <c r="R21">
        <v>0</v>
      </c>
      <c r="S21">
        <v>0</v>
      </c>
      <c r="T21">
        <v>0</v>
      </c>
      <c r="U21">
        <v>0</v>
      </c>
      <c r="V21" s="1">
        <v>2.0000000000000002E-5</v>
      </c>
      <c r="W21" s="1">
        <f t="shared" si="1"/>
        <v>0.99990000000000001</v>
      </c>
      <c r="X21" t="s">
        <v>890</v>
      </c>
      <c r="Y21" t="str">
        <f>VLOOKUP(X21,Sheet1!A:B,2,FALSE)</f>
        <v>Quercus alba L.</v>
      </c>
      <c r="Z21" t="s">
        <v>1386</v>
      </c>
      <c r="AB21" s="1">
        <f t="shared" si="2"/>
        <v>0.99990000000000001</v>
      </c>
      <c r="AD21" t="str">
        <f>IF(W21&lt;0.99,LARGE((N21:R21,U21,V21),2),"0")</f>
        <v>0</v>
      </c>
      <c r="AE21" t="str">
        <f t="shared" si="5"/>
        <v/>
      </c>
      <c r="AH21" t="str">
        <f t="shared" si="4"/>
        <v xml:space="preserve">Based on ADMIXTURE results of 78,187 SNPs, </v>
      </c>
    </row>
    <row r="22" spans="1:34" x14ac:dyDescent="0.4">
      <c r="A22">
        <v>450</v>
      </c>
      <c r="B22" t="s">
        <v>891</v>
      </c>
      <c r="C22" t="s">
        <v>22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>
        <v>1</v>
      </c>
      <c r="K22">
        <v>0</v>
      </c>
      <c r="L22" t="s">
        <v>23</v>
      </c>
      <c r="M22" t="str">
        <f t="shared" si="0"/>
        <v>&gt;0.74</v>
      </c>
      <c r="N22">
        <v>0</v>
      </c>
      <c r="O22">
        <v>0</v>
      </c>
      <c r="P22">
        <v>0.99990000000000001</v>
      </c>
      <c r="Q22">
        <v>0</v>
      </c>
      <c r="R22">
        <v>0</v>
      </c>
      <c r="S22">
        <v>0</v>
      </c>
      <c r="T22">
        <v>0</v>
      </c>
      <c r="U22">
        <v>0</v>
      </c>
      <c r="V22" s="1">
        <v>2.0000000000000002E-5</v>
      </c>
      <c r="W22" s="1">
        <f t="shared" si="1"/>
        <v>0.99990000000000001</v>
      </c>
      <c r="X22" t="s">
        <v>892</v>
      </c>
      <c r="Y22" t="str">
        <f>VLOOKUP(X22,Sheet1!A:B,2,FALSE)</f>
        <v>Quercus alba L.</v>
      </c>
      <c r="Z22" t="s">
        <v>1386</v>
      </c>
      <c r="AB22" s="1">
        <f t="shared" si="2"/>
        <v>0.99990000000000001</v>
      </c>
      <c r="AD22" t="str">
        <f>IF(W22&lt;0.99,LARGE((N22:R22,U22,V22),2),"0")</f>
        <v>0</v>
      </c>
      <c r="AE22" t="str">
        <f t="shared" si="5"/>
        <v/>
      </c>
      <c r="AH22" t="str">
        <f t="shared" si="4"/>
        <v xml:space="preserve">Based on ADMIXTURE results of 78,187 SNPs, </v>
      </c>
    </row>
    <row r="23" spans="1:34" x14ac:dyDescent="0.4">
      <c r="A23">
        <v>79</v>
      </c>
      <c r="B23" t="s">
        <v>148</v>
      </c>
      <c r="C23" t="s">
        <v>21</v>
      </c>
      <c r="D23" t="s">
        <v>21</v>
      </c>
      <c r="E23" t="s">
        <v>21</v>
      </c>
      <c r="F23" t="s">
        <v>22</v>
      </c>
      <c r="G23" t="s">
        <v>21</v>
      </c>
      <c r="H23" t="s">
        <v>21</v>
      </c>
      <c r="I23" t="s">
        <v>21</v>
      </c>
      <c r="J23">
        <v>1</v>
      </c>
      <c r="K23">
        <v>0</v>
      </c>
      <c r="L23" t="s">
        <v>23</v>
      </c>
      <c r="M23" t="str">
        <f t="shared" si="0"/>
        <v>&gt;0.74</v>
      </c>
      <c r="N23">
        <v>0</v>
      </c>
      <c r="O23">
        <v>0</v>
      </c>
      <c r="P23">
        <v>0</v>
      </c>
      <c r="Q23">
        <v>0</v>
      </c>
      <c r="R23">
        <v>0</v>
      </c>
      <c r="S23">
        <v>0.1086</v>
      </c>
      <c r="T23">
        <v>0.89129999999999998</v>
      </c>
      <c r="U23">
        <v>0</v>
      </c>
      <c r="V23">
        <v>0.99993500000000002</v>
      </c>
      <c r="W23" s="1">
        <f t="shared" si="1"/>
        <v>0.99993500000000002</v>
      </c>
      <c r="X23" t="s">
        <v>149</v>
      </c>
      <c r="Y23" t="str">
        <f>VLOOKUP(X23,Sheet1!A:B,2,FALSE)</f>
        <v>Quercus macrocarpa Michx.</v>
      </c>
      <c r="Z23" t="s">
        <v>1384</v>
      </c>
      <c r="AB23" s="1">
        <f t="shared" si="2"/>
        <v>0.99993500000000002</v>
      </c>
      <c r="AD23" t="str">
        <f>IF(W23&lt;0.99,LARGE((N23:R23,U23,V23),2),"0")</f>
        <v>0</v>
      </c>
      <c r="AE23" t="str">
        <f t="shared" si="5"/>
        <v/>
      </c>
      <c r="AH23" t="str">
        <f t="shared" si="4"/>
        <v xml:space="preserve">Based on ADMIXTURE results of 78,187 SNPs, </v>
      </c>
    </row>
    <row r="24" spans="1:34" x14ac:dyDescent="0.4">
      <c r="A24">
        <v>80</v>
      </c>
      <c r="B24" t="s">
        <v>150</v>
      </c>
      <c r="C24" t="s">
        <v>21</v>
      </c>
      <c r="D24" t="s">
        <v>21</v>
      </c>
      <c r="E24" t="s">
        <v>21</v>
      </c>
      <c r="F24" t="s">
        <v>22</v>
      </c>
      <c r="G24" t="s">
        <v>21</v>
      </c>
      <c r="H24" t="s">
        <v>21</v>
      </c>
      <c r="I24" t="s">
        <v>21</v>
      </c>
      <c r="J24">
        <v>1</v>
      </c>
      <c r="K24">
        <v>0</v>
      </c>
      <c r="L24" t="s">
        <v>23</v>
      </c>
      <c r="M24" t="str">
        <f t="shared" si="0"/>
        <v>&gt;0.74</v>
      </c>
      <c r="N24">
        <v>0</v>
      </c>
      <c r="O24">
        <v>0</v>
      </c>
      <c r="P24">
        <v>0</v>
      </c>
      <c r="Q24">
        <v>0</v>
      </c>
      <c r="R24">
        <v>0</v>
      </c>
      <c r="S24">
        <v>3.7699999999999997E-2</v>
      </c>
      <c r="T24">
        <v>0.96220000000000006</v>
      </c>
      <c r="U24">
        <v>0</v>
      </c>
      <c r="V24">
        <v>0.99994000000000005</v>
      </c>
      <c r="W24" s="1">
        <f t="shared" si="1"/>
        <v>0.99994000000000005</v>
      </c>
      <c r="X24" t="s">
        <v>151</v>
      </c>
      <c r="Y24" t="str">
        <f>VLOOKUP(X24,Sheet1!A:B,2,FALSE)</f>
        <v>Quercus macrocarpa Michx.</v>
      </c>
      <c r="Z24" t="s">
        <v>1384</v>
      </c>
      <c r="AB24" s="1">
        <f t="shared" si="2"/>
        <v>0.99994000000000005</v>
      </c>
      <c r="AD24" t="str">
        <f>IF(W24&lt;0.99,LARGE((N24:R24,U24,V24),2),"0")</f>
        <v>0</v>
      </c>
      <c r="AE24" t="str">
        <f t="shared" si="5"/>
        <v/>
      </c>
      <c r="AH24" t="str">
        <f t="shared" si="4"/>
        <v xml:space="preserve">Based on ADMIXTURE results of 78,187 SNPs, </v>
      </c>
    </row>
    <row r="25" spans="1:34" x14ac:dyDescent="0.4">
      <c r="A25">
        <v>81</v>
      </c>
      <c r="B25" t="s">
        <v>152</v>
      </c>
      <c r="C25" t="s">
        <v>21</v>
      </c>
      <c r="D25" t="s">
        <v>21</v>
      </c>
      <c r="E25" t="s">
        <v>21</v>
      </c>
      <c r="F25" t="s">
        <v>22</v>
      </c>
      <c r="G25" t="s">
        <v>21</v>
      </c>
      <c r="H25" t="s">
        <v>21</v>
      </c>
      <c r="I25" t="s">
        <v>21</v>
      </c>
      <c r="J25">
        <v>1</v>
      </c>
      <c r="K25">
        <v>0</v>
      </c>
      <c r="L25" t="s">
        <v>23</v>
      </c>
      <c r="M25" t="str">
        <f t="shared" si="0"/>
        <v>&gt;0.74</v>
      </c>
      <c r="N25">
        <v>0</v>
      </c>
      <c r="O25">
        <v>0</v>
      </c>
      <c r="P25">
        <v>0</v>
      </c>
      <c r="Q25">
        <v>0</v>
      </c>
      <c r="R25">
        <v>0</v>
      </c>
      <c r="S25">
        <v>4.6699999999999998E-2</v>
      </c>
      <c r="T25">
        <v>0.95320000000000005</v>
      </c>
      <c r="U25">
        <v>0</v>
      </c>
      <c r="V25">
        <v>0.99994000000000005</v>
      </c>
      <c r="W25" s="1">
        <f t="shared" si="1"/>
        <v>0.99994000000000005</v>
      </c>
      <c r="X25" t="s">
        <v>153</v>
      </c>
      <c r="Y25" t="str">
        <f>VLOOKUP(X25,Sheet1!A:B,2,FALSE)</f>
        <v>Quercus macrocarpa Michx.</v>
      </c>
      <c r="Z25" t="s">
        <v>1384</v>
      </c>
      <c r="AB25" s="1">
        <f t="shared" si="2"/>
        <v>0.99994000000000005</v>
      </c>
      <c r="AD25" t="str">
        <f>IF(W25&lt;0.99,LARGE((N25:R25,U25,V25),2),"0")</f>
        <v>0</v>
      </c>
      <c r="AE25" t="str">
        <f t="shared" si="5"/>
        <v/>
      </c>
      <c r="AH25" t="str">
        <f t="shared" si="4"/>
        <v xml:space="preserve">Based on ADMIXTURE results of 78,187 SNPs, </v>
      </c>
    </row>
    <row r="26" spans="1:34" x14ac:dyDescent="0.4">
      <c r="A26">
        <v>82</v>
      </c>
      <c r="B26" t="s">
        <v>154</v>
      </c>
      <c r="C26" t="s">
        <v>21</v>
      </c>
      <c r="D26" t="s">
        <v>21</v>
      </c>
      <c r="E26" t="s">
        <v>21</v>
      </c>
      <c r="F26" t="s">
        <v>22</v>
      </c>
      <c r="G26" t="s">
        <v>21</v>
      </c>
      <c r="H26" t="s">
        <v>21</v>
      </c>
      <c r="I26" t="s">
        <v>21</v>
      </c>
      <c r="J26">
        <v>1</v>
      </c>
      <c r="K26">
        <v>0</v>
      </c>
      <c r="L26" t="s">
        <v>23</v>
      </c>
      <c r="M26" t="str">
        <f t="shared" si="0"/>
        <v>&gt;0.74</v>
      </c>
      <c r="N26">
        <v>0</v>
      </c>
      <c r="O26">
        <v>0</v>
      </c>
      <c r="P26">
        <v>0</v>
      </c>
      <c r="Q26">
        <v>0</v>
      </c>
      <c r="R26">
        <v>0</v>
      </c>
      <c r="S26">
        <v>5.33E-2</v>
      </c>
      <c r="T26">
        <v>0.9466</v>
      </c>
      <c r="U26">
        <v>0</v>
      </c>
      <c r="V26">
        <v>0.99994000000000005</v>
      </c>
      <c r="W26" s="1">
        <f t="shared" si="1"/>
        <v>0.99994000000000005</v>
      </c>
      <c r="X26" t="s">
        <v>155</v>
      </c>
      <c r="Y26" t="str">
        <f>VLOOKUP(X26,Sheet1!A:B,2,FALSE)</f>
        <v>Quercus macrocarpa Michx.</v>
      </c>
      <c r="Z26" t="s">
        <v>1384</v>
      </c>
      <c r="AB26" s="1">
        <f t="shared" si="2"/>
        <v>0.99994000000000005</v>
      </c>
      <c r="AD26" t="str">
        <f>IF(W26&lt;0.99,LARGE((N26:R26,U26,V26),2),"0")</f>
        <v>0</v>
      </c>
      <c r="AE26" t="str">
        <f t="shared" si="5"/>
        <v/>
      </c>
      <c r="AH26" t="str">
        <f t="shared" si="4"/>
        <v xml:space="preserve">Based on ADMIXTURE results of 78,187 SNPs, </v>
      </c>
    </row>
    <row r="27" spans="1:34" x14ac:dyDescent="0.4">
      <c r="A27">
        <v>83</v>
      </c>
      <c r="B27" t="s">
        <v>156</v>
      </c>
      <c r="C27" t="s">
        <v>21</v>
      </c>
      <c r="D27" t="s">
        <v>21</v>
      </c>
      <c r="E27" t="s">
        <v>21</v>
      </c>
      <c r="F27" t="s">
        <v>22</v>
      </c>
      <c r="G27" t="s">
        <v>21</v>
      </c>
      <c r="H27" t="s">
        <v>21</v>
      </c>
      <c r="I27" t="s">
        <v>21</v>
      </c>
      <c r="J27">
        <v>1</v>
      </c>
      <c r="K27">
        <v>0</v>
      </c>
      <c r="L27" t="s">
        <v>23</v>
      </c>
      <c r="M27" t="str">
        <f t="shared" si="0"/>
        <v>&gt;0.74</v>
      </c>
      <c r="N27">
        <v>0</v>
      </c>
      <c r="O27">
        <v>0</v>
      </c>
      <c r="P27">
        <v>0</v>
      </c>
      <c r="Q27">
        <v>0</v>
      </c>
      <c r="R27">
        <v>0</v>
      </c>
      <c r="S27">
        <v>0.1799</v>
      </c>
      <c r="T27">
        <v>0.82010000000000005</v>
      </c>
      <c r="U27">
        <v>0</v>
      </c>
      <c r="V27">
        <v>0.99994000000000005</v>
      </c>
      <c r="W27" s="1">
        <f t="shared" si="1"/>
        <v>0.99994000000000005</v>
      </c>
      <c r="X27" t="s">
        <v>157</v>
      </c>
      <c r="Y27" t="str">
        <f>VLOOKUP(X27,Sheet1!A:B,2,FALSE)</f>
        <v>Quercus macrocarpa Michx.</v>
      </c>
      <c r="Z27" t="s">
        <v>1384</v>
      </c>
      <c r="AB27" s="1">
        <f t="shared" si="2"/>
        <v>0.99994000000000005</v>
      </c>
      <c r="AD27" t="str">
        <f>IF(W27&lt;0.99,LARGE((N27:R27,U27,V27),2),"0")</f>
        <v>0</v>
      </c>
      <c r="AE27" t="str">
        <f t="shared" si="5"/>
        <v/>
      </c>
      <c r="AH27" t="str">
        <f t="shared" si="4"/>
        <v xml:space="preserve">Based on ADMIXTURE results of 78,187 SNPs, </v>
      </c>
    </row>
    <row r="28" spans="1:34" x14ac:dyDescent="0.4">
      <c r="A28">
        <v>99</v>
      </c>
      <c r="B28" t="s">
        <v>188</v>
      </c>
      <c r="C28" t="s">
        <v>21</v>
      </c>
      <c r="D28" t="s">
        <v>21</v>
      </c>
      <c r="E28" t="s">
        <v>21</v>
      </c>
      <c r="F28" t="s">
        <v>22</v>
      </c>
      <c r="G28" t="s">
        <v>21</v>
      </c>
      <c r="H28" t="s">
        <v>21</v>
      </c>
      <c r="I28" t="s">
        <v>21</v>
      </c>
      <c r="J28">
        <v>1</v>
      </c>
      <c r="K28">
        <v>0</v>
      </c>
      <c r="L28" t="s">
        <v>23</v>
      </c>
      <c r="M28" t="str">
        <f t="shared" si="0"/>
        <v>&gt;0.74</v>
      </c>
      <c r="N28">
        <v>0</v>
      </c>
      <c r="O28">
        <v>0</v>
      </c>
      <c r="P28">
        <v>0</v>
      </c>
      <c r="Q28">
        <v>0</v>
      </c>
      <c r="R28">
        <v>0</v>
      </c>
      <c r="S28">
        <v>5.28E-2</v>
      </c>
      <c r="T28">
        <v>0.94710000000000005</v>
      </c>
      <c r="U28">
        <v>0</v>
      </c>
      <c r="V28">
        <v>0.99994000000000005</v>
      </c>
      <c r="W28" s="1">
        <f t="shared" si="1"/>
        <v>0.99994000000000005</v>
      </c>
      <c r="X28" t="s">
        <v>189</v>
      </c>
      <c r="Y28" t="str">
        <f>VLOOKUP(X28,Sheet1!A:B,2,FALSE)</f>
        <v>Quercus macrocarpa Michx.</v>
      </c>
      <c r="Z28" t="s">
        <v>1384</v>
      </c>
      <c r="AB28" s="1">
        <f t="shared" si="2"/>
        <v>0.99994000000000005</v>
      </c>
      <c r="AD28" t="str">
        <f>IF(W28&lt;0.99,LARGE((N28:R28,U28,V28),2),"0")</f>
        <v>0</v>
      </c>
      <c r="AE28" t="str">
        <f t="shared" si="5"/>
        <v/>
      </c>
      <c r="AH28" t="str">
        <f t="shared" si="4"/>
        <v xml:space="preserve">Based on ADMIXTURE results of 78,187 SNPs, </v>
      </c>
    </row>
    <row r="29" spans="1:34" x14ac:dyDescent="0.4">
      <c r="A29">
        <v>100</v>
      </c>
      <c r="B29" t="s">
        <v>190</v>
      </c>
      <c r="C29" t="s">
        <v>21</v>
      </c>
      <c r="D29" t="s">
        <v>21</v>
      </c>
      <c r="E29" t="s">
        <v>21</v>
      </c>
      <c r="F29" t="s">
        <v>22</v>
      </c>
      <c r="G29" t="s">
        <v>21</v>
      </c>
      <c r="H29" t="s">
        <v>21</v>
      </c>
      <c r="I29" t="s">
        <v>21</v>
      </c>
      <c r="J29">
        <v>1</v>
      </c>
      <c r="K29">
        <v>0</v>
      </c>
      <c r="L29" t="s">
        <v>23</v>
      </c>
      <c r="M29" t="str">
        <f t="shared" si="0"/>
        <v>&gt;0.74</v>
      </c>
      <c r="N29">
        <v>0</v>
      </c>
      <c r="O29">
        <v>0</v>
      </c>
      <c r="P29">
        <v>4.4000000000000003E-3</v>
      </c>
      <c r="Q29">
        <v>0</v>
      </c>
      <c r="R29">
        <v>0</v>
      </c>
      <c r="S29">
        <v>0.13059999999999999</v>
      </c>
      <c r="T29">
        <v>0.8649</v>
      </c>
      <c r="U29">
        <v>0</v>
      </c>
      <c r="V29">
        <v>0.99554500000000001</v>
      </c>
      <c r="W29" s="1">
        <f t="shared" si="1"/>
        <v>0.99554500000000001</v>
      </c>
      <c r="X29" t="s">
        <v>191</v>
      </c>
      <c r="Y29" t="str">
        <f>VLOOKUP(X29,Sheet1!A:B,2,FALSE)</f>
        <v>Quercus macrocarpa Michx.</v>
      </c>
      <c r="Z29" t="s">
        <v>1384</v>
      </c>
      <c r="AB29" s="1">
        <f t="shared" si="2"/>
        <v>0.99554500000000001</v>
      </c>
      <c r="AD29" t="str">
        <f>IF(W29&lt;0.99,LARGE((N29:R29,U29,V29),2),"0")</f>
        <v>0</v>
      </c>
      <c r="AE29" t="str">
        <f t="shared" si="5"/>
        <v/>
      </c>
      <c r="AH29" t="str">
        <f t="shared" si="4"/>
        <v xml:space="preserve">Based on ADMIXTURE results of 78,187 SNPs, </v>
      </c>
    </row>
    <row r="30" spans="1:34" x14ac:dyDescent="0.4">
      <c r="A30">
        <v>101</v>
      </c>
      <c r="B30" t="s">
        <v>192</v>
      </c>
      <c r="C30" t="s">
        <v>21</v>
      </c>
      <c r="D30" t="s">
        <v>22</v>
      </c>
      <c r="E30" t="s">
        <v>21</v>
      </c>
      <c r="F30" t="s">
        <v>25</v>
      </c>
      <c r="G30" t="s">
        <v>21</v>
      </c>
      <c r="H30" t="s">
        <v>21</v>
      </c>
      <c r="I30" t="s">
        <v>21</v>
      </c>
      <c r="J30">
        <v>1</v>
      </c>
      <c r="K30">
        <v>1</v>
      </c>
      <c r="L30" t="s">
        <v>193</v>
      </c>
      <c r="M30" t="str">
        <f t="shared" si="0"/>
        <v>&gt;0.74</v>
      </c>
      <c r="N30">
        <v>0</v>
      </c>
      <c r="O30">
        <v>0</v>
      </c>
      <c r="P30">
        <v>0</v>
      </c>
      <c r="Q30">
        <v>0.94730000000000003</v>
      </c>
      <c r="R30">
        <v>0</v>
      </c>
      <c r="S30">
        <v>0</v>
      </c>
      <c r="T30">
        <v>5.2600000000000001E-2</v>
      </c>
      <c r="U30">
        <v>0</v>
      </c>
      <c r="V30">
        <v>5.2613E-2</v>
      </c>
      <c r="W30" s="1">
        <f t="shared" si="1"/>
        <v>0.94730000000000003</v>
      </c>
      <c r="X30" t="s">
        <v>194</v>
      </c>
      <c r="Y30" t="str">
        <f>VLOOKUP(X30,Sheet1!A:B,2,FALSE)</f>
        <v>Quercus bicolor Willd.</v>
      </c>
      <c r="Z30" t="s">
        <v>1388</v>
      </c>
      <c r="AB30" s="1">
        <f t="shared" si="2"/>
        <v>0.94730000000000003</v>
      </c>
      <c r="AC30" t="s">
        <v>1421</v>
      </c>
      <c r="AD30">
        <f>IF(W30&lt;0.99,LARGE((N30:R30,U30,V30),2),"0")</f>
        <v>5.2613E-2</v>
      </c>
      <c r="AE30" t="str">
        <f>IF(AND(AB30&lt;0.99,AD30&gt;0.1,AB30&gt;0.6),"admixed with ",IF(AND(AB30&lt;0.99,AD30&gt;0.01,AD30&lt;0.4),"may be trace admixed with ",""))</f>
        <v xml:space="preserve">may be trace admixed with </v>
      </c>
      <c r="AH30" t="str">
        <f t="shared" si="4"/>
        <v>Based on ADMIXTURE results of 78,187 SNPs, may be trace admixed with Quercus macrocarpa</v>
      </c>
    </row>
    <row r="31" spans="1:34" x14ac:dyDescent="0.4">
      <c r="A31">
        <v>102</v>
      </c>
      <c r="B31" t="s">
        <v>195</v>
      </c>
      <c r="C31" t="s">
        <v>21</v>
      </c>
      <c r="D31" t="s">
        <v>21</v>
      </c>
      <c r="E31" t="s">
        <v>21</v>
      </c>
      <c r="F31" t="s">
        <v>22</v>
      </c>
      <c r="G31" t="s">
        <v>21</v>
      </c>
      <c r="H31" t="s">
        <v>21</v>
      </c>
      <c r="I31" t="s">
        <v>21</v>
      </c>
      <c r="J31">
        <v>1</v>
      </c>
      <c r="K31">
        <v>0</v>
      </c>
      <c r="L31" t="s">
        <v>23</v>
      </c>
      <c r="M31" t="str">
        <f t="shared" si="0"/>
        <v>&gt;0.74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0.99990000000000001</v>
      </c>
      <c r="U31">
        <v>0</v>
      </c>
      <c r="V31">
        <v>0.99994000000000005</v>
      </c>
      <c r="W31" s="1">
        <f t="shared" si="1"/>
        <v>0.99994000000000005</v>
      </c>
      <c r="X31" t="s">
        <v>196</v>
      </c>
      <c r="Y31" t="str">
        <f>VLOOKUP(X31,Sheet1!A:B,2,FALSE)</f>
        <v>Quercus macrocarpa Michx.</v>
      </c>
      <c r="Z31" t="s">
        <v>1384</v>
      </c>
      <c r="AB31" s="1">
        <f t="shared" si="2"/>
        <v>0.99994000000000005</v>
      </c>
      <c r="AD31" t="str">
        <f>IF(W31&lt;0.99,LARGE((N31:R31,U31,V31),2),"0")</f>
        <v>0</v>
      </c>
      <c r="AE31" t="str">
        <f t="shared" ref="AE31:AE57" si="6">IF(AND(AB31&lt;0.99,AD31&gt;0.1),"admixed with",IF(AND(AB31&lt;0.99,AD31&gt;0.01),"trace admixed with ",""))</f>
        <v/>
      </c>
      <c r="AH31" t="str">
        <f t="shared" si="4"/>
        <v xml:space="preserve">Based on ADMIXTURE results of 78,187 SNPs, </v>
      </c>
    </row>
    <row r="32" spans="1:34" x14ac:dyDescent="0.4">
      <c r="A32">
        <v>103</v>
      </c>
      <c r="B32" t="s">
        <v>197</v>
      </c>
      <c r="C32" t="s">
        <v>21</v>
      </c>
      <c r="D32" t="s">
        <v>21</v>
      </c>
      <c r="E32" t="s">
        <v>21</v>
      </c>
      <c r="F32" t="s">
        <v>22</v>
      </c>
      <c r="G32" t="s">
        <v>21</v>
      </c>
      <c r="H32" t="s">
        <v>21</v>
      </c>
      <c r="I32" t="s">
        <v>21</v>
      </c>
      <c r="J32">
        <v>1</v>
      </c>
      <c r="K32">
        <v>0</v>
      </c>
      <c r="L32" t="s">
        <v>23</v>
      </c>
      <c r="M32" t="str">
        <f t="shared" si="0"/>
        <v>&gt;0.74</v>
      </c>
      <c r="N32">
        <v>0</v>
      </c>
      <c r="O32">
        <v>0</v>
      </c>
      <c r="P32">
        <v>0</v>
      </c>
      <c r="Q32">
        <v>0</v>
      </c>
      <c r="R32">
        <v>0</v>
      </c>
      <c r="S32">
        <v>0.11119999999999999</v>
      </c>
      <c r="T32">
        <v>0.88870000000000005</v>
      </c>
      <c r="U32">
        <v>0</v>
      </c>
      <c r="V32">
        <v>0.99994000000000005</v>
      </c>
      <c r="W32" s="1">
        <f t="shared" si="1"/>
        <v>0.99994000000000005</v>
      </c>
      <c r="X32" t="s">
        <v>198</v>
      </c>
      <c r="Y32" t="str">
        <f>VLOOKUP(X32,Sheet1!A:B,2,FALSE)</f>
        <v>Quercus macrocarpa Michx.</v>
      </c>
      <c r="Z32" t="s">
        <v>1384</v>
      </c>
      <c r="AB32" s="1">
        <f t="shared" si="2"/>
        <v>0.99994000000000005</v>
      </c>
      <c r="AD32" t="str">
        <f>IF(W32&lt;0.99,LARGE((N32:R32,U32,V32),2),"0")</f>
        <v>0</v>
      </c>
      <c r="AE32" t="str">
        <f t="shared" si="6"/>
        <v/>
      </c>
      <c r="AH32" t="str">
        <f t="shared" si="4"/>
        <v xml:space="preserve">Based on ADMIXTURE results of 78,187 SNPs, </v>
      </c>
    </row>
    <row r="33" spans="1:34" x14ac:dyDescent="0.4">
      <c r="A33">
        <v>84</v>
      </c>
      <c r="B33" t="s">
        <v>158</v>
      </c>
      <c r="C33" t="s">
        <v>22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>
        <v>1</v>
      </c>
      <c r="K33">
        <v>0</v>
      </c>
      <c r="L33" t="s">
        <v>23</v>
      </c>
      <c r="M33" t="str">
        <f t="shared" si="0"/>
        <v>&gt;0.74</v>
      </c>
      <c r="N33">
        <v>0</v>
      </c>
      <c r="O33">
        <v>0</v>
      </c>
      <c r="P33">
        <v>0.98619999999999997</v>
      </c>
      <c r="Q33">
        <v>3.5999999999999999E-3</v>
      </c>
      <c r="R33">
        <v>0</v>
      </c>
      <c r="S33">
        <v>0</v>
      </c>
      <c r="T33">
        <v>1.01E-2</v>
      </c>
      <c r="U33">
        <v>0</v>
      </c>
      <c r="V33">
        <v>1.0102999999999999E-2</v>
      </c>
      <c r="W33" s="1">
        <f t="shared" si="1"/>
        <v>0.98619999999999997</v>
      </c>
      <c r="X33" t="s">
        <v>159</v>
      </c>
      <c r="Y33" t="str">
        <f>VLOOKUP(X33,Sheet1!A:B,2,FALSE)</f>
        <v>Quercus alba L.</v>
      </c>
      <c r="Z33" t="s">
        <v>1386</v>
      </c>
      <c r="AB33" s="1">
        <f t="shared" si="2"/>
        <v>0.98619999999999997</v>
      </c>
      <c r="AD33">
        <f>IF(W33&lt;0.99,LARGE((N33:R33,U33,V33),2),"0")</f>
        <v>1.0102999999999999E-2</v>
      </c>
      <c r="AE33" t="str">
        <f t="shared" si="6"/>
        <v xml:space="preserve">trace admixed with </v>
      </c>
      <c r="AH33" t="str">
        <f t="shared" si="4"/>
        <v xml:space="preserve">Based on ADMIXTURE results of 78,187 SNPs, trace admixed with </v>
      </c>
    </row>
    <row r="34" spans="1:34" x14ac:dyDescent="0.4">
      <c r="A34">
        <v>85</v>
      </c>
      <c r="B34" t="s">
        <v>160</v>
      </c>
      <c r="C34" t="s">
        <v>22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>
        <v>1</v>
      </c>
      <c r="K34">
        <v>0</v>
      </c>
      <c r="L34" t="s">
        <v>23</v>
      </c>
      <c r="M34" t="str">
        <f t="shared" si="0"/>
        <v>&gt;0.74</v>
      </c>
      <c r="N34">
        <v>0</v>
      </c>
      <c r="O34">
        <v>0</v>
      </c>
      <c r="P34">
        <v>0.99990000000000001</v>
      </c>
      <c r="Q34">
        <v>0</v>
      </c>
      <c r="R34">
        <v>0</v>
      </c>
      <c r="S34">
        <v>0</v>
      </c>
      <c r="T34">
        <v>0</v>
      </c>
      <c r="U34">
        <v>0</v>
      </c>
      <c r="V34" s="1">
        <v>2.0000000000000002E-5</v>
      </c>
      <c r="W34" s="1">
        <f t="shared" si="1"/>
        <v>0.99990000000000001</v>
      </c>
      <c r="X34" t="s">
        <v>161</v>
      </c>
      <c r="Y34" t="str">
        <f>VLOOKUP(X34,Sheet1!A:B,2,FALSE)</f>
        <v>Quercus alba L.</v>
      </c>
      <c r="Z34" t="s">
        <v>1386</v>
      </c>
      <c r="AB34" s="1">
        <f t="shared" si="2"/>
        <v>0.99990000000000001</v>
      </c>
      <c r="AD34" t="str">
        <f>IF(W34&lt;0.99,LARGE((N34:R34,U34,V34),2),"0")</f>
        <v>0</v>
      </c>
      <c r="AE34" t="str">
        <f t="shared" si="6"/>
        <v/>
      </c>
      <c r="AH34" t="str">
        <f t="shared" ref="AH34:AH57" si="7">_xlfn.CONCAT("Based on ADMIXTURE results of 78,187 SNPs, ",AE34,AC34)</f>
        <v xml:space="preserve">Based on ADMIXTURE results of 78,187 SNPs, </v>
      </c>
    </row>
    <row r="35" spans="1:34" x14ac:dyDescent="0.4">
      <c r="A35">
        <v>86</v>
      </c>
      <c r="B35" t="s">
        <v>162</v>
      </c>
      <c r="C35" t="s">
        <v>22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>
        <v>1</v>
      </c>
      <c r="K35">
        <v>0</v>
      </c>
      <c r="L35" t="s">
        <v>23</v>
      </c>
      <c r="M35" t="str">
        <f t="shared" si="0"/>
        <v>&gt;0.74</v>
      </c>
      <c r="N35">
        <v>0</v>
      </c>
      <c r="O35">
        <v>0</v>
      </c>
      <c r="P35">
        <v>0.99990000000000001</v>
      </c>
      <c r="Q35">
        <v>0</v>
      </c>
      <c r="R35">
        <v>0</v>
      </c>
      <c r="S35">
        <v>0</v>
      </c>
      <c r="T35">
        <v>0</v>
      </c>
      <c r="U35">
        <v>0</v>
      </c>
      <c r="V35" s="1">
        <v>2.0000000000000002E-5</v>
      </c>
      <c r="W35" s="1">
        <f t="shared" si="1"/>
        <v>0.99990000000000001</v>
      </c>
      <c r="X35" t="s">
        <v>163</v>
      </c>
      <c r="Y35" t="str">
        <f>VLOOKUP(X35,Sheet1!A:B,2,FALSE)</f>
        <v>Quercus alba L.</v>
      </c>
      <c r="Z35" t="s">
        <v>1386</v>
      </c>
      <c r="AB35" s="1">
        <f t="shared" si="2"/>
        <v>0.99990000000000001</v>
      </c>
      <c r="AD35" t="str">
        <f>IF(W35&lt;0.99,LARGE((N35:R35,U35,V35),2),"0")</f>
        <v>0</v>
      </c>
      <c r="AE35" t="str">
        <f t="shared" si="6"/>
        <v/>
      </c>
      <c r="AH35" t="str">
        <f t="shared" si="7"/>
        <v xml:space="preserve">Based on ADMIXTURE results of 78,187 SNPs, </v>
      </c>
    </row>
    <row r="36" spans="1:34" x14ac:dyDescent="0.4">
      <c r="A36">
        <v>87</v>
      </c>
      <c r="B36" t="s">
        <v>164</v>
      </c>
      <c r="C36" t="s">
        <v>22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>
        <v>1</v>
      </c>
      <c r="K36">
        <v>0</v>
      </c>
      <c r="L36" t="s">
        <v>23</v>
      </c>
      <c r="M36" t="str">
        <f t="shared" si="0"/>
        <v>&gt;0.74</v>
      </c>
      <c r="N36">
        <v>0</v>
      </c>
      <c r="O36">
        <v>0</v>
      </c>
      <c r="P36">
        <v>0.99990000000000001</v>
      </c>
      <c r="Q36">
        <v>0</v>
      </c>
      <c r="R36">
        <v>0</v>
      </c>
      <c r="S36">
        <v>0</v>
      </c>
      <c r="T36">
        <v>0</v>
      </c>
      <c r="U36">
        <v>0</v>
      </c>
      <c r="V36" s="1">
        <v>2.0000000000000002E-5</v>
      </c>
      <c r="W36" s="1">
        <f t="shared" si="1"/>
        <v>0.99990000000000001</v>
      </c>
      <c r="X36" t="s">
        <v>165</v>
      </c>
      <c r="Y36" t="str">
        <f>VLOOKUP(X36,Sheet1!A:B,2,FALSE)</f>
        <v>Quercus alba L.</v>
      </c>
      <c r="Z36" t="s">
        <v>1386</v>
      </c>
      <c r="AB36" s="1">
        <f t="shared" si="2"/>
        <v>0.99990000000000001</v>
      </c>
      <c r="AD36" t="str">
        <f>IF(W36&lt;0.99,LARGE((N36:R36,U36,V36),2),"0")</f>
        <v>0</v>
      </c>
      <c r="AE36" t="str">
        <f t="shared" si="6"/>
        <v/>
      </c>
      <c r="AH36" t="str">
        <f t="shared" si="7"/>
        <v xml:space="preserve">Based on ADMIXTURE results of 78,187 SNPs, </v>
      </c>
    </row>
    <row r="37" spans="1:34" x14ac:dyDescent="0.4">
      <c r="A37">
        <v>88</v>
      </c>
      <c r="B37" t="s">
        <v>166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22</v>
      </c>
      <c r="I37" t="s">
        <v>21</v>
      </c>
      <c r="J37">
        <v>1</v>
      </c>
      <c r="K37">
        <v>0</v>
      </c>
      <c r="L37" t="s">
        <v>23</v>
      </c>
      <c r="M37" t="str">
        <f t="shared" si="0"/>
        <v>&gt;0.74</v>
      </c>
      <c r="N37">
        <v>0</v>
      </c>
      <c r="O37">
        <v>0.99660000000000004</v>
      </c>
      <c r="P37">
        <v>0</v>
      </c>
      <c r="Q37">
        <v>0</v>
      </c>
      <c r="R37">
        <v>0</v>
      </c>
      <c r="S37">
        <v>3.3999999999999998E-3</v>
      </c>
      <c r="T37">
        <v>0</v>
      </c>
      <c r="U37">
        <v>0</v>
      </c>
      <c r="V37">
        <v>3.3730000000000001E-3</v>
      </c>
      <c r="W37" s="1">
        <f t="shared" si="1"/>
        <v>0.99660000000000004</v>
      </c>
      <c r="X37" t="s">
        <v>167</v>
      </c>
      <c r="Y37" t="str">
        <f>VLOOKUP(X37,Sheet1!A:B,2,FALSE)</f>
        <v>Quercus muehlenbergii Engelm.</v>
      </c>
      <c r="Z37" t="s">
        <v>1387</v>
      </c>
      <c r="AB37" s="1">
        <f t="shared" si="2"/>
        <v>0.99660000000000004</v>
      </c>
      <c r="AD37" t="str">
        <f>IF(W37&lt;0.99,LARGE((N37:R37,U37,V37),2),"0")</f>
        <v>0</v>
      </c>
      <c r="AE37" t="str">
        <f t="shared" si="6"/>
        <v/>
      </c>
      <c r="AH37" t="str">
        <f t="shared" si="7"/>
        <v xml:space="preserve">Based on ADMIXTURE results of 78,187 SNPs, </v>
      </c>
    </row>
    <row r="38" spans="1:34" x14ac:dyDescent="0.4">
      <c r="A38">
        <v>89</v>
      </c>
      <c r="B38" t="s">
        <v>168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22</v>
      </c>
      <c r="I38" t="s">
        <v>21</v>
      </c>
      <c r="J38">
        <v>1</v>
      </c>
      <c r="K38">
        <v>0</v>
      </c>
      <c r="L38" t="s">
        <v>23</v>
      </c>
      <c r="M38" t="str">
        <f t="shared" si="0"/>
        <v>&gt;0.74</v>
      </c>
      <c r="N38">
        <v>0</v>
      </c>
      <c r="O38">
        <v>0.99990000000000001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1">
        <v>2.0000000000000002E-5</v>
      </c>
      <c r="W38" s="1">
        <f t="shared" si="1"/>
        <v>0.99990000000000001</v>
      </c>
      <c r="X38" t="s">
        <v>169</v>
      </c>
      <c r="Y38" t="str">
        <f>VLOOKUP(X38,Sheet1!A:B,2,FALSE)</f>
        <v>Quercus muehlenbergii Engelm.</v>
      </c>
      <c r="Z38" t="s">
        <v>1387</v>
      </c>
      <c r="AB38" s="1">
        <f t="shared" si="2"/>
        <v>0.99990000000000001</v>
      </c>
      <c r="AD38" t="str">
        <f>IF(W38&lt;0.99,LARGE((N38:R38,U38,V38),2),"0")</f>
        <v>0</v>
      </c>
      <c r="AE38" t="str">
        <f t="shared" si="6"/>
        <v/>
      </c>
      <c r="AH38" t="str">
        <f t="shared" si="7"/>
        <v xml:space="preserve">Based on ADMIXTURE results of 78,187 SNPs, </v>
      </c>
    </row>
    <row r="39" spans="1:34" x14ac:dyDescent="0.4">
      <c r="A39">
        <v>90</v>
      </c>
      <c r="B39" t="s">
        <v>170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22</v>
      </c>
      <c r="I39" t="s">
        <v>21</v>
      </c>
      <c r="J39">
        <v>1</v>
      </c>
      <c r="K39">
        <v>0</v>
      </c>
      <c r="L39" t="s">
        <v>23</v>
      </c>
      <c r="M39" t="str">
        <f t="shared" si="0"/>
        <v>&gt;0.74</v>
      </c>
      <c r="N39">
        <v>0</v>
      </c>
      <c r="O39">
        <v>0.98809999999999998</v>
      </c>
      <c r="P39">
        <v>1.18E-2</v>
      </c>
      <c r="Q39">
        <v>0</v>
      </c>
      <c r="R39">
        <v>0</v>
      </c>
      <c r="S39">
        <v>0</v>
      </c>
      <c r="T39">
        <v>0</v>
      </c>
      <c r="U39">
        <v>0</v>
      </c>
      <c r="V39" s="1">
        <v>2.0000000000000002E-5</v>
      </c>
      <c r="W39" s="1">
        <f t="shared" si="1"/>
        <v>0.98809999999999998</v>
      </c>
      <c r="X39" t="s">
        <v>171</v>
      </c>
      <c r="Y39" t="str">
        <f>VLOOKUP(X39,Sheet1!A:B,2,FALSE)</f>
        <v>Quercus muehlenbergii Engelm.</v>
      </c>
      <c r="Z39" t="s">
        <v>1387</v>
      </c>
      <c r="AB39" s="1">
        <f t="shared" si="2"/>
        <v>0.98809999999999998</v>
      </c>
      <c r="AD39">
        <f>IF(W39&lt;0.99,LARGE((N39:R39,U39,V39),2),"0")</f>
        <v>1.18E-2</v>
      </c>
      <c r="AE39" t="str">
        <f t="shared" si="6"/>
        <v xml:space="preserve">trace admixed with </v>
      </c>
      <c r="AH39" t="str">
        <f t="shared" si="7"/>
        <v xml:space="preserve">Based on ADMIXTURE results of 78,187 SNPs, trace admixed with </v>
      </c>
    </row>
    <row r="40" spans="1:34" x14ac:dyDescent="0.4">
      <c r="A40">
        <v>91</v>
      </c>
      <c r="B40" t="s">
        <v>172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22</v>
      </c>
      <c r="I40" t="s">
        <v>21</v>
      </c>
      <c r="J40">
        <v>1</v>
      </c>
      <c r="K40">
        <v>0</v>
      </c>
      <c r="L40" t="s">
        <v>23</v>
      </c>
      <c r="M40" t="str">
        <f t="shared" si="0"/>
        <v>&gt;0.74</v>
      </c>
      <c r="N40">
        <v>0</v>
      </c>
      <c r="O40">
        <v>0.99990000000000001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1">
        <v>2.0000000000000002E-5</v>
      </c>
      <c r="W40" s="1">
        <f t="shared" si="1"/>
        <v>0.99990000000000001</v>
      </c>
      <c r="X40" t="s">
        <v>173</v>
      </c>
      <c r="Y40" t="str">
        <f>VLOOKUP(X40,Sheet1!A:B,2,FALSE)</f>
        <v>Quercus muehlenbergii Engelm.</v>
      </c>
      <c r="Z40" t="s">
        <v>1387</v>
      </c>
      <c r="AB40" s="1">
        <f t="shared" si="2"/>
        <v>0.99990000000000001</v>
      </c>
      <c r="AD40" t="str">
        <f>IF(W40&lt;0.99,LARGE((N40:R40,U40,V40),2),"0")</f>
        <v>0</v>
      </c>
      <c r="AE40" t="str">
        <f t="shared" si="6"/>
        <v/>
      </c>
      <c r="AH40" t="str">
        <f t="shared" si="7"/>
        <v xml:space="preserve">Based on ADMIXTURE results of 78,187 SNPs, </v>
      </c>
    </row>
    <row r="41" spans="1:34" x14ac:dyDescent="0.4">
      <c r="A41">
        <v>92</v>
      </c>
      <c r="B41" t="s">
        <v>174</v>
      </c>
      <c r="C41" t="s">
        <v>21</v>
      </c>
      <c r="D41" t="s">
        <v>21</v>
      </c>
      <c r="E41" t="s">
        <v>21</v>
      </c>
      <c r="F41" t="s">
        <v>22</v>
      </c>
      <c r="G41" t="s">
        <v>21</v>
      </c>
      <c r="H41" t="s">
        <v>21</v>
      </c>
      <c r="I41" t="s">
        <v>21</v>
      </c>
      <c r="J41">
        <v>1</v>
      </c>
      <c r="K41">
        <v>0</v>
      </c>
      <c r="L41" t="s">
        <v>23</v>
      </c>
      <c r="M41" t="str">
        <f t="shared" si="0"/>
        <v>&gt;0.74</v>
      </c>
      <c r="N41">
        <v>0</v>
      </c>
      <c r="O41">
        <v>0</v>
      </c>
      <c r="P41">
        <v>0</v>
      </c>
      <c r="Q41">
        <v>0</v>
      </c>
      <c r="R41">
        <v>0</v>
      </c>
      <c r="S41">
        <v>0.21690000000000001</v>
      </c>
      <c r="T41">
        <v>0.78300000000000003</v>
      </c>
      <c r="U41">
        <v>0</v>
      </c>
      <c r="V41">
        <v>0.99994000000000005</v>
      </c>
      <c r="W41" s="1">
        <f t="shared" si="1"/>
        <v>0.99994000000000005</v>
      </c>
      <c r="X41" t="s">
        <v>175</v>
      </c>
      <c r="Y41" t="str">
        <f>VLOOKUP(X41,Sheet1!A:B,2,FALSE)</f>
        <v>Quercus macrocarpa Michx.</v>
      </c>
      <c r="Z41" t="s">
        <v>1384</v>
      </c>
      <c r="AB41" s="1">
        <f t="shared" si="2"/>
        <v>0.99994000000000005</v>
      </c>
      <c r="AD41" t="str">
        <f>IF(W41&lt;0.99,LARGE((N41:R41,U41,V41),2),"0")</f>
        <v>0</v>
      </c>
      <c r="AE41" t="str">
        <f t="shared" si="6"/>
        <v/>
      </c>
      <c r="AH41" t="str">
        <f t="shared" si="7"/>
        <v xml:space="preserve">Based on ADMIXTURE results of 78,187 SNPs, </v>
      </c>
    </row>
    <row r="42" spans="1:34" x14ac:dyDescent="0.4">
      <c r="A42">
        <v>93</v>
      </c>
      <c r="B42" t="s">
        <v>176</v>
      </c>
      <c r="C42" t="s">
        <v>21</v>
      </c>
      <c r="D42" t="s">
        <v>21</v>
      </c>
      <c r="E42" t="s">
        <v>21</v>
      </c>
      <c r="F42" t="s">
        <v>22</v>
      </c>
      <c r="G42" t="s">
        <v>21</v>
      </c>
      <c r="H42" t="s">
        <v>21</v>
      </c>
      <c r="I42" t="s">
        <v>21</v>
      </c>
      <c r="J42">
        <v>1</v>
      </c>
      <c r="K42">
        <v>0</v>
      </c>
      <c r="L42" t="s">
        <v>23</v>
      </c>
      <c r="M42" t="str">
        <f t="shared" si="0"/>
        <v>&gt;0.74</v>
      </c>
      <c r="N42">
        <v>0</v>
      </c>
      <c r="O42">
        <v>0</v>
      </c>
      <c r="P42">
        <v>0</v>
      </c>
      <c r="Q42">
        <v>0</v>
      </c>
      <c r="R42" s="1">
        <v>1E-4</v>
      </c>
      <c r="S42">
        <v>0.17849999999999999</v>
      </c>
      <c r="T42">
        <v>0.82130000000000003</v>
      </c>
      <c r="U42">
        <v>0</v>
      </c>
      <c r="V42">
        <v>0.999857</v>
      </c>
      <c r="W42" s="1">
        <f t="shared" si="1"/>
        <v>0.999857</v>
      </c>
      <c r="X42" t="s">
        <v>177</v>
      </c>
      <c r="Y42" t="str">
        <f>VLOOKUP(X42,Sheet1!A:B,2,FALSE)</f>
        <v>Quercus macrocarpa Michx.</v>
      </c>
      <c r="Z42" t="s">
        <v>1384</v>
      </c>
      <c r="AB42" s="1">
        <f t="shared" si="2"/>
        <v>0.999857</v>
      </c>
      <c r="AD42" t="str">
        <f>IF(W42&lt;0.99,LARGE((N42:R42,U42,V42),2),"0")</f>
        <v>0</v>
      </c>
      <c r="AE42" t="str">
        <f t="shared" si="6"/>
        <v/>
      </c>
      <c r="AH42" t="str">
        <f t="shared" si="7"/>
        <v xml:space="preserve">Based on ADMIXTURE results of 78,187 SNPs, </v>
      </c>
    </row>
    <row r="43" spans="1:34" x14ac:dyDescent="0.4">
      <c r="A43">
        <v>94</v>
      </c>
      <c r="B43" t="s">
        <v>178</v>
      </c>
      <c r="C43" t="s">
        <v>22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>
        <v>1</v>
      </c>
      <c r="K43">
        <v>0</v>
      </c>
      <c r="L43" t="s">
        <v>23</v>
      </c>
      <c r="M43" t="str">
        <f t="shared" si="0"/>
        <v>&gt;0.74</v>
      </c>
      <c r="N43">
        <v>0</v>
      </c>
      <c r="O43">
        <v>0</v>
      </c>
      <c r="P43">
        <v>0.99160000000000004</v>
      </c>
      <c r="Q43">
        <v>0</v>
      </c>
      <c r="R43">
        <v>8.3000000000000001E-3</v>
      </c>
      <c r="S43">
        <v>0</v>
      </c>
      <c r="T43">
        <v>0</v>
      </c>
      <c r="U43">
        <v>0</v>
      </c>
      <c r="V43" s="1">
        <v>2.0000000000000002E-5</v>
      </c>
      <c r="W43" s="1">
        <f t="shared" si="1"/>
        <v>0.99160000000000004</v>
      </c>
      <c r="X43" t="s">
        <v>179</v>
      </c>
      <c r="Y43" t="str">
        <f>VLOOKUP(X43,Sheet1!A:B,2,FALSE)</f>
        <v>Quercus alba L.</v>
      </c>
      <c r="Z43" t="s">
        <v>1386</v>
      </c>
      <c r="AB43" s="1">
        <f t="shared" si="2"/>
        <v>0.99160000000000004</v>
      </c>
      <c r="AD43" t="str">
        <f>IF(W43&lt;0.99,LARGE((N43:R43,U43,V43),2),"0")</f>
        <v>0</v>
      </c>
      <c r="AE43" t="str">
        <f t="shared" si="6"/>
        <v/>
      </c>
      <c r="AH43" t="str">
        <f t="shared" si="7"/>
        <v xml:space="preserve">Based on ADMIXTURE results of 78,187 SNPs, </v>
      </c>
    </row>
    <row r="44" spans="1:34" x14ac:dyDescent="0.4">
      <c r="A44">
        <v>95</v>
      </c>
      <c r="B44" t="s">
        <v>180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22</v>
      </c>
      <c r="I44" t="s">
        <v>21</v>
      </c>
      <c r="J44">
        <v>1</v>
      </c>
      <c r="K44">
        <v>0</v>
      </c>
      <c r="L44" t="s">
        <v>23</v>
      </c>
      <c r="M44" t="str">
        <f t="shared" si="0"/>
        <v>&gt;0.74</v>
      </c>
      <c r="N44">
        <v>0</v>
      </c>
      <c r="O44">
        <v>0.99990000000000001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2.0000000000000002E-5</v>
      </c>
      <c r="W44" s="1">
        <f t="shared" si="1"/>
        <v>0.99990000000000001</v>
      </c>
      <c r="X44" t="s">
        <v>181</v>
      </c>
      <c r="Y44" t="str">
        <f>VLOOKUP(X44,Sheet1!A:B,2,FALSE)</f>
        <v>Quercus muehlenbergii Engelm.</v>
      </c>
      <c r="Z44" t="s">
        <v>1387</v>
      </c>
      <c r="AB44" s="1">
        <f t="shared" si="2"/>
        <v>0.99990000000000001</v>
      </c>
      <c r="AD44" t="str">
        <f>IF(W44&lt;0.99,LARGE((N44:R44,U44,V44),2),"0")</f>
        <v>0</v>
      </c>
      <c r="AE44" t="str">
        <f t="shared" si="6"/>
        <v/>
      </c>
      <c r="AH44" t="str">
        <f t="shared" si="7"/>
        <v xml:space="preserve">Based on ADMIXTURE results of 78,187 SNPs, </v>
      </c>
    </row>
    <row r="45" spans="1:34" x14ac:dyDescent="0.4">
      <c r="A45">
        <v>96</v>
      </c>
      <c r="B45" t="s">
        <v>182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22</v>
      </c>
      <c r="I45" t="s">
        <v>21</v>
      </c>
      <c r="J45">
        <v>1</v>
      </c>
      <c r="K45">
        <v>0</v>
      </c>
      <c r="L45" t="s">
        <v>23</v>
      </c>
      <c r="M45" t="str">
        <f t="shared" si="0"/>
        <v>&gt;0.74</v>
      </c>
      <c r="N45">
        <v>0</v>
      </c>
      <c r="O45">
        <v>0.99990000000000001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1">
        <v>2.3E-5</v>
      </c>
      <c r="W45" s="1">
        <f t="shared" si="1"/>
        <v>0.99990000000000001</v>
      </c>
      <c r="X45" t="s">
        <v>183</v>
      </c>
      <c r="Y45" t="str">
        <f>VLOOKUP(X45,Sheet1!A:B,2,FALSE)</f>
        <v>Quercus muehlenbergii Engelm.</v>
      </c>
      <c r="Z45" t="s">
        <v>1387</v>
      </c>
      <c r="AB45" s="1">
        <f t="shared" si="2"/>
        <v>0.99990000000000001</v>
      </c>
      <c r="AD45" t="str">
        <f>IF(W45&lt;0.99,LARGE((N45:R45,U45,V45),2),"0")</f>
        <v>0</v>
      </c>
      <c r="AE45" t="str">
        <f t="shared" si="6"/>
        <v/>
      </c>
      <c r="AH45" t="str">
        <f t="shared" si="7"/>
        <v xml:space="preserve">Based on ADMIXTURE results of 78,187 SNPs, </v>
      </c>
    </row>
    <row r="46" spans="1:34" x14ac:dyDescent="0.4">
      <c r="A46">
        <v>97</v>
      </c>
      <c r="B46" t="s">
        <v>184</v>
      </c>
      <c r="C46" t="s">
        <v>21</v>
      </c>
      <c r="D46" t="s">
        <v>22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>
        <v>1</v>
      </c>
      <c r="K46">
        <v>0</v>
      </c>
      <c r="L46" t="s">
        <v>23</v>
      </c>
      <c r="M46" t="str">
        <f t="shared" si="0"/>
        <v>&gt;0.74</v>
      </c>
      <c r="N46">
        <v>0</v>
      </c>
      <c r="O46">
        <v>0</v>
      </c>
      <c r="P46">
        <v>0</v>
      </c>
      <c r="Q46">
        <v>0.99990000000000001</v>
      </c>
      <c r="R46">
        <v>0</v>
      </c>
      <c r="S46">
        <v>0</v>
      </c>
      <c r="T46">
        <v>0</v>
      </c>
      <c r="U46">
        <v>0</v>
      </c>
      <c r="V46" s="1">
        <v>2.0000000000000002E-5</v>
      </c>
      <c r="W46" s="1">
        <f t="shared" si="1"/>
        <v>0.99990000000000001</v>
      </c>
      <c r="X46" t="s">
        <v>185</v>
      </c>
      <c r="Y46" t="str">
        <f>VLOOKUP(X46,Sheet1!A:B,2,FALSE)</f>
        <v>Quercus bicolor Willd.</v>
      </c>
      <c r="Z46" t="s">
        <v>1388</v>
      </c>
      <c r="AB46" s="1">
        <f t="shared" si="2"/>
        <v>0.99990000000000001</v>
      </c>
      <c r="AD46" t="str">
        <f>IF(W46&lt;0.99,LARGE((N46:R46,U46,V46),2),"0")</f>
        <v>0</v>
      </c>
      <c r="AE46" t="str">
        <f t="shared" si="6"/>
        <v/>
      </c>
      <c r="AH46" t="str">
        <f t="shared" si="7"/>
        <v xml:space="preserve">Based on ADMIXTURE results of 78,187 SNPs, </v>
      </c>
    </row>
    <row r="47" spans="1:34" x14ac:dyDescent="0.4">
      <c r="A47">
        <v>98</v>
      </c>
      <c r="B47" t="s">
        <v>186</v>
      </c>
      <c r="C47" t="s">
        <v>21</v>
      </c>
      <c r="D47" t="s">
        <v>22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>
        <v>1</v>
      </c>
      <c r="K47">
        <v>0</v>
      </c>
      <c r="L47" t="s">
        <v>23</v>
      </c>
      <c r="M47" t="str">
        <f t="shared" si="0"/>
        <v>&gt;0.74</v>
      </c>
      <c r="N47">
        <v>0</v>
      </c>
      <c r="O47">
        <v>0</v>
      </c>
      <c r="P47">
        <v>0</v>
      </c>
      <c r="Q47">
        <v>0.96679999999999999</v>
      </c>
      <c r="R47">
        <v>0</v>
      </c>
      <c r="S47">
        <v>0</v>
      </c>
      <c r="T47">
        <v>3.32E-2</v>
      </c>
      <c r="U47">
        <v>0</v>
      </c>
      <c r="V47">
        <v>3.3161000000000003E-2</v>
      </c>
      <c r="W47" s="1">
        <f t="shared" si="1"/>
        <v>0.96679999999999999</v>
      </c>
      <c r="X47" t="s">
        <v>187</v>
      </c>
      <c r="Y47" t="str">
        <f>VLOOKUP(X47,Sheet1!A:B,2,FALSE)</f>
        <v>Quercus bicolor Willd.</v>
      </c>
      <c r="Z47" t="s">
        <v>1388</v>
      </c>
      <c r="AB47" s="1">
        <f t="shared" si="2"/>
        <v>0.96679999999999999</v>
      </c>
      <c r="AD47">
        <f>IF(W47&lt;0.99,LARGE((N47:R47,U47,V47),2),"0")</f>
        <v>3.3161000000000003E-2</v>
      </c>
      <c r="AE47" t="str">
        <f t="shared" si="6"/>
        <v xml:space="preserve">trace admixed with </v>
      </c>
      <c r="AH47" t="str">
        <f t="shared" si="7"/>
        <v xml:space="preserve">Based on ADMIXTURE results of 78,187 SNPs, trace admixed with </v>
      </c>
    </row>
    <row r="48" spans="1:34" x14ac:dyDescent="0.4">
      <c r="A48">
        <v>542</v>
      </c>
      <c r="B48" t="s">
        <v>1076</v>
      </c>
      <c r="C48" t="s">
        <v>21</v>
      </c>
      <c r="D48" t="s">
        <v>21</v>
      </c>
      <c r="E48" t="s">
        <v>21</v>
      </c>
      <c r="F48" t="s">
        <v>22</v>
      </c>
      <c r="G48" t="s">
        <v>21</v>
      </c>
      <c r="H48" t="s">
        <v>21</v>
      </c>
      <c r="I48" t="s">
        <v>21</v>
      </c>
      <c r="J48">
        <v>1</v>
      </c>
      <c r="K48">
        <v>0</v>
      </c>
      <c r="L48" t="s">
        <v>23</v>
      </c>
      <c r="M48" t="str">
        <f t="shared" si="0"/>
        <v>&gt;0.74</v>
      </c>
      <c r="N48">
        <v>0</v>
      </c>
      <c r="O48">
        <v>0</v>
      </c>
      <c r="P48">
        <v>0</v>
      </c>
      <c r="Q48">
        <v>1.0200000000000001E-2</v>
      </c>
      <c r="R48">
        <v>0</v>
      </c>
      <c r="S48">
        <v>0.68589999999999995</v>
      </c>
      <c r="T48">
        <v>0.30380000000000001</v>
      </c>
      <c r="U48">
        <v>0</v>
      </c>
      <c r="V48">
        <v>0.98972199999999999</v>
      </c>
      <c r="W48" s="1">
        <f t="shared" si="1"/>
        <v>0.98972199999999999</v>
      </c>
      <c r="X48" t="s">
        <v>1077</v>
      </c>
      <c r="Y48" t="str">
        <f>VLOOKUP(X48,Sheet1!A:B,2,FALSE)</f>
        <v>Quercus macrocarpa Michx.</v>
      </c>
      <c r="Z48" t="s">
        <v>1384</v>
      </c>
      <c r="AB48" s="1">
        <f t="shared" si="2"/>
        <v>0.98972199999999999</v>
      </c>
      <c r="AD48">
        <f>IF(W48&lt;0.99,LARGE((N48:R48,U48,V48),2),"0")</f>
        <v>1.0200000000000001E-2</v>
      </c>
      <c r="AE48" t="str">
        <f t="shared" si="6"/>
        <v xml:space="preserve">trace admixed with </v>
      </c>
      <c r="AH48" t="str">
        <f t="shared" si="7"/>
        <v xml:space="preserve">Based on ADMIXTURE results of 78,187 SNPs, trace admixed with </v>
      </c>
    </row>
    <row r="49" spans="1:34" x14ac:dyDescent="0.4">
      <c r="A49">
        <v>543</v>
      </c>
      <c r="B49" t="s">
        <v>1078</v>
      </c>
      <c r="C49" t="s">
        <v>21</v>
      </c>
      <c r="D49" t="s">
        <v>21</v>
      </c>
      <c r="E49" t="s">
        <v>21</v>
      </c>
      <c r="F49" t="s">
        <v>22</v>
      </c>
      <c r="G49" t="s">
        <v>21</v>
      </c>
      <c r="H49" t="s">
        <v>21</v>
      </c>
      <c r="I49" t="s">
        <v>21</v>
      </c>
      <c r="J49">
        <v>1</v>
      </c>
      <c r="K49">
        <v>0</v>
      </c>
      <c r="L49" t="s">
        <v>23</v>
      </c>
      <c r="M49" t="str">
        <f t="shared" si="0"/>
        <v>&gt;0.74</v>
      </c>
      <c r="N49">
        <v>0</v>
      </c>
      <c r="O49">
        <v>0</v>
      </c>
      <c r="P49">
        <v>0</v>
      </c>
      <c r="Q49">
        <v>0</v>
      </c>
      <c r="R49">
        <v>0</v>
      </c>
      <c r="S49">
        <v>0.77190000000000003</v>
      </c>
      <c r="T49">
        <v>0.2281</v>
      </c>
      <c r="U49">
        <v>0</v>
      </c>
      <c r="V49">
        <v>0.99994000000000005</v>
      </c>
      <c r="W49" s="1">
        <f t="shared" si="1"/>
        <v>0.99994000000000005</v>
      </c>
      <c r="X49" t="s">
        <v>1079</v>
      </c>
      <c r="Y49" t="str">
        <f>VLOOKUP(X49,Sheet1!A:B,2,FALSE)</f>
        <v>Quercus macrocarpa Michx.</v>
      </c>
      <c r="Z49" t="s">
        <v>1384</v>
      </c>
      <c r="AB49" s="1">
        <f t="shared" si="2"/>
        <v>0.99994000000000005</v>
      </c>
      <c r="AD49" t="str">
        <f>IF(W49&lt;0.99,LARGE((N49:R49,U49,V49),2),"0")</f>
        <v>0</v>
      </c>
      <c r="AE49" t="str">
        <f t="shared" si="6"/>
        <v/>
      </c>
      <c r="AH49" t="str">
        <f t="shared" si="7"/>
        <v xml:space="preserve">Based on ADMIXTURE results of 78,187 SNPs, </v>
      </c>
    </row>
    <row r="50" spans="1:34" x14ac:dyDescent="0.4">
      <c r="A50">
        <v>544</v>
      </c>
      <c r="B50" t="s">
        <v>1080</v>
      </c>
      <c r="C50" t="s">
        <v>21</v>
      </c>
      <c r="D50" t="s">
        <v>21</v>
      </c>
      <c r="E50" t="s">
        <v>21</v>
      </c>
      <c r="F50" t="s">
        <v>22</v>
      </c>
      <c r="G50" t="s">
        <v>21</v>
      </c>
      <c r="H50" t="s">
        <v>21</v>
      </c>
      <c r="I50" t="s">
        <v>21</v>
      </c>
      <c r="J50">
        <v>1</v>
      </c>
      <c r="K50">
        <v>0</v>
      </c>
      <c r="L50" t="s">
        <v>23</v>
      </c>
      <c r="M50" t="str">
        <f t="shared" si="0"/>
        <v>&gt;0.74</v>
      </c>
      <c r="N50">
        <v>0</v>
      </c>
      <c r="O50">
        <v>0</v>
      </c>
      <c r="P50">
        <v>0</v>
      </c>
      <c r="Q50">
        <v>0</v>
      </c>
      <c r="R50">
        <v>0</v>
      </c>
      <c r="S50">
        <v>0.83009999999999995</v>
      </c>
      <c r="T50">
        <v>0.16980000000000001</v>
      </c>
      <c r="U50">
        <v>0</v>
      </c>
      <c r="V50">
        <v>0.99994000000000005</v>
      </c>
      <c r="W50" s="1">
        <f t="shared" si="1"/>
        <v>0.99994000000000005</v>
      </c>
      <c r="X50" t="s">
        <v>1081</v>
      </c>
      <c r="Y50" t="str">
        <f>VLOOKUP(X50,Sheet1!A:B,2,FALSE)</f>
        <v>Quercus macrocarpa Michx.</v>
      </c>
      <c r="Z50" t="s">
        <v>1384</v>
      </c>
      <c r="AB50" s="1">
        <f t="shared" si="2"/>
        <v>0.99994000000000005</v>
      </c>
      <c r="AD50" t="str">
        <f>IF(W50&lt;0.99,LARGE((N50:R50,U50,V50),2),"0")</f>
        <v>0</v>
      </c>
      <c r="AE50" t="str">
        <f t="shared" si="6"/>
        <v/>
      </c>
      <c r="AH50" t="str">
        <f t="shared" si="7"/>
        <v xml:space="preserve">Based on ADMIXTURE results of 78,187 SNPs, </v>
      </c>
    </row>
    <row r="51" spans="1:34" x14ac:dyDescent="0.4">
      <c r="A51">
        <v>545</v>
      </c>
      <c r="B51" t="s">
        <v>1082</v>
      </c>
      <c r="C51" t="s">
        <v>22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>
        <v>1</v>
      </c>
      <c r="K51">
        <v>0</v>
      </c>
      <c r="L51" t="s">
        <v>23</v>
      </c>
      <c r="M51" t="str">
        <f t="shared" si="0"/>
        <v>&gt;0.74</v>
      </c>
      <c r="N51">
        <v>0</v>
      </c>
      <c r="O51">
        <v>0</v>
      </c>
      <c r="P51">
        <v>0.99990000000000001</v>
      </c>
      <c r="Q51">
        <v>0</v>
      </c>
      <c r="R51">
        <v>0</v>
      </c>
      <c r="S51">
        <v>0</v>
      </c>
      <c r="T51">
        <v>0</v>
      </c>
      <c r="U51">
        <v>0</v>
      </c>
      <c r="V51" s="1">
        <v>2.0999999999999999E-5</v>
      </c>
      <c r="W51" s="1">
        <f t="shared" si="1"/>
        <v>0.99990000000000001</v>
      </c>
      <c r="X51" t="s">
        <v>1083</v>
      </c>
      <c r="Y51" t="str">
        <f>VLOOKUP(X51,Sheet1!A:B,2,FALSE)</f>
        <v>Quercus alba L.</v>
      </c>
      <c r="Z51" t="s">
        <v>1386</v>
      </c>
      <c r="AB51" s="1">
        <f t="shared" si="2"/>
        <v>0.99990000000000001</v>
      </c>
      <c r="AD51" t="str">
        <f>IF(W51&lt;0.99,LARGE((N51:R51,U51,V51),2),"0")</f>
        <v>0</v>
      </c>
      <c r="AE51" t="str">
        <f t="shared" si="6"/>
        <v/>
      </c>
      <c r="AH51" t="str">
        <f t="shared" si="7"/>
        <v xml:space="preserve">Based on ADMIXTURE results of 78,187 SNPs, </v>
      </c>
    </row>
    <row r="52" spans="1:34" x14ac:dyDescent="0.4">
      <c r="A52">
        <v>546</v>
      </c>
      <c r="B52" t="s">
        <v>1084</v>
      </c>
      <c r="C52" t="s">
        <v>22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>
        <v>1</v>
      </c>
      <c r="K52">
        <v>0</v>
      </c>
      <c r="L52" t="s">
        <v>23</v>
      </c>
      <c r="M52" t="str">
        <f t="shared" si="0"/>
        <v>&gt;0.74</v>
      </c>
      <c r="N52">
        <v>0</v>
      </c>
      <c r="O52">
        <v>0</v>
      </c>
      <c r="P52">
        <v>0.99990000000000001</v>
      </c>
      <c r="Q52">
        <v>0</v>
      </c>
      <c r="R52">
        <v>0</v>
      </c>
      <c r="S52">
        <v>0</v>
      </c>
      <c r="T52">
        <v>0</v>
      </c>
      <c r="U52">
        <v>0</v>
      </c>
      <c r="V52" s="1">
        <v>2.0000000000000002E-5</v>
      </c>
      <c r="W52" s="1">
        <f t="shared" si="1"/>
        <v>0.99990000000000001</v>
      </c>
      <c r="X52" t="s">
        <v>1085</v>
      </c>
      <c r="Y52" t="str">
        <f>VLOOKUP(X52,Sheet1!A:B,2,FALSE)</f>
        <v>Quercus alba L.</v>
      </c>
      <c r="Z52" t="s">
        <v>1386</v>
      </c>
      <c r="AB52" s="1">
        <f t="shared" si="2"/>
        <v>0.99990000000000001</v>
      </c>
      <c r="AD52" t="str">
        <f>IF(W52&lt;0.99,LARGE((N52:R52,U52,V52),2),"0")</f>
        <v>0</v>
      </c>
      <c r="AE52" t="str">
        <f t="shared" si="6"/>
        <v/>
      </c>
      <c r="AH52" t="str">
        <f t="shared" si="7"/>
        <v xml:space="preserve">Based on ADMIXTURE results of 78,187 SNPs, </v>
      </c>
    </row>
    <row r="53" spans="1:34" x14ac:dyDescent="0.4">
      <c r="A53">
        <v>547</v>
      </c>
      <c r="B53" t="s">
        <v>1086</v>
      </c>
      <c r="C53" t="s">
        <v>21</v>
      </c>
      <c r="D53" t="s">
        <v>21</v>
      </c>
      <c r="E53" t="s">
        <v>21</v>
      </c>
      <c r="F53" t="s">
        <v>22</v>
      </c>
      <c r="G53" t="s">
        <v>21</v>
      </c>
      <c r="H53" t="s">
        <v>21</v>
      </c>
      <c r="I53" t="s">
        <v>21</v>
      </c>
      <c r="J53">
        <v>1</v>
      </c>
      <c r="K53">
        <v>0</v>
      </c>
      <c r="L53" t="s">
        <v>23</v>
      </c>
      <c r="M53" t="str">
        <f t="shared" si="0"/>
        <v>&gt;0.74</v>
      </c>
      <c r="N53">
        <v>0</v>
      </c>
      <c r="O53">
        <v>0</v>
      </c>
      <c r="P53">
        <v>0</v>
      </c>
      <c r="Q53">
        <v>0</v>
      </c>
      <c r="R53">
        <v>0</v>
      </c>
      <c r="S53">
        <v>0.65249999999999997</v>
      </c>
      <c r="T53">
        <v>0.34739999999999999</v>
      </c>
      <c r="U53">
        <v>0</v>
      </c>
      <c r="V53">
        <v>0.99993399999999999</v>
      </c>
      <c r="W53" s="1">
        <f t="shared" si="1"/>
        <v>0.99993399999999999</v>
      </c>
      <c r="X53" t="s">
        <v>1087</v>
      </c>
      <c r="Y53" t="str">
        <f>VLOOKUP(X53,Sheet1!A:B,2,FALSE)</f>
        <v>Quercus macrocarpa Michx.</v>
      </c>
      <c r="Z53" t="s">
        <v>1384</v>
      </c>
      <c r="AB53" s="1">
        <f t="shared" si="2"/>
        <v>0.99993399999999999</v>
      </c>
      <c r="AD53" t="str">
        <f>IF(W53&lt;0.99,LARGE((N53:R53,U53,V53),2),"0")</f>
        <v>0</v>
      </c>
      <c r="AE53" t="str">
        <f t="shared" si="6"/>
        <v/>
      </c>
      <c r="AH53" t="str">
        <f t="shared" si="7"/>
        <v xml:space="preserve">Based on ADMIXTURE results of 78,187 SNPs, </v>
      </c>
    </row>
    <row r="54" spans="1:34" x14ac:dyDescent="0.4">
      <c r="A54">
        <v>548</v>
      </c>
      <c r="B54" t="s">
        <v>1088</v>
      </c>
      <c r="C54" t="s">
        <v>21</v>
      </c>
      <c r="D54" t="s">
        <v>21</v>
      </c>
      <c r="E54" t="s">
        <v>21</v>
      </c>
      <c r="F54" t="s">
        <v>22</v>
      </c>
      <c r="G54" t="s">
        <v>21</v>
      </c>
      <c r="H54" t="s">
        <v>21</v>
      </c>
      <c r="I54" t="s">
        <v>21</v>
      </c>
      <c r="J54">
        <v>1</v>
      </c>
      <c r="K54">
        <v>0</v>
      </c>
      <c r="L54" t="s">
        <v>23</v>
      </c>
      <c r="M54" t="str">
        <f t="shared" si="0"/>
        <v>&gt;0.74</v>
      </c>
      <c r="N54">
        <v>0</v>
      </c>
      <c r="O54">
        <v>0</v>
      </c>
      <c r="P54">
        <v>0</v>
      </c>
      <c r="Q54">
        <v>0</v>
      </c>
      <c r="R54">
        <v>0</v>
      </c>
      <c r="S54">
        <v>0.48780000000000001</v>
      </c>
      <c r="T54">
        <v>0.50719999999999998</v>
      </c>
      <c r="U54">
        <v>5.0000000000000001E-3</v>
      </c>
      <c r="V54">
        <v>0.99497599999999997</v>
      </c>
      <c r="W54" s="1">
        <f t="shared" si="1"/>
        <v>0.99497599999999997</v>
      </c>
      <c r="X54" t="s">
        <v>1089</v>
      </c>
      <c r="Y54" t="str">
        <f>VLOOKUP(X54,Sheet1!A:B,2,FALSE)</f>
        <v>Quercus macrocarpa Michx.</v>
      </c>
      <c r="Z54" t="s">
        <v>1384</v>
      </c>
      <c r="AB54" s="1">
        <f t="shared" si="2"/>
        <v>0.99497599999999997</v>
      </c>
      <c r="AD54" t="str">
        <f>IF(W54&lt;0.99,LARGE((N54:R54,U54,V54),2),"0")</f>
        <v>0</v>
      </c>
      <c r="AE54" t="str">
        <f t="shared" si="6"/>
        <v/>
      </c>
      <c r="AH54" t="str">
        <f t="shared" si="7"/>
        <v xml:space="preserve">Based on ADMIXTURE results of 78,187 SNPs, </v>
      </c>
    </row>
    <row r="55" spans="1:34" x14ac:dyDescent="0.4">
      <c r="A55">
        <v>549</v>
      </c>
      <c r="B55" t="s">
        <v>1090</v>
      </c>
      <c r="C55" t="s">
        <v>22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>
        <v>1</v>
      </c>
      <c r="K55">
        <v>0</v>
      </c>
      <c r="L55" t="s">
        <v>23</v>
      </c>
      <c r="M55" t="str">
        <f t="shared" si="0"/>
        <v>&gt;0.74</v>
      </c>
      <c r="N55">
        <v>0</v>
      </c>
      <c r="O55">
        <v>0</v>
      </c>
      <c r="P55">
        <v>0.99990000000000001</v>
      </c>
      <c r="Q55">
        <v>0</v>
      </c>
      <c r="R55">
        <v>0</v>
      </c>
      <c r="S55">
        <v>0</v>
      </c>
      <c r="T55">
        <v>0</v>
      </c>
      <c r="U55">
        <v>0</v>
      </c>
      <c r="V55" s="1">
        <v>2.0000000000000002E-5</v>
      </c>
      <c r="W55" s="1">
        <f t="shared" si="1"/>
        <v>0.99990000000000001</v>
      </c>
      <c r="X55" t="s">
        <v>1091</v>
      </c>
      <c r="Y55" t="str">
        <f>VLOOKUP(X55,Sheet1!A:B,2,FALSE)</f>
        <v>Quercus alba L.</v>
      </c>
      <c r="Z55" t="s">
        <v>1386</v>
      </c>
      <c r="AB55" s="1">
        <f t="shared" si="2"/>
        <v>0.99990000000000001</v>
      </c>
      <c r="AD55" t="str">
        <f>IF(W55&lt;0.99,LARGE((N55:R55,U55,V55),2),"0")</f>
        <v>0</v>
      </c>
      <c r="AE55" t="str">
        <f t="shared" si="6"/>
        <v/>
      </c>
      <c r="AH55" t="str">
        <f t="shared" si="7"/>
        <v xml:space="preserve">Based on ADMIXTURE results of 78,187 SNPs, </v>
      </c>
    </row>
    <row r="56" spans="1:34" x14ac:dyDescent="0.4">
      <c r="A56">
        <v>550</v>
      </c>
      <c r="B56" t="s">
        <v>1092</v>
      </c>
      <c r="C56" t="s">
        <v>22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>
        <v>1</v>
      </c>
      <c r="K56">
        <v>0</v>
      </c>
      <c r="L56" t="s">
        <v>23</v>
      </c>
      <c r="M56" t="str">
        <f t="shared" si="0"/>
        <v>&gt;0.74</v>
      </c>
      <c r="N56">
        <v>0</v>
      </c>
      <c r="O56">
        <v>0</v>
      </c>
      <c r="P56">
        <v>0.99990000000000001</v>
      </c>
      <c r="Q56">
        <v>0</v>
      </c>
      <c r="R56">
        <v>0</v>
      </c>
      <c r="S56">
        <v>0</v>
      </c>
      <c r="T56">
        <v>0</v>
      </c>
      <c r="U56">
        <v>0</v>
      </c>
      <c r="V56" s="1">
        <v>2.0000000000000002E-5</v>
      </c>
      <c r="W56" s="1">
        <f t="shared" si="1"/>
        <v>0.99990000000000001</v>
      </c>
      <c r="X56" t="s">
        <v>1093</v>
      </c>
      <c r="Y56" t="str">
        <f>VLOOKUP(X56,Sheet1!A:B,2,FALSE)</f>
        <v>Quercus alba L.</v>
      </c>
      <c r="Z56" t="s">
        <v>1386</v>
      </c>
      <c r="AB56" s="1">
        <f t="shared" si="2"/>
        <v>0.99990000000000001</v>
      </c>
      <c r="AD56" t="str">
        <f>IF(W56&lt;0.99,LARGE((N56:R56,U56,V56),2),"0")</f>
        <v>0</v>
      </c>
      <c r="AE56" t="str">
        <f t="shared" si="6"/>
        <v/>
      </c>
      <c r="AH56" t="str">
        <f t="shared" si="7"/>
        <v xml:space="preserve">Based on ADMIXTURE results of 78,187 SNPs, </v>
      </c>
    </row>
    <row r="57" spans="1:34" x14ac:dyDescent="0.4">
      <c r="A57">
        <v>551</v>
      </c>
      <c r="B57" t="s">
        <v>1094</v>
      </c>
      <c r="C57" t="s">
        <v>22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>
        <v>1</v>
      </c>
      <c r="K57">
        <v>0</v>
      </c>
      <c r="L57" t="s">
        <v>23</v>
      </c>
      <c r="M57" t="str">
        <f t="shared" si="0"/>
        <v>&gt;0.74</v>
      </c>
      <c r="N57">
        <v>0</v>
      </c>
      <c r="O57">
        <v>0</v>
      </c>
      <c r="P57">
        <v>0.99990000000000001</v>
      </c>
      <c r="Q57">
        <v>0</v>
      </c>
      <c r="R57">
        <v>0</v>
      </c>
      <c r="S57">
        <v>0</v>
      </c>
      <c r="T57">
        <v>0</v>
      </c>
      <c r="U57">
        <v>0</v>
      </c>
      <c r="V57" s="1">
        <v>2.0000000000000002E-5</v>
      </c>
      <c r="W57" s="1">
        <f t="shared" si="1"/>
        <v>0.99990000000000001</v>
      </c>
      <c r="X57" t="s">
        <v>1095</v>
      </c>
      <c r="Y57" t="str">
        <f>VLOOKUP(X57,Sheet1!A:B,2,FALSE)</f>
        <v>Quercus alba L.</v>
      </c>
      <c r="Z57" t="s">
        <v>1386</v>
      </c>
      <c r="AB57" s="1">
        <f t="shared" si="2"/>
        <v>0.99990000000000001</v>
      </c>
      <c r="AD57" t="str">
        <f>IF(W57&lt;0.99,LARGE((N57:R57,U57,V57),2),"0")</f>
        <v>0</v>
      </c>
      <c r="AE57" t="str">
        <f t="shared" si="6"/>
        <v/>
      </c>
      <c r="AH57" t="str">
        <f t="shared" si="7"/>
        <v xml:space="preserve">Based on ADMIXTURE results of 78,187 SNPs, </v>
      </c>
    </row>
    <row r="58" spans="1:34" x14ac:dyDescent="0.4">
      <c r="A58">
        <v>18</v>
      </c>
      <c r="B58" t="s">
        <v>24</v>
      </c>
      <c r="C58" t="s">
        <v>25</v>
      </c>
      <c r="D58" t="s">
        <v>21</v>
      </c>
      <c r="E58" t="s">
        <v>21</v>
      </c>
      <c r="F58" t="s">
        <v>21</v>
      </c>
      <c r="G58" t="s">
        <v>25</v>
      </c>
      <c r="H58" t="s">
        <v>21</v>
      </c>
      <c r="I58" t="s">
        <v>21</v>
      </c>
      <c r="J58">
        <v>0</v>
      </c>
      <c r="K58">
        <v>2</v>
      </c>
      <c r="L58" t="s">
        <v>1434</v>
      </c>
      <c r="M58" t="str">
        <f t="shared" si="0"/>
        <v>&gt;0.74</v>
      </c>
      <c r="N58">
        <v>0</v>
      </c>
      <c r="O58">
        <v>0</v>
      </c>
      <c r="P58">
        <v>5.8400000000000001E-2</v>
      </c>
      <c r="Q58">
        <v>0</v>
      </c>
      <c r="R58">
        <v>0</v>
      </c>
      <c r="S58">
        <v>0</v>
      </c>
      <c r="T58">
        <v>0</v>
      </c>
      <c r="U58">
        <v>0.94159999999999999</v>
      </c>
      <c r="V58" s="1">
        <v>2.0000000000000002E-5</v>
      </c>
      <c r="W58" s="1">
        <f t="shared" si="1"/>
        <v>0.94159999999999999</v>
      </c>
      <c r="X58" t="s">
        <v>27</v>
      </c>
      <c r="Y58" t="str">
        <f>VLOOKUP(X58,Sheet1!A:B,2,FALSE)</f>
        <v>Quercus michauxii Nutt.</v>
      </c>
      <c r="Z58" t="s">
        <v>1389</v>
      </c>
      <c r="AB58" s="1">
        <f t="shared" si="2"/>
        <v>0.94159999999999999</v>
      </c>
      <c r="AC58" s="3" t="s">
        <v>1430</v>
      </c>
      <c r="AD58">
        <f>IF(W58&lt;0.99,LARGE((N58:R58,U58,V58),2),"0")</f>
        <v>5.8400000000000001E-2</v>
      </c>
      <c r="AE58" t="str">
        <f>IF(AND(AB58&lt;0.99,AD58&gt;0.1,AB58&gt;0.6),"admixed with ",IF(AND(AB58&lt;0.99,AD58&gt;0.01,AD58&lt;0.4),"trace admixed with ",""))</f>
        <v xml:space="preserve">trace admixed with </v>
      </c>
      <c r="AG58" t="str">
        <f>IF(AB58+AD58&lt;0.99,LARGE((N58:R58,U58,V58),3),"")</f>
        <v/>
      </c>
      <c r="AH58" t="s">
        <v>1420</v>
      </c>
    </row>
    <row r="59" spans="1:34" x14ac:dyDescent="0.4">
      <c r="A59">
        <v>19</v>
      </c>
      <c r="B59" t="s">
        <v>28</v>
      </c>
      <c r="C59" t="s">
        <v>21</v>
      </c>
      <c r="D59" t="s">
        <v>21</v>
      </c>
      <c r="E59" t="s">
        <v>21</v>
      </c>
      <c r="F59" t="s">
        <v>21</v>
      </c>
      <c r="G59" t="s">
        <v>22</v>
      </c>
      <c r="H59" t="s">
        <v>21</v>
      </c>
      <c r="I59" t="s">
        <v>21</v>
      </c>
      <c r="J59">
        <v>1</v>
      </c>
      <c r="K59">
        <v>0</v>
      </c>
      <c r="L59" t="s">
        <v>23</v>
      </c>
      <c r="M59" t="str">
        <f t="shared" si="0"/>
        <v>&gt;0.74</v>
      </c>
      <c r="N59">
        <v>0</v>
      </c>
      <c r="O59">
        <v>0</v>
      </c>
      <c r="P59">
        <v>5.2900000000000003E-2</v>
      </c>
      <c r="Q59">
        <v>0</v>
      </c>
      <c r="R59">
        <v>0</v>
      </c>
      <c r="S59">
        <v>0</v>
      </c>
      <c r="T59">
        <v>0</v>
      </c>
      <c r="U59">
        <v>0.94699999999999995</v>
      </c>
      <c r="V59" s="1">
        <v>2.0000000000000002E-5</v>
      </c>
      <c r="W59" s="1">
        <f t="shared" si="1"/>
        <v>0.94699999999999995</v>
      </c>
      <c r="X59" t="s">
        <v>29</v>
      </c>
      <c r="Y59" t="str">
        <f>VLOOKUP(X59,Sheet1!A:B,2,FALSE)</f>
        <v>Quercus michauxii Nutt.</v>
      </c>
      <c r="Z59" t="s">
        <v>1389</v>
      </c>
      <c r="AB59" s="1">
        <f t="shared" si="2"/>
        <v>0.94699999999999995</v>
      </c>
      <c r="AD59">
        <f>IF(W59&lt;0.99,LARGE((N59:R59,U59,V59),2),"0")</f>
        <v>5.2900000000000003E-2</v>
      </c>
      <c r="AE59" t="str">
        <f t="shared" ref="AE59:AE82" si="8">IF(AND(AB59&lt;0.99,AD59&gt;0.1),"admixed with",IF(AND(AB59&lt;0.99,AD59&gt;0.01),"trace admixed with ",""))</f>
        <v xml:space="preserve">trace admixed with </v>
      </c>
      <c r="AH59" t="str">
        <f t="shared" ref="AH59:AH122" si="9">_xlfn.CONCAT("Based on ADMIXTURE results of 78,187 SNPs, ",AE59,AC59)</f>
        <v xml:space="preserve">Based on ADMIXTURE results of 78,187 SNPs, trace admixed with </v>
      </c>
    </row>
    <row r="60" spans="1:34" x14ac:dyDescent="0.4">
      <c r="A60">
        <v>20</v>
      </c>
      <c r="B60" t="s">
        <v>30</v>
      </c>
      <c r="C60" t="s">
        <v>21</v>
      </c>
      <c r="D60" t="s">
        <v>21</v>
      </c>
      <c r="E60" t="s">
        <v>21</v>
      </c>
      <c r="F60" t="s">
        <v>21</v>
      </c>
      <c r="G60" t="s">
        <v>22</v>
      </c>
      <c r="H60" t="s">
        <v>21</v>
      </c>
      <c r="I60" t="s">
        <v>21</v>
      </c>
      <c r="J60">
        <v>1</v>
      </c>
      <c r="K60">
        <v>0</v>
      </c>
      <c r="L60" t="s">
        <v>23</v>
      </c>
      <c r="M60" t="str">
        <f t="shared" si="0"/>
        <v>&gt;0.74</v>
      </c>
      <c r="N60">
        <v>0</v>
      </c>
      <c r="O60">
        <v>0</v>
      </c>
      <c r="P60">
        <v>4.8599999999999997E-2</v>
      </c>
      <c r="Q60">
        <v>0</v>
      </c>
      <c r="R60">
        <v>0</v>
      </c>
      <c r="S60">
        <v>0</v>
      </c>
      <c r="T60">
        <v>0</v>
      </c>
      <c r="U60">
        <v>0.95130000000000003</v>
      </c>
      <c r="V60" s="1">
        <v>2.0000000000000002E-5</v>
      </c>
      <c r="W60" s="1">
        <f t="shared" si="1"/>
        <v>0.95130000000000003</v>
      </c>
      <c r="X60" t="s">
        <v>31</v>
      </c>
      <c r="Y60" t="str">
        <f>VLOOKUP(X60,Sheet1!A:B,2,FALSE)</f>
        <v>Quercus michauxii Nutt.</v>
      </c>
      <c r="Z60" t="s">
        <v>1389</v>
      </c>
      <c r="AB60" s="1">
        <f t="shared" si="2"/>
        <v>0.95130000000000003</v>
      </c>
      <c r="AD60">
        <f>IF(W60&lt;0.99,LARGE((N60:R60,U60,V60),2),"0")</f>
        <v>4.8599999999999997E-2</v>
      </c>
      <c r="AE60" t="str">
        <f t="shared" si="8"/>
        <v xml:space="preserve">trace admixed with </v>
      </c>
      <c r="AH60" t="str">
        <f t="shared" si="9"/>
        <v xml:space="preserve">Based on ADMIXTURE results of 78,187 SNPs, trace admixed with </v>
      </c>
    </row>
    <row r="61" spans="1:34" x14ac:dyDescent="0.4">
      <c r="A61">
        <v>30</v>
      </c>
      <c r="B61" t="s">
        <v>50</v>
      </c>
      <c r="C61" t="s">
        <v>21</v>
      </c>
      <c r="D61" t="s">
        <v>21</v>
      </c>
      <c r="E61" t="s">
        <v>21</v>
      </c>
      <c r="F61" t="s">
        <v>22</v>
      </c>
      <c r="G61" t="s">
        <v>21</v>
      </c>
      <c r="H61" t="s">
        <v>21</v>
      </c>
      <c r="I61" t="s">
        <v>21</v>
      </c>
      <c r="J61">
        <v>1</v>
      </c>
      <c r="K61">
        <v>0</v>
      </c>
      <c r="L61" t="s">
        <v>23</v>
      </c>
      <c r="M61" t="str">
        <f t="shared" si="0"/>
        <v>&gt;0.74</v>
      </c>
      <c r="N61">
        <v>0</v>
      </c>
      <c r="O61">
        <v>0</v>
      </c>
      <c r="P61">
        <v>0</v>
      </c>
      <c r="Q61">
        <v>0</v>
      </c>
      <c r="R61">
        <v>0</v>
      </c>
      <c r="S61">
        <v>0.1472</v>
      </c>
      <c r="T61">
        <v>0.8528</v>
      </c>
      <c r="U61">
        <v>0</v>
      </c>
      <c r="V61">
        <v>0.99994000000000005</v>
      </c>
      <c r="W61" s="1">
        <f t="shared" si="1"/>
        <v>0.99994000000000005</v>
      </c>
      <c r="X61" t="s">
        <v>51</v>
      </c>
      <c r="Y61" t="str">
        <f>VLOOKUP(X61,Sheet1!A:B,2,FALSE)</f>
        <v>Quercus macrocarpa Michx.</v>
      </c>
      <c r="Z61" t="s">
        <v>1384</v>
      </c>
      <c r="AB61" s="1">
        <f t="shared" si="2"/>
        <v>0.99994000000000005</v>
      </c>
      <c r="AD61" t="str">
        <f>IF(W61&lt;0.99,LARGE((N61:R61,U61,V61),2),"0")</f>
        <v>0</v>
      </c>
      <c r="AE61" t="str">
        <f t="shared" si="8"/>
        <v/>
      </c>
      <c r="AH61" t="str">
        <f t="shared" si="9"/>
        <v xml:space="preserve">Based on ADMIXTURE results of 78,187 SNPs, </v>
      </c>
    </row>
    <row r="62" spans="1:34" x14ac:dyDescent="0.4">
      <c r="A62">
        <v>33</v>
      </c>
      <c r="B62" t="s">
        <v>56</v>
      </c>
      <c r="C62" t="s">
        <v>22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>
        <v>1</v>
      </c>
      <c r="K62">
        <v>0</v>
      </c>
      <c r="L62" t="s">
        <v>23</v>
      </c>
      <c r="M62" t="str">
        <f t="shared" si="0"/>
        <v>&gt;0.74</v>
      </c>
      <c r="N62">
        <v>0</v>
      </c>
      <c r="O62">
        <v>0</v>
      </c>
      <c r="P62">
        <v>0.99990000000000001</v>
      </c>
      <c r="Q62">
        <v>0</v>
      </c>
      <c r="R62">
        <v>0</v>
      </c>
      <c r="S62">
        <v>0</v>
      </c>
      <c r="T62">
        <v>0</v>
      </c>
      <c r="U62">
        <v>0</v>
      </c>
      <c r="V62" s="1">
        <v>2.0000000000000002E-5</v>
      </c>
      <c r="W62" s="1">
        <f t="shared" si="1"/>
        <v>0.99990000000000001</v>
      </c>
      <c r="X62" t="s">
        <v>57</v>
      </c>
      <c r="Y62" t="str">
        <f>VLOOKUP(X62,Sheet1!A:B,2,FALSE)</f>
        <v>Quercus alba L.</v>
      </c>
      <c r="Z62" t="s">
        <v>1386</v>
      </c>
      <c r="AB62" s="1">
        <f t="shared" si="2"/>
        <v>0.99990000000000001</v>
      </c>
      <c r="AD62" t="str">
        <f>IF(W62&lt;0.99,LARGE((N62:R62,U62,V62),2),"0")</f>
        <v>0</v>
      </c>
      <c r="AE62" t="str">
        <f t="shared" si="8"/>
        <v/>
      </c>
      <c r="AH62" t="str">
        <f t="shared" si="9"/>
        <v xml:space="preserve">Based on ADMIXTURE results of 78,187 SNPs, </v>
      </c>
    </row>
    <row r="63" spans="1:34" x14ac:dyDescent="0.4">
      <c r="A63">
        <v>32</v>
      </c>
      <c r="B63" t="s">
        <v>54</v>
      </c>
      <c r="C63" t="s">
        <v>21</v>
      </c>
      <c r="D63" t="s">
        <v>21</v>
      </c>
      <c r="E63" t="s">
        <v>21</v>
      </c>
      <c r="F63" t="s">
        <v>22</v>
      </c>
      <c r="G63" t="s">
        <v>21</v>
      </c>
      <c r="H63" t="s">
        <v>21</v>
      </c>
      <c r="I63" t="s">
        <v>21</v>
      </c>
      <c r="J63">
        <v>1</v>
      </c>
      <c r="K63">
        <v>0</v>
      </c>
      <c r="L63" t="s">
        <v>23</v>
      </c>
      <c r="M63" t="str">
        <f t="shared" si="0"/>
        <v>&gt;0.74</v>
      </c>
      <c r="N63">
        <v>0</v>
      </c>
      <c r="O63">
        <v>0</v>
      </c>
      <c r="P63">
        <v>0</v>
      </c>
      <c r="Q63">
        <v>0</v>
      </c>
      <c r="R63">
        <v>0</v>
      </c>
      <c r="S63">
        <v>7.7299999999999994E-2</v>
      </c>
      <c r="T63">
        <v>0.92269999999999996</v>
      </c>
      <c r="U63">
        <v>0</v>
      </c>
      <c r="V63">
        <v>0.99994000000000005</v>
      </c>
      <c r="W63" s="1">
        <f t="shared" si="1"/>
        <v>0.99994000000000005</v>
      </c>
      <c r="X63" t="s">
        <v>55</v>
      </c>
      <c r="Y63" t="str">
        <f>VLOOKUP(X63,Sheet1!A:B,2,FALSE)</f>
        <v>Quercus macrocarpa Michx.</v>
      </c>
      <c r="Z63" t="s">
        <v>1384</v>
      </c>
      <c r="AB63" s="1">
        <f t="shared" si="2"/>
        <v>0.99994000000000005</v>
      </c>
      <c r="AD63" t="str">
        <f>IF(W63&lt;0.99,LARGE((N63:R63,U63,V63),2),"0")</f>
        <v>0</v>
      </c>
      <c r="AE63" t="str">
        <f t="shared" si="8"/>
        <v/>
      </c>
      <c r="AH63" t="str">
        <f t="shared" si="9"/>
        <v xml:space="preserve">Based on ADMIXTURE results of 78,187 SNPs, </v>
      </c>
    </row>
    <row r="64" spans="1:34" x14ac:dyDescent="0.4">
      <c r="A64">
        <v>31</v>
      </c>
      <c r="B64" t="s">
        <v>52</v>
      </c>
      <c r="C64" t="s">
        <v>22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>
        <v>1</v>
      </c>
      <c r="K64">
        <v>0</v>
      </c>
      <c r="L64" t="s">
        <v>23</v>
      </c>
      <c r="M64" t="str">
        <f t="shared" si="0"/>
        <v>&gt;0.74</v>
      </c>
      <c r="N64">
        <v>0</v>
      </c>
      <c r="O64">
        <v>0</v>
      </c>
      <c r="P64">
        <v>0.99990000000000001</v>
      </c>
      <c r="Q64">
        <v>0</v>
      </c>
      <c r="R64">
        <v>0</v>
      </c>
      <c r="S64">
        <v>0</v>
      </c>
      <c r="T64">
        <v>0</v>
      </c>
      <c r="U64">
        <v>0</v>
      </c>
      <c r="V64" s="1">
        <v>2.0000000000000002E-5</v>
      </c>
      <c r="W64" s="1">
        <f t="shared" si="1"/>
        <v>0.99990000000000001</v>
      </c>
      <c r="X64" t="s">
        <v>53</v>
      </c>
      <c r="Y64" t="str">
        <f>VLOOKUP(X64,Sheet1!A:B,2,FALSE)</f>
        <v>Quercus alba L.</v>
      </c>
      <c r="Z64" t="s">
        <v>1386</v>
      </c>
      <c r="AB64" s="1">
        <f t="shared" si="2"/>
        <v>0.99990000000000001</v>
      </c>
      <c r="AD64" t="str">
        <f>IF(W64&lt;0.99,LARGE((N64:R64,U64,V64),2),"0")</f>
        <v>0</v>
      </c>
      <c r="AE64" t="str">
        <f t="shared" si="8"/>
        <v/>
      </c>
      <c r="AH64" t="str">
        <f t="shared" si="9"/>
        <v xml:space="preserve">Based on ADMIXTURE results of 78,187 SNPs, </v>
      </c>
    </row>
    <row r="65" spans="1:34" x14ac:dyDescent="0.4">
      <c r="A65">
        <v>34</v>
      </c>
      <c r="B65" t="s">
        <v>58</v>
      </c>
      <c r="C65" t="s">
        <v>21</v>
      </c>
      <c r="D65" t="s">
        <v>22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>
        <v>1</v>
      </c>
      <c r="K65">
        <v>0</v>
      </c>
      <c r="L65" t="s">
        <v>23</v>
      </c>
      <c r="M65" t="str">
        <f t="shared" si="0"/>
        <v>&gt;0.74</v>
      </c>
      <c r="N65">
        <v>0</v>
      </c>
      <c r="O65">
        <v>0</v>
      </c>
      <c r="P65">
        <v>0</v>
      </c>
      <c r="Q65">
        <v>0.99570000000000003</v>
      </c>
      <c r="R65">
        <v>0</v>
      </c>
      <c r="S65">
        <v>0</v>
      </c>
      <c r="T65">
        <v>4.1999999999999997E-3</v>
      </c>
      <c r="U65">
        <v>0</v>
      </c>
      <c r="V65">
        <v>4.2310000000000004E-3</v>
      </c>
      <c r="W65" s="1">
        <f t="shared" si="1"/>
        <v>0.99570000000000003</v>
      </c>
      <c r="X65" t="s">
        <v>59</v>
      </c>
      <c r="Y65" t="str">
        <f>VLOOKUP(X65,Sheet1!A:B,2,FALSE)</f>
        <v>Quercus bicolor Willd.</v>
      </c>
      <c r="Z65" t="s">
        <v>1388</v>
      </c>
      <c r="AB65" s="1">
        <f t="shared" si="2"/>
        <v>0.99570000000000003</v>
      </c>
      <c r="AD65" t="str">
        <f>IF(W65&lt;0.99,LARGE((N65:R65,U65,V65),2),"0")</f>
        <v>0</v>
      </c>
      <c r="AE65" t="str">
        <f t="shared" si="8"/>
        <v/>
      </c>
      <c r="AH65" t="str">
        <f t="shared" si="9"/>
        <v xml:space="preserve">Based on ADMIXTURE results of 78,187 SNPs, </v>
      </c>
    </row>
    <row r="66" spans="1:34" x14ac:dyDescent="0.4">
      <c r="A66">
        <v>35</v>
      </c>
      <c r="B66" t="s">
        <v>60</v>
      </c>
      <c r="C66" t="s">
        <v>22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>
        <v>1</v>
      </c>
      <c r="K66">
        <v>0</v>
      </c>
      <c r="L66" t="s">
        <v>23</v>
      </c>
      <c r="M66" t="str">
        <f t="shared" ref="M66:M129" si="10">IF(AND(W66&lt;0.58,W66&gt;0.2),"F1",IF(W66&lt;0.74,"BC1?","&gt;0.74"))</f>
        <v>&gt;0.74</v>
      </c>
      <c r="N66">
        <v>0</v>
      </c>
      <c r="O66">
        <v>0</v>
      </c>
      <c r="P66">
        <v>0.99990000000000001</v>
      </c>
      <c r="Q66">
        <v>0</v>
      </c>
      <c r="R66">
        <v>0</v>
      </c>
      <c r="S66">
        <v>0</v>
      </c>
      <c r="T66">
        <v>0</v>
      </c>
      <c r="U66">
        <v>0</v>
      </c>
      <c r="V66" s="1">
        <v>2.0000000000000002E-5</v>
      </c>
      <c r="W66" s="1">
        <f t="shared" ref="W66:W129" si="11">MAX(N66:R66,U66,V66)</f>
        <v>0.99990000000000001</v>
      </c>
      <c r="X66" t="s">
        <v>61</v>
      </c>
      <c r="Y66" t="str">
        <f>VLOOKUP(X66,Sheet1!A:B,2,FALSE)</f>
        <v>Quercus alba L.</v>
      </c>
      <c r="Z66" t="s">
        <v>1386</v>
      </c>
      <c r="AB66" s="1">
        <f t="shared" ref="AB66:AB129" si="12">MAX(N66:R66,U66,V66)</f>
        <v>0.99990000000000001</v>
      </c>
      <c r="AD66" t="str">
        <f>IF(W66&lt;0.99,LARGE((N66:R66,U66,V66),2),"0")</f>
        <v>0</v>
      </c>
      <c r="AE66" t="str">
        <f t="shared" si="8"/>
        <v/>
      </c>
      <c r="AH66" t="str">
        <f t="shared" si="9"/>
        <v xml:space="preserve">Based on ADMIXTURE results of 78,187 SNPs, </v>
      </c>
    </row>
    <row r="67" spans="1:34" x14ac:dyDescent="0.4">
      <c r="A67">
        <v>37</v>
      </c>
      <c r="B67" t="s">
        <v>64</v>
      </c>
      <c r="C67" t="s">
        <v>22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>
        <v>1</v>
      </c>
      <c r="K67">
        <v>0</v>
      </c>
      <c r="L67" t="s">
        <v>23</v>
      </c>
      <c r="M67" t="str">
        <f t="shared" si="10"/>
        <v>&gt;0.74</v>
      </c>
      <c r="N67">
        <v>0</v>
      </c>
      <c r="O67">
        <v>0</v>
      </c>
      <c r="P67">
        <v>0.99019999999999997</v>
      </c>
      <c r="Q67">
        <v>0</v>
      </c>
      <c r="R67">
        <v>0</v>
      </c>
      <c r="S67">
        <v>9.7000000000000003E-3</v>
      </c>
      <c r="T67">
        <v>0</v>
      </c>
      <c r="U67">
        <v>0</v>
      </c>
      <c r="V67">
        <v>9.7260000000000003E-3</v>
      </c>
      <c r="W67" s="1">
        <f t="shared" si="11"/>
        <v>0.99019999999999997</v>
      </c>
      <c r="X67" t="s">
        <v>65</v>
      </c>
      <c r="Y67" t="str">
        <f>VLOOKUP(X67,Sheet1!A:B,2,FALSE)</f>
        <v>Quercus alba L.</v>
      </c>
      <c r="Z67" t="s">
        <v>1386</v>
      </c>
      <c r="AB67" s="1">
        <f t="shared" si="12"/>
        <v>0.99019999999999997</v>
      </c>
      <c r="AD67" t="str">
        <f>IF(W67&lt;0.99,LARGE((N67:R67,U67,V67),2),"0")</f>
        <v>0</v>
      </c>
      <c r="AE67" t="str">
        <f t="shared" si="8"/>
        <v/>
      </c>
      <c r="AH67" t="str">
        <f t="shared" si="9"/>
        <v xml:space="preserve">Based on ADMIXTURE results of 78,187 SNPs, </v>
      </c>
    </row>
    <row r="68" spans="1:34" x14ac:dyDescent="0.4">
      <c r="A68">
        <v>36</v>
      </c>
      <c r="B68" t="s">
        <v>62</v>
      </c>
      <c r="C68" t="s">
        <v>21</v>
      </c>
      <c r="D68" t="s">
        <v>21</v>
      </c>
      <c r="E68" t="s">
        <v>21</v>
      </c>
      <c r="F68" t="s">
        <v>22</v>
      </c>
      <c r="G68" t="s">
        <v>21</v>
      </c>
      <c r="H68" t="s">
        <v>21</v>
      </c>
      <c r="I68" t="s">
        <v>21</v>
      </c>
      <c r="J68">
        <v>1</v>
      </c>
      <c r="K68">
        <v>0</v>
      </c>
      <c r="L68" t="s">
        <v>23</v>
      </c>
      <c r="M68" t="str">
        <f t="shared" si="10"/>
        <v>&gt;0.74</v>
      </c>
      <c r="N68">
        <v>0</v>
      </c>
      <c r="O68">
        <v>0</v>
      </c>
      <c r="P68">
        <v>0</v>
      </c>
      <c r="Q68">
        <v>0</v>
      </c>
      <c r="R68">
        <v>4.3E-3</v>
      </c>
      <c r="S68">
        <v>0.21279999999999999</v>
      </c>
      <c r="T68">
        <v>0.78290000000000004</v>
      </c>
      <c r="U68">
        <v>0</v>
      </c>
      <c r="V68">
        <v>0.99567700000000003</v>
      </c>
      <c r="W68" s="1">
        <f t="shared" si="11"/>
        <v>0.99567700000000003</v>
      </c>
      <c r="X68" t="s">
        <v>63</v>
      </c>
      <c r="Y68" t="str">
        <f>VLOOKUP(X68,Sheet1!A:B,2,FALSE)</f>
        <v>Quercus macrocarpa Michx.</v>
      </c>
      <c r="Z68" t="s">
        <v>1384</v>
      </c>
      <c r="AB68" s="1">
        <f t="shared" si="12"/>
        <v>0.99567700000000003</v>
      </c>
      <c r="AD68" t="str">
        <f>IF(W68&lt;0.99,LARGE((N68:R68,U68,V68),2),"0")</f>
        <v>0</v>
      </c>
      <c r="AE68" t="str">
        <f t="shared" si="8"/>
        <v/>
      </c>
      <c r="AH68" t="str">
        <f t="shared" si="9"/>
        <v xml:space="preserve">Based on ADMIXTURE results of 78,187 SNPs, </v>
      </c>
    </row>
    <row r="69" spans="1:34" x14ac:dyDescent="0.4">
      <c r="A69">
        <v>38</v>
      </c>
      <c r="B69" t="s">
        <v>66</v>
      </c>
      <c r="C69" t="s">
        <v>21</v>
      </c>
      <c r="D69" t="s">
        <v>21</v>
      </c>
      <c r="E69" t="s">
        <v>21</v>
      </c>
      <c r="F69" t="s">
        <v>22</v>
      </c>
      <c r="G69" t="s">
        <v>21</v>
      </c>
      <c r="H69" t="s">
        <v>21</v>
      </c>
      <c r="I69" t="s">
        <v>21</v>
      </c>
      <c r="J69">
        <v>1</v>
      </c>
      <c r="K69">
        <v>0</v>
      </c>
      <c r="L69" t="s">
        <v>23</v>
      </c>
      <c r="M69" t="str">
        <f t="shared" si="10"/>
        <v>&gt;0.74</v>
      </c>
      <c r="N69">
        <v>0</v>
      </c>
      <c r="O69">
        <v>0</v>
      </c>
      <c r="P69">
        <v>0</v>
      </c>
      <c r="Q69">
        <v>0</v>
      </c>
      <c r="R69">
        <v>0</v>
      </c>
      <c r="S69">
        <v>0.17019999999999999</v>
      </c>
      <c r="T69">
        <v>0.82979999999999998</v>
      </c>
      <c r="U69">
        <v>0</v>
      </c>
      <c r="V69">
        <v>0.99994000000000005</v>
      </c>
      <c r="W69" s="1">
        <f t="shared" si="11"/>
        <v>0.99994000000000005</v>
      </c>
      <c r="X69" t="s">
        <v>67</v>
      </c>
      <c r="Y69" t="str">
        <f>VLOOKUP(X69,Sheet1!A:B,2,FALSE)</f>
        <v>Quercus macrocarpa Michx.</v>
      </c>
      <c r="Z69" t="s">
        <v>1384</v>
      </c>
      <c r="AB69" s="1">
        <f t="shared" si="12"/>
        <v>0.99994000000000005</v>
      </c>
      <c r="AD69" t="str">
        <f>IF(W69&lt;0.99,LARGE((N69:R69,U69,V69),2),"0")</f>
        <v>0</v>
      </c>
      <c r="AE69" t="str">
        <f t="shared" si="8"/>
        <v/>
      </c>
      <c r="AH69" t="str">
        <f t="shared" si="9"/>
        <v xml:space="preserve">Based on ADMIXTURE results of 78,187 SNPs, </v>
      </c>
    </row>
    <row r="70" spans="1:34" x14ac:dyDescent="0.4">
      <c r="A70">
        <v>40</v>
      </c>
      <c r="B70" t="s">
        <v>70</v>
      </c>
      <c r="C70" t="s">
        <v>22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>
        <v>1</v>
      </c>
      <c r="K70">
        <v>0</v>
      </c>
      <c r="L70" t="s">
        <v>23</v>
      </c>
      <c r="M70" t="str">
        <f t="shared" si="10"/>
        <v>&gt;0.74</v>
      </c>
      <c r="N70">
        <v>0</v>
      </c>
      <c r="O70">
        <v>0</v>
      </c>
      <c r="P70">
        <v>0.99990000000000001</v>
      </c>
      <c r="Q70">
        <v>0</v>
      </c>
      <c r="R70">
        <v>0</v>
      </c>
      <c r="S70">
        <v>0</v>
      </c>
      <c r="T70">
        <v>0</v>
      </c>
      <c r="U70">
        <v>0</v>
      </c>
      <c r="V70" s="1">
        <v>2.0000000000000002E-5</v>
      </c>
      <c r="W70" s="1">
        <f t="shared" si="11"/>
        <v>0.99990000000000001</v>
      </c>
      <c r="X70" t="s">
        <v>71</v>
      </c>
      <c r="Y70" t="str">
        <f>VLOOKUP(X70,Sheet1!A:B,2,FALSE)</f>
        <v>Quercus alba L.</v>
      </c>
      <c r="Z70" t="s">
        <v>1386</v>
      </c>
      <c r="AB70" s="1">
        <f t="shared" si="12"/>
        <v>0.99990000000000001</v>
      </c>
      <c r="AD70" t="str">
        <f>IF(W70&lt;0.99,LARGE((N70:R70,U70,V70),2),"0")</f>
        <v>0</v>
      </c>
      <c r="AE70" t="str">
        <f t="shared" si="8"/>
        <v/>
      </c>
      <c r="AH70" t="str">
        <f t="shared" si="9"/>
        <v xml:space="preserve">Based on ADMIXTURE results of 78,187 SNPs, </v>
      </c>
    </row>
    <row r="71" spans="1:34" x14ac:dyDescent="0.4">
      <c r="A71">
        <v>39</v>
      </c>
      <c r="B71" t="s">
        <v>68</v>
      </c>
      <c r="C71" t="s">
        <v>21</v>
      </c>
      <c r="D71" t="s">
        <v>21</v>
      </c>
      <c r="E71" t="s">
        <v>21</v>
      </c>
      <c r="F71" t="s">
        <v>22</v>
      </c>
      <c r="G71" t="s">
        <v>21</v>
      </c>
      <c r="H71" t="s">
        <v>21</v>
      </c>
      <c r="I71" t="s">
        <v>21</v>
      </c>
      <c r="J71">
        <v>1</v>
      </c>
      <c r="K71">
        <v>0</v>
      </c>
      <c r="L71" t="s">
        <v>23</v>
      </c>
      <c r="M71" t="str">
        <f t="shared" si="10"/>
        <v>&gt;0.74</v>
      </c>
      <c r="N71">
        <v>0</v>
      </c>
      <c r="O71">
        <v>0</v>
      </c>
      <c r="P71">
        <v>0</v>
      </c>
      <c r="Q71">
        <v>0</v>
      </c>
      <c r="R71">
        <v>0</v>
      </c>
      <c r="S71">
        <v>0.28860000000000002</v>
      </c>
      <c r="T71">
        <v>0.71140000000000003</v>
      </c>
      <c r="U71">
        <v>0</v>
      </c>
      <c r="V71">
        <v>0.99994000000000005</v>
      </c>
      <c r="W71" s="1">
        <f t="shared" si="11"/>
        <v>0.99994000000000005</v>
      </c>
      <c r="X71" t="s">
        <v>69</v>
      </c>
      <c r="Y71" t="str">
        <f>VLOOKUP(X71,Sheet1!A:B,2,FALSE)</f>
        <v>Quercus macrocarpa Michx.</v>
      </c>
      <c r="Z71" t="s">
        <v>1384</v>
      </c>
      <c r="AB71" s="1">
        <f t="shared" si="12"/>
        <v>0.99994000000000005</v>
      </c>
      <c r="AD71" t="str">
        <f>IF(W71&lt;0.99,LARGE((N71:R71,U71,V71),2),"0")</f>
        <v>0</v>
      </c>
      <c r="AE71" t="str">
        <f t="shared" si="8"/>
        <v/>
      </c>
      <c r="AH71" t="str">
        <f t="shared" si="9"/>
        <v xml:space="preserve">Based on ADMIXTURE results of 78,187 SNPs, </v>
      </c>
    </row>
    <row r="72" spans="1:34" x14ac:dyDescent="0.4">
      <c r="A72">
        <v>41</v>
      </c>
      <c r="B72" t="s">
        <v>72</v>
      </c>
      <c r="C72" t="s">
        <v>21</v>
      </c>
      <c r="D72" t="s">
        <v>21</v>
      </c>
      <c r="E72" t="s">
        <v>21</v>
      </c>
      <c r="F72" t="s">
        <v>22</v>
      </c>
      <c r="G72" t="s">
        <v>21</v>
      </c>
      <c r="H72" t="s">
        <v>21</v>
      </c>
      <c r="I72" t="s">
        <v>21</v>
      </c>
      <c r="J72">
        <v>1</v>
      </c>
      <c r="K72">
        <v>0</v>
      </c>
      <c r="L72" t="s">
        <v>23</v>
      </c>
      <c r="M72" t="str">
        <f t="shared" si="10"/>
        <v>&gt;0.74</v>
      </c>
      <c r="N72">
        <v>0</v>
      </c>
      <c r="O72">
        <v>0</v>
      </c>
      <c r="P72">
        <v>0</v>
      </c>
      <c r="Q72">
        <v>0</v>
      </c>
      <c r="R72">
        <v>0</v>
      </c>
      <c r="S72">
        <v>0.13900000000000001</v>
      </c>
      <c r="T72">
        <v>0.8609</v>
      </c>
      <c r="U72">
        <v>0</v>
      </c>
      <c r="V72">
        <v>0.99994000000000005</v>
      </c>
      <c r="W72" s="1">
        <f t="shared" si="11"/>
        <v>0.99994000000000005</v>
      </c>
      <c r="X72" t="s">
        <v>73</v>
      </c>
      <c r="Y72" t="str">
        <f>VLOOKUP(X72,Sheet1!A:B,2,FALSE)</f>
        <v>Quercus macrocarpa Michx.</v>
      </c>
      <c r="Z72" t="s">
        <v>1384</v>
      </c>
      <c r="AB72" s="1">
        <f t="shared" si="12"/>
        <v>0.99994000000000005</v>
      </c>
      <c r="AD72" t="str">
        <f>IF(W72&lt;0.99,LARGE((N72:R72,U72,V72),2),"0")</f>
        <v>0</v>
      </c>
      <c r="AE72" t="str">
        <f t="shared" si="8"/>
        <v/>
      </c>
      <c r="AH72" t="str">
        <f t="shared" si="9"/>
        <v xml:space="preserve">Based on ADMIXTURE results of 78,187 SNPs, </v>
      </c>
    </row>
    <row r="73" spans="1:34" x14ac:dyDescent="0.4">
      <c r="A73">
        <v>42</v>
      </c>
      <c r="B73" t="s">
        <v>74</v>
      </c>
      <c r="C73" t="s">
        <v>22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>
        <v>1</v>
      </c>
      <c r="K73">
        <v>0</v>
      </c>
      <c r="L73" t="s">
        <v>23</v>
      </c>
      <c r="M73" t="str">
        <f t="shared" si="10"/>
        <v>&gt;0.74</v>
      </c>
      <c r="N73">
        <v>0</v>
      </c>
      <c r="O73">
        <v>0</v>
      </c>
      <c r="P73">
        <v>0.99990000000000001</v>
      </c>
      <c r="Q73">
        <v>0</v>
      </c>
      <c r="R73">
        <v>0</v>
      </c>
      <c r="S73">
        <v>0</v>
      </c>
      <c r="T73">
        <v>0</v>
      </c>
      <c r="U73">
        <v>0</v>
      </c>
      <c r="V73" s="1">
        <v>2.0000000000000002E-5</v>
      </c>
      <c r="W73" s="1">
        <f t="shared" si="11"/>
        <v>0.99990000000000001</v>
      </c>
      <c r="X73" t="s">
        <v>75</v>
      </c>
      <c r="Y73" t="str">
        <f>VLOOKUP(X73,Sheet1!A:B,2,FALSE)</f>
        <v>Quercus alba L.</v>
      </c>
      <c r="Z73" t="s">
        <v>1386</v>
      </c>
      <c r="AB73" s="1">
        <f t="shared" si="12"/>
        <v>0.99990000000000001</v>
      </c>
      <c r="AD73" t="str">
        <f>IF(W73&lt;0.99,LARGE((N73:R73,U73,V73),2),"0")</f>
        <v>0</v>
      </c>
      <c r="AE73" t="str">
        <f t="shared" si="8"/>
        <v/>
      </c>
      <c r="AH73" t="str">
        <f t="shared" si="9"/>
        <v xml:space="preserve">Based on ADMIXTURE results of 78,187 SNPs, </v>
      </c>
    </row>
    <row r="74" spans="1:34" x14ac:dyDescent="0.4">
      <c r="A74">
        <v>54</v>
      </c>
      <c r="B74" t="s">
        <v>98</v>
      </c>
      <c r="C74" t="s">
        <v>21</v>
      </c>
      <c r="D74" t="s">
        <v>21</v>
      </c>
      <c r="E74" t="s">
        <v>21</v>
      </c>
      <c r="F74" t="s">
        <v>22</v>
      </c>
      <c r="G74" t="s">
        <v>21</v>
      </c>
      <c r="H74" t="s">
        <v>21</v>
      </c>
      <c r="I74" t="s">
        <v>21</v>
      </c>
      <c r="J74">
        <v>1</v>
      </c>
      <c r="K74">
        <v>0</v>
      </c>
      <c r="L74" t="s">
        <v>23</v>
      </c>
      <c r="M74" t="str">
        <f t="shared" si="10"/>
        <v>&gt;0.74</v>
      </c>
      <c r="N74">
        <v>0</v>
      </c>
      <c r="O74">
        <v>0</v>
      </c>
      <c r="P74">
        <v>0</v>
      </c>
      <c r="Q74">
        <v>0</v>
      </c>
      <c r="R74">
        <v>0</v>
      </c>
      <c r="S74">
        <v>0.9597</v>
      </c>
      <c r="T74">
        <v>4.02E-2</v>
      </c>
      <c r="U74">
        <v>0</v>
      </c>
      <c r="V74">
        <v>0.99993500000000002</v>
      </c>
      <c r="W74" s="1">
        <f t="shared" si="11"/>
        <v>0.99993500000000002</v>
      </c>
      <c r="X74" t="s">
        <v>99</v>
      </c>
      <c r="Y74" t="str">
        <f>VLOOKUP(X74,Sheet1!A:B,2,FALSE)</f>
        <v>Quercus macrocarpa Michx.</v>
      </c>
      <c r="Z74" t="s">
        <v>1384</v>
      </c>
      <c r="AB74" s="1">
        <f t="shared" si="12"/>
        <v>0.99993500000000002</v>
      </c>
      <c r="AD74" t="str">
        <f>IF(W74&lt;0.99,LARGE((N74:R74,U74,V74),2),"0")</f>
        <v>0</v>
      </c>
      <c r="AE74" t="str">
        <f t="shared" si="8"/>
        <v/>
      </c>
      <c r="AH74" t="str">
        <f t="shared" si="9"/>
        <v xml:space="preserve">Based on ADMIXTURE results of 78,187 SNPs, </v>
      </c>
    </row>
    <row r="75" spans="1:34" x14ac:dyDescent="0.4">
      <c r="A75">
        <v>55</v>
      </c>
      <c r="B75" t="s">
        <v>100</v>
      </c>
      <c r="C75" t="s">
        <v>21</v>
      </c>
      <c r="D75" t="s">
        <v>22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>
        <v>1</v>
      </c>
      <c r="K75">
        <v>0</v>
      </c>
      <c r="L75" t="s">
        <v>23</v>
      </c>
      <c r="M75" t="str">
        <f t="shared" si="10"/>
        <v>&gt;0.74</v>
      </c>
      <c r="N75">
        <v>0</v>
      </c>
      <c r="O75">
        <v>0</v>
      </c>
      <c r="P75">
        <v>0</v>
      </c>
      <c r="Q75">
        <v>0.99990000000000001</v>
      </c>
      <c r="R75">
        <v>0</v>
      </c>
      <c r="S75">
        <v>0</v>
      </c>
      <c r="T75">
        <v>0</v>
      </c>
      <c r="U75">
        <v>0</v>
      </c>
      <c r="V75" s="1">
        <v>2.0000000000000002E-5</v>
      </c>
      <c r="W75" s="1">
        <f t="shared" si="11"/>
        <v>0.99990000000000001</v>
      </c>
      <c r="X75" t="s">
        <v>101</v>
      </c>
      <c r="Y75" t="str">
        <f>VLOOKUP(X75,Sheet1!A:B,2,FALSE)</f>
        <v>Quercus lyrata Walt.</v>
      </c>
      <c r="Z75" t="s">
        <v>1383</v>
      </c>
      <c r="AB75" s="1">
        <f t="shared" si="12"/>
        <v>0.99990000000000001</v>
      </c>
      <c r="AD75" t="str">
        <f>IF(W75&lt;0.99,LARGE((N75:R75,U75,V75),2),"0")</f>
        <v>0</v>
      </c>
      <c r="AE75" t="str">
        <f t="shared" si="8"/>
        <v/>
      </c>
      <c r="AH75" t="str">
        <f t="shared" si="9"/>
        <v xml:space="preserve">Based on ADMIXTURE results of 78,187 SNPs, </v>
      </c>
    </row>
    <row r="76" spans="1:34" x14ac:dyDescent="0.4">
      <c r="A76">
        <v>56</v>
      </c>
      <c r="B76" t="s">
        <v>102</v>
      </c>
      <c r="C76" t="s">
        <v>21</v>
      </c>
      <c r="D76" t="s">
        <v>21</v>
      </c>
      <c r="E76" t="s">
        <v>21</v>
      </c>
      <c r="F76" t="s">
        <v>22</v>
      </c>
      <c r="G76" t="s">
        <v>21</v>
      </c>
      <c r="H76" t="s">
        <v>21</v>
      </c>
      <c r="I76" t="s">
        <v>21</v>
      </c>
      <c r="J76">
        <v>1</v>
      </c>
      <c r="K76">
        <v>0</v>
      </c>
      <c r="L76" t="s">
        <v>23</v>
      </c>
      <c r="M76" t="str">
        <f t="shared" si="10"/>
        <v>&gt;0.74</v>
      </c>
      <c r="N76">
        <v>0</v>
      </c>
      <c r="O76">
        <v>0</v>
      </c>
      <c r="P76">
        <v>0</v>
      </c>
      <c r="Q76">
        <v>0</v>
      </c>
      <c r="R76">
        <v>0</v>
      </c>
      <c r="S76">
        <v>0.99990000000000001</v>
      </c>
      <c r="T76">
        <v>0</v>
      </c>
      <c r="U76">
        <v>0</v>
      </c>
      <c r="V76">
        <v>0.99994000000000005</v>
      </c>
      <c r="W76" s="1">
        <f t="shared" si="11"/>
        <v>0.99994000000000005</v>
      </c>
      <c r="X76" t="s">
        <v>103</v>
      </c>
      <c r="Y76" t="str">
        <f>VLOOKUP(X76,Sheet1!A:B,2,FALSE)</f>
        <v>Quercus macrocarpa Michx.</v>
      </c>
      <c r="Z76" t="s">
        <v>1384</v>
      </c>
      <c r="AB76" s="1">
        <f t="shared" si="12"/>
        <v>0.99994000000000005</v>
      </c>
      <c r="AD76" t="str">
        <f>IF(W76&lt;0.99,LARGE((N76:R76,U76,V76),2),"0")</f>
        <v>0</v>
      </c>
      <c r="AE76" t="str">
        <f t="shared" si="8"/>
        <v/>
      </c>
      <c r="AH76" t="str">
        <f t="shared" si="9"/>
        <v xml:space="preserve">Based on ADMIXTURE results of 78,187 SNPs, </v>
      </c>
    </row>
    <row r="77" spans="1:34" x14ac:dyDescent="0.4">
      <c r="A77">
        <v>57</v>
      </c>
      <c r="B77" t="s">
        <v>104</v>
      </c>
      <c r="C77" t="s">
        <v>21</v>
      </c>
      <c r="D77" t="s">
        <v>22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>
        <v>1</v>
      </c>
      <c r="K77">
        <v>0</v>
      </c>
      <c r="L77" t="s">
        <v>23</v>
      </c>
      <c r="M77" t="str">
        <f t="shared" si="10"/>
        <v>&gt;0.74</v>
      </c>
      <c r="N77">
        <v>0</v>
      </c>
      <c r="O77">
        <v>0</v>
      </c>
      <c r="P77">
        <v>0</v>
      </c>
      <c r="Q77">
        <v>0.99990000000000001</v>
      </c>
      <c r="R77">
        <v>0</v>
      </c>
      <c r="S77">
        <v>0</v>
      </c>
      <c r="T77">
        <v>0</v>
      </c>
      <c r="U77">
        <v>0</v>
      </c>
      <c r="V77" s="1">
        <v>2.0000000000000002E-5</v>
      </c>
      <c r="W77" s="1">
        <f t="shared" si="11"/>
        <v>0.99990000000000001</v>
      </c>
      <c r="X77" t="s">
        <v>105</v>
      </c>
      <c r="Y77" t="str">
        <f>VLOOKUP(X77,Sheet1!A:B,2,FALSE)</f>
        <v>Quercus lyrata Walt.</v>
      </c>
      <c r="Z77" t="s">
        <v>1383</v>
      </c>
      <c r="AB77" s="1">
        <f t="shared" si="12"/>
        <v>0.99990000000000001</v>
      </c>
      <c r="AD77" t="str">
        <f>IF(W77&lt;0.99,LARGE((N77:R77,U77,V77),2),"0")</f>
        <v>0</v>
      </c>
      <c r="AE77" t="str">
        <f t="shared" si="8"/>
        <v/>
      </c>
      <c r="AH77" t="str">
        <f t="shared" si="9"/>
        <v xml:space="preserve">Based on ADMIXTURE results of 78,187 SNPs, </v>
      </c>
    </row>
    <row r="78" spans="1:34" x14ac:dyDescent="0.4">
      <c r="A78">
        <v>58</v>
      </c>
      <c r="B78" t="s">
        <v>106</v>
      </c>
      <c r="C78" t="s">
        <v>21</v>
      </c>
      <c r="D78" t="s">
        <v>22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>
        <v>1</v>
      </c>
      <c r="K78">
        <v>0</v>
      </c>
      <c r="L78" t="s">
        <v>23</v>
      </c>
      <c r="M78" t="str">
        <f t="shared" si="10"/>
        <v>&gt;0.74</v>
      </c>
      <c r="N78">
        <v>0</v>
      </c>
      <c r="O78">
        <v>0</v>
      </c>
      <c r="P78">
        <v>0</v>
      </c>
      <c r="Q78">
        <v>0.99990000000000001</v>
      </c>
      <c r="R78">
        <v>0</v>
      </c>
      <c r="S78">
        <v>0</v>
      </c>
      <c r="T78">
        <v>0</v>
      </c>
      <c r="U78">
        <v>0</v>
      </c>
      <c r="V78" s="1">
        <v>2.0000000000000002E-5</v>
      </c>
      <c r="W78" s="1">
        <f t="shared" si="11"/>
        <v>0.99990000000000001</v>
      </c>
      <c r="X78" t="s">
        <v>107</v>
      </c>
      <c r="Y78" t="str">
        <f>VLOOKUP(X78,Sheet1!A:B,2,FALSE)</f>
        <v>Quercus lyrata Walt.</v>
      </c>
      <c r="Z78" t="s">
        <v>1383</v>
      </c>
      <c r="AB78" s="1">
        <f t="shared" si="12"/>
        <v>0.99990000000000001</v>
      </c>
      <c r="AD78" t="str">
        <f>IF(W78&lt;0.99,LARGE((N78:R78,U78,V78),2),"0")</f>
        <v>0</v>
      </c>
      <c r="AE78" t="str">
        <f t="shared" si="8"/>
        <v/>
      </c>
      <c r="AH78" t="str">
        <f t="shared" si="9"/>
        <v xml:space="preserve">Based on ADMIXTURE results of 78,187 SNPs, </v>
      </c>
    </row>
    <row r="79" spans="1:34" x14ac:dyDescent="0.4">
      <c r="A79">
        <v>59</v>
      </c>
      <c r="B79" t="s">
        <v>108</v>
      </c>
      <c r="C79" t="s">
        <v>21</v>
      </c>
      <c r="D79" t="s">
        <v>21</v>
      </c>
      <c r="E79" t="s">
        <v>21</v>
      </c>
      <c r="F79" t="s">
        <v>22</v>
      </c>
      <c r="G79" t="s">
        <v>21</v>
      </c>
      <c r="H79" t="s">
        <v>21</v>
      </c>
      <c r="I79" t="s">
        <v>21</v>
      </c>
      <c r="J79">
        <v>1</v>
      </c>
      <c r="K79">
        <v>0</v>
      </c>
      <c r="L79" t="s">
        <v>23</v>
      </c>
      <c r="M79" t="str">
        <f t="shared" si="10"/>
        <v>&gt;0.74</v>
      </c>
      <c r="N79">
        <v>0</v>
      </c>
      <c r="O79">
        <v>0</v>
      </c>
      <c r="P79">
        <v>0</v>
      </c>
      <c r="Q79">
        <v>0</v>
      </c>
      <c r="R79">
        <v>0</v>
      </c>
      <c r="S79">
        <v>0.89039999999999997</v>
      </c>
      <c r="T79">
        <v>0.1096</v>
      </c>
      <c r="U79">
        <v>0</v>
      </c>
      <c r="V79">
        <v>0.99994000000000005</v>
      </c>
      <c r="W79" s="1">
        <f t="shared" si="11"/>
        <v>0.99994000000000005</v>
      </c>
      <c r="X79" t="s">
        <v>109</v>
      </c>
      <c r="Y79" t="str">
        <f>VLOOKUP(X79,Sheet1!A:B,2,FALSE)</f>
        <v>Quercus macrocarpa Michx.</v>
      </c>
      <c r="Z79" t="s">
        <v>1384</v>
      </c>
      <c r="AB79" s="1">
        <f t="shared" si="12"/>
        <v>0.99994000000000005</v>
      </c>
      <c r="AD79" t="str">
        <f>IF(W79&lt;0.99,LARGE((N79:R79,U79,V79),2),"0")</f>
        <v>0</v>
      </c>
      <c r="AE79" t="str">
        <f t="shared" si="8"/>
        <v/>
      </c>
      <c r="AH79" t="str">
        <f t="shared" si="9"/>
        <v xml:space="preserve">Based on ADMIXTURE results of 78,187 SNPs, </v>
      </c>
    </row>
    <row r="80" spans="1:34" x14ac:dyDescent="0.4">
      <c r="A80">
        <v>60</v>
      </c>
      <c r="B80" t="s">
        <v>110</v>
      </c>
      <c r="C80" t="s">
        <v>21</v>
      </c>
      <c r="D80" t="s">
        <v>21</v>
      </c>
      <c r="E80" t="s">
        <v>21</v>
      </c>
      <c r="F80" t="s">
        <v>22</v>
      </c>
      <c r="G80" t="s">
        <v>21</v>
      </c>
      <c r="H80" t="s">
        <v>21</v>
      </c>
      <c r="I80" t="s">
        <v>21</v>
      </c>
      <c r="J80">
        <v>1</v>
      </c>
      <c r="K80">
        <v>0</v>
      </c>
      <c r="L80" t="s">
        <v>23</v>
      </c>
      <c r="M80" t="str">
        <f t="shared" si="10"/>
        <v>&gt;0.74</v>
      </c>
      <c r="N80">
        <v>0</v>
      </c>
      <c r="O80">
        <v>0</v>
      </c>
      <c r="P80">
        <v>0</v>
      </c>
      <c r="Q80">
        <v>0</v>
      </c>
      <c r="R80">
        <v>0</v>
      </c>
      <c r="S80">
        <v>0.95589999999999997</v>
      </c>
      <c r="T80">
        <v>4.3999999999999997E-2</v>
      </c>
      <c r="U80">
        <v>0</v>
      </c>
      <c r="V80">
        <v>0.99994000000000005</v>
      </c>
      <c r="W80" s="1">
        <f t="shared" si="11"/>
        <v>0.99994000000000005</v>
      </c>
      <c r="X80" t="s">
        <v>111</v>
      </c>
      <c r="Y80" t="str">
        <f>VLOOKUP(X80,Sheet1!A:B,2,FALSE)</f>
        <v>Quercus macrocarpa Michx.</v>
      </c>
      <c r="Z80" t="s">
        <v>1384</v>
      </c>
      <c r="AB80" s="1">
        <f t="shared" si="12"/>
        <v>0.99994000000000005</v>
      </c>
      <c r="AD80" t="str">
        <f>IF(W80&lt;0.99,LARGE((N80:R80,U80,V80),2),"0")</f>
        <v>0</v>
      </c>
      <c r="AE80" t="str">
        <f t="shared" si="8"/>
        <v/>
      </c>
      <c r="AH80" t="str">
        <f t="shared" si="9"/>
        <v xml:space="preserve">Based on ADMIXTURE results of 78,187 SNPs, </v>
      </c>
    </row>
    <row r="81" spans="1:34" x14ac:dyDescent="0.4">
      <c r="A81">
        <v>61</v>
      </c>
      <c r="B81" t="s">
        <v>112</v>
      </c>
      <c r="C81" t="s">
        <v>21</v>
      </c>
      <c r="D81" t="s">
        <v>22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>
        <v>1</v>
      </c>
      <c r="K81">
        <v>0</v>
      </c>
      <c r="L81" t="s">
        <v>23</v>
      </c>
      <c r="M81" t="str">
        <f t="shared" si="10"/>
        <v>&gt;0.74</v>
      </c>
      <c r="N81">
        <v>0</v>
      </c>
      <c r="O81">
        <v>0</v>
      </c>
      <c r="P81">
        <v>0</v>
      </c>
      <c r="Q81">
        <v>0.99990000000000001</v>
      </c>
      <c r="R81">
        <v>0</v>
      </c>
      <c r="S81">
        <v>0</v>
      </c>
      <c r="T81">
        <v>0</v>
      </c>
      <c r="U81">
        <v>0</v>
      </c>
      <c r="V81" s="1">
        <v>2.0000000000000002E-5</v>
      </c>
      <c r="W81" s="1">
        <f t="shared" si="11"/>
        <v>0.99990000000000001</v>
      </c>
      <c r="X81" t="s">
        <v>113</v>
      </c>
      <c r="Y81" t="str">
        <f>VLOOKUP(X81,Sheet1!A:B,2,FALSE)</f>
        <v>Quercus lyrata Walt.</v>
      </c>
      <c r="Z81" t="s">
        <v>1383</v>
      </c>
      <c r="AB81" s="1">
        <f t="shared" si="12"/>
        <v>0.99990000000000001</v>
      </c>
      <c r="AD81" t="str">
        <f>IF(W81&lt;0.99,LARGE((N81:R81,U81,V81),2),"0")</f>
        <v>0</v>
      </c>
      <c r="AE81" t="str">
        <f t="shared" si="8"/>
        <v/>
      </c>
      <c r="AH81" t="str">
        <f t="shared" si="9"/>
        <v xml:space="preserve">Based on ADMIXTURE results of 78,187 SNPs, </v>
      </c>
    </row>
    <row r="82" spans="1:34" x14ac:dyDescent="0.4">
      <c r="A82">
        <v>62</v>
      </c>
      <c r="B82" t="s">
        <v>114</v>
      </c>
      <c r="C82" t="s">
        <v>21</v>
      </c>
      <c r="D82" t="s">
        <v>21</v>
      </c>
      <c r="E82" t="s">
        <v>21</v>
      </c>
      <c r="F82" t="s">
        <v>22</v>
      </c>
      <c r="G82" t="s">
        <v>21</v>
      </c>
      <c r="H82" t="s">
        <v>21</v>
      </c>
      <c r="I82" t="s">
        <v>21</v>
      </c>
      <c r="J82">
        <v>1</v>
      </c>
      <c r="K82">
        <v>0</v>
      </c>
      <c r="L82" t="s">
        <v>23</v>
      </c>
      <c r="M82" t="str">
        <f t="shared" si="10"/>
        <v>&gt;0.74</v>
      </c>
      <c r="N82">
        <v>0</v>
      </c>
      <c r="O82">
        <v>0</v>
      </c>
      <c r="P82">
        <v>0</v>
      </c>
      <c r="Q82">
        <v>4.1000000000000003E-3</v>
      </c>
      <c r="R82">
        <v>0</v>
      </c>
      <c r="S82">
        <v>0.9839</v>
      </c>
      <c r="T82">
        <v>1.1900000000000001E-2</v>
      </c>
      <c r="U82">
        <v>0</v>
      </c>
      <c r="V82">
        <v>0.99581500000000001</v>
      </c>
      <c r="W82" s="1">
        <f t="shared" si="11"/>
        <v>0.99581500000000001</v>
      </c>
      <c r="X82" t="s">
        <v>115</v>
      </c>
      <c r="Y82" t="str">
        <f>VLOOKUP(X82,Sheet1!A:B,2,FALSE)</f>
        <v>Quercus macrocarpa Michx.</v>
      </c>
      <c r="Z82" t="s">
        <v>1384</v>
      </c>
      <c r="AB82" s="1">
        <f t="shared" si="12"/>
        <v>0.99581500000000001</v>
      </c>
      <c r="AD82" t="str">
        <f>IF(W82&lt;0.99,LARGE((N82:R82,U82,V82),2),"0")</f>
        <v>0</v>
      </c>
      <c r="AE82" t="str">
        <f t="shared" si="8"/>
        <v/>
      </c>
      <c r="AH82" t="str">
        <f t="shared" si="9"/>
        <v xml:space="preserve">Based on ADMIXTURE results of 78,187 SNPs, </v>
      </c>
    </row>
    <row r="83" spans="1:34" x14ac:dyDescent="0.4">
      <c r="A83">
        <v>63</v>
      </c>
      <c r="B83" t="s">
        <v>116</v>
      </c>
      <c r="C83" t="s">
        <v>21</v>
      </c>
      <c r="D83" t="s">
        <v>25</v>
      </c>
      <c r="E83" t="s">
        <v>21</v>
      </c>
      <c r="F83" t="s">
        <v>25</v>
      </c>
      <c r="G83" t="s">
        <v>21</v>
      </c>
      <c r="H83" t="s">
        <v>21</v>
      </c>
      <c r="I83" t="s">
        <v>21</v>
      </c>
      <c r="J83">
        <v>0</v>
      </c>
      <c r="K83">
        <v>2</v>
      </c>
      <c r="L83" t="s">
        <v>26</v>
      </c>
      <c r="M83" t="str">
        <f t="shared" si="10"/>
        <v>F1</v>
      </c>
      <c r="N83">
        <v>0</v>
      </c>
      <c r="O83">
        <v>0</v>
      </c>
      <c r="P83">
        <v>0</v>
      </c>
      <c r="Q83">
        <v>0.52010000000000001</v>
      </c>
      <c r="R83">
        <v>0</v>
      </c>
      <c r="S83">
        <v>0.4798</v>
      </c>
      <c r="T83">
        <v>0</v>
      </c>
      <c r="U83">
        <v>0</v>
      </c>
      <c r="V83">
        <v>0.47985899999999998</v>
      </c>
      <c r="W83" s="1">
        <f t="shared" si="11"/>
        <v>0.52010000000000001</v>
      </c>
      <c r="X83" s="2" t="s">
        <v>117</v>
      </c>
      <c r="Y83" t="str">
        <f>VLOOKUP(X83,Sheet1!A:B,2,FALSE)</f>
        <v>Quercus lyrata Walt.</v>
      </c>
      <c r="Z83" t="s">
        <v>1422</v>
      </c>
      <c r="AB83" s="1">
        <f t="shared" si="12"/>
        <v>0.52010000000000001</v>
      </c>
      <c r="AC83" t="s">
        <v>1421</v>
      </c>
      <c r="AD83">
        <f>IF(W83&lt;0.99,LARGE((N83:R83,U83,V83),2),"0")</f>
        <v>0.47985899999999998</v>
      </c>
      <c r="AE83" t="str">
        <f>IF(AND(AB83&lt;0.99,AD83&gt;0.1,AB83&gt;0.6),"admixed with",IF(AND(AB83&lt;0.99,AD83&gt;0.01,AD83&lt;0.4),"trace admixed with ",""))</f>
        <v/>
      </c>
      <c r="AH83" t="str">
        <f t="shared" si="9"/>
        <v>Based on ADMIXTURE results of 78,187 SNPs, Quercus macrocarpa</v>
      </c>
    </row>
    <row r="84" spans="1:34" x14ac:dyDescent="0.4">
      <c r="A84">
        <v>481</v>
      </c>
      <c r="B84" t="s">
        <v>953</v>
      </c>
      <c r="C84" t="s">
        <v>22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>
        <v>1</v>
      </c>
      <c r="K84">
        <v>0</v>
      </c>
      <c r="L84" t="s">
        <v>23</v>
      </c>
      <c r="M84" t="str">
        <f t="shared" si="10"/>
        <v>&gt;0.74</v>
      </c>
      <c r="N84">
        <v>0</v>
      </c>
      <c r="O84">
        <v>0</v>
      </c>
      <c r="P84">
        <v>0.99990000000000001</v>
      </c>
      <c r="Q84">
        <v>0</v>
      </c>
      <c r="R84">
        <v>0</v>
      </c>
      <c r="S84">
        <v>0</v>
      </c>
      <c r="T84">
        <v>0</v>
      </c>
      <c r="U84">
        <v>0</v>
      </c>
      <c r="V84" s="1">
        <v>2.0000000000000002E-5</v>
      </c>
      <c r="W84" s="1">
        <f t="shared" si="11"/>
        <v>0.99990000000000001</v>
      </c>
      <c r="X84" t="s">
        <v>954</v>
      </c>
      <c r="Y84" t="str">
        <f>VLOOKUP(X84,Sheet1!A:B,2,FALSE)</f>
        <v>Quercus alba L.</v>
      </c>
      <c r="Z84" t="s">
        <v>1386</v>
      </c>
      <c r="AB84" s="1">
        <f t="shared" si="12"/>
        <v>0.99990000000000001</v>
      </c>
      <c r="AD84" t="str">
        <f>IF(W84&lt;0.99,LARGE((N84:R84,U84,V84),2),"0")</f>
        <v>0</v>
      </c>
      <c r="AE84" t="str">
        <f t="shared" ref="AE84:AE94" si="13">IF(AND(AB84&lt;0.99,AD84&gt;0.1),"admixed with",IF(AND(AB84&lt;0.99,AD84&gt;0.01),"trace admixed with ",""))</f>
        <v/>
      </c>
      <c r="AH84" t="str">
        <f t="shared" si="9"/>
        <v xml:space="preserve">Based on ADMIXTURE results of 78,187 SNPs, </v>
      </c>
    </row>
    <row r="85" spans="1:34" x14ac:dyDescent="0.4">
      <c r="A85">
        <v>482</v>
      </c>
      <c r="B85" t="s">
        <v>955</v>
      </c>
      <c r="C85" t="s">
        <v>21</v>
      </c>
      <c r="D85" t="s">
        <v>21</v>
      </c>
      <c r="E85" t="s">
        <v>21</v>
      </c>
      <c r="F85" t="s">
        <v>22</v>
      </c>
      <c r="G85" t="s">
        <v>21</v>
      </c>
      <c r="H85" t="s">
        <v>21</v>
      </c>
      <c r="I85" t="s">
        <v>21</v>
      </c>
      <c r="J85">
        <v>1</v>
      </c>
      <c r="K85">
        <v>0</v>
      </c>
      <c r="L85" t="s">
        <v>23</v>
      </c>
      <c r="M85" t="str">
        <f t="shared" si="10"/>
        <v>&gt;0.74</v>
      </c>
      <c r="N85">
        <v>0</v>
      </c>
      <c r="O85">
        <v>0</v>
      </c>
      <c r="P85">
        <v>0</v>
      </c>
      <c r="Q85">
        <v>0</v>
      </c>
      <c r="R85">
        <v>0</v>
      </c>
      <c r="S85">
        <v>0.1812</v>
      </c>
      <c r="T85">
        <v>0.81879999999999997</v>
      </c>
      <c r="U85">
        <v>0</v>
      </c>
      <c r="V85">
        <v>0.99994000000000005</v>
      </c>
      <c r="W85" s="1">
        <f t="shared" si="11"/>
        <v>0.99994000000000005</v>
      </c>
      <c r="X85" t="s">
        <v>956</v>
      </c>
      <c r="Y85" t="str">
        <f>VLOOKUP(X85,Sheet1!A:B,2,FALSE)</f>
        <v>Quercus macrocarpa Michx.</v>
      </c>
      <c r="Z85" t="s">
        <v>1384</v>
      </c>
      <c r="AB85" s="1">
        <f t="shared" si="12"/>
        <v>0.99994000000000005</v>
      </c>
      <c r="AD85" t="str">
        <f>IF(W85&lt;0.99,LARGE((N85:R85,U85,V85),2),"0")</f>
        <v>0</v>
      </c>
      <c r="AE85" t="str">
        <f t="shared" si="13"/>
        <v/>
      </c>
      <c r="AH85" t="str">
        <f t="shared" si="9"/>
        <v xml:space="preserve">Based on ADMIXTURE results of 78,187 SNPs, </v>
      </c>
    </row>
    <row r="86" spans="1:34" x14ac:dyDescent="0.4">
      <c r="A86">
        <v>483</v>
      </c>
      <c r="B86" t="s">
        <v>957</v>
      </c>
      <c r="C86" t="s">
        <v>21</v>
      </c>
      <c r="D86" t="s">
        <v>22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>
        <v>1</v>
      </c>
      <c r="K86">
        <v>0</v>
      </c>
      <c r="L86" t="s">
        <v>23</v>
      </c>
      <c r="M86" t="str">
        <f t="shared" si="10"/>
        <v>&gt;0.74</v>
      </c>
      <c r="N86">
        <v>0</v>
      </c>
      <c r="O86">
        <v>0</v>
      </c>
      <c r="P86">
        <v>0</v>
      </c>
      <c r="Q86">
        <v>0.99990000000000001</v>
      </c>
      <c r="R86">
        <v>0</v>
      </c>
      <c r="S86">
        <v>0</v>
      </c>
      <c r="T86">
        <v>0</v>
      </c>
      <c r="U86">
        <v>0</v>
      </c>
      <c r="V86" s="1">
        <v>2.0000000000000002E-5</v>
      </c>
      <c r="W86" s="1">
        <f t="shared" si="11"/>
        <v>0.99990000000000001</v>
      </c>
      <c r="X86" t="s">
        <v>958</v>
      </c>
      <c r="Y86" t="str">
        <f>VLOOKUP(X86,Sheet1!A:B,2,FALSE)</f>
        <v>Quercus bicolor Willd.</v>
      </c>
      <c r="Z86" t="s">
        <v>1388</v>
      </c>
      <c r="AB86" s="1">
        <f t="shared" si="12"/>
        <v>0.99990000000000001</v>
      </c>
      <c r="AD86" t="str">
        <f>IF(W86&lt;0.99,LARGE((N86:R86,U86,V86),2),"0")</f>
        <v>0</v>
      </c>
      <c r="AE86" t="str">
        <f t="shared" si="13"/>
        <v/>
      </c>
      <c r="AH86" t="str">
        <f t="shared" si="9"/>
        <v xml:space="preserve">Based on ADMIXTURE results of 78,187 SNPs, </v>
      </c>
    </row>
    <row r="87" spans="1:34" x14ac:dyDescent="0.4">
      <c r="A87">
        <v>484</v>
      </c>
      <c r="B87" t="s">
        <v>959</v>
      </c>
      <c r="C87" t="s">
        <v>21</v>
      </c>
      <c r="D87" t="s">
        <v>21</v>
      </c>
      <c r="E87" t="s">
        <v>21</v>
      </c>
      <c r="F87" t="s">
        <v>22</v>
      </c>
      <c r="G87" t="s">
        <v>21</v>
      </c>
      <c r="H87" t="s">
        <v>21</v>
      </c>
      <c r="I87" t="s">
        <v>21</v>
      </c>
      <c r="J87">
        <v>1</v>
      </c>
      <c r="K87">
        <v>0</v>
      </c>
      <c r="L87" t="s">
        <v>23</v>
      </c>
      <c r="M87" t="str">
        <f t="shared" si="10"/>
        <v>&gt;0.74</v>
      </c>
      <c r="N87">
        <v>0</v>
      </c>
      <c r="O87">
        <v>0</v>
      </c>
      <c r="P87">
        <v>0</v>
      </c>
      <c r="Q87">
        <v>0</v>
      </c>
      <c r="R87">
        <v>0</v>
      </c>
      <c r="S87">
        <v>0.2006</v>
      </c>
      <c r="T87">
        <v>0.79930000000000001</v>
      </c>
      <c r="U87">
        <v>0</v>
      </c>
      <c r="V87">
        <v>0.99993900000000002</v>
      </c>
      <c r="W87" s="1">
        <f t="shared" si="11"/>
        <v>0.99993900000000002</v>
      </c>
      <c r="X87" t="s">
        <v>960</v>
      </c>
      <c r="Y87" t="str">
        <f>VLOOKUP(X87,Sheet1!A:B,2,FALSE)</f>
        <v>Quercus macrocarpa Michx.</v>
      </c>
      <c r="Z87" t="s">
        <v>1384</v>
      </c>
      <c r="AB87" s="1">
        <f t="shared" si="12"/>
        <v>0.99993900000000002</v>
      </c>
      <c r="AD87" t="str">
        <f>IF(W87&lt;0.99,LARGE((N87:R87,U87,V87),2),"0")</f>
        <v>0</v>
      </c>
      <c r="AE87" t="str">
        <f t="shared" si="13"/>
        <v/>
      </c>
      <c r="AH87" t="str">
        <f t="shared" si="9"/>
        <v xml:space="preserve">Based on ADMIXTURE results of 78,187 SNPs, </v>
      </c>
    </row>
    <row r="88" spans="1:34" x14ac:dyDescent="0.4">
      <c r="A88">
        <v>485</v>
      </c>
      <c r="B88" t="s">
        <v>961</v>
      </c>
      <c r="C88" t="s">
        <v>22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>
        <v>1</v>
      </c>
      <c r="K88">
        <v>0</v>
      </c>
      <c r="L88" t="s">
        <v>23</v>
      </c>
      <c r="M88" t="str">
        <f t="shared" si="10"/>
        <v>&gt;0.74</v>
      </c>
      <c r="N88">
        <v>0</v>
      </c>
      <c r="O88">
        <v>0</v>
      </c>
      <c r="P88">
        <v>0.99990000000000001</v>
      </c>
      <c r="Q88">
        <v>0</v>
      </c>
      <c r="R88">
        <v>0</v>
      </c>
      <c r="S88">
        <v>0</v>
      </c>
      <c r="T88">
        <v>0</v>
      </c>
      <c r="U88">
        <v>0</v>
      </c>
      <c r="V88" s="1">
        <v>2.0000000000000002E-5</v>
      </c>
      <c r="W88" s="1">
        <f t="shared" si="11"/>
        <v>0.99990000000000001</v>
      </c>
      <c r="X88" t="s">
        <v>962</v>
      </c>
      <c r="Y88" t="str">
        <f>VLOOKUP(X88,Sheet1!A:B,2,FALSE)</f>
        <v>Quercus alba L.</v>
      </c>
      <c r="Z88" t="s">
        <v>1386</v>
      </c>
      <c r="AB88" s="1">
        <f t="shared" si="12"/>
        <v>0.99990000000000001</v>
      </c>
      <c r="AD88" t="str">
        <f>IF(W88&lt;0.99,LARGE((N88:R88,U88,V88),2),"0")</f>
        <v>0</v>
      </c>
      <c r="AE88" t="str">
        <f t="shared" si="13"/>
        <v/>
      </c>
      <c r="AH88" t="str">
        <f t="shared" si="9"/>
        <v xml:space="preserve">Based on ADMIXTURE results of 78,187 SNPs, </v>
      </c>
    </row>
    <row r="89" spans="1:34" x14ac:dyDescent="0.4">
      <c r="A89">
        <v>486</v>
      </c>
      <c r="B89" t="s">
        <v>963</v>
      </c>
      <c r="C89" t="s">
        <v>21</v>
      </c>
      <c r="D89" t="s">
        <v>22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>
        <v>1</v>
      </c>
      <c r="K89">
        <v>0</v>
      </c>
      <c r="L89" t="s">
        <v>23</v>
      </c>
      <c r="M89" t="str">
        <f t="shared" si="10"/>
        <v>&gt;0.74</v>
      </c>
      <c r="N89">
        <v>0</v>
      </c>
      <c r="O89">
        <v>0</v>
      </c>
      <c r="P89">
        <v>0</v>
      </c>
      <c r="Q89">
        <v>0.99990000000000001</v>
      </c>
      <c r="R89">
        <v>0</v>
      </c>
      <c r="S89">
        <v>0</v>
      </c>
      <c r="T89">
        <v>0</v>
      </c>
      <c r="U89">
        <v>0</v>
      </c>
      <c r="V89" s="1">
        <v>2.0000000000000002E-5</v>
      </c>
      <c r="W89" s="1">
        <f t="shared" si="11"/>
        <v>0.99990000000000001</v>
      </c>
      <c r="X89" t="s">
        <v>964</v>
      </c>
      <c r="Y89" t="str">
        <f>VLOOKUP(X89,Sheet1!A:B,2,FALSE)</f>
        <v>Quercus bicolor Willd.</v>
      </c>
      <c r="Z89" t="s">
        <v>1388</v>
      </c>
      <c r="AB89" s="1">
        <f t="shared" si="12"/>
        <v>0.99990000000000001</v>
      </c>
      <c r="AD89" t="str">
        <f>IF(W89&lt;0.99,LARGE((N89:R89,U89,V89),2),"0")</f>
        <v>0</v>
      </c>
      <c r="AE89" t="str">
        <f t="shared" si="13"/>
        <v/>
      </c>
      <c r="AH89" t="str">
        <f t="shared" si="9"/>
        <v xml:space="preserve">Based on ADMIXTURE results of 78,187 SNPs, </v>
      </c>
    </row>
    <row r="90" spans="1:34" x14ac:dyDescent="0.4">
      <c r="A90">
        <v>487</v>
      </c>
      <c r="B90" t="s">
        <v>965</v>
      </c>
      <c r="C90" t="s">
        <v>22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>
        <v>1</v>
      </c>
      <c r="K90">
        <v>0</v>
      </c>
      <c r="L90" t="s">
        <v>23</v>
      </c>
      <c r="M90" t="str">
        <f t="shared" si="10"/>
        <v>&gt;0.74</v>
      </c>
      <c r="N90">
        <v>0</v>
      </c>
      <c r="O90">
        <v>0</v>
      </c>
      <c r="P90">
        <v>0.99990000000000001</v>
      </c>
      <c r="Q90">
        <v>0</v>
      </c>
      <c r="R90">
        <v>0</v>
      </c>
      <c r="S90">
        <v>0</v>
      </c>
      <c r="T90">
        <v>0</v>
      </c>
      <c r="U90">
        <v>0</v>
      </c>
      <c r="V90" s="1">
        <v>2.0000000000000002E-5</v>
      </c>
      <c r="W90" s="1">
        <f t="shared" si="11"/>
        <v>0.99990000000000001</v>
      </c>
      <c r="X90" t="s">
        <v>966</v>
      </c>
      <c r="Y90" t="str">
        <f>VLOOKUP(X90,Sheet1!A:B,2,FALSE)</f>
        <v>Quercus alba L.</v>
      </c>
      <c r="Z90" t="s">
        <v>1386</v>
      </c>
      <c r="AB90" s="1">
        <f t="shared" si="12"/>
        <v>0.99990000000000001</v>
      </c>
      <c r="AD90" t="str">
        <f>IF(W90&lt;0.99,LARGE((N90:R90,U90,V90),2),"0")</f>
        <v>0</v>
      </c>
      <c r="AE90" t="str">
        <f t="shared" si="13"/>
        <v/>
      </c>
      <c r="AH90" t="str">
        <f t="shared" si="9"/>
        <v xml:space="preserve">Based on ADMIXTURE results of 78,187 SNPs, </v>
      </c>
    </row>
    <row r="91" spans="1:34" x14ac:dyDescent="0.4">
      <c r="A91">
        <v>488</v>
      </c>
      <c r="B91" t="s">
        <v>967</v>
      </c>
      <c r="C91" t="s">
        <v>21</v>
      </c>
      <c r="D91" t="s">
        <v>22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>
        <v>1</v>
      </c>
      <c r="K91">
        <v>0</v>
      </c>
      <c r="L91" t="s">
        <v>23</v>
      </c>
      <c r="M91" t="str">
        <f t="shared" si="10"/>
        <v>&gt;0.74</v>
      </c>
      <c r="N91">
        <v>0</v>
      </c>
      <c r="O91">
        <v>0</v>
      </c>
      <c r="P91">
        <v>0</v>
      </c>
      <c r="Q91">
        <v>0.96250000000000002</v>
      </c>
      <c r="R91">
        <v>0</v>
      </c>
      <c r="S91">
        <v>0</v>
      </c>
      <c r="T91">
        <v>3.7400000000000003E-2</v>
      </c>
      <c r="U91">
        <v>0</v>
      </c>
      <c r="V91">
        <v>3.7416999999999999E-2</v>
      </c>
      <c r="W91" s="1">
        <f t="shared" si="11"/>
        <v>0.96250000000000002</v>
      </c>
      <c r="X91" t="s">
        <v>968</v>
      </c>
      <c r="Y91" t="str">
        <f>VLOOKUP(X91,Sheet1!A:B,2,FALSE)</f>
        <v>Quercus bicolor Willd.</v>
      </c>
      <c r="Z91" t="s">
        <v>1388</v>
      </c>
      <c r="AB91" s="1">
        <f t="shared" si="12"/>
        <v>0.96250000000000002</v>
      </c>
      <c r="AD91">
        <f>IF(W91&lt;0.99,LARGE((N91:R91,U91,V91),2),"0")</f>
        <v>3.7416999999999999E-2</v>
      </c>
      <c r="AE91" t="str">
        <f t="shared" si="13"/>
        <v xml:space="preserve">trace admixed with </v>
      </c>
      <c r="AH91" t="str">
        <f t="shared" si="9"/>
        <v xml:space="preserve">Based on ADMIXTURE results of 78,187 SNPs, trace admixed with </v>
      </c>
    </row>
    <row r="92" spans="1:34" x14ac:dyDescent="0.4">
      <c r="A92">
        <v>489</v>
      </c>
      <c r="B92" t="s">
        <v>969</v>
      </c>
      <c r="C92" t="s">
        <v>21</v>
      </c>
      <c r="D92" t="s">
        <v>21</v>
      </c>
      <c r="E92" t="s">
        <v>21</v>
      </c>
      <c r="F92" t="s">
        <v>22</v>
      </c>
      <c r="G92" t="s">
        <v>21</v>
      </c>
      <c r="H92" t="s">
        <v>21</v>
      </c>
      <c r="I92" t="s">
        <v>21</v>
      </c>
      <c r="J92">
        <v>1</v>
      </c>
      <c r="K92">
        <v>0</v>
      </c>
      <c r="L92" t="s">
        <v>23</v>
      </c>
      <c r="M92" t="str">
        <f t="shared" si="10"/>
        <v>&gt;0.74</v>
      </c>
      <c r="N92">
        <v>0</v>
      </c>
      <c r="O92">
        <v>0</v>
      </c>
      <c r="P92">
        <v>0</v>
      </c>
      <c r="Q92">
        <v>0</v>
      </c>
      <c r="R92">
        <v>0</v>
      </c>
      <c r="S92">
        <v>0.1978</v>
      </c>
      <c r="T92">
        <v>0.80210000000000004</v>
      </c>
      <c r="U92">
        <v>0</v>
      </c>
      <c r="V92">
        <v>0.99994000000000005</v>
      </c>
      <c r="W92" s="1">
        <f t="shared" si="11"/>
        <v>0.99994000000000005</v>
      </c>
      <c r="X92" t="s">
        <v>970</v>
      </c>
      <c r="Y92" t="str">
        <f>VLOOKUP(X92,Sheet1!A:B,2,FALSE)</f>
        <v>Quercus macrocarpa Michx.</v>
      </c>
      <c r="Z92" t="s">
        <v>1384</v>
      </c>
      <c r="AB92" s="1">
        <f t="shared" si="12"/>
        <v>0.99994000000000005</v>
      </c>
      <c r="AD92" t="str">
        <f>IF(W92&lt;0.99,LARGE((N92:R92,U92,V92),2),"0")</f>
        <v>0</v>
      </c>
      <c r="AE92" t="str">
        <f t="shared" si="13"/>
        <v/>
      </c>
      <c r="AH92" t="str">
        <f t="shared" si="9"/>
        <v xml:space="preserve">Based on ADMIXTURE results of 78,187 SNPs, </v>
      </c>
    </row>
    <row r="93" spans="1:34" x14ac:dyDescent="0.4">
      <c r="A93">
        <v>490</v>
      </c>
      <c r="B93" t="s">
        <v>971</v>
      </c>
      <c r="C93" t="s">
        <v>22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>
        <v>1</v>
      </c>
      <c r="K93">
        <v>0</v>
      </c>
      <c r="L93" t="s">
        <v>23</v>
      </c>
      <c r="M93" t="str">
        <f t="shared" si="10"/>
        <v>&gt;0.74</v>
      </c>
      <c r="N93">
        <v>0</v>
      </c>
      <c r="O93">
        <v>0</v>
      </c>
      <c r="P93">
        <v>0.99990000000000001</v>
      </c>
      <c r="Q93">
        <v>0</v>
      </c>
      <c r="R93">
        <v>0</v>
      </c>
      <c r="S93">
        <v>0</v>
      </c>
      <c r="T93">
        <v>0</v>
      </c>
      <c r="U93">
        <v>0</v>
      </c>
      <c r="V93" s="1">
        <v>2.0000000000000002E-5</v>
      </c>
      <c r="W93" s="1">
        <f t="shared" si="11"/>
        <v>0.99990000000000001</v>
      </c>
      <c r="X93" t="s">
        <v>972</v>
      </c>
      <c r="Y93" t="str">
        <f>VLOOKUP(X93,Sheet1!A:B,2,FALSE)</f>
        <v>Quercus alba L.</v>
      </c>
      <c r="Z93" t="s">
        <v>1386</v>
      </c>
      <c r="AB93" s="1">
        <f t="shared" si="12"/>
        <v>0.99990000000000001</v>
      </c>
      <c r="AD93" t="str">
        <f>IF(W93&lt;0.99,LARGE((N93:R93,U93,V93),2),"0")</f>
        <v>0</v>
      </c>
      <c r="AE93" t="str">
        <f t="shared" si="13"/>
        <v/>
      </c>
      <c r="AH93" t="str">
        <f t="shared" si="9"/>
        <v xml:space="preserve">Based on ADMIXTURE results of 78,187 SNPs, </v>
      </c>
    </row>
    <row r="94" spans="1:34" x14ac:dyDescent="0.4">
      <c r="A94">
        <v>491</v>
      </c>
      <c r="B94" t="s">
        <v>973</v>
      </c>
      <c r="C94" t="s">
        <v>21</v>
      </c>
      <c r="D94" t="s">
        <v>21</v>
      </c>
      <c r="E94" t="s">
        <v>21</v>
      </c>
      <c r="F94" t="s">
        <v>22</v>
      </c>
      <c r="G94" t="s">
        <v>21</v>
      </c>
      <c r="H94" t="s">
        <v>21</v>
      </c>
      <c r="I94" t="s">
        <v>21</v>
      </c>
      <c r="J94">
        <v>1</v>
      </c>
      <c r="K94">
        <v>0</v>
      </c>
      <c r="L94" t="s">
        <v>23</v>
      </c>
      <c r="M94" t="str">
        <f t="shared" si="10"/>
        <v>&gt;0.74</v>
      </c>
      <c r="N94">
        <v>0</v>
      </c>
      <c r="O94">
        <v>0</v>
      </c>
      <c r="P94">
        <v>0</v>
      </c>
      <c r="Q94">
        <v>0</v>
      </c>
      <c r="R94">
        <v>0</v>
      </c>
      <c r="S94">
        <v>5.9900000000000002E-2</v>
      </c>
      <c r="T94">
        <v>0.94</v>
      </c>
      <c r="U94">
        <v>0</v>
      </c>
      <c r="V94">
        <v>0.99994000000000005</v>
      </c>
      <c r="W94" s="1">
        <f t="shared" si="11"/>
        <v>0.99994000000000005</v>
      </c>
      <c r="X94" t="s">
        <v>974</v>
      </c>
      <c r="Y94" t="str">
        <f>VLOOKUP(X94,Sheet1!A:B,2,FALSE)</f>
        <v>Quercus macrocarpa Michx.</v>
      </c>
      <c r="Z94" t="s">
        <v>1384</v>
      </c>
      <c r="AB94" s="1">
        <f t="shared" si="12"/>
        <v>0.99994000000000005</v>
      </c>
      <c r="AD94" t="str">
        <f>IF(W94&lt;0.99,LARGE((N94:R94,U94,V94),2),"0")</f>
        <v>0</v>
      </c>
      <c r="AE94" t="str">
        <f t="shared" si="13"/>
        <v/>
      </c>
      <c r="AH94" t="str">
        <f t="shared" si="9"/>
        <v xml:space="preserve">Based on ADMIXTURE results of 78,187 SNPs, </v>
      </c>
    </row>
    <row r="95" spans="1:34" x14ac:dyDescent="0.4">
      <c r="A95">
        <v>492</v>
      </c>
      <c r="B95" t="s">
        <v>975</v>
      </c>
      <c r="C95" t="s">
        <v>21</v>
      </c>
      <c r="D95" t="s">
        <v>25</v>
      </c>
      <c r="E95" t="s">
        <v>21</v>
      </c>
      <c r="F95" t="s">
        <v>25</v>
      </c>
      <c r="G95" t="s">
        <v>21</v>
      </c>
      <c r="H95" t="s">
        <v>21</v>
      </c>
      <c r="I95" t="s">
        <v>21</v>
      </c>
      <c r="J95">
        <v>0</v>
      </c>
      <c r="K95">
        <v>2</v>
      </c>
      <c r="L95" t="s">
        <v>26</v>
      </c>
      <c r="M95" t="str">
        <f t="shared" si="10"/>
        <v>F1</v>
      </c>
      <c r="N95">
        <v>0</v>
      </c>
      <c r="O95">
        <v>0</v>
      </c>
      <c r="P95">
        <v>0</v>
      </c>
      <c r="Q95">
        <v>0.45390000000000003</v>
      </c>
      <c r="R95">
        <v>0</v>
      </c>
      <c r="S95">
        <v>3.8800000000000001E-2</v>
      </c>
      <c r="T95">
        <v>0.50719999999999998</v>
      </c>
      <c r="U95">
        <v>0</v>
      </c>
      <c r="V95">
        <v>0.54602200000000001</v>
      </c>
      <c r="W95" s="1">
        <f t="shared" si="11"/>
        <v>0.54602200000000001</v>
      </c>
      <c r="X95" s="2" t="s">
        <v>976</v>
      </c>
      <c r="Y95" t="str">
        <f>VLOOKUP(X95,Sheet1!A:B,2,FALSE)</f>
        <v>Quercus bicolor Willd.</v>
      </c>
      <c r="Z95" t="s">
        <v>1423</v>
      </c>
      <c r="AB95" s="1">
        <f t="shared" si="12"/>
        <v>0.54602200000000001</v>
      </c>
      <c r="AD95">
        <f>IF(W95&lt;0.99,LARGE((N95:R95,U95,V95),2),"0")</f>
        <v>0.45390000000000003</v>
      </c>
      <c r="AE95" t="str">
        <f>IF(AND(AB95&lt;0.99,AD95&gt;0.1,AB95&gt;0.6),"admixed with",IF(AND(AB95&lt;0.99,AD95&gt;0.01,AD95&lt;0.4),"trace admixed with ",""))</f>
        <v/>
      </c>
      <c r="AH95" t="str">
        <f t="shared" si="9"/>
        <v xml:space="preserve">Based on ADMIXTURE results of 78,187 SNPs, </v>
      </c>
    </row>
    <row r="96" spans="1:34" x14ac:dyDescent="0.4">
      <c r="A96">
        <v>493</v>
      </c>
      <c r="B96" t="s">
        <v>977</v>
      </c>
      <c r="C96" t="s">
        <v>22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>
        <v>1</v>
      </c>
      <c r="K96">
        <v>0</v>
      </c>
      <c r="L96" t="s">
        <v>23</v>
      </c>
      <c r="M96" t="str">
        <f t="shared" si="10"/>
        <v>&gt;0.74</v>
      </c>
      <c r="N96">
        <v>0</v>
      </c>
      <c r="O96">
        <v>0</v>
      </c>
      <c r="P96">
        <v>0.99470000000000003</v>
      </c>
      <c r="Q96">
        <v>0</v>
      </c>
      <c r="R96">
        <v>0</v>
      </c>
      <c r="S96">
        <v>5.3E-3</v>
      </c>
      <c r="T96">
        <v>0</v>
      </c>
      <c r="U96">
        <v>0</v>
      </c>
      <c r="V96">
        <v>5.2599999999999999E-3</v>
      </c>
      <c r="W96" s="1">
        <f t="shared" si="11"/>
        <v>0.99470000000000003</v>
      </c>
      <c r="X96" t="s">
        <v>978</v>
      </c>
      <c r="Y96" t="str">
        <f>VLOOKUP(X96,Sheet1!A:B,2,FALSE)</f>
        <v>Quercus alba L.</v>
      </c>
      <c r="Z96" t="s">
        <v>1386</v>
      </c>
      <c r="AB96" s="1">
        <f t="shared" si="12"/>
        <v>0.99470000000000003</v>
      </c>
      <c r="AD96" t="str">
        <f>IF(W96&lt;0.99,LARGE((N96:R96,U96,V96),2),"0")</f>
        <v>0</v>
      </c>
      <c r="AE96" t="str">
        <f t="shared" ref="AE96:AE136" si="14">IF(AND(AB96&lt;0.99,AD96&gt;0.1),"admixed with",IF(AND(AB96&lt;0.99,AD96&gt;0.01),"trace admixed with ",""))</f>
        <v/>
      </c>
      <c r="AH96" t="str">
        <f t="shared" si="9"/>
        <v xml:space="preserve">Based on ADMIXTURE results of 78,187 SNPs, </v>
      </c>
    </row>
    <row r="97" spans="1:34" x14ac:dyDescent="0.4">
      <c r="A97">
        <v>494</v>
      </c>
      <c r="B97" t="s">
        <v>979</v>
      </c>
      <c r="C97" t="s">
        <v>21</v>
      </c>
      <c r="D97" t="s">
        <v>21</v>
      </c>
      <c r="E97" t="s">
        <v>21</v>
      </c>
      <c r="F97" t="s">
        <v>22</v>
      </c>
      <c r="G97" t="s">
        <v>21</v>
      </c>
      <c r="H97" t="s">
        <v>21</v>
      </c>
      <c r="I97" t="s">
        <v>21</v>
      </c>
      <c r="J97">
        <v>1</v>
      </c>
      <c r="K97">
        <v>0</v>
      </c>
      <c r="L97" t="s">
        <v>23</v>
      </c>
      <c r="M97" t="str">
        <f t="shared" si="10"/>
        <v>&gt;0.74</v>
      </c>
      <c r="N97">
        <v>0</v>
      </c>
      <c r="O97">
        <v>0</v>
      </c>
      <c r="P97">
        <v>0</v>
      </c>
      <c r="Q97">
        <v>0</v>
      </c>
      <c r="R97">
        <v>0</v>
      </c>
      <c r="S97">
        <v>0.1789</v>
      </c>
      <c r="T97">
        <v>0.82099999999999995</v>
      </c>
      <c r="U97">
        <v>0</v>
      </c>
      <c r="V97">
        <v>0.99994000000000005</v>
      </c>
      <c r="W97" s="1">
        <f t="shared" si="11"/>
        <v>0.99994000000000005</v>
      </c>
      <c r="X97" t="s">
        <v>980</v>
      </c>
      <c r="Y97" t="str">
        <f>VLOOKUP(X97,Sheet1!A:B,2,FALSE)</f>
        <v>Quercus macrocarpa Michx.</v>
      </c>
      <c r="Z97" t="s">
        <v>1384</v>
      </c>
      <c r="AB97" s="1">
        <f t="shared" si="12"/>
        <v>0.99994000000000005</v>
      </c>
      <c r="AD97" t="str">
        <f>IF(W97&lt;0.99,LARGE((N97:R97,U97,V97),2),"0")</f>
        <v>0</v>
      </c>
      <c r="AE97" t="str">
        <f t="shared" si="14"/>
        <v/>
      </c>
      <c r="AH97" t="str">
        <f t="shared" si="9"/>
        <v xml:space="preserve">Based on ADMIXTURE results of 78,187 SNPs, </v>
      </c>
    </row>
    <row r="98" spans="1:34" x14ac:dyDescent="0.4">
      <c r="A98">
        <v>495</v>
      </c>
      <c r="B98" t="s">
        <v>981</v>
      </c>
      <c r="C98" t="s">
        <v>21</v>
      </c>
      <c r="D98" t="s">
        <v>22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>
        <v>1</v>
      </c>
      <c r="K98">
        <v>0</v>
      </c>
      <c r="L98" t="s">
        <v>23</v>
      </c>
      <c r="M98" t="str">
        <f t="shared" si="10"/>
        <v>&gt;0.74</v>
      </c>
      <c r="N98">
        <v>0</v>
      </c>
      <c r="O98">
        <v>0</v>
      </c>
      <c r="P98">
        <v>0</v>
      </c>
      <c r="Q98">
        <v>0.99990000000000001</v>
      </c>
      <c r="R98">
        <v>0</v>
      </c>
      <c r="S98">
        <v>0</v>
      </c>
      <c r="T98">
        <v>0</v>
      </c>
      <c r="U98">
        <v>0</v>
      </c>
      <c r="V98" s="1">
        <v>2.0000000000000002E-5</v>
      </c>
      <c r="W98" s="1">
        <f t="shared" si="11"/>
        <v>0.99990000000000001</v>
      </c>
      <c r="X98" t="s">
        <v>982</v>
      </c>
      <c r="Y98" t="str">
        <f>VLOOKUP(X98,Sheet1!A:B,2,FALSE)</f>
        <v>Quercus bicolor Willd.</v>
      </c>
      <c r="Z98" t="s">
        <v>1388</v>
      </c>
      <c r="AB98" s="1">
        <f t="shared" si="12"/>
        <v>0.99990000000000001</v>
      </c>
      <c r="AD98" t="str">
        <f>IF(W98&lt;0.99,LARGE((N98:R98,U98,V98),2),"0")</f>
        <v>0</v>
      </c>
      <c r="AE98" t="str">
        <f t="shared" si="14"/>
        <v/>
      </c>
      <c r="AH98" t="str">
        <f t="shared" si="9"/>
        <v xml:space="preserve">Based on ADMIXTURE results of 78,187 SNPs, </v>
      </c>
    </row>
    <row r="99" spans="1:34" x14ac:dyDescent="0.4">
      <c r="A99">
        <v>520</v>
      </c>
      <c r="B99" t="s">
        <v>1031</v>
      </c>
      <c r="C99" t="s">
        <v>21</v>
      </c>
      <c r="D99" t="s">
        <v>21</v>
      </c>
      <c r="E99" t="s">
        <v>21</v>
      </c>
      <c r="F99" t="s">
        <v>22</v>
      </c>
      <c r="G99" t="s">
        <v>21</v>
      </c>
      <c r="H99" t="s">
        <v>21</v>
      </c>
      <c r="I99" t="s">
        <v>21</v>
      </c>
      <c r="J99">
        <v>1</v>
      </c>
      <c r="K99">
        <v>0</v>
      </c>
      <c r="L99" t="s">
        <v>23</v>
      </c>
      <c r="M99" t="str">
        <f t="shared" si="10"/>
        <v>&gt;0.74</v>
      </c>
      <c r="N99">
        <v>0</v>
      </c>
      <c r="O99">
        <v>0</v>
      </c>
      <c r="P99">
        <v>0</v>
      </c>
      <c r="Q99">
        <v>0</v>
      </c>
      <c r="R99">
        <v>0</v>
      </c>
      <c r="S99">
        <v>0.58409999999999995</v>
      </c>
      <c r="T99">
        <v>0.41589999999999999</v>
      </c>
      <c r="U99">
        <v>0</v>
      </c>
      <c r="V99">
        <v>0.99994000000000005</v>
      </c>
      <c r="W99" s="1">
        <f t="shared" si="11"/>
        <v>0.99994000000000005</v>
      </c>
      <c r="X99" t="s">
        <v>1032</v>
      </c>
      <c r="Y99" t="str">
        <f>VLOOKUP(X99,Sheet1!A:B,2,FALSE)</f>
        <v>Quercus macrocarpa Michx.</v>
      </c>
      <c r="Z99" t="s">
        <v>1384</v>
      </c>
      <c r="AB99" s="1">
        <f t="shared" si="12"/>
        <v>0.99994000000000005</v>
      </c>
      <c r="AD99" t="str">
        <f>IF(W99&lt;0.99,LARGE((N99:R99,U99,V99),2),"0")</f>
        <v>0</v>
      </c>
      <c r="AE99" t="str">
        <f t="shared" si="14"/>
        <v/>
      </c>
      <c r="AH99" t="str">
        <f t="shared" si="9"/>
        <v xml:space="preserve">Based on ADMIXTURE results of 78,187 SNPs, </v>
      </c>
    </row>
    <row r="100" spans="1:34" x14ac:dyDescent="0.4">
      <c r="A100">
        <v>521</v>
      </c>
      <c r="B100" t="s">
        <v>1033</v>
      </c>
      <c r="C100" t="s">
        <v>21</v>
      </c>
      <c r="D100" t="s">
        <v>21</v>
      </c>
      <c r="E100" t="s">
        <v>21</v>
      </c>
      <c r="F100" t="s">
        <v>22</v>
      </c>
      <c r="G100" t="s">
        <v>21</v>
      </c>
      <c r="H100" t="s">
        <v>21</v>
      </c>
      <c r="I100" t="s">
        <v>21</v>
      </c>
      <c r="J100">
        <v>1</v>
      </c>
      <c r="K100">
        <v>0</v>
      </c>
      <c r="L100" t="s">
        <v>23</v>
      </c>
      <c r="M100" t="str">
        <f t="shared" si="10"/>
        <v>&gt;0.74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0.69130000000000003</v>
      </c>
      <c r="T100">
        <v>0.30869999999999997</v>
      </c>
      <c r="U100">
        <v>0</v>
      </c>
      <c r="V100">
        <v>0.99994000000000005</v>
      </c>
      <c r="W100" s="1">
        <f t="shared" si="11"/>
        <v>0.99994000000000005</v>
      </c>
      <c r="X100" t="s">
        <v>1034</v>
      </c>
      <c r="Y100" t="str">
        <f>VLOOKUP(X100,Sheet1!A:B,2,FALSE)</f>
        <v>Quercus macrocarpa Michx.</v>
      </c>
      <c r="Z100" t="s">
        <v>1384</v>
      </c>
      <c r="AB100" s="1">
        <f t="shared" si="12"/>
        <v>0.99994000000000005</v>
      </c>
      <c r="AD100" t="str">
        <f>IF(W100&lt;0.99,LARGE((N100:R100,U100,V100),2),"0")</f>
        <v>0</v>
      </c>
      <c r="AE100" t="str">
        <f t="shared" si="14"/>
        <v/>
      </c>
      <c r="AH100" t="str">
        <f t="shared" si="9"/>
        <v xml:space="preserve">Based on ADMIXTURE results of 78,187 SNPs, </v>
      </c>
    </row>
    <row r="101" spans="1:34" x14ac:dyDescent="0.4">
      <c r="A101">
        <v>529</v>
      </c>
      <c r="B101" t="s">
        <v>1049</v>
      </c>
      <c r="C101" t="s">
        <v>22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>
        <v>1</v>
      </c>
      <c r="K101">
        <v>0</v>
      </c>
      <c r="L101" t="s">
        <v>23</v>
      </c>
      <c r="M101" t="str">
        <f t="shared" si="10"/>
        <v>&gt;0.74</v>
      </c>
      <c r="N101">
        <v>0</v>
      </c>
      <c r="O101">
        <v>0</v>
      </c>
      <c r="P101">
        <v>0.99990000000000001</v>
      </c>
      <c r="Q101">
        <v>0</v>
      </c>
      <c r="R101">
        <v>0</v>
      </c>
      <c r="S101">
        <v>0</v>
      </c>
      <c r="T101">
        <v>0</v>
      </c>
      <c r="U101">
        <v>0</v>
      </c>
      <c r="V101" s="1">
        <v>2.0000000000000002E-5</v>
      </c>
      <c r="W101" s="1">
        <f t="shared" si="11"/>
        <v>0.99990000000000001</v>
      </c>
      <c r="X101" t="s">
        <v>1050</v>
      </c>
      <c r="Y101" t="str">
        <f>VLOOKUP(X101,Sheet1!A:B,2,FALSE)</f>
        <v>Quercus alba L.</v>
      </c>
      <c r="Z101" t="s">
        <v>1386</v>
      </c>
      <c r="AB101" s="1">
        <f t="shared" si="12"/>
        <v>0.99990000000000001</v>
      </c>
      <c r="AD101" t="str">
        <f>IF(W101&lt;0.99,LARGE((N101:R101,U101,V101),2),"0")</f>
        <v>0</v>
      </c>
      <c r="AE101" t="str">
        <f t="shared" si="14"/>
        <v/>
      </c>
      <c r="AH101" t="str">
        <f t="shared" si="9"/>
        <v xml:space="preserve">Based on ADMIXTURE results of 78,187 SNPs, </v>
      </c>
    </row>
    <row r="102" spans="1:34" x14ac:dyDescent="0.4">
      <c r="A102">
        <v>530</v>
      </c>
      <c r="B102" t="s">
        <v>1051</v>
      </c>
      <c r="C102" t="s">
        <v>22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>
        <v>1</v>
      </c>
      <c r="K102">
        <v>0</v>
      </c>
      <c r="L102" t="s">
        <v>23</v>
      </c>
      <c r="M102" t="str">
        <f t="shared" si="10"/>
        <v>&gt;0.74</v>
      </c>
      <c r="N102">
        <v>0</v>
      </c>
      <c r="O102">
        <v>0</v>
      </c>
      <c r="P102">
        <v>0.99990000000000001</v>
      </c>
      <c r="Q102">
        <v>0</v>
      </c>
      <c r="R102">
        <v>0</v>
      </c>
      <c r="S102">
        <v>0</v>
      </c>
      <c r="T102">
        <v>0</v>
      </c>
      <c r="U102">
        <v>0</v>
      </c>
      <c r="V102" s="1">
        <v>2.0000000000000002E-5</v>
      </c>
      <c r="W102" s="1">
        <f t="shared" si="11"/>
        <v>0.99990000000000001</v>
      </c>
      <c r="X102" t="s">
        <v>1052</v>
      </c>
      <c r="Y102" t="str">
        <f>VLOOKUP(X102,Sheet1!A:B,2,FALSE)</f>
        <v>Quercus alba L.</v>
      </c>
      <c r="Z102" t="s">
        <v>1386</v>
      </c>
      <c r="AB102" s="1">
        <f t="shared" si="12"/>
        <v>0.99990000000000001</v>
      </c>
      <c r="AD102" t="str">
        <f>IF(W102&lt;0.99,LARGE((N102:R102,U102,V102),2),"0")</f>
        <v>0</v>
      </c>
      <c r="AE102" t="str">
        <f t="shared" si="14"/>
        <v/>
      </c>
      <c r="AH102" t="str">
        <f t="shared" si="9"/>
        <v xml:space="preserve">Based on ADMIXTURE results of 78,187 SNPs, </v>
      </c>
    </row>
    <row r="103" spans="1:34" x14ac:dyDescent="0.4">
      <c r="A103">
        <v>531</v>
      </c>
      <c r="B103" t="s">
        <v>1053</v>
      </c>
      <c r="C103" t="s">
        <v>22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>
        <v>1</v>
      </c>
      <c r="K103">
        <v>0</v>
      </c>
      <c r="L103" t="s">
        <v>23</v>
      </c>
      <c r="M103" t="str">
        <f t="shared" si="10"/>
        <v>&gt;0.74</v>
      </c>
      <c r="N103">
        <v>0</v>
      </c>
      <c r="O103">
        <v>0</v>
      </c>
      <c r="P103">
        <v>0.99990000000000001</v>
      </c>
      <c r="Q103">
        <v>0</v>
      </c>
      <c r="R103">
        <v>0</v>
      </c>
      <c r="S103">
        <v>0</v>
      </c>
      <c r="T103">
        <v>0</v>
      </c>
      <c r="U103">
        <v>0</v>
      </c>
      <c r="V103" s="1">
        <v>2.0000000000000002E-5</v>
      </c>
      <c r="W103" s="1">
        <f t="shared" si="11"/>
        <v>0.99990000000000001</v>
      </c>
      <c r="X103" t="s">
        <v>1054</v>
      </c>
      <c r="Y103" t="str">
        <f>VLOOKUP(X103,Sheet1!A:B,2,FALSE)</f>
        <v>Quercus alba L.</v>
      </c>
      <c r="Z103" t="s">
        <v>1386</v>
      </c>
      <c r="AB103" s="1">
        <f t="shared" si="12"/>
        <v>0.99990000000000001</v>
      </c>
      <c r="AD103" t="str">
        <f>IF(W103&lt;0.99,LARGE((N103:R103,U103,V103),2),"0")</f>
        <v>0</v>
      </c>
      <c r="AE103" t="str">
        <f t="shared" si="14"/>
        <v/>
      </c>
      <c r="AH103" t="str">
        <f t="shared" si="9"/>
        <v xml:space="preserve">Based on ADMIXTURE results of 78,187 SNPs, </v>
      </c>
    </row>
    <row r="104" spans="1:34" x14ac:dyDescent="0.4">
      <c r="A104">
        <v>532</v>
      </c>
      <c r="B104" t="s">
        <v>1055</v>
      </c>
      <c r="C104" t="s">
        <v>22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>
        <v>1</v>
      </c>
      <c r="K104">
        <v>0</v>
      </c>
      <c r="L104" t="s">
        <v>23</v>
      </c>
      <c r="M104" t="str">
        <f t="shared" si="10"/>
        <v>&gt;0.74</v>
      </c>
      <c r="N104">
        <v>0</v>
      </c>
      <c r="O104">
        <v>0</v>
      </c>
      <c r="P104">
        <v>0.99990000000000001</v>
      </c>
      <c r="Q104">
        <v>0</v>
      </c>
      <c r="R104">
        <v>0</v>
      </c>
      <c r="S104">
        <v>0</v>
      </c>
      <c r="T104">
        <v>0</v>
      </c>
      <c r="U104">
        <v>0</v>
      </c>
      <c r="V104" s="1">
        <v>2.0000000000000002E-5</v>
      </c>
      <c r="W104" s="1">
        <f t="shared" si="11"/>
        <v>0.99990000000000001</v>
      </c>
      <c r="X104" t="s">
        <v>1056</v>
      </c>
      <c r="Y104" t="str">
        <f>VLOOKUP(X104,Sheet1!A:B,2,FALSE)</f>
        <v>Quercus alba L.</v>
      </c>
      <c r="Z104" t="s">
        <v>1386</v>
      </c>
      <c r="AB104" s="1">
        <f t="shared" si="12"/>
        <v>0.99990000000000001</v>
      </c>
      <c r="AD104" t="str">
        <f>IF(W104&lt;0.99,LARGE((N104:R104,U104,V104),2),"0")</f>
        <v>0</v>
      </c>
      <c r="AE104" t="str">
        <f t="shared" si="14"/>
        <v/>
      </c>
      <c r="AH104" t="str">
        <f t="shared" si="9"/>
        <v xml:space="preserve">Based on ADMIXTURE results of 78,187 SNPs, </v>
      </c>
    </row>
    <row r="105" spans="1:34" x14ac:dyDescent="0.4">
      <c r="A105">
        <v>533</v>
      </c>
      <c r="B105" t="s">
        <v>1057</v>
      </c>
      <c r="C105" t="s">
        <v>22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>
        <v>1</v>
      </c>
      <c r="K105">
        <v>0</v>
      </c>
      <c r="L105" t="s">
        <v>23</v>
      </c>
      <c r="M105" t="str">
        <f t="shared" si="10"/>
        <v>&gt;0.74</v>
      </c>
      <c r="N105">
        <v>0</v>
      </c>
      <c r="O105">
        <v>0</v>
      </c>
      <c r="P105">
        <v>0.99990000000000001</v>
      </c>
      <c r="Q105">
        <v>0</v>
      </c>
      <c r="R105">
        <v>0</v>
      </c>
      <c r="S105">
        <v>0</v>
      </c>
      <c r="T105">
        <v>0</v>
      </c>
      <c r="U105">
        <v>0</v>
      </c>
      <c r="V105" s="1">
        <v>2.0000000000000002E-5</v>
      </c>
      <c r="W105" s="1">
        <f t="shared" si="11"/>
        <v>0.99990000000000001</v>
      </c>
      <c r="X105" t="s">
        <v>1058</v>
      </c>
      <c r="Y105" t="str">
        <f>VLOOKUP(X105,Sheet1!A:B,2,FALSE)</f>
        <v>Quercus alba L.</v>
      </c>
      <c r="Z105" t="s">
        <v>1386</v>
      </c>
      <c r="AB105" s="1">
        <f t="shared" si="12"/>
        <v>0.99990000000000001</v>
      </c>
      <c r="AD105" t="str">
        <f>IF(W105&lt;0.99,LARGE((N105:R105,U105,V105),2),"0")</f>
        <v>0</v>
      </c>
      <c r="AE105" t="str">
        <f t="shared" si="14"/>
        <v/>
      </c>
      <c r="AH105" t="str">
        <f t="shared" si="9"/>
        <v xml:space="preserve">Based on ADMIXTURE results of 78,187 SNPs, </v>
      </c>
    </row>
    <row r="106" spans="1:34" x14ac:dyDescent="0.4">
      <c r="A106">
        <v>534</v>
      </c>
      <c r="B106" t="s">
        <v>1059</v>
      </c>
      <c r="C106" t="s">
        <v>21</v>
      </c>
      <c r="D106" t="s">
        <v>21</v>
      </c>
      <c r="E106" t="s">
        <v>21</v>
      </c>
      <c r="F106" t="s">
        <v>22</v>
      </c>
      <c r="G106" t="s">
        <v>21</v>
      </c>
      <c r="H106" t="s">
        <v>21</v>
      </c>
      <c r="I106" t="s">
        <v>21</v>
      </c>
      <c r="J106">
        <v>1</v>
      </c>
      <c r="K106">
        <v>0</v>
      </c>
      <c r="L106" t="s">
        <v>23</v>
      </c>
      <c r="M106" t="str">
        <f t="shared" si="10"/>
        <v>&gt;0.74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0.68730000000000002</v>
      </c>
      <c r="T106">
        <v>0.31269999999999998</v>
      </c>
      <c r="U106">
        <v>0</v>
      </c>
      <c r="V106">
        <v>0.99993799999999999</v>
      </c>
      <c r="W106" s="1">
        <f t="shared" si="11"/>
        <v>0.99993799999999999</v>
      </c>
      <c r="X106" t="s">
        <v>1060</v>
      </c>
      <c r="Y106" t="str">
        <f>VLOOKUP(X106,Sheet1!A:B,2,FALSE)</f>
        <v>Quercus macrocarpa Michx.</v>
      </c>
      <c r="Z106" t="s">
        <v>1384</v>
      </c>
      <c r="AB106" s="1">
        <f t="shared" si="12"/>
        <v>0.99993799999999999</v>
      </c>
      <c r="AD106" t="str">
        <f>IF(W106&lt;0.99,LARGE((N106:R106,U106,V106),2),"0")</f>
        <v>0</v>
      </c>
      <c r="AE106" t="str">
        <f t="shared" si="14"/>
        <v/>
      </c>
      <c r="AH106" t="str">
        <f t="shared" si="9"/>
        <v xml:space="preserve">Based on ADMIXTURE results of 78,187 SNPs, </v>
      </c>
    </row>
    <row r="107" spans="1:34" x14ac:dyDescent="0.4">
      <c r="A107">
        <v>522</v>
      </c>
      <c r="B107" t="s">
        <v>1035</v>
      </c>
      <c r="C107" t="s">
        <v>21</v>
      </c>
      <c r="D107" t="s">
        <v>21</v>
      </c>
      <c r="E107" t="s">
        <v>21</v>
      </c>
      <c r="F107" t="s">
        <v>22</v>
      </c>
      <c r="G107" t="s">
        <v>21</v>
      </c>
      <c r="H107" t="s">
        <v>21</v>
      </c>
      <c r="I107" t="s">
        <v>21</v>
      </c>
      <c r="J107">
        <v>1</v>
      </c>
      <c r="K107">
        <v>0</v>
      </c>
      <c r="L107" t="s">
        <v>23</v>
      </c>
      <c r="M107" t="str">
        <f t="shared" si="10"/>
        <v>&gt;0.74</v>
      </c>
      <c r="N107">
        <v>0</v>
      </c>
      <c r="O107">
        <v>4.0000000000000001E-3</v>
      </c>
      <c r="P107">
        <v>0</v>
      </c>
      <c r="Q107">
        <v>0</v>
      </c>
      <c r="R107">
        <v>0</v>
      </c>
      <c r="S107">
        <v>0.77280000000000004</v>
      </c>
      <c r="T107">
        <v>0.22309999999999999</v>
      </c>
      <c r="U107">
        <v>0</v>
      </c>
      <c r="V107">
        <v>0.99592199999999997</v>
      </c>
      <c r="W107" s="1">
        <f t="shared" si="11"/>
        <v>0.99592199999999997</v>
      </c>
      <c r="X107" t="s">
        <v>1036</v>
      </c>
      <c r="Y107" t="str">
        <f>VLOOKUP(X107,Sheet1!A:B,2,FALSE)</f>
        <v>Quercus macrocarpa Michx.</v>
      </c>
      <c r="Z107" t="s">
        <v>1384</v>
      </c>
      <c r="AB107" s="1">
        <f t="shared" si="12"/>
        <v>0.99592199999999997</v>
      </c>
      <c r="AD107" t="str">
        <f>IF(W107&lt;0.99,LARGE((N107:R107,U107,V107),2),"0")</f>
        <v>0</v>
      </c>
      <c r="AE107" t="str">
        <f t="shared" si="14"/>
        <v/>
      </c>
      <c r="AH107" t="str">
        <f t="shared" si="9"/>
        <v xml:space="preserve">Based on ADMIXTURE results of 78,187 SNPs, </v>
      </c>
    </row>
    <row r="108" spans="1:34" x14ac:dyDescent="0.4">
      <c r="A108">
        <v>523</v>
      </c>
      <c r="B108" t="s">
        <v>1037</v>
      </c>
      <c r="C108" t="s">
        <v>21</v>
      </c>
      <c r="D108" t="s">
        <v>21</v>
      </c>
      <c r="E108" t="s">
        <v>21</v>
      </c>
      <c r="F108" t="s">
        <v>22</v>
      </c>
      <c r="G108" t="s">
        <v>21</v>
      </c>
      <c r="H108" t="s">
        <v>21</v>
      </c>
      <c r="I108" t="s">
        <v>21</v>
      </c>
      <c r="J108">
        <v>1</v>
      </c>
      <c r="K108">
        <v>0</v>
      </c>
      <c r="L108" t="s">
        <v>23</v>
      </c>
      <c r="M108" t="str">
        <f t="shared" si="10"/>
        <v>&gt;0.74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0.6956</v>
      </c>
      <c r="T108">
        <v>0.3044</v>
      </c>
      <c r="U108">
        <v>0</v>
      </c>
      <c r="V108">
        <v>0.99994000000000005</v>
      </c>
      <c r="W108" s="1">
        <f t="shared" si="11"/>
        <v>0.99994000000000005</v>
      </c>
      <c r="X108" t="s">
        <v>1038</v>
      </c>
      <c r="Y108" t="str">
        <f>VLOOKUP(X108,Sheet1!A:B,2,FALSE)</f>
        <v>Quercus macrocarpa Michx.</v>
      </c>
      <c r="Z108" t="s">
        <v>1384</v>
      </c>
      <c r="AB108" s="1">
        <f t="shared" si="12"/>
        <v>0.99994000000000005</v>
      </c>
      <c r="AD108" t="str">
        <f>IF(W108&lt;0.99,LARGE((N108:R108,U108,V108),2),"0")</f>
        <v>0</v>
      </c>
      <c r="AE108" t="str">
        <f t="shared" si="14"/>
        <v/>
      </c>
      <c r="AH108" t="str">
        <f t="shared" si="9"/>
        <v xml:space="preserve">Based on ADMIXTURE results of 78,187 SNPs, </v>
      </c>
    </row>
    <row r="109" spans="1:34" x14ac:dyDescent="0.4">
      <c r="A109">
        <v>524</v>
      </c>
      <c r="B109" t="s">
        <v>1039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22</v>
      </c>
      <c r="I109" t="s">
        <v>21</v>
      </c>
      <c r="J109">
        <v>1</v>
      </c>
      <c r="K109">
        <v>0</v>
      </c>
      <c r="L109" t="s">
        <v>23</v>
      </c>
      <c r="M109" t="str">
        <f t="shared" si="10"/>
        <v>&gt;0.74</v>
      </c>
      <c r="N109">
        <v>0</v>
      </c>
      <c r="O109">
        <v>0.99990000000000001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">
        <v>2.0000000000000002E-5</v>
      </c>
      <c r="W109" s="1">
        <f t="shared" si="11"/>
        <v>0.99990000000000001</v>
      </c>
      <c r="X109" t="s">
        <v>1040</v>
      </c>
      <c r="Y109" t="str">
        <f>VLOOKUP(X109,Sheet1!A:B,2,FALSE)</f>
        <v>Quercus muehlenbergii Engelm.</v>
      </c>
      <c r="Z109" t="s">
        <v>1387</v>
      </c>
      <c r="AB109" s="1">
        <f t="shared" si="12"/>
        <v>0.99990000000000001</v>
      </c>
      <c r="AD109" t="str">
        <f>IF(W109&lt;0.99,LARGE((N109:R109,U109,V109),2),"0")</f>
        <v>0</v>
      </c>
      <c r="AE109" t="str">
        <f t="shared" si="14"/>
        <v/>
      </c>
      <c r="AH109" t="str">
        <f t="shared" si="9"/>
        <v xml:space="preserve">Based on ADMIXTURE results of 78,187 SNPs, </v>
      </c>
    </row>
    <row r="110" spans="1:34" x14ac:dyDescent="0.4">
      <c r="A110">
        <v>525</v>
      </c>
      <c r="B110" t="s">
        <v>1041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22</v>
      </c>
      <c r="I110" t="s">
        <v>21</v>
      </c>
      <c r="J110">
        <v>1</v>
      </c>
      <c r="K110">
        <v>0</v>
      </c>
      <c r="L110" t="s">
        <v>23</v>
      </c>
      <c r="M110" t="str">
        <f t="shared" si="10"/>
        <v>&gt;0.74</v>
      </c>
      <c r="N110">
        <v>0</v>
      </c>
      <c r="O110">
        <v>0.99990000000000001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1">
        <v>2.0000000000000002E-5</v>
      </c>
      <c r="W110" s="1">
        <f t="shared" si="11"/>
        <v>0.99990000000000001</v>
      </c>
      <c r="X110" t="s">
        <v>1042</v>
      </c>
      <c r="Y110" t="str">
        <f>VLOOKUP(X110,Sheet1!A:B,2,FALSE)</f>
        <v>Quercus muehlenbergii Engelm.</v>
      </c>
      <c r="Z110" t="s">
        <v>1387</v>
      </c>
      <c r="AB110" s="1">
        <f t="shared" si="12"/>
        <v>0.99990000000000001</v>
      </c>
      <c r="AD110" t="str">
        <f>IF(W110&lt;0.99,LARGE((N110:R110,U110,V110),2),"0")</f>
        <v>0</v>
      </c>
      <c r="AE110" t="str">
        <f t="shared" si="14"/>
        <v/>
      </c>
      <c r="AH110" t="str">
        <f t="shared" si="9"/>
        <v xml:space="preserve">Based on ADMIXTURE results of 78,187 SNPs, </v>
      </c>
    </row>
    <row r="111" spans="1:34" x14ac:dyDescent="0.4">
      <c r="A111">
        <v>526</v>
      </c>
      <c r="B111" t="s">
        <v>1043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22</v>
      </c>
      <c r="I111" t="s">
        <v>21</v>
      </c>
      <c r="J111">
        <v>1</v>
      </c>
      <c r="K111">
        <v>0</v>
      </c>
      <c r="L111" t="s">
        <v>23</v>
      </c>
      <c r="M111" t="str">
        <f t="shared" si="10"/>
        <v>&gt;0.74</v>
      </c>
      <c r="N111">
        <v>0</v>
      </c>
      <c r="O111">
        <v>0.99990000000000001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1">
        <v>2.0000000000000002E-5</v>
      </c>
      <c r="W111" s="1">
        <f t="shared" si="11"/>
        <v>0.99990000000000001</v>
      </c>
      <c r="X111" t="s">
        <v>1044</v>
      </c>
      <c r="Y111" t="str">
        <f>VLOOKUP(X111,Sheet1!A:B,2,FALSE)</f>
        <v>Quercus muehlenbergii Engelm.</v>
      </c>
      <c r="Z111" t="s">
        <v>1387</v>
      </c>
      <c r="AB111" s="1">
        <f t="shared" si="12"/>
        <v>0.99990000000000001</v>
      </c>
      <c r="AD111" t="str">
        <f>IF(W111&lt;0.99,LARGE((N111:R111,U111,V111),2),"0")</f>
        <v>0</v>
      </c>
      <c r="AE111" t="str">
        <f t="shared" si="14"/>
        <v/>
      </c>
      <c r="AH111" t="str">
        <f t="shared" si="9"/>
        <v xml:space="preserve">Based on ADMIXTURE results of 78,187 SNPs, </v>
      </c>
    </row>
    <row r="112" spans="1:34" x14ac:dyDescent="0.4">
      <c r="A112">
        <v>527</v>
      </c>
      <c r="B112" t="s">
        <v>1045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22</v>
      </c>
      <c r="I112" t="s">
        <v>21</v>
      </c>
      <c r="J112">
        <v>1</v>
      </c>
      <c r="K112">
        <v>0</v>
      </c>
      <c r="L112" t="s">
        <v>23</v>
      </c>
      <c r="M112" t="str">
        <f t="shared" si="10"/>
        <v>&gt;0.74</v>
      </c>
      <c r="N112">
        <v>0</v>
      </c>
      <c r="O112">
        <v>0.99990000000000001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1">
        <v>2.0000000000000002E-5</v>
      </c>
      <c r="W112" s="1">
        <f t="shared" si="11"/>
        <v>0.99990000000000001</v>
      </c>
      <c r="X112" t="s">
        <v>1046</v>
      </c>
      <c r="Y112" t="str">
        <f>VLOOKUP(X112,Sheet1!A:B,2,FALSE)</f>
        <v>Quercus muehlenbergii Engelm.</v>
      </c>
      <c r="Z112" t="s">
        <v>1387</v>
      </c>
      <c r="AB112" s="1">
        <f t="shared" si="12"/>
        <v>0.99990000000000001</v>
      </c>
      <c r="AD112" t="str">
        <f>IF(W112&lt;0.99,LARGE((N112:R112,U112,V112),2),"0")</f>
        <v>0</v>
      </c>
      <c r="AE112" t="str">
        <f t="shared" si="14"/>
        <v/>
      </c>
      <c r="AH112" t="str">
        <f t="shared" si="9"/>
        <v xml:space="preserve">Based on ADMIXTURE results of 78,187 SNPs, </v>
      </c>
    </row>
    <row r="113" spans="1:34" x14ac:dyDescent="0.4">
      <c r="A113">
        <v>528</v>
      </c>
      <c r="B113" t="s">
        <v>1047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22</v>
      </c>
      <c r="I113" t="s">
        <v>21</v>
      </c>
      <c r="J113">
        <v>1</v>
      </c>
      <c r="K113">
        <v>0</v>
      </c>
      <c r="L113" t="s">
        <v>23</v>
      </c>
      <c r="M113" t="str">
        <f t="shared" si="10"/>
        <v>&gt;0.74</v>
      </c>
      <c r="N113">
        <v>0</v>
      </c>
      <c r="O113">
        <v>0.99990000000000001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1">
        <v>2.0000000000000002E-5</v>
      </c>
      <c r="W113" s="1">
        <f t="shared" si="11"/>
        <v>0.99990000000000001</v>
      </c>
      <c r="X113" t="s">
        <v>1048</v>
      </c>
      <c r="Y113" t="str">
        <f>VLOOKUP(X113,Sheet1!A:B,2,FALSE)</f>
        <v>Quercus muehlenbergii Engelm.</v>
      </c>
      <c r="Z113" t="s">
        <v>1387</v>
      </c>
      <c r="AB113" s="1">
        <f t="shared" si="12"/>
        <v>0.99990000000000001</v>
      </c>
      <c r="AD113" t="str">
        <f>IF(W113&lt;0.99,LARGE((N113:R113,U113,V113),2),"0")</f>
        <v>0</v>
      </c>
      <c r="AE113" t="str">
        <f t="shared" si="14"/>
        <v/>
      </c>
      <c r="AH113" t="str">
        <f t="shared" si="9"/>
        <v xml:space="preserve">Based on ADMIXTURE results of 78,187 SNPs, </v>
      </c>
    </row>
    <row r="114" spans="1:34" x14ac:dyDescent="0.4">
      <c r="A114">
        <v>496</v>
      </c>
      <c r="B114" t="s">
        <v>983</v>
      </c>
      <c r="C114" t="s">
        <v>22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>
        <v>1</v>
      </c>
      <c r="K114">
        <v>0</v>
      </c>
      <c r="L114" t="s">
        <v>23</v>
      </c>
      <c r="M114" t="str">
        <f t="shared" si="10"/>
        <v>&gt;0.74</v>
      </c>
      <c r="N114">
        <v>0</v>
      </c>
      <c r="O114">
        <v>0</v>
      </c>
      <c r="P114">
        <v>0.99990000000000001</v>
      </c>
      <c r="Q114">
        <v>0</v>
      </c>
      <c r="R114">
        <v>0</v>
      </c>
      <c r="S114">
        <v>0</v>
      </c>
      <c r="T114">
        <v>0</v>
      </c>
      <c r="U114">
        <v>0</v>
      </c>
      <c r="V114" s="1">
        <v>2.0000000000000002E-5</v>
      </c>
      <c r="W114" s="1">
        <f t="shared" si="11"/>
        <v>0.99990000000000001</v>
      </c>
      <c r="X114" t="s">
        <v>984</v>
      </c>
      <c r="Y114" t="str">
        <f>VLOOKUP(X114,Sheet1!A:B,2,FALSE)</f>
        <v>Quercus alba L.</v>
      </c>
      <c r="Z114" t="s">
        <v>1386</v>
      </c>
      <c r="AB114" s="1">
        <f t="shared" si="12"/>
        <v>0.99990000000000001</v>
      </c>
      <c r="AD114" t="str">
        <f>IF(W114&lt;0.99,LARGE((N114:R114,U114,V114),2),"0")</f>
        <v>0</v>
      </c>
      <c r="AE114" t="str">
        <f t="shared" si="14"/>
        <v/>
      </c>
      <c r="AH114" t="str">
        <f t="shared" si="9"/>
        <v xml:space="preserve">Based on ADMIXTURE results of 78,187 SNPs, </v>
      </c>
    </row>
    <row r="115" spans="1:34" x14ac:dyDescent="0.4">
      <c r="A115">
        <v>497</v>
      </c>
      <c r="B115" t="s">
        <v>985</v>
      </c>
      <c r="C115" t="s">
        <v>21</v>
      </c>
      <c r="D115" t="s">
        <v>22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>
        <v>1</v>
      </c>
      <c r="K115">
        <v>0</v>
      </c>
      <c r="L115" t="s">
        <v>23</v>
      </c>
      <c r="M115" t="str">
        <f t="shared" si="10"/>
        <v>&gt;0.74</v>
      </c>
      <c r="N115">
        <v>0</v>
      </c>
      <c r="O115">
        <v>0</v>
      </c>
      <c r="P115">
        <v>0</v>
      </c>
      <c r="Q115">
        <v>0.99990000000000001</v>
      </c>
      <c r="R115">
        <v>0</v>
      </c>
      <c r="S115">
        <v>0</v>
      </c>
      <c r="T115">
        <v>0</v>
      </c>
      <c r="U115">
        <v>0</v>
      </c>
      <c r="V115" s="1">
        <v>2.0000000000000002E-5</v>
      </c>
      <c r="W115" s="1">
        <f t="shared" si="11"/>
        <v>0.99990000000000001</v>
      </c>
      <c r="X115" t="s">
        <v>986</v>
      </c>
      <c r="Y115" t="str">
        <f>VLOOKUP(X115,Sheet1!A:B,2,FALSE)</f>
        <v>Quercus bicolor Willd.</v>
      </c>
      <c r="Z115" t="s">
        <v>1388</v>
      </c>
      <c r="AB115" s="1">
        <f t="shared" si="12"/>
        <v>0.99990000000000001</v>
      </c>
      <c r="AD115" t="str">
        <f>IF(W115&lt;0.99,LARGE((N115:R115,U115,V115),2),"0")</f>
        <v>0</v>
      </c>
      <c r="AE115" t="str">
        <f t="shared" si="14"/>
        <v/>
      </c>
      <c r="AH115" t="str">
        <f t="shared" si="9"/>
        <v xml:space="preserve">Based on ADMIXTURE results of 78,187 SNPs, </v>
      </c>
    </row>
    <row r="116" spans="1:34" x14ac:dyDescent="0.4">
      <c r="A116">
        <v>498</v>
      </c>
      <c r="B116" t="s">
        <v>987</v>
      </c>
      <c r="C116" t="s">
        <v>22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>
        <v>1</v>
      </c>
      <c r="K116">
        <v>0</v>
      </c>
      <c r="L116" t="s">
        <v>23</v>
      </c>
      <c r="M116" t="str">
        <f t="shared" si="10"/>
        <v>&gt;0.74</v>
      </c>
      <c r="N116">
        <v>0</v>
      </c>
      <c r="O116">
        <v>0</v>
      </c>
      <c r="P116">
        <v>0.99990000000000001</v>
      </c>
      <c r="Q116">
        <v>0</v>
      </c>
      <c r="R116">
        <v>0</v>
      </c>
      <c r="S116">
        <v>0</v>
      </c>
      <c r="T116">
        <v>0</v>
      </c>
      <c r="U116">
        <v>0</v>
      </c>
      <c r="V116" s="1">
        <v>2.0000000000000002E-5</v>
      </c>
      <c r="W116" s="1">
        <f t="shared" si="11"/>
        <v>0.99990000000000001</v>
      </c>
      <c r="X116" t="s">
        <v>988</v>
      </c>
      <c r="Y116" t="str">
        <f>VLOOKUP(X116,Sheet1!A:B,2,FALSE)</f>
        <v>Quercus alba L.</v>
      </c>
      <c r="Z116" t="s">
        <v>1386</v>
      </c>
      <c r="AB116" s="1">
        <f t="shared" si="12"/>
        <v>0.99990000000000001</v>
      </c>
      <c r="AD116" t="str">
        <f>IF(W116&lt;0.99,LARGE((N116:R116,U116,V116),2),"0")</f>
        <v>0</v>
      </c>
      <c r="AE116" t="str">
        <f t="shared" si="14"/>
        <v/>
      </c>
      <c r="AH116" t="str">
        <f t="shared" si="9"/>
        <v xml:space="preserve">Based on ADMIXTURE results of 78,187 SNPs, </v>
      </c>
    </row>
    <row r="117" spans="1:34" x14ac:dyDescent="0.4">
      <c r="A117">
        <v>499</v>
      </c>
      <c r="B117" t="s">
        <v>989</v>
      </c>
      <c r="C117" t="s">
        <v>22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>
        <v>1</v>
      </c>
      <c r="K117">
        <v>0</v>
      </c>
      <c r="L117" t="s">
        <v>23</v>
      </c>
      <c r="M117" t="str">
        <f t="shared" si="10"/>
        <v>&gt;0.74</v>
      </c>
      <c r="N117">
        <v>0</v>
      </c>
      <c r="O117">
        <v>0</v>
      </c>
      <c r="P117">
        <v>0.99990000000000001</v>
      </c>
      <c r="Q117">
        <v>0</v>
      </c>
      <c r="R117">
        <v>0</v>
      </c>
      <c r="S117">
        <v>0</v>
      </c>
      <c r="T117">
        <v>0</v>
      </c>
      <c r="U117">
        <v>0</v>
      </c>
      <c r="V117" s="1">
        <v>2.0000000000000002E-5</v>
      </c>
      <c r="W117" s="1">
        <f t="shared" si="11"/>
        <v>0.99990000000000001</v>
      </c>
      <c r="X117" t="s">
        <v>990</v>
      </c>
      <c r="Y117" t="str">
        <f>VLOOKUP(X117,Sheet1!A:B,2,FALSE)</f>
        <v>Quercus alba L.</v>
      </c>
      <c r="Z117" t="s">
        <v>1386</v>
      </c>
      <c r="AB117" s="1">
        <f t="shared" si="12"/>
        <v>0.99990000000000001</v>
      </c>
      <c r="AD117" t="str">
        <f>IF(W117&lt;0.99,LARGE((N117:R117,U117,V117),2),"0")</f>
        <v>0</v>
      </c>
      <c r="AE117" t="str">
        <f t="shared" si="14"/>
        <v/>
      </c>
      <c r="AH117" t="str">
        <f t="shared" si="9"/>
        <v xml:space="preserve">Based on ADMIXTURE results of 78,187 SNPs, </v>
      </c>
    </row>
    <row r="118" spans="1:34" x14ac:dyDescent="0.4">
      <c r="A118">
        <v>500</v>
      </c>
      <c r="B118" t="s">
        <v>991</v>
      </c>
      <c r="C118" t="s">
        <v>21</v>
      </c>
      <c r="D118" t="s">
        <v>22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>
        <v>1</v>
      </c>
      <c r="K118">
        <v>0</v>
      </c>
      <c r="L118" t="s">
        <v>23</v>
      </c>
      <c r="M118" t="str">
        <f t="shared" si="10"/>
        <v>&gt;0.74</v>
      </c>
      <c r="N118">
        <v>0</v>
      </c>
      <c r="O118">
        <v>0</v>
      </c>
      <c r="P118">
        <v>0</v>
      </c>
      <c r="Q118">
        <v>0.99990000000000001</v>
      </c>
      <c r="R118">
        <v>0</v>
      </c>
      <c r="S118">
        <v>0</v>
      </c>
      <c r="T118">
        <v>0</v>
      </c>
      <c r="U118">
        <v>0</v>
      </c>
      <c r="V118" s="1">
        <v>2.0000000000000002E-5</v>
      </c>
      <c r="W118" s="1">
        <f t="shared" si="11"/>
        <v>0.99990000000000001</v>
      </c>
      <c r="X118" t="s">
        <v>992</v>
      </c>
      <c r="Y118" t="str">
        <f>VLOOKUP(X118,Sheet1!A:B,2,FALSE)</f>
        <v>Quercus bicolor Willd.</v>
      </c>
      <c r="Z118" t="s">
        <v>1388</v>
      </c>
      <c r="AB118" s="1">
        <f t="shared" si="12"/>
        <v>0.99990000000000001</v>
      </c>
      <c r="AD118" t="str">
        <f>IF(W118&lt;0.99,LARGE((N118:R118,U118,V118),2),"0")</f>
        <v>0</v>
      </c>
      <c r="AE118" t="str">
        <f t="shared" si="14"/>
        <v/>
      </c>
      <c r="AH118" t="str">
        <f t="shared" si="9"/>
        <v xml:space="preserve">Based on ADMIXTURE results of 78,187 SNPs, </v>
      </c>
    </row>
    <row r="119" spans="1:34" x14ac:dyDescent="0.4">
      <c r="A119">
        <v>501</v>
      </c>
      <c r="B119" t="s">
        <v>993</v>
      </c>
      <c r="C119" t="s">
        <v>21</v>
      </c>
      <c r="D119" t="s">
        <v>21</v>
      </c>
      <c r="E119" t="s">
        <v>21</v>
      </c>
      <c r="F119" t="s">
        <v>22</v>
      </c>
      <c r="G119" t="s">
        <v>21</v>
      </c>
      <c r="H119" t="s">
        <v>21</v>
      </c>
      <c r="I119" t="s">
        <v>21</v>
      </c>
      <c r="J119">
        <v>1</v>
      </c>
      <c r="K119">
        <v>0</v>
      </c>
      <c r="L119" t="s">
        <v>23</v>
      </c>
      <c r="M119" t="str">
        <f t="shared" si="10"/>
        <v>&gt;0.74</v>
      </c>
      <c r="N119">
        <v>0</v>
      </c>
      <c r="O119">
        <v>0</v>
      </c>
      <c r="P119">
        <v>1.8E-3</v>
      </c>
      <c r="Q119">
        <v>0</v>
      </c>
      <c r="R119">
        <v>0</v>
      </c>
      <c r="S119">
        <v>0.68110000000000004</v>
      </c>
      <c r="T119">
        <v>0.317</v>
      </c>
      <c r="U119">
        <v>0</v>
      </c>
      <c r="V119">
        <v>0.99813099999999999</v>
      </c>
      <c r="W119" s="1">
        <f t="shared" si="11"/>
        <v>0.99813099999999999</v>
      </c>
      <c r="X119" t="s">
        <v>994</v>
      </c>
      <c r="Y119" t="str">
        <f>VLOOKUP(X119,Sheet1!A:B,2,FALSE)</f>
        <v>Quercus macrocarpa Michx.</v>
      </c>
      <c r="Z119" t="s">
        <v>1384</v>
      </c>
      <c r="AB119" s="1">
        <f t="shared" si="12"/>
        <v>0.99813099999999999</v>
      </c>
      <c r="AD119" t="str">
        <f>IF(W119&lt;0.99,LARGE((N119:R119,U119,V119),2),"0")</f>
        <v>0</v>
      </c>
      <c r="AE119" t="str">
        <f t="shared" si="14"/>
        <v/>
      </c>
      <c r="AH119" t="str">
        <f t="shared" si="9"/>
        <v xml:space="preserve">Based on ADMIXTURE results of 78,187 SNPs, </v>
      </c>
    </row>
    <row r="120" spans="1:34" x14ac:dyDescent="0.4">
      <c r="A120">
        <v>502</v>
      </c>
      <c r="B120" t="s">
        <v>995</v>
      </c>
      <c r="C120" t="s">
        <v>22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>
        <v>1</v>
      </c>
      <c r="K120">
        <v>0</v>
      </c>
      <c r="L120" t="s">
        <v>23</v>
      </c>
      <c r="M120" t="str">
        <f t="shared" si="10"/>
        <v>&gt;0.74</v>
      </c>
      <c r="N120">
        <v>0</v>
      </c>
      <c r="O120">
        <v>0</v>
      </c>
      <c r="P120">
        <v>0.99990000000000001</v>
      </c>
      <c r="Q120">
        <v>0</v>
      </c>
      <c r="R120">
        <v>0</v>
      </c>
      <c r="S120">
        <v>0</v>
      </c>
      <c r="T120">
        <v>0</v>
      </c>
      <c r="U120">
        <v>0</v>
      </c>
      <c r="V120" s="1">
        <v>2.0000000000000002E-5</v>
      </c>
      <c r="W120" s="1">
        <f t="shared" si="11"/>
        <v>0.99990000000000001</v>
      </c>
      <c r="X120" t="s">
        <v>996</v>
      </c>
      <c r="Y120" t="str">
        <f>VLOOKUP(X120,Sheet1!A:B,2,FALSE)</f>
        <v>Quercus alba L.</v>
      </c>
      <c r="Z120" t="s">
        <v>1386</v>
      </c>
      <c r="AB120" s="1">
        <f t="shared" si="12"/>
        <v>0.99990000000000001</v>
      </c>
      <c r="AD120" t="str">
        <f>IF(W120&lt;0.99,LARGE((N120:R120,U120,V120),2),"0")</f>
        <v>0</v>
      </c>
      <c r="AE120" t="str">
        <f t="shared" si="14"/>
        <v/>
      </c>
      <c r="AH120" t="str">
        <f t="shared" si="9"/>
        <v xml:space="preserve">Based on ADMIXTURE results of 78,187 SNPs, </v>
      </c>
    </row>
    <row r="121" spans="1:34" x14ac:dyDescent="0.4">
      <c r="A121">
        <v>503</v>
      </c>
      <c r="B121" t="s">
        <v>997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22</v>
      </c>
      <c r="I121" t="s">
        <v>21</v>
      </c>
      <c r="J121">
        <v>1</v>
      </c>
      <c r="K121">
        <v>0</v>
      </c>
      <c r="L121" t="s">
        <v>23</v>
      </c>
      <c r="M121" t="str">
        <f t="shared" si="10"/>
        <v>&gt;0.74</v>
      </c>
      <c r="N121">
        <v>0</v>
      </c>
      <c r="O121">
        <v>0.99990000000000001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1">
        <v>2.0000000000000002E-5</v>
      </c>
      <c r="W121" s="1">
        <f t="shared" si="11"/>
        <v>0.99990000000000001</v>
      </c>
      <c r="X121" t="s">
        <v>998</v>
      </c>
      <c r="Y121" t="str">
        <f>VLOOKUP(X121,Sheet1!A:B,2,FALSE)</f>
        <v>Quercus muehlenbergii Engelm.</v>
      </c>
      <c r="Z121" t="s">
        <v>1387</v>
      </c>
      <c r="AB121" s="1">
        <f t="shared" si="12"/>
        <v>0.99990000000000001</v>
      </c>
      <c r="AD121" t="str">
        <f>IF(W121&lt;0.99,LARGE((N121:R121,U121,V121),2),"0")</f>
        <v>0</v>
      </c>
      <c r="AE121" t="str">
        <f t="shared" si="14"/>
        <v/>
      </c>
      <c r="AH121" t="str">
        <f t="shared" si="9"/>
        <v xml:space="preserve">Based on ADMIXTURE results of 78,187 SNPs, </v>
      </c>
    </row>
    <row r="122" spans="1:34" x14ac:dyDescent="0.4">
      <c r="A122">
        <v>504</v>
      </c>
      <c r="B122" t="s">
        <v>999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22</v>
      </c>
      <c r="I122" t="s">
        <v>21</v>
      </c>
      <c r="J122">
        <v>1</v>
      </c>
      <c r="K122">
        <v>0</v>
      </c>
      <c r="L122" t="s">
        <v>23</v>
      </c>
      <c r="M122" t="str">
        <f t="shared" si="10"/>
        <v>&gt;0.74</v>
      </c>
      <c r="N122">
        <v>0</v>
      </c>
      <c r="O122">
        <v>0.99990000000000001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1">
        <v>2.0000000000000002E-5</v>
      </c>
      <c r="W122" s="1">
        <f t="shared" si="11"/>
        <v>0.99990000000000001</v>
      </c>
      <c r="X122" t="s">
        <v>1000</v>
      </c>
      <c r="Y122" t="str">
        <f>VLOOKUP(X122,Sheet1!A:B,2,FALSE)</f>
        <v>Quercus muehlenbergii Engelm.</v>
      </c>
      <c r="Z122" t="s">
        <v>1387</v>
      </c>
      <c r="AB122" s="1">
        <f t="shared" si="12"/>
        <v>0.99990000000000001</v>
      </c>
      <c r="AD122" t="str">
        <f>IF(W122&lt;0.99,LARGE((N122:R122,U122,V122),2),"0")</f>
        <v>0</v>
      </c>
      <c r="AE122" t="str">
        <f t="shared" si="14"/>
        <v/>
      </c>
      <c r="AH122" t="str">
        <f t="shared" si="9"/>
        <v xml:space="preserve">Based on ADMIXTURE results of 78,187 SNPs, </v>
      </c>
    </row>
    <row r="123" spans="1:34" x14ac:dyDescent="0.4">
      <c r="A123">
        <v>505</v>
      </c>
      <c r="B123" t="s">
        <v>1001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22</v>
      </c>
      <c r="I123" t="s">
        <v>21</v>
      </c>
      <c r="J123">
        <v>1</v>
      </c>
      <c r="K123">
        <v>0</v>
      </c>
      <c r="L123" t="s">
        <v>23</v>
      </c>
      <c r="M123" t="str">
        <f t="shared" si="10"/>
        <v>&gt;0.74</v>
      </c>
      <c r="N123">
        <v>0</v>
      </c>
      <c r="O123">
        <v>0.99990000000000001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1">
        <v>2.0000000000000002E-5</v>
      </c>
      <c r="W123" s="1">
        <f t="shared" si="11"/>
        <v>0.99990000000000001</v>
      </c>
      <c r="X123" t="s">
        <v>1002</v>
      </c>
      <c r="Y123" t="str">
        <f>VLOOKUP(X123,Sheet1!A:B,2,FALSE)</f>
        <v>Quercus muehlenbergii Engelm.</v>
      </c>
      <c r="Z123" t="s">
        <v>1387</v>
      </c>
      <c r="AB123" s="1">
        <f t="shared" si="12"/>
        <v>0.99990000000000001</v>
      </c>
      <c r="AD123" t="str">
        <f>IF(W123&lt;0.99,LARGE((N123:R123,U123,V123),2),"0")</f>
        <v>0</v>
      </c>
      <c r="AE123" t="str">
        <f t="shared" si="14"/>
        <v/>
      </c>
      <c r="AH123" t="str">
        <f t="shared" ref="AH123:AH186" si="15">_xlfn.CONCAT("Based on ADMIXTURE results of 78,187 SNPs, ",AE123,AC123)</f>
        <v xml:space="preserve">Based on ADMIXTURE results of 78,187 SNPs, </v>
      </c>
    </row>
    <row r="124" spans="1:34" x14ac:dyDescent="0.4">
      <c r="A124">
        <v>506</v>
      </c>
      <c r="B124" t="s">
        <v>1003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22</v>
      </c>
      <c r="I124" t="s">
        <v>21</v>
      </c>
      <c r="J124">
        <v>1</v>
      </c>
      <c r="K124">
        <v>0</v>
      </c>
      <c r="L124" t="s">
        <v>23</v>
      </c>
      <c r="M124" t="str">
        <f t="shared" si="10"/>
        <v>&gt;0.74</v>
      </c>
      <c r="N124">
        <v>0</v>
      </c>
      <c r="O124">
        <v>0.99990000000000001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1">
        <v>2.0000000000000002E-5</v>
      </c>
      <c r="W124" s="1">
        <f t="shared" si="11"/>
        <v>0.99990000000000001</v>
      </c>
      <c r="X124" t="s">
        <v>1004</v>
      </c>
      <c r="Y124" t="str">
        <f>VLOOKUP(X124,Sheet1!A:B,2,FALSE)</f>
        <v>Quercus muehlenbergii Engelm.</v>
      </c>
      <c r="Z124" t="s">
        <v>1387</v>
      </c>
      <c r="AB124" s="1">
        <f t="shared" si="12"/>
        <v>0.99990000000000001</v>
      </c>
      <c r="AD124" t="str">
        <f>IF(W124&lt;0.99,LARGE((N124:R124,U124,V124),2),"0")</f>
        <v>0</v>
      </c>
      <c r="AE124" t="str">
        <f t="shared" si="14"/>
        <v/>
      </c>
      <c r="AH124" t="str">
        <f t="shared" si="15"/>
        <v xml:space="preserve">Based on ADMIXTURE results of 78,187 SNPs, </v>
      </c>
    </row>
    <row r="125" spans="1:34" x14ac:dyDescent="0.4">
      <c r="A125">
        <v>507</v>
      </c>
      <c r="B125" t="s">
        <v>1005</v>
      </c>
      <c r="C125" t="s">
        <v>21</v>
      </c>
      <c r="D125" t="s">
        <v>21</v>
      </c>
      <c r="E125" t="s">
        <v>21</v>
      </c>
      <c r="F125" t="s">
        <v>22</v>
      </c>
      <c r="G125" t="s">
        <v>21</v>
      </c>
      <c r="H125" t="s">
        <v>21</v>
      </c>
      <c r="I125" t="s">
        <v>21</v>
      </c>
      <c r="J125">
        <v>1</v>
      </c>
      <c r="K125">
        <v>0</v>
      </c>
      <c r="L125" t="s">
        <v>23</v>
      </c>
      <c r="M125" t="str">
        <f t="shared" si="10"/>
        <v>&gt;0.74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0.62150000000000005</v>
      </c>
      <c r="T125">
        <v>0.37840000000000001</v>
      </c>
      <c r="U125">
        <v>0</v>
      </c>
      <c r="V125">
        <v>0.99994000000000005</v>
      </c>
      <c r="W125" s="1">
        <f t="shared" si="11"/>
        <v>0.99994000000000005</v>
      </c>
      <c r="X125" t="s">
        <v>1006</v>
      </c>
      <c r="Y125" t="str">
        <f>VLOOKUP(X125,Sheet1!A:B,2,FALSE)</f>
        <v>Quercus macrocarpa Michx.</v>
      </c>
      <c r="Z125" t="s">
        <v>1384</v>
      </c>
      <c r="AB125" s="1">
        <f t="shared" si="12"/>
        <v>0.99994000000000005</v>
      </c>
      <c r="AD125" t="str">
        <f>IF(W125&lt;0.99,LARGE((N125:R125,U125,V125),2),"0")</f>
        <v>0</v>
      </c>
      <c r="AE125" t="str">
        <f t="shared" si="14"/>
        <v/>
      </c>
      <c r="AH125" t="str">
        <f t="shared" si="15"/>
        <v xml:space="preserve">Based on ADMIXTURE results of 78,187 SNPs, </v>
      </c>
    </row>
    <row r="126" spans="1:34" x14ac:dyDescent="0.4">
      <c r="A126">
        <v>508</v>
      </c>
      <c r="B126" t="s">
        <v>1007</v>
      </c>
      <c r="C126" t="s">
        <v>21</v>
      </c>
      <c r="D126" t="s">
        <v>21</v>
      </c>
      <c r="E126" t="s">
        <v>21</v>
      </c>
      <c r="F126" t="s">
        <v>22</v>
      </c>
      <c r="G126" t="s">
        <v>21</v>
      </c>
      <c r="H126" t="s">
        <v>21</v>
      </c>
      <c r="I126" t="s">
        <v>21</v>
      </c>
      <c r="J126">
        <v>1</v>
      </c>
      <c r="K126">
        <v>0</v>
      </c>
      <c r="L126" t="s">
        <v>23</v>
      </c>
      <c r="M126" t="str">
        <f t="shared" si="10"/>
        <v>&gt;0.74</v>
      </c>
      <c r="N126">
        <v>0</v>
      </c>
      <c r="O126">
        <v>3.7000000000000002E-3</v>
      </c>
      <c r="P126">
        <v>0</v>
      </c>
      <c r="Q126">
        <v>0</v>
      </c>
      <c r="R126">
        <v>0</v>
      </c>
      <c r="S126">
        <v>0.36580000000000001</v>
      </c>
      <c r="T126">
        <v>0.63039999999999996</v>
      </c>
      <c r="U126">
        <v>0</v>
      </c>
      <c r="V126">
        <v>0.99628700000000003</v>
      </c>
      <c r="W126" s="1">
        <f t="shared" si="11"/>
        <v>0.99628700000000003</v>
      </c>
      <c r="X126" t="s">
        <v>1008</v>
      </c>
      <c r="Y126" t="str">
        <f>VLOOKUP(X126,Sheet1!A:B,2,FALSE)</f>
        <v>Quercus macrocarpa Michx.</v>
      </c>
      <c r="Z126" t="s">
        <v>1384</v>
      </c>
      <c r="AB126" s="1">
        <f t="shared" si="12"/>
        <v>0.99628700000000003</v>
      </c>
      <c r="AD126" t="str">
        <f>IF(W126&lt;0.99,LARGE((N126:R126,U126,V126),2),"0")</f>
        <v>0</v>
      </c>
      <c r="AE126" t="str">
        <f t="shared" si="14"/>
        <v/>
      </c>
      <c r="AH126" t="str">
        <f t="shared" si="15"/>
        <v xml:space="preserve">Based on ADMIXTURE results of 78,187 SNPs, </v>
      </c>
    </row>
    <row r="127" spans="1:34" x14ac:dyDescent="0.4">
      <c r="A127">
        <v>509</v>
      </c>
      <c r="B127" t="s">
        <v>1009</v>
      </c>
      <c r="C127" t="s">
        <v>21</v>
      </c>
      <c r="D127" t="s">
        <v>21</v>
      </c>
      <c r="E127" t="s">
        <v>21</v>
      </c>
      <c r="F127" t="s">
        <v>22</v>
      </c>
      <c r="G127" t="s">
        <v>21</v>
      </c>
      <c r="H127" t="s">
        <v>21</v>
      </c>
      <c r="I127" t="s">
        <v>21</v>
      </c>
      <c r="J127">
        <v>1</v>
      </c>
      <c r="K127">
        <v>0</v>
      </c>
      <c r="L127" t="s">
        <v>23</v>
      </c>
      <c r="M127" t="str">
        <f t="shared" si="10"/>
        <v>&gt;0.74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0.47949999999999998</v>
      </c>
      <c r="T127">
        <v>0.52039999999999997</v>
      </c>
      <c r="U127">
        <v>0</v>
      </c>
      <c r="V127">
        <v>0.99994000000000005</v>
      </c>
      <c r="W127" s="1">
        <f t="shared" si="11"/>
        <v>0.99994000000000005</v>
      </c>
      <c r="X127" t="s">
        <v>1010</v>
      </c>
      <c r="Y127" t="str">
        <f>VLOOKUP(X127,Sheet1!A:B,2,FALSE)</f>
        <v>Quercus macrocarpa Michx.</v>
      </c>
      <c r="Z127" t="s">
        <v>1384</v>
      </c>
      <c r="AB127" s="1">
        <f t="shared" si="12"/>
        <v>0.99994000000000005</v>
      </c>
      <c r="AD127" t="str">
        <f>IF(W127&lt;0.99,LARGE((N127:R127,U127,V127),2),"0")</f>
        <v>0</v>
      </c>
      <c r="AE127" t="str">
        <f t="shared" si="14"/>
        <v/>
      </c>
      <c r="AH127" t="str">
        <f t="shared" si="15"/>
        <v xml:space="preserve">Based on ADMIXTURE results of 78,187 SNPs, </v>
      </c>
    </row>
    <row r="128" spans="1:34" x14ac:dyDescent="0.4">
      <c r="A128">
        <v>510</v>
      </c>
      <c r="B128" t="s">
        <v>1011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22</v>
      </c>
      <c r="I128" t="s">
        <v>21</v>
      </c>
      <c r="J128">
        <v>1</v>
      </c>
      <c r="K128">
        <v>0</v>
      </c>
      <c r="L128" t="s">
        <v>23</v>
      </c>
      <c r="M128" t="str">
        <f t="shared" si="10"/>
        <v>&gt;0.74</v>
      </c>
      <c r="N128">
        <v>0</v>
      </c>
      <c r="O128">
        <v>0.99990000000000001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1">
        <v>2.0000000000000002E-5</v>
      </c>
      <c r="W128" s="1">
        <f t="shared" si="11"/>
        <v>0.99990000000000001</v>
      </c>
      <c r="X128" t="s">
        <v>1012</v>
      </c>
      <c r="Y128" t="str">
        <f>VLOOKUP(X128,Sheet1!A:B,2,FALSE)</f>
        <v>Quercus muehlenbergii Engelm.</v>
      </c>
      <c r="Z128" t="s">
        <v>1387</v>
      </c>
      <c r="AB128" s="1">
        <f t="shared" si="12"/>
        <v>0.99990000000000001</v>
      </c>
      <c r="AD128" t="str">
        <f>IF(W128&lt;0.99,LARGE((N128:R128,U128,V128),2),"0")</f>
        <v>0</v>
      </c>
      <c r="AE128" t="str">
        <f t="shared" si="14"/>
        <v/>
      </c>
      <c r="AH128" t="str">
        <f t="shared" si="15"/>
        <v xml:space="preserve">Based on ADMIXTURE results of 78,187 SNPs, </v>
      </c>
    </row>
    <row r="129" spans="1:34" x14ac:dyDescent="0.4">
      <c r="A129">
        <v>511</v>
      </c>
      <c r="B129" t="s">
        <v>1013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22</v>
      </c>
      <c r="I129" t="s">
        <v>21</v>
      </c>
      <c r="J129">
        <v>1</v>
      </c>
      <c r="K129">
        <v>0</v>
      </c>
      <c r="L129" t="s">
        <v>23</v>
      </c>
      <c r="M129" t="str">
        <f t="shared" si="10"/>
        <v>&gt;0.74</v>
      </c>
      <c r="N129">
        <v>0</v>
      </c>
      <c r="O129">
        <v>0.99990000000000001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1">
        <v>2.1999999999999999E-5</v>
      </c>
      <c r="W129" s="1">
        <f t="shared" si="11"/>
        <v>0.99990000000000001</v>
      </c>
      <c r="X129" t="s">
        <v>1014</v>
      </c>
      <c r="Y129" t="str">
        <f>VLOOKUP(X129,Sheet1!A:B,2,FALSE)</f>
        <v>Quercus muehlenbergii Engelm.</v>
      </c>
      <c r="Z129" t="s">
        <v>1387</v>
      </c>
      <c r="AB129" s="1">
        <f t="shared" si="12"/>
        <v>0.99990000000000001</v>
      </c>
      <c r="AD129" t="str">
        <f>IF(W129&lt;0.99,LARGE((N129:R129,U129,V129),2),"0")</f>
        <v>0</v>
      </c>
      <c r="AE129" t="str">
        <f t="shared" si="14"/>
        <v/>
      </c>
      <c r="AH129" t="str">
        <f t="shared" si="15"/>
        <v xml:space="preserve">Based on ADMIXTURE results of 78,187 SNPs, </v>
      </c>
    </row>
    <row r="130" spans="1:34" x14ac:dyDescent="0.4">
      <c r="A130">
        <v>512</v>
      </c>
      <c r="B130" t="s">
        <v>1015</v>
      </c>
      <c r="C130" t="s">
        <v>22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>
        <v>1</v>
      </c>
      <c r="K130">
        <v>0</v>
      </c>
      <c r="L130" t="s">
        <v>23</v>
      </c>
      <c r="M130" t="str">
        <f t="shared" ref="M130:M193" si="16">IF(AND(W130&lt;0.58,W130&gt;0.2),"F1",IF(W130&lt;0.74,"BC1?","&gt;0.74"))</f>
        <v>&gt;0.74</v>
      </c>
      <c r="N130">
        <v>0</v>
      </c>
      <c r="O130">
        <v>0</v>
      </c>
      <c r="P130">
        <v>0.99990000000000001</v>
      </c>
      <c r="Q130">
        <v>0</v>
      </c>
      <c r="R130">
        <v>0</v>
      </c>
      <c r="S130">
        <v>0</v>
      </c>
      <c r="T130">
        <v>0</v>
      </c>
      <c r="U130">
        <v>0</v>
      </c>
      <c r="V130" s="1">
        <v>2.0000000000000002E-5</v>
      </c>
      <c r="W130" s="1">
        <f t="shared" ref="W130:W193" si="17">MAX(N130:R130,U130,V130)</f>
        <v>0.99990000000000001</v>
      </c>
      <c r="X130" t="s">
        <v>1016</v>
      </c>
      <c r="Y130" t="str">
        <f>VLOOKUP(X130,Sheet1!A:B,2,FALSE)</f>
        <v>Quercus alba L.</v>
      </c>
      <c r="Z130" t="s">
        <v>1386</v>
      </c>
      <c r="AB130" s="1">
        <f t="shared" ref="AB130:AB193" si="18">MAX(N130:R130,U130,V130)</f>
        <v>0.99990000000000001</v>
      </c>
      <c r="AD130" t="str">
        <f>IF(W130&lt;0.99,LARGE((N130:R130,U130,V130),2),"0")</f>
        <v>0</v>
      </c>
      <c r="AE130" t="str">
        <f t="shared" si="14"/>
        <v/>
      </c>
      <c r="AH130" t="str">
        <f t="shared" si="15"/>
        <v xml:space="preserve">Based on ADMIXTURE results of 78,187 SNPs, </v>
      </c>
    </row>
    <row r="131" spans="1:34" x14ac:dyDescent="0.4">
      <c r="A131">
        <v>513</v>
      </c>
      <c r="B131" t="s">
        <v>1017</v>
      </c>
      <c r="C131" t="s">
        <v>21</v>
      </c>
      <c r="D131" t="s">
        <v>22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>
        <v>1</v>
      </c>
      <c r="K131">
        <v>0</v>
      </c>
      <c r="L131" t="s">
        <v>23</v>
      </c>
      <c r="M131" t="str">
        <f t="shared" si="16"/>
        <v>&gt;0.74</v>
      </c>
      <c r="N131">
        <v>0</v>
      </c>
      <c r="O131">
        <v>0</v>
      </c>
      <c r="P131">
        <v>0</v>
      </c>
      <c r="Q131">
        <v>0.99990000000000001</v>
      </c>
      <c r="R131">
        <v>0</v>
      </c>
      <c r="S131">
        <v>0</v>
      </c>
      <c r="T131">
        <v>0</v>
      </c>
      <c r="U131">
        <v>0</v>
      </c>
      <c r="V131" s="1">
        <v>2.0000000000000002E-5</v>
      </c>
      <c r="W131" s="1">
        <f t="shared" si="17"/>
        <v>0.99990000000000001</v>
      </c>
      <c r="X131" t="s">
        <v>1018</v>
      </c>
      <c r="Y131" t="str">
        <f>VLOOKUP(X131,Sheet1!A:B,2,FALSE)</f>
        <v>Quercus bicolor Willd.</v>
      </c>
      <c r="Z131" t="s">
        <v>1388</v>
      </c>
      <c r="AB131" s="1">
        <f t="shared" si="18"/>
        <v>0.99990000000000001</v>
      </c>
      <c r="AD131" t="str">
        <f>IF(W131&lt;0.99,LARGE((N131:R131,U131,V131),2),"0")</f>
        <v>0</v>
      </c>
      <c r="AE131" t="str">
        <f t="shared" si="14"/>
        <v/>
      </c>
      <c r="AH131" t="str">
        <f t="shared" si="15"/>
        <v xml:space="preserve">Based on ADMIXTURE results of 78,187 SNPs, </v>
      </c>
    </row>
    <row r="132" spans="1:34" x14ac:dyDescent="0.4">
      <c r="A132">
        <v>514</v>
      </c>
      <c r="B132" t="s">
        <v>1019</v>
      </c>
      <c r="C132" t="s">
        <v>21</v>
      </c>
      <c r="D132" t="s">
        <v>22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>
        <v>1</v>
      </c>
      <c r="K132">
        <v>0</v>
      </c>
      <c r="L132" t="s">
        <v>23</v>
      </c>
      <c r="M132" t="str">
        <f t="shared" si="16"/>
        <v>&gt;0.74</v>
      </c>
      <c r="N132">
        <v>0</v>
      </c>
      <c r="O132">
        <v>0</v>
      </c>
      <c r="P132">
        <v>0</v>
      </c>
      <c r="Q132">
        <v>0.99990000000000001</v>
      </c>
      <c r="R132">
        <v>0</v>
      </c>
      <c r="S132">
        <v>0</v>
      </c>
      <c r="T132">
        <v>0</v>
      </c>
      <c r="U132">
        <v>0</v>
      </c>
      <c r="V132" s="1">
        <v>2.0000000000000002E-5</v>
      </c>
      <c r="W132" s="1">
        <f t="shared" si="17"/>
        <v>0.99990000000000001</v>
      </c>
      <c r="X132" t="s">
        <v>1020</v>
      </c>
      <c r="Y132" t="str">
        <f>VLOOKUP(X132,Sheet1!A:B,2,FALSE)</f>
        <v>Quercus bicolor Willd.</v>
      </c>
      <c r="Z132" t="s">
        <v>1388</v>
      </c>
      <c r="AB132" s="1">
        <f t="shared" si="18"/>
        <v>0.99990000000000001</v>
      </c>
      <c r="AD132" t="str">
        <f>IF(W132&lt;0.99,LARGE((N132:R132,U132,V132),2),"0")</f>
        <v>0</v>
      </c>
      <c r="AE132" t="str">
        <f t="shared" si="14"/>
        <v/>
      </c>
      <c r="AH132" t="str">
        <f t="shared" si="15"/>
        <v xml:space="preserve">Based on ADMIXTURE results of 78,187 SNPs, </v>
      </c>
    </row>
    <row r="133" spans="1:34" x14ac:dyDescent="0.4">
      <c r="A133">
        <v>515</v>
      </c>
      <c r="B133" t="s">
        <v>1021</v>
      </c>
      <c r="C133" t="s">
        <v>21</v>
      </c>
      <c r="D133" t="s">
        <v>22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>
        <v>1</v>
      </c>
      <c r="K133">
        <v>0</v>
      </c>
      <c r="L133" t="s">
        <v>23</v>
      </c>
      <c r="M133" t="str">
        <f t="shared" si="16"/>
        <v>&gt;0.74</v>
      </c>
      <c r="N133">
        <v>0</v>
      </c>
      <c r="O133">
        <v>0</v>
      </c>
      <c r="P133">
        <v>0</v>
      </c>
      <c r="Q133">
        <v>0.99990000000000001</v>
      </c>
      <c r="R133">
        <v>0</v>
      </c>
      <c r="S133">
        <v>0</v>
      </c>
      <c r="T133">
        <v>0</v>
      </c>
      <c r="U133">
        <v>0</v>
      </c>
      <c r="V133" s="1">
        <v>2.0000000000000002E-5</v>
      </c>
      <c r="W133" s="1">
        <f t="shared" si="17"/>
        <v>0.99990000000000001</v>
      </c>
      <c r="X133" t="s">
        <v>1022</v>
      </c>
      <c r="Y133" t="str">
        <f>VLOOKUP(X133,Sheet1!A:B,2,FALSE)</f>
        <v>Quercus bicolor Willd.</v>
      </c>
      <c r="Z133" t="s">
        <v>1388</v>
      </c>
      <c r="AB133" s="1">
        <f t="shared" si="18"/>
        <v>0.99990000000000001</v>
      </c>
      <c r="AD133" t="str">
        <f>IF(W133&lt;0.99,LARGE((N133:R133,U133,V133),2),"0")</f>
        <v>0</v>
      </c>
      <c r="AE133" t="str">
        <f t="shared" si="14"/>
        <v/>
      </c>
      <c r="AH133" t="str">
        <f t="shared" si="15"/>
        <v xml:space="preserve">Based on ADMIXTURE results of 78,187 SNPs, </v>
      </c>
    </row>
    <row r="134" spans="1:34" x14ac:dyDescent="0.4">
      <c r="A134">
        <v>516</v>
      </c>
      <c r="B134" t="s">
        <v>1023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22</v>
      </c>
      <c r="I134" t="s">
        <v>21</v>
      </c>
      <c r="J134">
        <v>1</v>
      </c>
      <c r="K134">
        <v>0</v>
      </c>
      <c r="L134" t="s">
        <v>23</v>
      </c>
      <c r="M134" t="str">
        <f t="shared" si="16"/>
        <v>&gt;0.74</v>
      </c>
      <c r="N134">
        <v>0</v>
      </c>
      <c r="O134">
        <v>0.99990000000000001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1">
        <v>2.0000000000000002E-5</v>
      </c>
      <c r="W134" s="1">
        <f t="shared" si="17"/>
        <v>0.99990000000000001</v>
      </c>
      <c r="X134" t="s">
        <v>1024</v>
      </c>
      <c r="Y134" t="str">
        <f>VLOOKUP(X134,Sheet1!A:B,2,FALSE)</f>
        <v>Quercus muehlenbergii Engelm.</v>
      </c>
      <c r="Z134" t="s">
        <v>1387</v>
      </c>
      <c r="AB134" s="1">
        <f t="shared" si="18"/>
        <v>0.99990000000000001</v>
      </c>
      <c r="AD134" t="str">
        <f>IF(W134&lt;0.99,LARGE((N134:R134,U134,V134),2),"0")</f>
        <v>0</v>
      </c>
      <c r="AE134" t="str">
        <f t="shared" si="14"/>
        <v/>
      </c>
      <c r="AH134" t="str">
        <f t="shared" si="15"/>
        <v xml:space="preserve">Based on ADMIXTURE results of 78,187 SNPs, </v>
      </c>
    </row>
    <row r="135" spans="1:34" x14ac:dyDescent="0.4">
      <c r="A135">
        <v>517</v>
      </c>
      <c r="B135" t="s">
        <v>1025</v>
      </c>
      <c r="C135" t="s">
        <v>22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>
        <v>1</v>
      </c>
      <c r="K135">
        <v>0</v>
      </c>
      <c r="L135" t="s">
        <v>23</v>
      </c>
      <c r="M135" t="str">
        <f t="shared" si="16"/>
        <v>&gt;0.74</v>
      </c>
      <c r="N135">
        <v>0</v>
      </c>
      <c r="O135">
        <v>0</v>
      </c>
      <c r="P135">
        <v>0.99990000000000001</v>
      </c>
      <c r="Q135">
        <v>0</v>
      </c>
      <c r="R135">
        <v>0</v>
      </c>
      <c r="S135">
        <v>0</v>
      </c>
      <c r="T135">
        <v>0</v>
      </c>
      <c r="U135">
        <v>0</v>
      </c>
      <c r="V135" s="1">
        <v>2.0000000000000002E-5</v>
      </c>
      <c r="W135" s="1">
        <f t="shared" si="17"/>
        <v>0.99990000000000001</v>
      </c>
      <c r="X135" t="s">
        <v>1026</v>
      </c>
      <c r="Y135" t="str">
        <f>VLOOKUP(X135,Sheet1!A:B,2,FALSE)</f>
        <v>Quercus alba L.</v>
      </c>
      <c r="Z135" t="s">
        <v>1386</v>
      </c>
      <c r="AB135" s="1">
        <f t="shared" si="18"/>
        <v>0.99990000000000001</v>
      </c>
      <c r="AD135" t="str">
        <f>IF(W135&lt;0.99,LARGE((N135:R135,U135,V135),2),"0")</f>
        <v>0</v>
      </c>
      <c r="AE135" t="str">
        <f t="shared" si="14"/>
        <v/>
      </c>
      <c r="AH135" t="str">
        <f t="shared" si="15"/>
        <v xml:space="preserve">Based on ADMIXTURE results of 78,187 SNPs, </v>
      </c>
    </row>
    <row r="136" spans="1:34" x14ac:dyDescent="0.4">
      <c r="A136">
        <v>518</v>
      </c>
      <c r="B136" t="s">
        <v>1027</v>
      </c>
      <c r="C136" t="s">
        <v>22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>
        <v>1</v>
      </c>
      <c r="K136">
        <v>0</v>
      </c>
      <c r="L136" t="s">
        <v>23</v>
      </c>
      <c r="M136" t="str">
        <f t="shared" si="16"/>
        <v>&gt;0.74</v>
      </c>
      <c r="N136">
        <v>0</v>
      </c>
      <c r="O136">
        <v>0</v>
      </c>
      <c r="P136">
        <v>0.99980000000000002</v>
      </c>
      <c r="Q136">
        <v>0</v>
      </c>
      <c r="R136">
        <v>0</v>
      </c>
      <c r="S136">
        <v>0</v>
      </c>
      <c r="T136" s="1">
        <v>1E-4</v>
      </c>
      <c r="U136">
        <v>0</v>
      </c>
      <c r="V136">
        <v>1.4799999999999999E-4</v>
      </c>
      <c r="W136" s="1">
        <f t="shared" si="17"/>
        <v>0.99980000000000002</v>
      </c>
      <c r="X136" t="s">
        <v>1028</v>
      </c>
      <c r="Y136" t="str">
        <f>VLOOKUP(X136,Sheet1!A:B,2,FALSE)</f>
        <v>Quercus alba L.</v>
      </c>
      <c r="Z136" t="s">
        <v>1386</v>
      </c>
      <c r="AB136" s="1">
        <f t="shared" si="18"/>
        <v>0.99980000000000002</v>
      </c>
      <c r="AD136" t="str">
        <f>IF(W136&lt;0.99,LARGE((N136:R136,U136,V136),2),"0")</f>
        <v>0</v>
      </c>
      <c r="AE136" t="str">
        <f t="shared" si="14"/>
        <v/>
      </c>
      <c r="AH136" t="str">
        <f t="shared" si="15"/>
        <v xml:space="preserve">Based on ADMIXTURE results of 78,187 SNPs, </v>
      </c>
    </row>
    <row r="137" spans="1:34" x14ac:dyDescent="0.4">
      <c r="A137">
        <v>519</v>
      </c>
      <c r="B137" t="s">
        <v>1029</v>
      </c>
      <c r="C137" t="s">
        <v>25</v>
      </c>
      <c r="D137" t="s">
        <v>21</v>
      </c>
      <c r="E137" t="s">
        <v>21</v>
      </c>
      <c r="F137" t="s">
        <v>21</v>
      </c>
      <c r="G137" t="s">
        <v>21</v>
      </c>
      <c r="H137" t="s">
        <v>25</v>
      </c>
      <c r="I137" t="s">
        <v>21</v>
      </c>
      <c r="J137">
        <v>0</v>
      </c>
      <c r="K137">
        <v>2</v>
      </c>
      <c r="L137" t="s">
        <v>26</v>
      </c>
      <c r="M137" t="str">
        <f t="shared" si="16"/>
        <v>F1</v>
      </c>
      <c r="N137">
        <v>0</v>
      </c>
      <c r="O137">
        <v>0.49020000000000002</v>
      </c>
      <c r="P137">
        <v>0.49680000000000002</v>
      </c>
      <c r="Q137">
        <v>0</v>
      </c>
      <c r="R137">
        <v>0</v>
      </c>
      <c r="S137">
        <v>1.0800000000000001E-2</v>
      </c>
      <c r="T137">
        <v>2.0999999999999999E-3</v>
      </c>
      <c r="U137">
        <v>0</v>
      </c>
      <c r="V137">
        <v>1.2902E-2</v>
      </c>
      <c r="W137" s="1">
        <f t="shared" si="17"/>
        <v>0.49680000000000002</v>
      </c>
      <c r="X137" s="2" t="s">
        <v>1030</v>
      </c>
      <c r="Y137" t="str">
        <f>VLOOKUP(X137,Sheet1!A:B,2,FALSE)</f>
        <v>Quercus muehlenbergii Engelm.</v>
      </c>
      <c r="Z137" t="s">
        <v>1424</v>
      </c>
      <c r="AB137" s="1">
        <f t="shared" si="18"/>
        <v>0.49680000000000002</v>
      </c>
      <c r="AD137">
        <f>IF(W137&lt;0.99,LARGE((N137:R137,U137,V137),2),"0")</f>
        <v>0.49020000000000002</v>
      </c>
      <c r="AE137" t="str">
        <f>IF(AND(AB137&lt;0.99,AD137&gt;0.1,AB137&gt;0.6),"admixed with",IF(AND(AB137&lt;0.99,AD137&gt;0.01,AD137&lt;0.4),"trace admixed with ",""))</f>
        <v/>
      </c>
      <c r="AH137" t="str">
        <f t="shared" si="15"/>
        <v xml:space="preserve">Based on ADMIXTURE results of 78,187 SNPs, </v>
      </c>
    </row>
    <row r="138" spans="1:34" x14ac:dyDescent="0.4">
      <c r="A138">
        <v>614</v>
      </c>
      <c r="B138" t="s">
        <v>1220</v>
      </c>
      <c r="C138" t="s">
        <v>21</v>
      </c>
      <c r="D138" t="s">
        <v>21</v>
      </c>
      <c r="E138" t="s">
        <v>21</v>
      </c>
      <c r="F138" t="s">
        <v>22</v>
      </c>
      <c r="G138" t="s">
        <v>21</v>
      </c>
      <c r="H138" t="s">
        <v>21</v>
      </c>
      <c r="I138" t="s">
        <v>21</v>
      </c>
      <c r="J138">
        <v>1</v>
      </c>
      <c r="K138">
        <v>0</v>
      </c>
      <c r="L138" t="s">
        <v>23</v>
      </c>
      <c r="M138" t="str">
        <f t="shared" si="16"/>
        <v>&gt;0.74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9.5200000000000007E-2</v>
      </c>
      <c r="T138">
        <v>0.90480000000000005</v>
      </c>
      <c r="U138">
        <v>0</v>
      </c>
      <c r="V138">
        <v>0.99994000000000005</v>
      </c>
      <c r="W138" s="1">
        <f t="shared" si="17"/>
        <v>0.99994000000000005</v>
      </c>
      <c r="X138" t="s">
        <v>1221</v>
      </c>
      <c r="Y138" t="str">
        <f>VLOOKUP(X138,Sheet1!A:B,2,FALSE)</f>
        <v>Quercus macrocarpa Michx.</v>
      </c>
      <c r="Z138" t="s">
        <v>1384</v>
      </c>
      <c r="AB138" s="1">
        <f t="shared" si="18"/>
        <v>0.99994000000000005</v>
      </c>
      <c r="AD138" t="str">
        <f>IF(W138&lt;0.99,LARGE((N138:R138,U138,V138),2),"0")</f>
        <v>0</v>
      </c>
      <c r="AE138" t="str">
        <f t="shared" ref="AE138:AE148" si="19">IF(AND(AB138&lt;0.99,AD138&gt;0.1),"admixed with",IF(AND(AB138&lt;0.99,AD138&gt;0.01),"trace admixed with ",""))</f>
        <v/>
      </c>
      <c r="AH138" t="str">
        <f t="shared" si="15"/>
        <v xml:space="preserve">Based on ADMIXTURE results of 78,187 SNPs, </v>
      </c>
    </row>
    <row r="139" spans="1:34" x14ac:dyDescent="0.4">
      <c r="A139">
        <v>615</v>
      </c>
      <c r="B139" t="s">
        <v>1222</v>
      </c>
      <c r="C139" t="s">
        <v>21</v>
      </c>
      <c r="D139" t="s">
        <v>21</v>
      </c>
      <c r="E139" t="s">
        <v>21</v>
      </c>
      <c r="F139" t="s">
        <v>22</v>
      </c>
      <c r="G139" t="s">
        <v>21</v>
      </c>
      <c r="H139" t="s">
        <v>21</v>
      </c>
      <c r="I139" t="s">
        <v>21</v>
      </c>
      <c r="J139">
        <v>1</v>
      </c>
      <c r="K139">
        <v>0</v>
      </c>
      <c r="L139" t="s">
        <v>23</v>
      </c>
      <c r="M139" t="str">
        <f t="shared" si="16"/>
        <v>&gt;0.74</v>
      </c>
      <c r="N139">
        <v>0</v>
      </c>
      <c r="O139">
        <v>1.5299999999999999E-2</v>
      </c>
      <c r="P139">
        <v>0</v>
      </c>
      <c r="Q139">
        <v>0</v>
      </c>
      <c r="R139">
        <v>1.46E-2</v>
      </c>
      <c r="S139">
        <v>0.15770000000000001</v>
      </c>
      <c r="T139">
        <v>0.81230000000000002</v>
      </c>
      <c r="U139">
        <v>0</v>
      </c>
      <c r="V139">
        <v>0.96997999999999995</v>
      </c>
      <c r="W139" s="1">
        <f t="shared" si="17"/>
        <v>0.96997999999999995</v>
      </c>
      <c r="X139" t="s">
        <v>1223</v>
      </c>
      <c r="Y139" t="str">
        <f>VLOOKUP(X139,Sheet1!A:B,2,FALSE)</f>
        <v>Quercus macrocarpa Michx.</v>
      </c>
      <c r="Z139" t="s">
        <v>1384</v>
      </c>
      <c r="AB139" s="1">
        <f t="shared" si="18"/>
        <v>0.96997999999999995</v>
      </c>
      <c r="AD139">
        <f>IF(W139&lt;0.99,LARGE((N139:R139,U139,V139),2),"0")</f>
        <v>1.5299999999999999E-2</v>
      </c>
      <c r="AE139" t="str">
        <f t="shared" si="19"/>
        <v xml:space="preserve">trace admixed with </v>
      </c>
      <c r="AH139" t="str">
        <f t="shared" si="15"/>
        <v xml:space="preserve">Based on ADMIXTURE results of 78,187 SNPs, trace admixed with </v>
      </c>
    </row>
    <row r="140" spans="1:34" x14ac:dyDescent="0.4">
      <c r="A140">
        <v>616</v>
      </c>
      <c r="B140" t="s">
        <v>1224</v>
      </c>
      <c r="C140" t="s">
        <v>21</v>
      </c>
      <c r="D140" t="s">
        <v>21</v>
      </c>
      <c r="E140" t="s">
        <v>21</v>
      </c>
      <c r="F140" t="s">
        <v>22</v>
      </c>
      <c r="G140" t="s">
        <v>21</v>
      </c>
      <c r="H140" t="s">
        <v>21</v>
      </c>
      <c r="I140" t="s">
        <v>21</v>
      </c>
      <c r="J140">
        <v>1</v>
      </c>
      <c r="K140">
        <v>0</v>
      </c>
      <c r="L140" t="s">
        <v>23</v>
      </c>
      <c r="M140" t="str">
        <f t="shared" si="16"/>
        <v>&gt;0.74</v>
      </c>
      <c r="N140">
        <v>0</v>
      </c>
      <c r="O140">
        <v>0</v>
      </c>
      <c r="P140">
        <v>8.3999999999999995E-3</v>
      </c>
      <c r="Q140">
        <v>0</v>
      </c>
      <c r="R140">
        <v>0</v>
      </c>
      <c r="S140">
        <v>0.1532</v>
      </c>
      <c r="T140">
        <v>0.83830000000000005</v>
      </c>
      <c r="U140">
        <v>0</v>
      </c>
      <c r="V140">
        <v>0.991537</v>
      </c>
      <c r="W140" s="1">
        <f t="shared" si="17"/>
        <v>0.991537</v>
      </c>
      <c r="X140" t="s">
        <v>1225</v>
      </c>
      <c r="Y140" t="str">
        <f>VLOOKUP(X140,Sheet1!A:B,2,FALSE)</f>
        <v>Quercus macrocarpa Michx.</v>
      </c>
      <c r="Z140" t="s">
        <v>1384</v>
      </c>
      <c r="AB140" s="1">
        <f t="shared" si="18"/>
        <v>0.991537</v>
      </c>
      <c r="AD140" t="str">
        <f>IF(W140&lt;0.99,LARGE((N140:R140,U140,V140),2),"0")</f>
        <v>0</v>
      </c>
      <c r="AE140" t="str">
        <f t="shared" si="19"/>
        <v/>
      </c>
      <c r="AH140" t="str">
        <f t="shared" si="15"/>
        <v xml:space="preserve">Based on ADMIXTURE results of 78,187 SNPs, </v>
      </c>
    </row>
    <row r="141" spans="1:34" x14ac:dyDescent="0.4">
      <c r="A141">
        <v>617</v>
      </c>
      <c r="B141" t="s">
        <v>1226</v>
      </c>
      <c r="C141" t="s">
        <v>21</v>
      </c>
      <c r="D141" t="s">
        <v>21</v>
      </c>
      <c r="E141" t="s">
        <v>21</v>
      </c>
      <c r="F141" t="s">
        <v>22</v>
      </c>
      <c r="G141" t="s">
        <v>21</v>
      </c>
      <c r="H141" t="s">
        <v>21</v>
      </c>
      <c r="I141" t="s">
        <v>21</v>
      </c>
      <c r="J141">
        <v>1</v>
      </c>
      <c r="K141">
        <v>0</v>
      </c>
      <c r="L141" t="s">
        <v>23</v>
      </c>
      <c r="M141" t="str">
        <f t="shared" si="16"/>
        <v>&gt;0.74</v>
      </c>
      <c r="N141">
        <v>4.4999999999999997E-3</v>
      </c>
      <c r="O141">
        <v>9.2999999999999992E-3</v>
      </c>
      <c r="P141">
        <v>0</v>
      </c>
      <c r="Q141">
        <v>0</v>
      </c>
      <c r="R141">
        <v>5.8999999999999999E-3</v>
      </c>
      <c r="S141">
        <v>0.23960000000000001</v>
      </c>
      <c r="T141">
        <v>0.74070000000000003</v>
      </c>
      <c r="U141">
        <v>0</v>
      </c>
      <c r="V141">
        <v>0.98031199999999996</v>
      </c>
      <c r="W141" s="1">
        <f t="shared" si="17"/>
        <v>0.98031199999999996</v>
      </c>
      <c r="X141" t="s">
        <v>1227</v>
      </c>
      <c r="Y141" t="str">
        <f>VLOOKUP(X141,Sheet1!A:B,2,FALSE)</f>
        <v>Quercus macrocarpa Michx.</v>
      </c>
      <c r="Z141" t="s">
        <v>1384</v>
      </c>
      <c r="AB141" s="1">
        <f t="shared" si="18"/>
        <v>0.98031199999999996</v>
      </c>
      <c r="AD141">
        <f>IF(W141&lt;0.99,LARGE((N141:R141,U141,V141),2),"0")</f>
        <v>9.2999999999999992E-3</v>
      </c>
      <c r="AE141" t="str">
        <f t="shared" si="19"/>
        <v/>
      </c>
      <c r="AH141" t="str">
        <f t="shared" si="15"/>
        <v xml:space="preserve">Based on ADMIXTURE results of 78,187 SNPs, </v>
      </c>
    </row>
    <row r="142" spans="1:34" x14ac:dyDescent="0.4">
      <c r="A142">
        <v>618</v>
      </c>
      <c r="B142" t="s">
        <v>1228</v>
      </c>
      <c r="C142" t="s">
        <v>21</v>
      </c>
      <c r="D142" t="s">
        <v>21</v>
      </c>
      <c r="E142" t="s">
        <v>21</v>
      </c>
      <c r="F142" t="s">
        <v>22</v>
      </c>
      <c r="G142" t="s">
        <v>21</v>
      </c>
      <c r="H142" t="s">
        <v>21</v>
      </c>
      <c r="I142" t="s">
        <v>21</v>
      </c>
      <c r="J142">
        <v>1</v>
      </c>
      <c r="K142">
        <v>0</v>
      </c>
      <c r="L142" t="s">
        <v>23</v>
      </c>
      <c r="M142" t="str">
        <f t="shared" si="16"/>
        <v>&gt;0.74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0.13769999999999999</v>
      </c>
      <c r="T142">
        <v>0.86219999999999997</v>
      </c>
      <c r="U142">
        <v>0</v>
      </c>
      <c r="V142">
        <v>0.99994000000000005</v>
      </c>
      <c r="W142" s="1">
        <f t="shared" si="17"/>
        <v>0.99994000000000005</v>
      </c>
      <c r="X142" t="s">
        <v>1229</v>
      </c>
      <c r="Y142" t="str">
        <f>VLOOKUP(X142,Sheet1!A:B,2,FALSE)</f>
        <v>Quercus macrocarpa Michx.</v>
      </c>
      <c r="Z142" t="s">
        <v>1384</v>
      </c>
      <c r="AB142" s="1">
        <f t="shared" si="18"/>
        <v>0.99994000000000005</v>
      </c>
      <c r="AD142" t="str">
        <f>IF(W142&lt;0.99,LARGE((N142:R142,U142,V142),2),"0")</f>
        <v>0</v>
      </c>
      <c r="AE142" t="str">
        <f t="shared" si="19"/>
        <v/>
      </c>
      <c r="AH142" t="str">
        <f t="shared" si="15"/>
        <v xml:space="preserve">Based on ADMIXTURE results of 78,187 SNPs, </v>
      </c>
    </row>
    <row r="143" spans="1:34" x14ac:dyDescent="0.4">
      <c r="A143">
        <v>619</v>
      </c>
      <c r="B143" t="s">
        <v>1230</v>
      </c>
      <c r="C143" t="s">
        <v>21</v>
      </c>
      <c r="D143" t="s">
        <v>21</v>
      </c>
      <c r="E143" t="s">
        <v>21</v>
      </c>
      <c r="F143" t="s">
        <v>22</v>
      </c>
      <c r="G143" t="s">
        <v>21</v>
      </c>
      <c r="H143" t="s">
        <v>21</v>
      </c>
      <c r="I143" t="s">
        <v>21</v>
      </c>
      <c r="J143">
        <v>1</v>
      </c>
      <c r="K143">
        <v>0</v>
      </c>
      <c r="L143" t="s">
        <v>23</v>
      </c>
      <c r="M143" t="str">
        <f t="shared" si="16"/>
        <v>&gt;0.74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0.10780000000000001</v>
      </c>
      <c r="T143">
        <v>0.89219999999999999</v>
      </c>
      <c r="U143">
        <v>0</v>
      </c>
      <c r="V143">
        <v>0.99994000000000005</v>
      </c>
      <c r="W143" s="1">
        <f t="shared" si="17"/>
        <v>0.99994000000000005</v>
      </c>
      <c r="X143" t="s">
        <v>1231</v>
      </c>
      <c r="Y143" t="str">
        <f>VLOOKUP(X143,Sheet1!A:B,2,FALSE)</f>
        <v>Quercus macrocarpa Michx.</v>
      </c>
      <c r="Z143" t="s">
        <v>1384</v>
      </c>
      <c r="AB143" s="1">
        <f t="shared" si="18"/>
        <v>0.99994000000000005</v>
      </c>
      <c r="AD143" t="str">
        <f>IF(W143&lt;0.99,LARGE((N143:R143,U143,V143),2),"0")</f>
        <v>0</v>
      </c>
      <c r="AE143" t="str">
        <f t="shared" si="19"/>
        <v/>
      </c>
      <c r="AH143" t="str">
        <f t="shared" si="15"/>
        <v xml:space="preserve">Based on ADMIXTURE results of 78,187 SNPs, </v>
      </c>
    </row>
    <row r="144" spans="1:34" x14ac:dyDescent="0.4">
      <c r="A144">
        <v>620</v>
      </c>
      <c r="B144" t="s">
        <v>1232</v>
      </c>
      <c r="C144" t="s">
        <v>21</v>
      </c>
      <c r="D144" t="s">
        <v>21</v>
      </c>
      <c r="E144" t="s">
        <v>21</v>
      </c>
      <c r="F144" t="s">
        <v>22</v>
      </c>
      <c r="G144" t="s">
        <v>21</v>
      </c>
      <c r="H144" t="s">
        <v>21</v>
      </c>
      <c r="I144" t="s">
        <v>21</v>
      </c>
      <c r="J144">
        <v>1</v>
      </c>
      <c r="K144">
        <v>0</v>
      </c>
      <c r="L144" t="s">
        <v>23</v>
      </c>
      <c r="M144" t="str">
        <f t="shared" si="16"/>
        <v>&gt;0.74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0.2195</v>
      </c>
      <c r="T144">
        <v>0.78039999999999998</v>
      </c>
      <c r="U144">
        <v>0</v>
      </c>
      <c r="V144">
        <v>0.99994000000000005</v>
      </c>
      <c r="W144" s="1">
        <f t="shared" si="17"/>
        <v>0.99994000000000005</v>
      </c>
      <c r="X144" t="s">
        <v>1233</v>
      </c>
      <c r="Y144" t="str">
        <f>VLOOKUP(X144,Sheet1!A:B,2,FALSE)</f>
        <v>Quercus macrocarpa Michx.</v>
      </c>
      <c r="Z144" t="s">
        <v>1384</v>
      </c>
      <c r="AB144" s="1">
        <f t="shared" si="18"/>
        <v>0.99994000000000005</v>
      </c>
      <c r="AD144" t="str">
        <f>IF(W144&lt;0.99,LARGE((N144:R144,U144,V144),2),"0")</f>
        <v>0</v>
      </c>
      <c r="AE144" t="str">
        <f t="shared" si="19"/>
        <v/>
      </c>
      <c r="AH144" t="str">
        <f t="shared" si="15"/>
        <v xml:space="preserve">Based on ADMIXTURE results of 78,187 SNPs, </v>
      </c>
    </row>
    <row r="145" spans="1:34" x14ac:dyDescent="0.4">
      <c r="A145">
        <v>621</v>
      </c>
      <c r="B145" t="s">
        <v>1234</v>
      </c>
      <c r="C145" t="s">
        <v>21</v>
      </c>
      <c r="D145" t="s">
        <v>21</v>
      </c>
      <c r="E145" t="s">
        <v>21</v>
      </c>
      <c r="F145" t="s">
        <v>22</v>
      </c>
      <c r="G145" t="s">
        <v>21</v>
      </c>
      <c r="H145" t="s">
        <v>21</v>
      </c>
      <c r="I145" t="s">
        <v>21</v>
      </c>
      <c r="J145">
        <v>1</v>
      </c>
      <c r="K145">
        <v>0</v>
      </c>
      <c r="L145" t="s">
        <v>23</v>
      </c>
      <c r="M145" t="str">
        <f t="shared" si="16"/>
        <v>&gt;0.74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1.2999999999999999E-2</v>
      </c>
      <c r="T145">
        <v>0.9869</v>
      </c>
      <c r="U145">
        <v>0</v>
      </c>
      <c r="V145">
        <v>0.99992800000000004</v>
      </c>
      <c r="W145" s="1">
        <f t="shared" si="17"/>
        <v>0.99992800000000004</v>
      </c>
      <c r="X145" t="s">
        <v>1235</v>
      </c>
      <c r="Y145" t="str">
        <f>VLOOKUP(X145,Sheet1!A:B,2,FALSE)</f>
        <v>Quercus macrocarpa Michx.</v>
      </c>
      <c r="Z145" t="s">
        <v>1384</v>
      </c>
      <c r="AB145" s="1">
        <f t="shared" si="18"/>
        <v>0.99992800000000004</v>
      </c>
      <c r="AD145" t="str">
        <f>IF(W145&lt;0.99,LARGE((N145:R145,U145,V145),2),"0")</f>
        <v>0</v>
      </c>
      <c r="AE145" t="str">
        <f t="shared" si="19"/>
        <v/>
      </c>
      <c r="AH145" t="str">
        <f t="shared" si="15"/>
        <v xml:space="preserve">Based on ADMIXTURE results of 78,187 SNPs, </v>
      </c>
    </row>
    <row r="146" spans="1:34" x14ac:dyDescent="0.4">
      <c r="A146">
        <v>622</v>
      </c>
      <c r="B146" t="s">
        <v>1236</v>
      </c>
      <c r="C146" t="s">
        <v>21</v>
      </c>
      <c r="D146" t="s">
        <v>21</v>
      </c>
      <c r="E146" t="s">
        <v>21</v>
      </c>
      <c r="F146" t="s">
        <v>22</v>
      </c>
      <c r="G146" t="s">
        <v>21</v>
      </c>
      <c r="H146" t="s">
        <v>21</v>
      </c>
      <c r="I146" t="s">
        <v>21</v>
      </c>
      <c r="J146">
        <v>1</v>
      </c>
      <c r="K146">
        <v>0</v>
      </c>
      <c r="L146" t="s">
        <v>23</v>
      </c>
      <c r="M146" t="str">
        <f t="shared" si="16"/>
        <v>&gt;0.74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0.27500000000000002</v>
      </c>
      <c r="T146">
        <v>0.72489999999999999</v>
      </c>
      <c r="U146">
        <v>0</v>
      </c>
      <c r="V146">
        <v>0.99994000000000005</v>
      </c>
      <c r="W146" s="1">
        <f t="shared" si="17"/>
        <v>0.99994000000000005</v>
      </c>
      <c r="X146" t="s">
        <v>1237</v>
      </c>
      <c r="Y146" t="str">
        <f>VLOOKUP(X146,Sheet1!A:B,2,FALSE)</f>
        <v>Quercus macrocarpa Michx.</v>
      </c>
      <c r="Z146" t="s">
        <v>1384</v>
      </c>
      <c r="AB146" s="1">
        <f t="shared" si="18"/>
        <v>0.99994000000000005</v>
      </c>
      <c r="AD146" t="str">
        <f>IF(W146&lt;0.99,LARGE((N146:R146,U146,V146),2),"0")</f>
        <v>0</v>
      </c>
      <c r="AE146" t="str">
        <f t="shared" si="19"/>
        <v/>
      </c>
      <c r="AH146" t="str">
        <f t="shared" si="15"/>
        <v xml:space="preserve">Based on ADMIXTURE results of 78,187 SNPs, </v>
      </c>
    </row>
    <row r="147" spans="1:34" x14ac:dyDescent="0.4">
      <c r="A147">
        <v>623</v>
      </c>
      <c r="B147" t="s">
        <v>1238</v>
      </c>
      <c r="C147" t="s">
        <v>21</v>
      </c>
      <c r="D147" t="s">
        <v>21</v>
      </c>
      <c r="E147" t="s">
        <v>21</v>
      </c>
      <c r="F147" t="s">
        <v>22</v>
      </c>
      <c r="G147" t="s">
        <v>21</v>
      </c>
      <c r="H147" t="s">
        <v>21</v>
      </c>
      <c r="I147" t="s">
        <v>21</v>
      </c>
      <c r="J147">
        <v>1</v>
      </c>
      <c r="K147">
        <v>0</v>
      </c>
      <c r="L147" t="s">
        <v>23</v>
      </c>
      <c r="M147" t="str">
        <f t="shared" si="16"/>
        <v>&gt;0.74</v>
      </c>
      <c r="N147">
        <v>0</v>
      </c>
      <c r="O147">
        <v>0</v>
      </c>
      <c r="P147">
        <v>0</v>
      </c>
      <c r="Q147">
        <v>1.09E-2</v>
      </c>
      <c r="R147">
        <v>0</v>
      </c>
      <c r="S147">
        <v>0.1479</v>
      </c>
      <c r="T147">
        <v>0.84109999999999996</v>
      </c>
      <c r="U147">
        <v>0</v>
      </c>
      <c r="V147">
        <v>0.98901600000000001</v>
      </c>
      <c r="W147" s="1">
        <f t="shared" si="17"/>
        <v>0.98901600000000001</v>
      </c>
      <c r="X147" t="s">
        <v>1239</v>
      </c>
      <c r="Y147" t="str">
        <f>VLOOKUP(X147,Sheet1!A:B,2,FALSE)</f>
        <v>Quercus macrocarpa Michx.</v>
      </c>
      <c r="Z147" t="s">
        <v>1384</v>
      </c>
      <c r="AB147" s="1">
        <f t="shared" si="18"/>
        <v>0.98901600000000001</v>
      </c>
      <c r="AD147">
        <f>IF(W147&lt;0.99,LARGE((N147:R147,U147,V147),2),"0")</f>
        <v>1.09E-2</v>
      </c>
      <c r="AE147" t="str">
        <f t="shared" si="19"/>
        <v xml:space="preserve">trace admixed with </v>
      </c>
      <c r="AH147" t="str">
        <f t="shared" si="15"/>
        <v xml:space="preserve">Based on ADMIXTURE results of 78,187 SNPs, trace admixed with </v>
      </c>
    </row>
    <row r="148" spans="1:34" x14ac:dyDescent="0.4">
      <c r="A148">
        <v>675</v>
      </c>
      <c r="B148" t="s">
        <v>1342</v>
      </c>
      <c r="C148" t="s">
        <v>21</v>
      </c>
      <c r="D148" t="s">
        <v>21</v>
      </c>
      <c r="E148" t="s">
        <v>21</v>
      </c>
      <c r="F148" t="s">
        <v>22</v>
      </c>
      <c r="G148" t="s">
        <v>21</v>
      </c>
      <c r="H148" t="s">
        <v>21</v>
      </c>
      <c r="I148" t="s">
        <v>21</v>
      </c>
      <c r="J148">
        <v>1</v>
      </c>
      <c r="K148">
        <v>0</v>
      </c>
      <c r="L148" t="s">
        <v>23</v>
      </c>
      <c r="M148" t="str">
        <f t="shared" si="16"/>
        <v>&gt;0.74</v>
      </c>
      <c r="N148">
        <v>0</v>
      </c>
      <c r="O148">
        <v>0</v>
      </c>
      <c r="P148">
        <v>0</v>
      </c>
      <c r="Q148">
        <v>0</v>
      </c>
      <c r="R148">
        <v>6.3E-3</v>
      </c>
      <c r="S148">
        <v>0</v>
      </c>
      <c r="T148">
        <v>0.99360000000000004</v>
      </c>
      <c r="U148">
        <v>0</v>
      </c>
      <c r="V148">
        <v>0.99360099999999996</v>
      </c>
      <c r="W148" s="1">
        <f t="shared" si="17"/>
        <v>0.99360099999999996</v>
      </c>
      <c r="X148" t="s">
        <v>1343</v>
      </c>
      <c r="Y148" t="str">
        <f>VLOOKUP(X148,Sheet1!A:B,2,FALSE)</f>
        <v>Quercus macrocarpa Michx.</v>
      </c>
      <c r="Z148" t="s">
        <v>1384</v>
      </c>
      <c r="AB148" s="1">
        <f t="shared" si="18"/>
        <v>0.99360099999999996</v>
      </c>
      <c r="AD148" t="str">
        <f>IF(W148&lt;0.99,LARGE((N148:R148,U148,V148),2),"0")</f>
        <v>0</v>
      </c>
      <c r="AE148" t="str">
        <f t="shared" si="19"/>
        <v/>
      </c>
      <c r="AH148" t="str">
        <f t="shared" si="15"/>
        <v xml:space="preserve">Based on ADMIXTURE results of 78,187 SNPs, </v>
      </c>
    </row>
    <row r="149" spans="1:34" x14ac:dyDescent="0.4">
      <c r="A149">
        <v>676</v>
      </c>
      <c r="B149" t="s">
        <v>1344</v>
      </c>
      <c r="C149" t="s">
        <v>21</v>
      </c>
      <c r="D149" t="s">
        <v>21</v>
      </c>
      <c r="E149" t="s">
        <v>25</v>
      </c>
      <c r="F149" t="s">
        <v>22</v>
      </c>
      <c r="G149" t="s">
        <v>21</v>
      </c>
      <c r="H149" t="s">
        <v>21</v>
      </c>
      <c r="I149" t="s">
        <v>21</v>
      </c>
      <c r="J149">
        <v>1</v>
      </c>
      <c r="K149">
        <v>1</v>
      </c>
      <c r="L149" t="s">
        <v>193</v>
      </c>
      <c r="M149" t="str">
        <f t="shared" si="16"/>
        <v>&gt;0.74</v>
      </c>
      <c r="N149" s="1">
        <v>8.0000000000000004E-4</v>
      </c>
      <c r="O149">
        <v>0</v>
      </c>
      <c r="P149">
        <v>0</v>
      </c>
      <c r="Q149">
        <v>0</v>
      </c>
      <c r="R149">
        <v>2.3699999999999999E-2</v>
      </c>
      <c r="S149">
        <v>0</v>
      </c>
      <c r="T149">
        <v>0.97540000000000004</v>
      </c>
      <c r="U149">
        <v>0</v>
      </c>
      <c r="V149">
        <v>0.97541999999999995</v>
      </c>
      <c r="W149" s="1">
        <f t="shared" si="17"/>
        <v>0.97541999999999995</v>
      </c>
      <c r="X149" t="s">
        <v>1345</v>
      </c>
      <c r="Y149" t="str">
        <f>VLOOKUP(X149,Sheet1!A:B,2,FALSE)</f>
        <v>Quercus macrocarpa Michx.</v>
      </c>
      <c r="Z149" t="s">
        <v>1384</v>
      </c>
      <c r="AB149" s="1">
        <f t="shared" si="18"/>
        <v>0.97541999999999995</v>
      </c>
      <c r="AC149" t="s">
        <v>1432</v>
      </c>
      <c r="AD149">
        <f>IF(W149&lt;0.99,LARGE((N149:R149,U149,V149),2),"0")</f>
        <v>2.3699999999999999E-2</v>
      </c>
      <c r="AE149" t="str">
        <f>IF(AND(AB149&lt;0.99,AD149&gt;0.1,AB149&gt;0.6),"admixed with ",IF(AND(AB149&lt;0.99,AD149&gt;0.01,AD149&lt;0.4),"may be trace admixed with ",""))</f>
        <v xml:space="preserve">may be trace admixed with </v>
      </c>
      <c r="AH149" t="str">
        <f t="shared" si="15"/>
        <v>Based on ADMIXTURE results of 78,187 SNPs, may be trace admixed with Quercus lobata</v>
      </c>
    </row>
    <row r="150" spans="1:34" x14ac:dyDescent="0.4">
      <c r="A150">
        <v>677</v>
      </c>
      <c r="B150" t="s">
        <v>1346</v>
      </c>
      <c r="C150" t="s">
        <v>21</v>
      </c>
      <c r="D150" t="s">
        <v>21</v>
      </c>
      <c r="E150" t="s">
        <v>21</v>
      </c>
      <c r="F150" t="s">
        <v>22</v>
      </c>
      <c r="G150" t="s">
        <v>21</v>
      </c>
      <c r="H150" t="s">
        <v>21</v>
      </c>
      <c r="I150" t="s">
        <v>21</v>
      </c>
      <c r="J150">
        <v>1</v>
      </c>
      <c r="K150">
        <v>0</v>
      </c>
      <c r="L150" t="s">
        <v>23</v>
      </c>
      <c r="M150" t="str">
        <f t="shared" si="16"/>
        <v>&gt;0.74</v>
      </c>
      <c r="N150">
        <v>0</v>
      </c>
      <c r="O150">
        <v>2.8999999999999998E-3</v>
      </c>
      <c r="P150">
        <v>0</v>
      </c>
      <c r="Q150">
        <v>0</v>
      </c>
      <c r="R150">
        <v>1.8599999999999998E-2</v>
      </c>
      <c r="S150">
        <v>1.6199999999999999E-2</v>
      </c>
      <c r="T150">
        <v>0.96220000000000006</v>
      </c>
      <c r="U150">
        <v>0</v>
      </c>
      <c r="V150">
        <v>0.97841900000000004</v>
      </c>
      <c r="W150" s="1">
        <f t="shared" si="17"/>
        <v>0.97841900000000004</v>
      </c>
      <c r="X150" t="s">
        <v>1347</v>
      </c>
      <c r="Y150" t="str">
        <f>VLOOKUP(X150,Sheet1!A:B,2,FALSE)</f>
        <v>Quercus macrocarpa Michx.</v>
      </c>
      <c r="Z150" t="s">
        <v>1384</v>
      </c>
      <c r="AB150" s="1">
        <f t="shared" si="18"/>
        <v>0.97841900000000004</v>
      </c>
      <c r="AD150">
        <f>IF(W150&lt;0.99,LARGE((N150:R150,U150,V150),2),"0")</f>
        <v>1.8599999999999998E-2</v>
      </c>
      <c r="AE150" t="str">
        <f>IF(AND(AB150&lt;0.99,AD150&gt;0.1),"admixed with",IF(AND(AB150&lt;0.99,AD150&gt;0.01),"trace admixed with ",""))</f>
        <v xml:space="preserve">trace admixed with </v>
      </c>
      <c r="AH150" t="str">
        <f t="shared" si="15"/>
        <v xml:space="preserve">Based on ADMIXTURE results of 78,187 SNPs, trace admixed with </v>
      </c>
    </row>
    <row r="151" spans="1:34" x14ac:dyDescent="0.4">
      <c r="A151">
        <v>678</v>
      </c>
      <c r="B151" t="s">
        <v>1348</v>
      </c>
      <c r="C151" t="s">
        <v>21</v>
      </c>
      <c r="D151" t="s">
        <v>21</v>
      </c>
      <c r="E151" t="s">
        <v>25</v>
      </c>
      <c r="F151" t="s">
        <v>22</v>
      </c>
      <c r="G151" t="s">
        <v>21</v>
      </c>
      <c r="H151" t="s">
        <v>21</v>
      </c>
      <c r="I151" t="s">
        <v>21</v>
      </c>
      <c r="J151">
        <v>1</v>
      </c>
      <c r="K151">
        <v>1</v>
      </c>
      <c r="L151" t="s">
        <v>193</v>
      </c>
      <c r="M151" t="str">
        <f t="shared" si="16"/>
        <v>&gt;0.74</v>
      </c>
      <c r="N151">
        <v>0</v>
      </c>
      <c r="O151">
        <v>0</v>
      </c>
      <c r="P151">
        <v>0</v>
      </c>
      <c r="Q151">
        <v>0</v>
      </c>
      <c r="R151">
        <v>3.0099999999999998E-2</v>
      </c>
      <c r="S151">
        <v>0</v>
      </c>
      <c r="T151">
        <v>0.9698</v>
      </c>
      <c r="U151">
        <v>0</v>
      </c>
      <c r="V151">
        <v>0.96982000000000002</v>
      </c>
      <c r="W151" s="1">
        <f t="shared" si="17"/>
        <v>0.96982000000000002</v>
      </c>
      <c r="X151" t="s">
        <v>1349</v>
      </c>
      <c r="Y151" t="str">
        <f>VLOOKUP(X151,Sheet1!A:B,2,FALSE)</f>
        <v>Quercus macrocarpa Michx.</v>
      </c>
      <c r="Z151" t="s">
        <v>1384</v>
      </c>
      <c r="AB151" s="1">
        <f t="shared" si="18"/>
        <v>0.96982000000000002</v>
      </c>
      <c r="AC151" t="s">
        <v>1432</v>
      </c>
      <c r="AD151">
        <f>IF(W151&lt;0.99,LARGE((N151:R151,U151,V151),2),"0")</f>
        <v>3.0099999999999998E-2</v>
      </c>
      <c r="AE151" t="str">
        <f>IF(AND(AB151&lt;0.99,AD151&gt;0.1,AB151&gt;0.6),"admixed with ",IF(AND(AB151&lt;0.99,AD151&gt;0.01,AD151&lt;0.4),"may be trace admixed with ",""))</f>
        <v xml:space="preserve">may be trace admixed with </v>
      </c>
      <c r="AH151" t="str">
        <f t="shared" si="15"/>
        <v>Based on ADMIXTURE results of 78,187 SNPs, may be trace admixed with Quercus lobata</v>
      </c>
    </row>
    <row r="152" spans="1:34" x14ac:dyDescent="0.4">
      <c r="A152">
        <v>679</v>
      </c>
      <c r="B152" t="s">
        <v>1350</v>
      </c>
      <c r="C152" t="s">
        <v>21</v>
      </c>
      <c r="D152" t="s">
        <v>21</v>
      </c>
      <c r="E152" t="s">
        <v>21</v>
      </c>
      <c r="F152" t="s">
        <v>22</v>
      </c>
      <c r="G152" t="s">
        <v>21</v>
      </c>
      <c r="H152" t="s">
        <v>21</v>
      </c>
      <c r="I152" t="s">
        <v>21</v>
      </c>
      <c r="J152">
        <v>1</v>
      </c>
      <c r="K152">
        <v>0</v>
      </c>
      <c r="L152" t="s">
        <v>23</v>
      </c>
      <c r="M152" t="str">
        <f t="shared" si="16"/>
        <v>&gt;0.74</v>
      </c>
      <c r="N152">
        <v>0</v>
      </c>
      <c r="O152">
        <v>3.3999999999999998E-3</v>
      </c>
      <c r="P152" s="1">
        <v>1E-4</v>
      </c>
      <c r="Q152">
        <v>7.6E-3</v>
      </c>
      <c r="R152">
        <v>1.55E-2</v>
      </c>
      <c r="S152">
        <v>1.24E-2</v>
      </c>
      <c r="T152">
        <v>0.96099999999999997</v>
      </c>
      <c r="U152">
        <v>0</v>
      </c>
      <c r="V152">
        <v>0.97340099999999996</v>
      </c>
      <c r="W152" s="1">
        <f t="shared" si="17"/>
        <v>0.97340099999999996</v>
      </c>
      <c r="X152" t="s">
        <v>1351</v>
      </c>
      <c r="Y152" t="str">
        <f>VLOOKUP(X152,Sheet1!A:B,2,FALSE)</f>
        <v>Quercus macrocarpa Michx.</v>
      </c>
      <c r="Z152" t="s">
        <v>1384</v>
      </c>
      <c r="AB152" s="1">
        <f t="shared" si="18"/>
        <v>0.97340099999999996</v>
      </c>
      <c r="AD152">
        <f>IF(W152&lt;0.99,LARGE((N152:R152,U152,V152),2),"0")</f>
        <v>1.55E-2</v>
      </c>
      <c r="AE152" t="str">
        <f>IF(AND(AB152&lt;0.99,AD152&gt;0.1),"admixed with",IF(AND(AB152&lt;0.99,AD152&gt;0.01),"trace admixed with ",""))</f>
        <v xml:space="preserve">trace admixed with </v>
      </c>
      <c r="AH152" t="str">
        <f t="shared" si="15"/>
        <v xml:space="preserve">Based on ADMIXTURE results of 78,187 SNPs, trace admixed with </v>
      </c>
    </row>
    <row r="153" spans="1:34" x14ac:dyDescent="0.4">
      <c r="A153">
        <v>680</v>
      </c>
      <c r="B153" t="s">
        <v>1352</v>
      </c>
      <c r="C153" t="s">
        <v>21</v>
      </c>
      <c r="D153" t="s">
        <v>21</v>
      </c>
      <c r="E153" t="s">
        <v>21</v>
      </c>
      <c r="F153" t="s">
        <v>22</v>
      </c>
      <c r="G153" t="s">
        <v>21</v>
      </c>
      <c r="H153" t="s">
        <v>21</v>
      </c>
      <c r="I153" t="s">
        <v>21</v>
      </c>
      <c r="J153">
        <v>1</v>
      </c>
      <c r="K153">
        <v>0</v>
      </c>
      <c r="L153" t="s">
        <v>23</v>
      </c>
      <c r="M153" t="str">
        <f t="shared" si="16"/>
        <v>&gt;0.74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0.99990000000000001</v>
      </c>
      <c r="U153">
        <v>0</v>
      </c>
      <c r="V153">
        <v>0.99994000000000005</v>
      </c>
      <c r="W153" s="1">
        <f t="shared" si="17"/>
        <v>0.99994000000000005</v>
      </c>
      <c r="X153" t="s">
        <v>1353</v>
      </c>
      <c r="Y153" t="str">
        <f>VLOOKUP(X153,Sheet1!A:B,2,FALSE)</f>
        <v>Quercus macrocarpa Michx.</v>
      </c>
      <c r="Z153" t="s">
        <v>1384</v>
      </c>
      <c r="AB153" s="1">
        <f t="shared" si="18"/>
        <v>0.99994000000000005</v>
      </c>
      <c r="AD153" t="str">
        <f>IF(W153&lt;0.99,LARGE((N153:R153,U153,V153),2),"0")</f>
        <v>0</v>
      </c>
      <c r="AE153" t="str">
        <f>IF(AND(AB153&lt;0.99,AD153&gt;0.1),"admixed with",IF(AND(AB153&lt;0.99,AD153&gt;0.01),"trace admixed with ",""))</f>
        <v/>
      </c>
      <c r="AH153" t="str">
        <f t="shared" si="15"/>
        <v xml:space="preserve">Based on ADMIXTURE results of 78,187 SNPs, </v>
      </c>
    </row>
    <row r="154" spans="1:34" x14ac:dyDescent="0.4">
      <c r="A154">
        <v>681</v>
      </c>
      <c r="B154" t="s">
        <v>1354</v>
      </c>
      <c r="C154" t="s">
        <v>21</v>
      </c>
      <c r="D154" t="s">
        <v>21</v>
      </c>
      <c r="E154" t="s">
        <v>21</v>
      </c>
      <c r="F154" t="s">
        <v>22</v>
      </c>
      <c r="G154" t="s">
        <v>21</v>
      </c>
      <c r="H154" t="s">
        <v>21</v>
      </c>
      <c r="I154" t="s">
        <v>21</v>
      </c>
      <c r="J154">
        <v>1</v>
      </c>
      <c r="K154">
        <v>0</v>
      </c>
      <c r="L154" t="s">
        <v>23</v>
      </c>
      <c r="M154" t="str">
        <f t="shared" si="16"/>
        <v>&gt;0.74</v>
      </c>
      <c r="N154">
        <v>0</v>
      </c>
      <c r="O154">
        <v>0</v>
      </c>
      <c r="P154" s="1">
        <v>5.9999999999999995E-4</v>
      </c>
      <c r="Q154">
        <v>8.8000000000000005E-3</v>
      </c>
      <c r="R154">
        <v>2.29E-2</v>
      </c>
      <c r="S154">
        <v>0</v>
      </c>
      <c r="T154">
        <v>0.96760000000000002</v>
      </c>
      <c r="U154">
        <v>0</v>
      </c>
      <c r="V154">
        <v>0.96759499999999998</v>
      </c>
      <c r="W154" s="1">
        <f t="shared" si="17"/>
        <v>0.96759499999999998</v>
      </c>
      <c r="X154" t="s">
        <v>1355</v>
      </c>
      <c r="Y154" t="str">
        <f>VLOOKUP(X154,Sheet1!A:B,2,FALSE)</f>
        <v>Quercus macrocarpa Michx.</v>
      </c>
      <c r="Z154" t="s">
        <v>1384</v>
      </c>
      <c r="AB154" s="1">
        <f t="shared" si="18"/>
        <v>0.96759499999999998</v>
      </c>
      <c r="AD154">
        <f>IF(W154&lt;0.99,LARGE((N154:R154,U154,V154),2),"0")</f>
        <v>2.29E-2</v>
      </c>
      <c r="AE154" t="str">
        <f>IF(AND(AB154&lt;0.99,AD154&gt;0.1),"admixed with",IF(AND(AB154&lt;0.99,AD154&gt;0.01),"trace admixed with ",""))</f>
        <v xml:space="preserve">trace admixed with </v>
      </c>
      <c r="AH154" t="str">
        <f t="shared" si="15"/>
        <v xml:space="preserve">Based on ADMIXTURE results of 78,187 SNPs, trace admixed with </v>
      </c>
    </row>
    <row r="155" spans="1:34" x14ac:dyDescent="0.4">
      <c r="A155">
        <v>682</v>
      </c>
      <c r="B155" t="s">
        <v>1356</v>
      </c>
      <c r="C155" t="s">
        <v>21</v>
      </c>
      <c r="D155" t="s">
        <v>21</v>
      </c>
      <c r="E155" t="s">
        <v>21</v>
      </c>
      <c r="F155" t="s">
        <v>22</v>
      </c>
      <c r="G155" t="s">
        <v>21</v>
      </c>
      <c r="H155" t="s">
        <v>21</v>
      </c>
      <c r="I155" t="s">
        <v>21</v>
      </c>
      <c r="J155">
        <v>1</v>
      </c>
      <c r="K155">
        <v>0</v>
      </c>
      <c r="L155" t="s">
        <v>23</v>
      </c>
      <c r="M155" t="str">
        <f t="shared" si="16"/>
        <v>&gt;0.74</v>
      </c>
      <c r="N155">
        <v>0</v>
      </c>
      <c r="O155">
        <v>7.1000000000000004E-3</v>
      </c>
      <c r="P155">
        <v>0</v>
      </c>
      <c r="Q155">
        <v>0</v>
      </c>
      <c r="R155">
        <v>0</v>
      </c>
      <c r="S155">
        <v>0</v>
      </c>
      <c r="T155">
        <v>0.9929</v>
      </c>
      <c r="U155">
        <v>0</v>
      </c>
      <c r="V155">
        <v>0.992865</v>
      </c>
      <c r="W155" s="1">
        <f t="shared" si="17"/>
        <v>0.992865</v>
      </c>
      <c r="X155" t="s">
        <v>1357</v>
      </c>
      <c r="Y155" t="str">
        <f>VLOOKUP(X155,Sheet1!A:B,2,FALSE)</f>
        <v>Quercus macrocarpa Michx.</v>
      </c>
      <c r="Z155" t="s">
        <v>1384</v>
      </c>
      <c r="AB155" s="1">
        <f t="shared" si="18"/>
        <v>0.992865</v>
      </c>
      <c r="AD155" t="str">
        <f>IF(W155&lt;0.99,LARGE((N155:R155,U155,V155),2),"0")</f>
        <v>0</v>
      </c>
      <c r="AE155" t="str">
        <f>IF(AND(AB155&lt;0.99,AD155&gt;0.1),"admixed with",IF(AND(AB155&lt;0.99,AD155&gt;0.01),"trace admixed with ",""))</f>
        <v/>
      </c>
      <c r="AH155" t="str">
        <f t="shared" si="15"/>
        <v xml:space="preserve">Based on ADMIXTURE results of 78,187 SNPs, </v>
      </c>
    </row>
    <row r="156" spans="1:34" x14ac:dyDescent="0.4">
      <c r="A156">
        <v>683</v>
      </c>
      <c r="B156" t="s">
        <v>1358</v>
      </c>
      <c r="C156" t="s">
        <v>21</v>
      </c>
      <c r="D156" t="s">
        <v>21</v>
      </c>
      <c r="E156" t="s">
        <v>25</v>
      </c>
      <c r="F156" t="s">
        <v>22</v>
      </c>
      <c r="G156" t="s">
        <v>21</v>
      </c>
      <c r="H156" t="s">
        <v>21</v>
      </c>
      <c r="I156" t="s">
        <v>21</v>
      </c>
      <c r="J156">
        <v>1</v>
      </c>
      <c r="K156">
        <v>1</v>
      </c>
      <c r="L156" t="s">
        <v>193</v>
      </c>
      <c r="M156" t="str">
        <f t="shared" si="16"/>
        <v>&gt;0.74</v>
      </c>
      <c r="N156">
        <v>0</v>
      </c>
      <c r="O156">
        <v>0</v>
      </c>
      <c r="P156">
        <v>0</v>
      </c>
      <c r="Q156">
        <v>0</v>
      </c>
      <c r="R156">
        <v>2.3599999999999999E-2</v>
      </c>
      <c r="S156">
        <v>0</v>
      </c>
      <c r="T156">
        <v>0.97629999999999995</v>
      </c>
      <c r="U156">
        <v>0</v>
      </c>
      <c r="V156">
        <v>0.97632399999999997</v>
      </c>
      <c r="W156" s="1">
        <f t="shared" si="17"/>
        <v>0.97632399999999997</v>
      </c>
      <c r="X156" t="s">
        <v>1359</v>
      </c>
      <c r="Y156" t="str">
        <f>VLOOKUP(X156,Sheet1!A:B,2,FALSE)</f>
        <v>Quercus macrocarpa Michx.</v>
      </c>
      <c r="Z156" t="s">
        <v>1384</v>
      </c>
      <c r="AB156" s="1">
        <f t="shared" si="18"/>
        <v>0.97632399999999997</v>
      </c>
      <c r="AC156" t="s">
        <v>1432</v>
      </c>
      <c r="AD156">
        <f>IF(W156&lt;0.99,LARGE((N156:R156,U156,V156),2),"0")</f>
        <v>2.3599999999999999E-2</v>
      </c>
      <c r="AE156" t="str">
        <f>IF(AND(AB156&lt;0.99,AD156&gt;0.1,AB156&gt;0.6),"admixed with ",IF(AND(AB156&lt;0.99,AD156&gt;0.01,AD156&lt;0.4),"may be trace admixed with ",""))</f>
        <v xml:space="preserve">may be trace admixed with </v>
      </c>
      <c r="AH156" t="str">
        <f t="shared" si="15"/>
        <v>Based on ADMIXTURE results of 78,187 SNPs, may be trace admixed with Quercus lobata</v>
      </c>
    </row>
    <row r="157" spans="1:34" x14ac:dyDescent="0.4">
      <c r="A157">
        <v>685</v>
      </c>
      <c r="B157" t="s">
        <v>1362</v>
      </c>
      <c r="C157" t="s">
        <v>21</v>
      </c>
      <c r="D157" t="s">
        <v>21</v>
      </c>
      <c r="E157" t="s">
        <v>21</v>
      </c>
      <c r="F157" t="s">
        <v>25</v>
      </c>
      <c r="G157" t="s">
        <v>21</v>
      </c>
      <c r="H157" t="s">
        <v>21</v>
      </c>
      <c r="I157" t="s">
        <v>21</v>
      </c>
      <c r="J157">
        <v>0</v>
      </c>
      <c r="K157">
        <v>1</v>
      </c>
      <c r="L157" t="s">
        <v>1068</v>
      </c>
      <c r="M157" t="str">
        <f t="shared" si="16"/>
        <v>&gt;0.74</v>
      </c>
      <c r="N157">
        <v>0</v>
      </c>
      <c r="O157">
        <v>6.7000000000000002E-3</v>
      </c>
      <c r="P157">
        <v>0</v>
      </c>
      <c r="Q157">
        <v>0</v>
      </c>
      <c r="R157">
        <v>3.4299999999999997E-2</v>
      </c>
      <c r="S157">
        <v>0</v>
      </c>
      <c r="T157">
        <v>0.95089999999999997</v>
      </c>
      <c r="U157">
        <v>8.0999999999999996E-3</v>
      </c>
      <c r="V157">
        <v>0.95087699999999997</v>
      </c>
      <c r="W157" s="1">
        <f t="shared" si="17"/>
        <v>0.95087699999999997</v>
      </c>
      <c r="X157" t="s">
        <v>1363</v>
      </c>
      <c r="Y157" t="str">
        <f>VLOOKUP(X157,Sheet1!A:B,2,FALSE)</f>
        <v>Quercus macrocarpa Michx.</v>
      </c>
      <c r="Z157" t="s">
        <v>1384</v>
      </c>
      <c r="AB157" s="1">
        <f t="shared" si="18"/>
        <v>0.95087699999999997</v>
      </c>
      <c r="AC157" t="s">
        <v>1432</v>
      </c>
      <c r="AD157">
        <f>IF(W157&lt;0.99,LARGE((N157:R157,U157,V157),2),"0")</f>
        <v>3.4299999999999997E-2</v>
      </c>
      <c r="AE157" t="str">
        <f>IF(AND(AB157&lt;0.99,AD157&gt;0.1,AB157&gt;0.6),"admixed with ",IF(AND(AB157&lt;0.99,AD157&gt;0.01,AD157&lt;0.4),"trace admixed with ",""))</f>
        <v xml:space="preserve">trace admixed with </v>
      </c>
      <c r="AH157" t="str">
        <f t="shared" si="15"/>
        <v>Based on ADMIXTURE results of 78,187 SNPs, trace admixed with Quercus lobata</v>
      </c>
    </row>
    <row r="158" spans="1:34" x14ac:dyDescent="0.4">
      <c r="A158">
        <v>686</v>
      </c>
      <c r="B158" t="s">
        <v>1364</v>
      </c>
      <c r="C158" t="s">
        <v>21</v>
      </c>
      <c r="D158" t="s">
        <v>21</v>
      </c>
      <c r="E158" t="s">
        <v>25</v>
      </c>
      <c r="F158" t="s">
        <v>25</v>
      </c>
      <c r="G158" t="s">
        <v>21</v>
      </c>
      <c r="H158" t="s">
        <v>21</v>
      </c>
      <c r="I158" t="s">
        <v>21</v>
      </c>
      <c r="J158">
        <v>0</v>
      </c>
      <c r="K158">
        <v>2</v>
      </c>
      <c r="L158" t="s">
        <v>26</v>
      </c>
      <c r="M158" t="str">
        <f t="shared" si="16"/>
        <v>&gt;0.74</v>
      </c>
      <c r="N158">
        <v>1.38E-2</v>
      </c>
      <c r="O158">
        <v>0</v>
      </c>
      <c r="P158">
        <v>1.1999999999999999E-3</v>
      </c>
      <c r="Q158">
        <v>0</v>
      </c>
      <c r="R158">
        <v>2.9899999999999999E-2</v>
      </c>
      <c r="S158">
        <v>0</v>
      </c>
      <c r="T158">
        <v>0.95509999999999995</v>
      </c>
      <c r="U158">
        <v>0</v>
      </c>
      <c r="V158">
        <v>0.955063</v>
      </c>
      <c r="W158" s="1">
        <f t="shared" si="17"/>
        <v>0.955063</v>
      </c>
      <c r="X158" t="s">
        <v>1365</v>
      </c>
      <c r="Y158" t="str">
        <f>VLOOKUP(X158,Sheet1!A:B,2,FALSE)</f>
        <v>Quercus macrocarpa Michx.</v>
      </c>
      <c r="Z158" t="s">
        <v>1384</v>
      </c>
      <c r="AB158" s="1">
        <f t="shared" si="18"/>
        <v>0.955063</v>
      </c>
      <c r="AC158" t="s">
        <v>1432</v>
      </c>
      <c r="AD158">
        <f>IF(W158&lt;0.99,LARGE((N158:R158,U158,V158),2),"0")</f>
        <v>2.9899999999999999E-2</v>
      </c>
      <c r="AE158" t="str">
        <f t="shared" ref="AE158:AE163" si="20">IF(AND(AB158&lt;0.99,AD158&gt;0.1,AB158&gt;0.6),"admixed with ",IF(AND(AB158&lt;0.99,AD158&gt;0.01,AD158&lt;0.4),"trace admixed (Q&lt;0.10) with ",""))</f>
        <v xml:space="preserve">trace admixed (Q&lt;0.10) with </v>
      </c>
      <c r="AH158" t="str">
        <f t="shared" si="15"/>
        <v>Based on ADMIXTURE results of 78,187 SNPs, trace admixed (Q&lt;0.10) with Quercus lobata</v>
      </c>
    </row>
    <row r="159" spans="1:34" x14ac:dyDescent="0.4">
      <c r="A159">
        <v>687</v>
      </c>
      <c r="B159" t="s">
        <v>1366</v>
      </c>
      <c r="C159" t="s">
        <v>21</v>
      </c>
      <c r="D159" t="s">
        <v>21</v>
      </c>
      <c r="E159" t="s">
        <v>25</v>
      </c>
      <c r="F159" t="s">
        <v>25</v>
      </c>
      <c r="G159" t="s">
        <v>21</v>
      </c>
      <c r="H159" t="s">
        <v>21</v>
      </c>
      <c r="I159" t="s">
        <v>21</v>
      </c>
      <c r="J159">
        <v>0</v>
      </c>
      <c r="K159">
        <v>2</v>
      </c>
      <c r="L159" t="s">
        <v>26</v>
      </c>
      <c r="M159" t="str">
        <f t="shared" si="16"/>
        <v>&gt;0.74</v>
      </c>
      <c r="N159">
        <v>1.5E-3</v>
      </c>
      <c r="O159">
        <v>7.1000000000000004E-3</v>
      </c>
      <c r="P159">
        <v>0</v>
      </c>
      <c r="Q159">
        <v>0</v>
      </c>
      <c r="R159">
        <v>0.11700000000000001</v>
      </c>
      <c r="S159">
        <v>0</v>
      </c>
      <c r="T159">
        <v>0.87429999999999997</v>
      </c>
      <c r="U159">
        <v>0</v>
      </c>
      <c r="V159">
        <v>0.87433799999999995</v>
      </c>
      <c r="W159" s="1">
        <f t="shared" si="17"/>
        <v>0.87433799999999995</v>
      </c>
      <c r="X159" t="s">
        <v>1367</v>
      </c>
      <c r="Y159" t="str">
        <f>VLOOKUP(X159,Sheet1!A:B,2,FALSE)</f>
        <v>Quercus macrocarpa Michx.</v>
      </c>
      <c r="Z159" t="s">
        <v>1384</v>
      </c>
      <c r="AB159" s="1">
        <f t="shared" si="18"/>
        <v>0.87433799999999995</v>
      </c>
      <c r="AC159" t="s">
        <v>1432</v>
      </c>
      <c r="AD159">
        <f>IF(W159&lt;0.99,LARGE((N159:R159,U159,V159),2),"0")</f>
        <v>0.11700000000000001</v>
      </c>
      <c r="AE159" t="str">
        <f t="shared" si="20"/>
        <v xml:space="preserve">admixed with </v>
      </c>
      <c r="AH159" t="str">
        <f t="shared" si="15"/>
        <v>Based on ADMIXTURE results of 78,187 SNPs, admixed with Quercus lobata</v>
      </c>
    </row>
    <row r="160" spans="1:34" x14ac:dyDescent="0.4">
      <c r="A160">
        <v>688</v>
      </c>
      <c r="B160" t="s">
        <v>1368</v>
      </c>
      <c r="C160" t="s">
        <v>21</v>
      </c>
      <c r="D160" t="s">
        <v>21</v>
      </c>
      <c r="E160" t="s">
        <v>25</v>
      </c>
      <c r="F160" t="s">
        <v>25</v>
      </c>
      <c r="G160" t="s">
        <v>21</v>
      </c>
      <c r="H160" t="s">
        <v>21</v>
      </c>
      <c r="I160" t="s">
        <v>25</v>
      </c>
      <c r="J160">
        <v>0</v>
      </c>
      <c r="K160">
        <v>3</v>
      </c>
      <c r="L160" t="s">
        <v>26</v>
      </c>
      <c r="M160" t="str">
        <f t="shared" si="16"/>
        <v>&gt;0.74</v>
      </c>
      <c r="N160">
        <v>1.46E-2</v>
      </c>
      <c r="O160">
        <v>2.06E-2</v>
      </c>
      <c r="P160">
        <v>0</v>
      </c>
      <c r="Q160">
        <v>1.8E-3</v>
      </c>
      <c r="R160">
        <v>5.8000000000000003E-2</v>
      </c>
      <c r="S160">
        <v>0</v>
      </c>
      <c r="T160">
        <v>0.90500000000000003</v>
      </c>
      <c r="U160">
        <v>0</v>
      </c>
      <c r="V160">
        <v>0.90497700000000003</v>
      </c>
      <c r="W160" s="1">
        <f t="shared" si="17"/>
        <v>0.90497700000000003</v>
      </c>
      <c r="X160" t="s">
        <v>1369</v>
      </c>
      <c r="Y160" t="str">
        <f>VLOOKUP(X160,Sheet1!A:B,2,FALSE)</f>
        <v>Quercus macrocarpa Michx.</v>
      </c>
      <c r="Z160" t="s">
        <v>1384</v>
      </c>
      <c r="AB160" s="1">
        <f t="shared" si="18"/>
        <v>0.90497700000000003</v>
      </c>
      <c r="AC160" t="s">
        <v>1432</v>
      </c>
      <c r="AD160">
        <f>IF(W160&lt;0.99,LARGE((N160:R160,U160,V160),2),"0")</f>
        <v>5.8000000000000003E-2</v>
      </c>
      <c r="AE160" t="str">
        <f t="shared" si="20"/>
        <v xml:space="preserve">trace admixed (Q&lt;0.10) with </v>
      </c>
      <c r="AH160" t="str">
        <f t="shared" si="15"/>
        <v>Based on ADMIXTURE results of 78,187 SNPs, trace admixed (Q&lt;0.10) with Quercus lobata</v>
      </c>
    </row>
    <row r="161" spans="1:34" x14ac:dyDescent="0.4">
      <c r="A161">
        <v>689</v>
      </c>
      <c r="B161" t="s">
        <v>1370</v>
      </c>
      <c r="C161" t="s">
        <v>21</v>
      </c>
      <c r="D161" t="s">
        <v>21</v>
      </c>
      <c r="E161" t="s">
        <v>25</v>
      </c>
      <c r="F161" t="s">
        <v>25</v>
      </c>
      <c r="G161" t="s">
        <v>21</v>
      </c>
      <c r="H161" t="s">
        <v>21</v>
      </c>
      <c r="I161" t="s">
        <v>21</v>
      </c>
      <c r="J161">
        <v>0</v>
      </c>
      <c r="K161">
        <v>2</v>
      </c>
      <c r="L161" t="s">
        <v>26</v>
      </c>
      <c r="M161" t="str">
        <f t="shared" si="16"/>
        <v>&gt;0.74</v>
      </c>
      <c r="N161">
        <v>0</v>
      </c>
      <c r="O161">
        <v>0</v>
      </c>
      <c r="P161">
        <v>1.17E-2</v>
      </c>
      <c r="Q161">
        <v>0</v>
      </c>
      <c r="R161">
        <v>9.8199999999999996E-2</v>
      </c>
      <c r="S161">
        <v>0</v>
      </c>
      <c r="T161">
        <v>0.8901</v>
      </c>
      <c r="U161">
        <v>0</v>
      </c>
      <c r="V161">
        <v>0.89008799999999999</v>
      </c>
      <c r="W161" s="1">
        <f t="shared" si="17"/>
        <v>0.89008799999999999</v>
      </c>
      <c r="X161" t="s">
        <v>1371</v>
      </c>
      <c r="Y161" t="str">
        <f>VLOOKUP(X161,Sheet1!A:B,2,FALSE)</f>
        <v>Quercus macrocarpa Michx.</v>
      </c>
      <c r="Z161" t="s">
        <v>1384</v>
      </c>
      <c r="AB161" s="1">
        <f t="shared" si="18"/>
        <v>0.89008799999999999</v>
      </c>
      <c r="AC161" t="s">
        <v>1432</v>
      </c>
      <c r="AD161">
        <f>IF(W161&lt;0.99,LARGE((N161:R161,U161,V161),2),"0")</f>
        <v>9.8199999999999996E-2</v>
      </c>
      <c r="AE161" t="str">
        <f t="shared" si="20"/>
        <v xml:space="preserve">trace admixed (Q&lt;0.10) with </v>
      </c>
      <c r="AH161" t="str">
        <f t="shared" si="15"/>
        <v>Based on ADMIXTURE results of 78,187 SNPs, trace admixed (Q&lt;0.10) with Quercus lobata</v>
      </c>
    </row>
    <row r="162" spans="1:34" x14ac:dyDescent="0.4">
      <c r="A162">
        <v>690</v>
      </c>
      <c r="B162" t="s">
        <v>1372</v>
      </c>
      <c r="C162" t="s">
        <v>21</v>
      </c>
      <c r="D162" t="s">
        <v>21</v>
      </c>
      <c r="E162" t="s">
        <v>25</v>
      </c>
      <c r="F162" t="s">
        <v>25</v>
      </c>
      <c r="G162" t="s">
        <v>21</v>
      </c>
      <c r="H162" t="s">
        <v>21</v>
      </c>
      <c r="I162" t="s">
        <v>21</v>
      </c>
      <c r="J162">
        <v>0</v>
      </c>
      <c r="K162">
        <v>2</v>
      </c>
      <c r="L162" t="s">
        <v>26</v>
      </c>
      <c r="M162" t="str">
        <f t="shared" si="16"/>
        <v>&gt;0.74</v>
      </c>
      <c r="N162">
        <v>0</v>
      </c>
      <c r="O162">
        <v>4.0000000000000001E-3</v>
      </c>
      <c r="P162">
        <v>0</v>
      </c>
      <c r="Q162">
        <v>0</v>
      </c>
      <c r="R162">
        <v>0.1295</v>
      </c>
      <c r="S162">
        <v>0</v>
      </c>
      <c r="T162">
        <v>0.86650000000000005</v>
      </c>
      <c r="U162">
        <v>0</v>
      </c>
      <c r="V162">
        <v>0.866479</v>
      </c>
      <c r="W162" s="1">
        <f t="shared" si="17"/>
        <v>0.866479</v>
      </c>
      <c r="X162" t="s">
        <v>1373</v>
      </c>
      <c r="Y162" t="str">
        <f>VLOOKUP(X162,Sheet1!A:B,2,FALSE)</f>
        <v>Quercus macrocarpa Michx.</v>
      </c>
      <c r="Z162" t="s">
        <v>1384</v>
      </c>
      <c r="AB162" s="1">
        <f t="shared" si="18"/>
        <v>0.866479</v>
      </c>
      <c r="AC162" t="s">
        <v>1432</v>
      </c>
      <c r="AD162">
        <f>IF(W162&lt;0.99,LARGE((N162:R162,U162,V162),2),"0")</f>
        <v>0.1295</v>
      </c>
      <c r="AE162" t="str">
        <f t="shared" si="20"/>
        <v xml:space="preserve">admixed with </v>
      </c>
      <c r="AH162" t="str">
        <f t="shared" si="15"/>
        <v>Based on ADMIXTURE results of 78,187 SNPs, admixed with Quercus lobata</v>
      </c>
    </row>
    <row r="163" spans="1:34" x14ac:dyDescent="0.4">
      <c r="A163">
        <v>691</v>
      </c>
      <c r="B163" t="s">
        <v>1374</v>
      </c>
      <c r="C163" t="s">
        <v>21</v>
      </c>
      <c r="D163" t="s">
        <v>21</v>
      </c>
      <c r="E163" t="s">
        <v>25</v>
      </c>
      <c r="F163" t="s">
        <v>25</v>
      </c>
      <c r="G163" t="s">
        <v>21</v>
      </c>
      <c r="H163" t="s">
        <v>21</v>
      </c>
      <c r="I163" t="s">
        <v>21</v>
      </c>
      <c r="J163">
        <v>0</v>
      </c>
      <c r="K163">
        <v>2</v>
      </c>
      <c r="L163" t="s">
        <v>26</v>
      </c>
      <c r="M163" t="str">
        <f t="shared" si="16"/>
        <v>&gt;0.74</v>
      </c>
      <c r="N163">
        <v>0</v>
      </c>
      <c r="O163">
        <v>0</v>
      </c>
      <c r="P163">
        <v>0</v>
      </c>
      <c r="Q163">
        <v>6.1999999999999998E-3</v>
      </c>
      <c r="R163">
        <v>0.112</v>
      </c>
      <c r="S163">
        <v>0</v>
      </c>
      <c r="T163">
        <v>0.872</v>
      </c>
      <c r="U163">
        <v>9.7999999999999997E-3</v>
      </c>
      <c r="V163">
        <v>0.872004</v>
      </c>
      <c r="W163" s="1">
        <f t="shared" si="17"/>
        <v>0.872004</v>
      </c>
      <c r="X163" t="s">
        <v>1375</v>
      </c>
      <c r="Y163" t="str">
        <f>VLOOKUP(X163,Sheet1!A:B,2,FALSE)</f>
        <v>Quercus macrocarpa Michx.</v>
      </c>
      <c r="Z163" t="s">
        <v>1384</v>
      </c>
      <c r="AB163" s="1">
        <f t="shared" si="18"/>
        <v>0.872004</v>
      </c>
      <c r="AC163" t="s">
        <v>1432</v>
      </c>
      <c r="AD163">
        <f>IF(W163&lt;0.99,LARGE((N163:R163,U163,V163),2),"0")</f>
        <v>0.112</v>
      </c>
      <c r="AE163" t="str">
        <f t="shared" si="20"/>
        <v xml:space="preserve">admixed with </v>
      </c>
      <c r="AH163" t="str">
        <f t="shared" si="15"/>
        <v>Based on ADMIXTURE results of 78,187 SNPs, admixed with Quercus lobata</v>
      </c>
    </row>
    <row r="164" spans="1:34" x14ac:dyDescent="0.4">
      <c r="A164">
        <v>692</v>
      </c>
      <c r="B164" t="s">
        <v>1376</v>
      </c>
      <c r="C164" t="s">
        <v>21</v>
      </c>
      <c r="D164" t="s">
        <v>21</v>
      </c>
      <c r="E164" t="s">
        <v>21</v>
      </c>
      <c r="F164" t="s">
        <v>25</v>
      </c>
      <c r="G164" t="s">
        <v>21</v>
      </c>
      <c r="H164" t="s">
        <v>21</v>
      </c>
      <c r="I164" t="s">
        <v>21</v>
      </c>
      <c r="J164">
        <v>0</v>
      </c>
      <c r="K164">
        <v>1</v>
      </c>
      <c r="L164" t="s">
        <v>1068</v>
      </c>
      <c r="M164" t="str">
        <f t="shared" si="16"/>
        <v>&gt;0.74</v>
      </c>
      <c r="N164">
        <v>0</v>
      </c>
      <c r="O164">
        <v>1E-3</v>
      </c>
      <c r="P164">
        <v>0</v>
      </c>
      <c r="Q164">
        <v>0</v>
      </c>
      <c r="R164">
        <v>6.9400000000000003E-2</v>
      </c>
      <c r="S164">
        <v>0</v>
      </c>
      <c r="T164">
        <v>0.92959999999999998</v>
      </c>
      <c r="U164">
        <v>0</v>
      </c>
      <c r="V164">
        <v>0.92959700000000001</v>
      </c>
      <c r="W164" s="1">
        <f t="shared" si="17"/>
        <v>0.92959700000000001</v>
      </c>
      <c r="X164" t="s">
        <v>1377</v>
      </c>
      <c r="Y164" t="str">
        <f>VLOOKUP(X164,Sheet1!A:B,2,FALSE)</f>
        <v>Quercus macrocarpa Michx.</v>
      </c>
      <c r="Z164" t="s">
        <v>1384</v>
      </c>
      <c r="AB164" s="1">
        <f t="shared" si="18"/>
        <v>0.92959700000000001</v>
      </c>
      <c r="AC164" t="s">
        <v>1432</v>
      </c>
      <c r="AD164">
        <f>IF(W164&lt;0.99,LARGE((N164:R164,U164,V164),2),"0")</f>
        <v>6.9400000000000003E-2</v>
      </c>
      <c r="AE164" t="str">
        <f>IF(AND(AB164&lt;0.99,AD164&gt;0.1,AB164&gt;0.6),"admixed with ",IF(AND(AB164&lt;0.99,AD164&gt;0.01,AD164&lt;0.4),"trace admixed with ",""))</f>
        <v xml:space="preserve">trace admixed with </v>
      </c>
      <c r="AH164" t="str">
        <f t="shared" si="15"/>
        <v>Based on ADMIXTURE results of 78,187 SNPs, trace admixed with Quercus lobata</v>
      </c>
    </row>
    <row r="165" spans="1:34" x14ac:dyDescent="0.4">
      <c r="A165">
        <v>693</v>
      </c>
      <c r="B165" t="s">
        <v>1378</v>
      </c>
      <c r="C165" t="s">
        <v>21</v>
      </c>
      <c r="D165" t="s">
        <v>21</v>
      </c>
      <c r="E165" t="s">
        <v>25</v>
      </c>
      <c r="F165" t="s">
        <v>25</v>
      </c>
      <c r="G165" t="s">
        <v>21</v>
      </c>
      <c r="H165" t="s">
        <v>21</v>
      </c>
      <c r="I165" t="s">
        <v>21</v>
      </c>
      <c r="J165">
        <v>0</v>
      </c>
      <c r="K165">
        <v>2</v>
      </c>
      <c r="L165" t="s">
        <v>26</v>
      </c>
      <c r="M165" t="str">
        <f t="shared" si="16"/>
        <v>&gt;0.74</v>
      </c>
      <c r="N165">
        <v>1.8E-3</v>
      </c>
      <c r="O165">
        <v>1.7899999999999999E-2</v>
      </c>
      <c r="P165">
        <v>0</v>
      </c>
      <c r="Q165">
        <v>0</v>
      </c>
      <c r="R165">
        <v>9.9199999999999997E-2</v>
      </c>
      <c r="S165">
        <v>0</v>
      </c>
      <c r="T165">
        <v>0.88100000000000001</v>
      </c>
      <c r="U165">
        <v>0</v>
      </c>
      <c r="V165">
        <v>0.88100400000000001</v>
      </c>
      <c r="W165" s="1">
        <f t="shared" si="17"/>
        <v>0.88100400000000001</v>
      </c>
      <c r="X165" t="s">
        <v>1379</v>
      </c>
      <c r="Y165" t="str">
        <f>VLOOKUP(X165,Sheet1!A:B,2,FALSE)</f>
        <v>Quercus macrocarpa Michx.</v>
      </c>
      <c r="Z165" t="s">
        <v>1384</v>
      </c>
      <c r="AB165" s="1">
        <f t="shared" si="18"/>
        <v>0.88100400000000001</v>
      </c>
      <c r="AC165" t="s">
        <v>1432</v>
      </c>
      <c r="AD165">
        <f>IF(W165&lt;0.99,LARGE((N165:R165,U165,V165),2),"0")</f>
        <v>9.9199999999999997E-2</v>
      </c>
      <c r="AE165" t="str">
        <f>IF(AND(AB165&lt;0.99,AD165&gt;0.1,AB165&gt;0.6),"admixed with ",IF(AND(AB165&lt;0.99,AD165&gt;0.01,AD165&lt;0.4),"trace admixed (Q&lt;0.10) with ",""))</f>
        <v xml:space="preserve">trace admixed (Q&lt;0.10) with </v>
      </c>
      <c r="AH165" t="str">
        <f t="shared" si="15"/>
        <v>Based on ADMIXTURE results of 78,187 SNPs, trace admixed (Q&lt;0.10) with Quercus lobata</v>
      </c>
    </row>
    <row r="166" spans="1:34" x14ac:dyDescent="0.4">
      <c r="A166">
        <v>694</v>
      </c>
      <c r="B166" t="s">
        <v>1380</v>
      </c>
      <c r="C166" t="s">
        <v>21</v>
      </c>
      <c r="D166" t="s">
        <v>21</v>
      </c>
      <c r="E166" t="s">
        <v>25</v>
      </c>
      <c r="F166" t="s">
        <v>25</v>
      </c>
      <c r="G166" t="s">
        <v>21</v>
      </c>
      <c r="H166" t="s">
        <v>21</v>
      </c>
      <c r="I166" t="s">
        <v>21</v>
      </c>
      <c r="J166">
        <v>0</v>
      </c>
      <c r="K166">
        <v>2</v>
      </c>
      <c r="L166" t="s">
        <v>26</v>
      </c>
      <c r="M166" t="str">
        <f t="shared" si="16"/>
        <v>&gt;0.74</v>
      </c>
      <c r="N166">
        <v>0</v>
      </c>
      <c r="O166">
        <v>0</v>
      </c>
      <c r="P166">
        <v>0</v>
      </c>
      <c r="Q166">
        <v>0</v>
      </c>
      <c r="R166">
        <v>4.36E-2</v>
      </c>
      <c r="S166">
        <v>0</v>
      </c>
      <c r="T166">
        <v>0.95640000000000003</v>
      </c>
      <c r="U166">
        <v>0</v>
      </c>
      <c r="V166">
        <v>0.95636399999999999</v>
      </c>
      <c r="W166" s="1">
        <f t="shared" si="17"/>
        <v>0.95636399999999999</v>
      </c>
      <c r="X166" t="s">
        <v>1381</v>
      </c>
      <c r="Y166" t="str">
        <f>VLOOKUP(X166,Sheet1!A:B,2,FALSE)</f>
        <v>Quercus macrocarpa Michx.</v>
      </c>
      <c r="Z166" t="s">
        <v>1384</v>
      </c>
      <c r="AB166" s="1">
        <f t="shared" si="18"/>
        <v>0.95636399999999999</v>
      </c>
      <c r="AC166" t="s">
        <v>1432</v>
      </c>
      <c r="AD166">
        <f>IF(W166&lt;0.99,LARGE((N166:R166,U166,V166),2),"0")</f>
        <v>4.36E-2</v>
      </c>
      <c r="AE166" t="str">
        <f>IF(AND(AB166&lt;0.99,AD166&gt;0.1,AB166&gt;0.6),"admixed with ",IF(AND(AB166&lt;0.99,AD166&gt;0.01,AD166&lt;0.4),"trace admixed (Q&lt;0.10) with ",""))</f>
        <v xml:space="preserve">trace admixed (Q&lt;0.10) with </v>
      </c>
      <c r="AH166" t="str">
        <f t="shared" si="15"/>
        <v>Based on ADMIXTURE results of 78,187 SNPs, trace admixed (Q&lt;0.10) with Quercus lobata</v>
      </c>
    </row>
    <row r="167" spans="1:34" x14ac:dyDescent="0.4">
      <c r="A167">
        <v>684</v>
      </c>
      <c r="B167" t="s">
        <v>1360</v>
      </c>
      <c r="C167" t="s">
        <v>21</v>
      </c>
      <c r="D167" t="s">
        <v>21</v>
      </c>
      <c r="E167" t="s">
        <v>21</v>
      </c>
      <c r="F167" t="s">
        <v>22</v>
      </c>
      <c r="G167" t="s">
        <v>21</v>
      </c>
      <c r="H167" t="s">
        <v>21</v>
      </c>
      <c r="I167" t="s">
        <v>21</v>
      </c>
      <c r="J167">
        <v>1</v>
      </c>
      <c r="K167">
        <v>0</v>
      </c>
      <c r="L167" t="s">
        <v>23</v>
      </c>
      <c r="M167" t="str">
        <f t="shared" si="16"/>
        <v>&gt;0.74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0.99990000000000001</v>
      </c>
      <c r="U167">
        <v>0</v>
      </c>
      <c r="V167">
        <v>0.99994000000000005</v>
      </c>
      <c r="W167" s="1">
        <f t="shared" si="17"/>
        <v>0.99994000000000005</v>
      </c>
      <c r="X167" t="s">
        <v>1361</v>
      </c>
      <c r="Y167" t="str">
        <f>VLOOKUP(X167,Sheet1!A:B,2,FALSE)</f>
        <v>Quercus macrocarpa Michx.</v>
      </c>
      <c r="Z167" t="s">
        <v>1384</v>
      </c>
      <c r="AB167" s="1">
        <f t="shared" si="18"/>
        <v>0.99994000000000005</v>
      </c>
      <c r="AD167" t="str">
        <f>IF(W167&lt;0.99,LARGE((N167:R167,U167,V167),2),"0")</f>
        <v>0</v>
      </c>
      <c r="AE167" t="str">
        <f t="shared" ref="AE167:AE198" si="21">IF(AND(AB167&lt;0.99,AD167&gt;0.1),"admixed with",IF(AND(AB167&lt;0.99,AD167&gt;0.01),"trace admixed with ",""))</f>
        <v/>
      </c>
      <c r="AH167" t="str">
        <f t="shared" si="15"/>
        <v xml:space="preserve">Based on ADMIXTURE results of 78,187 SNPs, </v>
      </c>
    </row>
    <row r="168" spans="1:34" x14ac:dyDescent="0.4">
      <c r="A168">
        <v>336</v>
      </c>
      <c r="B168" t="s">
        <v>663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22</v>
      </c>
      <c r="I168" t="s">
        <v>21</v>
      </c>
      <c r="J168">
        <v>1</v>
      </c>
      <c r="K168">
        <v>0</v>
      </c>
      <c r="L168" t="s">
        <v>23</v>
      </c>
      <c r="M168" t="str">
        <f t="shared" si="16"/>
        <v>&gt;0.74</v>
      </c>
      <c r="N168">
        <v>0</v>
      </c>
      <c r="O168">
        <v>0.99990000000000001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1">
        <v>2.0000000000000002E-5</v>
      </c>
      <c r="W168" s="1">
        <f t="shared" si="17"/>
        <v>0.99990000000000001</v>
      </c>
      <c r="X168" t="s">
        <v>664</v>
      </c>
      <c r="Y168" t="str">
        <f>VLOOKUP(X168,Sheet1!A:B,2,FALSE)</f>
        <v>Quercus prinoides Willd.</v>
      </c>
      <c r="Z168" t="s">
        <v>1390</v>
      </c>
      <c r="AB168" s="1">
        <f t="shared" si="18"/>
        <v>0.99990000000000001</v>
      </c>
      <c r="AD168" t="str">
        <f>IF(W168&lt;0.99,LARGE((N168:R168,U168,V168),2),"0")</f>
        <v>0</v>
      </c>
      <c r="AE168" t="str">
        <f t="shared" si="21"/>
        <v/>
      </c>
      <c r="AH168" t="str">
        <f t="shared" si="15"/>
        <v xml:space="preserve">Based on ADMIXTURE results of 78,187 SNPs, </v>
      </c>
    </row>
    <row r="169" spans="1:34" x14ac:dyDescent="0.4">
      <c r="A169">
        <v>337</v>
      </c>
      <c r="B169" t="s">
        <v>665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22</v>
      </c>
      <c r="I169" t="s">
        <v>21</v>
      </c>
      <c r="J169">
        <v>1</v>
      </c>
      <c r="K169">
        <v>0</v>
      </c>
      <c r="L169" t="s">
        <v>23</v>
      </c>
      <c r="M169" t="str">
        <f t="shared" si="16"/>
        <v>&gt;0.74</v>
      </c>
      <c r="N169">
        <v>0</v>
      </c>
      <c r="O169">
        <v>0.99990000000000001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1">
        <v>2.0000000000000002E-5</v>
      </c>
      <c r="W169" s="1">
        <f t="shared" si="17"/>
        <v>0.99990000000000001</v>
      </c>
      <c r="X169" t="s">
        <v>666</v>
      </c>
      <c r="Y169" t="str">
        <f>VLOOKUP(X169,Sheet1!A:B,2,FALSE)</f>
        <v>Quercus prinoides Willd.</v>
      </c>
      <c r="Z169" t="s">
        <v>1390</v>
      </c>
      <c r="AB169" s="1">
        <f t="shared" si="18"/>
        <v>0.99990000000000001</v>
      </c>
      <c r="AD169" t="str">
        <f>IF(W169&lt;0.99,LARGE((N169:R169,U169,V169),2),"0")</f>
        <v>0</v>
      </c>
      <c r="AE169" t="str">
        <f t="shared" si="21"/>
        <v/>
      </c>
      <c r="AH169" t="str">
        <f t="shared" si="15"/>
        <v xml:space="preserve">Based on ADMIXTURE results of 78,187 SNPs, </v>
      </c>
    </row>
    <row r="170" spans="1:34" x14ac:dyDescent="0.4">
      <c r="A170">
        <v>338</v>
      </c>
      <c r="B170" t="s">
        <v>667</v>
      </c>
      <c r="C170" t="s">
        <v>21</v>
      </c>
      <c r="D170" t="s">
        <v>21</v>
      </c>
      <c r="E170" t="s">
        <v>21</v>
      </c>
      <c r="F170" t="s">
        <v>22</v>
      </c>
      <c r="G170" t="s">
        <v>21</v>
      </c>
      <c r="H170" t="s">
        <v>21</v>
      </c>
      <c r="I170" t="s">
        <v>21</v>
      </c>
      <c r="J170">
        <v>1</v>
      </c>
      <c r="K170">
        <v>0</v>
      </c>
      <c r="L170" t="s">
        <v>23</v>
      </c>
      <c r="M170" t="str">
        <f t="shared" si="16"/>
        <v>&gt;0.74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0.76619999999999999</v>
      </c>
      <c r="T170">
        <v>0.23380000000000001</v>
      </c>
      <c r="U170">
        <v>0</v>
      </c>
      <c r="V170">
        <v>0.99994000000000005</v>
      </c>
      <c r="W170" s="1">
        <f t="shared" si="17"/>
        <v>0.99994000000000005</v>
      </c>
      <c r="X170" t="s">
        <v>668</v>
      </c>
      <c r="Y170" t="str">
        <f>VLOOKUP(X170,Sheet1!A:B,2,FALSE)</f>
        <v>Quercus macrocarpa Michx.</v>
      </c>
      <c r="Z170" t="s">
        <v>1384</v>
      </c>
      <c r="AB170" s="1">
        <f t="shared" si="18"/>
        <v>0.99994000000000005</v>
      </c>
      <c r="AD170" t="str">
        <f>IF(W170&lt;0.99,LARGE((N170:R170,U170,V170),2),"0")</f>
        <v>0</v>
      </c>
      <c r="AE170" t="str">
        <f t="shared" si="21"/>
        <v/>
      </c>
      <c r="AH170" t="str">
        <f t="shared" si="15"/>
        <v xml:space="preserve">Based on ADMIXTURE results of 78,187 SNPs, </v>
      </c>
    </row>
    <row r="171" spans="1:34" x14ac:dyDescent="0.4">
      <c r="A171">
        <v>339</v>
      </c>
      <c r="B171" t="s">
        <v>669</v>
      </c>
      <c r="C171" t="s">
        <v>21</v>
      </c>
      <c r="D171" t="s">
        <v>21</v>
      </c>
      <c r="E171" t="s">
        <v>21</v>
      </c>
      <c r="F171" t="s">
        <v>22</v>
      </c>
      <c r="G171" t="s">
        <v>21</v>
      </c>
      <c r="H171" t="s">
        <v>21</v>
      </c>
      <c r="I171" t="s">
        <v>21</v>
      </c>
      <c r="J171">
        <v>1</v>
      </c>
      <c r="K171">
        <v>0</v>
      </c>
      <c r="L171" t="s">
        <v>23</v>
      </c>
      <c r="M171" t="str">
        <f t="shared" si="16"/>
        <v>&gt;0.74</v>
      </c>
      <c r="N171">
        <v>0</v>
      </c>
      <c r="O171">
        <v>2E-3</v>
      </c>
      <c r="P171">
        <v>0</v>
      </c>
      <c r="Q171">
        <v>0</v>
      </c>
      <c r="R171">
        <v>0</v>
      </c>
      <c r="S171">
        <v>0.5927</v>
      </c>
      <c r="T171">
        <v>0.4052</v>
      </c>
      <c r="U171">
        <v>0</v>
      </c>
      <c r="V171">
        <v>0.99792899999999995</v>
      </c>
      <c r="W171" s="1">
        <f t="shared" si="17"/>
        <v>0.99792899999999995</v>
      </c>
      <c r="X171" t="s">
        <v>670</v>
      </c>
      <c r="Y171" t="str">
        <f>VLOOKUP(X171,Sheet1!A:B,2,FALSE)</f>
        <v>Quercus macrocarpa Michx.</v>
      </c>
      <c r="Z171" t="s">
        <v>1384</v>
      </c>
      <c r="AB171" s="1">
        <f t="shared" si="18"/>
        <v>0.99792899999999995</v>
      </c>
      <c r="AD171" t="str">
        <f>IF(W171&lt;0.99,LARGE((N171:R171,U171,V171),2),"0")</f>
        <v>0</v>
      </c>
      <c r="AE171" t="str">
        <f t="shared" si="21"/>
        <v/>
      </c>
      <c r="AH171" t="str">
        <f t="shared" si="15"/>
        <v xml:space="preserve">Based on ADMIXTURE results of 78,187 SNPs, </v>
      </c>
    </row>
    <row r="172" spans="1:34" x14ac:dyDescent="0.4">
      <c r="A172">
        <v>340</v>
      </c>
      <c r="B172" t="s">
        <v>671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22</v>
      </c>
      <c r="I172" t="s">
        <v>21</v>
      </c>
      <c r="J172">
        <v>1</v>
      </c>
      <c r="K172">
        <v>0</v>
      </c>
      <c r="L172" t="s">
        <v>23</v>
      </c>
      <c r="M172" t="str">
        <f t="shared" si="16"/>
        <v>&gt;0.74</v>
      </c>
      <c r="N172">
        <v>0</v>
      </c>
      <c r="O172">
        <v>0.99990000000000001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s="1">
        <v>2.0000000000000002E-5</v>
      </c>
      <c r="W172" s="1">
        <f t="shared" si="17"/>
        <v>0.99990000000000001</v>
      </c>
      <c r="X172" t="s">
        <v>672</v>
      </c>
      <c r="Y172" t="str">
        <f>VLOOKUP(X172,Sheet1!A:B,2,FALSE)</f>
        <v>Quercus muehlenbergii Engelm.</v>
      </c>
      <c r="Z172" t="s">
        <v>1387</v>
      </c>
      <c r="AB172" s="1">
        <f t="shared" si="18"/>
        <v>0.99990000000000001</v>
      </c>
      <c r="AD172" t="str">
        <f>IF(W172&lt;0.99,LARGE((N172:R172,U172,V172),2),"0")</f>
        <v>0</v>
      </c>
      <c r="AE172" t="str">
        <f t="shared" si="21"/>
        <v/>
      </c>
      <c r="AH172" t="str">
        <f t="shared" si="15"/>
        <v xml:space="preserve">Based on ADMIXTURE results of 78,187 SNPs, </v>
      </c>
    </row>
    <row r="173" spans="1:34" x14ac:dyDescent="0.4">
      <c r="A173">
        <v>341</v>
      </c>
      <c r="B173" t="s">
        <v>673</v>
      </c>
      <c r="C173" t="s">
        <v>21</v>
      </c>
      <c r="D173" t="s">
        <v>21</v>
      </c>
      <c r="E173" t="s">
        <v>21</v>
      </c>
      <c r="F173" t="s">
        <v>22</v>
      </c>
      <c r="G173" t="s">
        <v>21</v>
      </c>
      <c r="H173" t="s">
        <v>21</v>
      </c>
      <c r="I173" t="s">
        <v>21</v>
      </c>
      <c r="J173">
        <v>1</v>
      </c>
      <c r="K173">
        <v>0</v>
      </c>
      <c r="L173" t="s">
        <v>23</v>
      </c>
      <c r="M173" t="str">
        <f t="shared" si="16"/>
        <v>&gt;0.74</v>
      </c>
      <c r="N173">
        <v>0</v>
      </c>
      <c r="O173">
        <v>9.1999999999999998E-3</v>
      </c>
      <c r="P173">
        <v>0</v>
      </c>
      <c r="Q173">
        <v>0</v>
      </c>
      <c r="R173">
        <v>0</v>
      </c>
      <c r="S173">
        <v>0.58109999999999995</v>
      </c>
      <c r="T173">
        <v>0.40970000000000001</v>
      </c>
      <c r="U173">
        <v>0</v>
      </c>
      <c r="V173">
        <v>0.99078900000000003</v>
      </c>
      <c r="W173" s="1">
        <f t="shared" si="17"/>
        <v>0.99078900000000003</v>
      </c>
      <c r="X173" t="s">
        <v>674</v>
      </c>
      <c r="Y173" t="str">
        <f>VLOOKUP(X173,Sheet1!A:B,2,FALSE)</f>
        <v>Quercus macrocarpa Michx.</v>
      </c>
      <c r="Z173" t="s">
        <v>1384</v>
      </c>
      <c r="AB173" s="1">
        <f t="shared" si="18"/>
        <v>0.99078900000000003</v>
      </c>
      <c r="AD173" t="str">
        <f>IF(W173&lt;0.99,LARGE((N173:R173,U173,V173),2),"0")</f>
        <v>0</v>
      </c>
      <c r="AE173" t="str">
        <f t="shared" si="21"/>
        <v/>
      </c>
      <c r="AH173" t="str">
        <f t="shared" si="15"/>
        <v xml:space="preserve">Based on ADMIXTURE results of 78,187 SNPs, </v>
      </c>
    </row>
    <row r="174" spans="1:34" x14ac:dyDescent="0.4">
      <c r="A174">
        <v>342</v>
      </c>
      <c r="B174" t="s">
        <v>675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22</v>
      </c>
      <c r="I174" t="s">
        <v>21</v>
      </c>
      <c r="J174">
        <v>1</v>
      </c>
      <c r="K174">
        <v>0</v>
      </c>
      <c r="L174" t="s">
        <v>23</v>
      </c>
      <c r="M174" t="str">
        <f t="shared" si="16"/>
        <v>&gt;0.74</v>
      </c>
      <c r="N174">
        <v>0</v>
      </c>
      <c r="O174">
        <v>0.99990000000000001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s="1">
        <v>2.0000000000000002E-5</v>
      </c>
      <c r="W174" s="1">
        <f t="shared" si="17"/>
        <v>0.99990000000000001</v>
      </c>
      <c r="X174" t="s">
        <v>676</v>
      </c>
      <c r="Y174" t="str">
        <f>VLOOKUP(X174,Sheet1!A:B,2,FALSE)</f>
        <v>Quercus muehlenbergii Engelm.</v>
      </c>
      <c r="Z174" t="s">
        <v>1387</v>
      </c>
      <c r="AB174" s="1">
        <f t="shared" si="18"/>
        <v>0.99990000000000001</v>
      </c>
      <c r="AD174" t="str">
        <f>IF(W174&lt;0.99,LARGE((N174:R174,U174,V174),2),"0")</f>
        <v>0</v>
      </c>
      <c r="AE174" t="str">
        <f t="shared" si="21"/>
        <v/>
      </c>
      <c r="AH174" t="str">
        <f t="shared" si="15"/>
        <v xml:space="preserve">Based on ADMIXTURE results of 78,187 SNPs, </v>
      </c>
    </row>
    <row r="175" spans="1:34" x14ac:dyDescent="0.4">
      <c r="A175">
        <v>343</v>
      </c>
      <c r="B175" t="s">
        <v>677</v>
      </c>
      <c r="C175" t="s">
        <v>21</v>
      </c>
      <c r="D175" t="s">
        <v>21</v>
      </c>
      <c r="E175" t="s">
        <v>21</v>
      </c>
      <c r="F175" t="s">
        <v>22</v>
      </c>
      <c r="G175" t="s">
        <v>21</v>
      </c>
      <c r="H175" t="s">
        <v>21</v>
      </c>
      <c r="I175" t="s">
        <v>21</v>
      </c>
      <c r="J175">
        <v>1</v>
      </c>
      <c r="K175">
        <v>0</v>
      </c>
      <c r="L175" t="s">
        <v>23</v>
      </c>
      <c r="M175" t="str">
        <f t="shared" si="16"/>
        <v>&gt;0.74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0.67859999999999998</v>
      </c>
      <c r="T175">
        <v>0.32129999999999997</v>
      </c>
      <c r="U175">
        <v>0</v>
      </c>
      <c r="V175">
        <v>0.99994000000000005</v>
      </c>
      <c r="W175" s="1">
        <f t="shared" si="17"/>
        <v>0.99994000000000005</v>
      </c>
      <c r="X175" t="s">
        <v>678</v>
      </c>
      <c r="Y175" t="str">
        <f>VLOOKUP(X175,Sheet1!A:B,2,FALSE)</f>
        <v>Quercus macrocarpa Michx.</v>
      </c>
      <c r="Z175" t="s">
        <v>1384</v>
      </c>
      <c r="AB175" s="1">
        <f t="shared" si="18"/>
        <v>0.99994000000000005</v>
      </c>
      <c r="AD175" t="str">
        <f>IF(W175&lt;0.99,LARGE((N175:R175,U175,V175),2),"0")</f>
        <v>0</v>
      </c>
      <c r="AE175" t="str">
        <f t="shared" si="21"/>
        <v/>
      </c>
      <c r="AH175" t="str">
        <f t="shared" si="15"/>
        <v xml:space="preserve">Based on ADMIXTURE results of 78,187 SNPs, </v>
      </c>
    </row>
    <row r="176" spans="1:34" x14ac:dyDescent="0.4">
      <c r="A176">
        <v>344</v>
      </c>
      <c r="B176" t="s">
        <v>679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22</v>
      </c>
      <c r="I176" t="s">
        <v>21</v>
      </c>
      <c r="J176">
        <v>1</v>
      </c>
      <c r="K176">
        <v>0</v>
      </c>
      <c r="L176" t="s">
        <v>23</v>
      </c>
      <c r="M176" t="str">
        <f t="shared" si="16"/>
        <v>&gt;0.74</v>
      </c>
      <c r="N176">
        <v>0</v>
      </c>
      <c r="O176">
        <v>0.99990000000000001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1">
        <v>2.0000000000000002E-5</v>
      </c>
      <c r="W176" s="1">
        <f t="shared" si="17"/>
        <v>0.99990000000000001</v>
      </c>
      <c r="X176" t="s">
        <v>680</v>
      </c>
      <c r="Y176" t="str">
        <f>VLOOKUP(X176,Sheet1!A:B,2,FALSE)</f>
        <v>Quercus muehlenbergii Engelm.</v>
      </c>
      <c r="Z176" t="s">
        <v>1387</v>
      </c>
      <c r="AB176" s="1">
        <f t="shared" si="18"/>
        <v>0.99990000000000001</v>
      </c>
      <c r="AD176" t="str">
        <f>IF(W176&lt;0.99,LARGE((N176:R176,U176,V176),2),"0")</f>
        <v>0</v>
      </c>
      <c r="AE176" t="str">
        <f t="shared" si="21"/>
        <v/>
      </c>
      <c r="AH176" t="str">
        <f t="shared" si="15"/>
        <v xml:space="preserve">Based on ADMIXTURE results of 78,187 SNPs, </v>
      </c>
    </row>
    <row r="177" spans="1:34" x14ac:dyDescent="0.4">
      <c r="A177">
        <v>345</v>
      </c>
      <c r="B177" t="s">
        <v>681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22</v>
      </c>
      <c r="I177" t="s">
        <v>21</v>
      </c>
      <c r="J177">
        <v>1</v>
      </c>
      <c r="K177">
        <v>0</v>
      </c>
      <c r="L177" t="s">
        <v>23</v>
      </c>
      <c r="M177" t="str">
        <f t="shared" si="16"/>
        <v>&gt;0.74</v>
      </c>
      <c r="N177">
        <v>0</v>
      </c>
      <c r="O177">
        <v>0.99990000000000001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1">
        <v>2.0000000000000002E-5</v>
      </c>
      <c r="W177" s="1">
        <f t="shared" si="17"/>
        <v>0.99990000000000001</v>
      </c>
      <c r="X177" t="s">
        <v>682</v>
      </c>
      <c r="Y177" t="str">
        <f>VLOOKUP(X177,Sheet1!A:B,2,FALSE)</f>
        <v>Quercus muehlenbergii Engelm.</v>
      </c>
      <c r="Z177" t="s">
        <v>1387</v>
      </c>
      <c r="AB177" s="1">
        <f t="shared" si="18"/>
        <v>0.99990000000000001</v>
      </c>
      <c r="AD177" t="str">
        <f>IF(W177&lt;0.99,LARGE((N177:R177,U177,V177),2),"0")</f>
        <v>0</v>
      </c>
      <c r="AE177" t="str">
        <f t="shared" si="21"/>
        <v/>
      </c>
      <c r="AH177" t="str">
        <f t="shared" si="15"/>
        <v xml:space="preserve">Based on ADMIXTURE results of 78,187 SNPs, </v>
      </c>
    </row>
    <row r="178" spans="1:34" x14ac:dyDescent="0.4">
      <c r="A178">
        <v>346</v>
      </c>
      <c r="B178" t="s">
        <v>683</v>
      </c>
      <c r="C178" t="s">
        <v>21</v>
      </c>
      <c r="D178" t="s">
        <v>21</v>
      </c>
      <c r="E178" t="s">
        <v>21</v>
      </c>
      <c r="F178" t="s">
        <v>22</v>
      </c>
      <c r="G178" t="s">
        <v>21</v>
      </c>
      <c r="H178" t="s">
        <v>21</v>
      </c>
      <c r="I178" t="s">
        <v>21</v>
      </c>
      <c r="J178">
        <v>1</v>
      </c>
      <c r="K178">
        <v>0</v>
      </c>
      <c r="L178" t="s">
        <v>23</v>
      </c>
      <c r="M178" t="str">
        <f t="shared" si="16"/>
        <v>&gt;0.74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0.52690000000000003</v>
      </c>
      <c r="T178">
        <v>0.47299999999999998</v>
      </c>
      <c r="U178">
        <v>0</v>
      </c>
      <c r="V178">
        <v>0.99994000000000005</v>
      </c>
      <c r="W178" s="1">
        <f t="shared" si="17"/>
        <v>0.99994000000000005</v>
      </c>
      <c r="X178" t="s">
        <v>684</v>
      </c>
      <c r="Y178" t="str">
        <f>VLOOKUP(X178,Sheet1!A:B,2,FALSE)</f>
        <v>Quercus macrocarpa Michx.</v>
      </c>
      <c r="Z178" t="s">
        <v>1384</v>
      </c>
      <c r="AB178" s="1">
        <f t="shared" si="18"/>
        <v>0.99994000000000005</v>
      </c>
      <c r="AD178" t="str">
        <f>IF(W178&lt;0.99,LARGE((N178:R178,U178,V178),2),"0")</f>
        <v>0</v>
      </c>
      <c r="AE178" t="str">
        <f t="shared" si="21"/>
        <v/>
      </c>
      <c r="AH178" t="str">
        <f t="shared" si="15"/>
        <v xml:space="preserve">Based on ADMIXTURE results of 78,187 SNPs, </v>
      </c>
    </row>
    <row r="179" spans="1:34" x14ac:dyDescent="0.4">
      <c r="A179">
        <v>347</v>
      </c>
      <c r="B179" t="s">
        <v>685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22</v>
      </c>
      <c r="I179" t="s">
        <v>21</v>
      </c>
      <c r="J179">
        <v>1</v>
      </c>
      <c r="K179">
        <v>0</v>
      </c>
      <c r="L179" t="s">
        <v>23</v>
      </c>
      <c r="M179" t="str">
        <f t="shared" si="16"/>
        <v>&gt;0.74</v>
      </c>
      <c r="N179">
        <v>0</v>
      </c>
      <c r="O179">
        <v>0.99990000000000001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1">
        <v>2.0000000000000002E-5</v>
      </c>
      <c r="W179" s="1">
        <f t="shared" si="17"/>
        <v>0.99990000000000001</v>
      </c>
      <c r="X179" t="s">
        <v>686</v>
      </c>
      <c r="Y179" t="str">
        <f>VLOOKUP(X179,Sheet1!A:B,2,FALSE)</f>
        <v>Quercus muehlenbergii Engelm.</v>
      </c>
      <c r="Z179" t="s">
        <v>1387</v>
      </c>
      <c r="AB179" s="1">
        <f t="shared" si="18"/>
        <v>0.99990000000000001</v>
      </c>
      <c r="AD179" t="str">
        <f>IF(W179&lt;0.99,LARGE((N179:R179,U179,V179),2),"0")</f>
        <v>0</v>
      </c>
      <c r="AE179" t="str">
        <f t="shared" si="21"/>
        <v/>
      </c>
      <c r="AH179" t="str">
        <f t="shared" si="15"/>
        <v xml:space="preserve">Based on ADMIXTURE results of 78,187 SNPs, </v>
      </c>
    </row>
    <row r="180" spans="1:34" x14ac:dyDescent="0.4">
      <c r="A180">
        <v>316</v>
      </c>
      <c r="B180" t="s">
        <v>623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22</v>
      </c>
      <c r="I180" t="s">
        <v>21</v>
      </c>
      <c r="J180">
        <v>1</v>
      </c>
      <c r="K180">
        <v>0</v>
      </c>
      <c r="L180" t="s">
        <v>23</v>
      </c>
      <c r="M180" t="str">
        <f t="shared" si="16"/>
        <v>&gt;0.74</v>
      </c>
      <c r="N180">
        <v>0</v>
      </c>
      <c r="O180">
        <v>0.99990000000000001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1">
        <v>2.0000000000000002E-5</v>
      </c>
      <c r="W180" s="1">
        <f t="shared" si="17"/>
        <v>0.99990000000000001</v>
      </c>
      <c r="X180" t="s">
        <v>624</v>
      </c>
      <c r="Y180" t="str">
        <f>VLOOKUP(X180,Sheet1!A:B,2,FALSE)</f>
        <v>Quercus muehlenbergii Engelm.</v>
      </c>
      <c r="Z180" t="s">
        <v>1387</v>
      </c>
      <c r="AB180" s="1">
        <f t="shared" si="18"/>
        <v>0.99990000000000001</v>
      </c>
      <c r="AD180" t="str">
        <f>IF(W180&lt;0.99,LARGE((N180:R180,U180,V180),2),"0")</f>
        <v>0</v>
      </c>
      <c r="AE180" t="str">
        <f t="shared" si="21"/>
        <v/>
      </c>
      <c r="AH180" t="str">
        <f t="shared" si="15"/>
        <v xml:space="preserve">Based on ADMIXTURE results of 78,187 SNPs, </v>
      </c>
    </row>
    <row r="181" spans="1:34" x14ac:dyDescent="0.4">
      <c r="A181">
        <v>317</v>
      </c>
      <c r="B181" t="s">
        <v>625</v>
      </c>
      <c r="C181" t="s">
        <v>21</v>
      </c>
      <c r="D181" t="s">
        <v>21</v>
      </c>
      <c r="E181" t="s">
        <v>21</v>
      </c>
      <c r="F181" t="s">
        <v>22</v>
      </c>
      <c r="G181" t="s">
        <v>21</v>
      </c>
      <c r="H181" t="s">
        <v>21</v>
      </c>
      <c r="I181" t="s">
        <v>21</v>
      </c>
      <c r="J181">
        <v>1</v>
      </c>
      <c r="K181">
        <v>0</v>
      </c>
      <c r="L181" t="s">
        <v>23</v>
      </c>
      <c r="M181" t="str">
        <f t="shared" si="16"/>
        <v>&gt;0.74</v>
      </c>
      <c r="N181">
        <v>4.1000000000000003E-3</v>
      </c>
      <c r="O181">
        <v>0</v>
      </c>
      <c r="P181">
        <v>0</v>
      </c>
      <c r="Q181">
        <v>0</v>
      </c>
      <c r="R181">
        <v>0</v>
      </c>
      <c r="S181">
        <v>0.61299999999999999</v>
      </c>
      <c r="T181">
        <v>0.38290000000000002</v>
      </c>
      <c r="U181">
        <v>0</v>
      </c>
      <c r="V181">
        <v>0.995869</v>
      </c>
      <c r="W181" s="1">
        <f t="shared" si="17"/>
        <v>0.995869</v>
      </c>
      <c r="X181" t="s">
        <v>626</v>
      </c>
      <c r="Y181" t="str">
        <f>VLOOKUP(X181,Sheet1!A:B,2,FALSE)</f>
        <v>Quercus macrocarpa Michx.</v>
      </c>
      <c r="Z181" t="s">
        <v>1384</v>
      </c>
      <c r="AB181" s="1">
        <f t="shared" si="18"/>
        <v>0.995869</v>
      </c>
      <c r="AD181" t="str">
        <f>IF(W181&lt;0.99,LARGE((N181:R181,U181,V181),2),"0")</f>
        <v>0</v>
      </c>
      <c r="AE181" t="str">
        <f t="shared" si="21"/>
        <v/>
      </c>
      <c r="AH181" t="str">
        <f t="shared" si="15"/>
        <v xml:space="preserve">Based on ADMIXTURE results of 78,187 SNPs, </v>
      </c>
    </row>
    <row r="182" spans="1:34" x14ac:dyDescent="0.4">
      <c r="A182">
        <v>318</v>
      </c>
      <c r="B182" t="s">
        <v>627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22</v>
      </c>
      <c r="I182" t="s">
        <v>21</v>
      </c>
      <c r="J182">
        <v>1</v>
      </c>
      <c r="K182">
        <v>0</v>
      </c>
      <c r="L182" t="s">
        <v>23</v>
      </c>
      <c r="M182" t="str">
        <f t="shared" si="16"/>
        <v>&gt;0.74</v>
      </c>
      <c r="N182">
        <v>0</v>
      </c>
      <c r="O182">
        <v>0.99990000000000001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1">
        <v>2.0000000000000002E-5</v>
      </c>
      <c r="W182" s="1">
        <f t="shared" si="17"/>
        <v>0.99990000000000001</v>
      </c>
      <c r="X182" t="s">
        <v>628</v>
      </c>
      <c r="Y182" t="str">
        <f>VLOOKUP(X182,Sheet1!A:B,2,FALSE)</f>
        <v>Quercus muehlenbergii Engelm.</v>
      </c>
      <c r="Z182" t="s">
        <v>1387</v>
      </c>
      <c r="AB182" s="1">
        <f t="shared" si="18"/>
        <v>0.99990000000000001</v>
      </c>
      <c r="AD182" t="str">
        <f>IF(W182&lt;0.99,LARGE((N182:R182,U182,V182),2),"0")</f>
        <v>0</v>
      </c>
      <c r="AE182" t="str">
        <f t="shared" si="21"/>
        <v/>
      </c>
      <c r="AH182" t="str">
        <f t="shared" si="15"/>
        <v xml:space="preserve">Based on ADMIXTURE results of 78,187 SNPs, </v>
      </c>
    </row>
    <row r="183" spans="1:34" x14ac:dyDescent="0.4">
      <c r="A183">
        <v>319</v>
      </c>
      <c r="B183" t="s">
        <v>629</v>
      </c>
      <c r="C183" t="s">
        <v>21</v>
      </c>
      <c r="D183" t="s">
        <v>21</v>
      </c>
      <c r="E183" t="s">
        <v>21</v>
      </c>
      <c r="F183" t="s">
        <v>22</v>
      </c>
      <c r="G183" t="s">
        <v>21</v>
      </c>
      <c r="H183" t="s">
        <v>21</v>
      </c>
      <c r="I183" t="s">
        <v>21</v>
      </c>
      <c r="J183">
        <v>1</v>
      </c>
      <c r="K183">
        <v>0</v>
      </c>
      <c r="L183" t="s">
        <v>23</v>
      </c>
      <c r="M183" t="str">
        <f t="shared" si="16"/>
        <v>&gt;0.74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0.65039999999999998</v>
      </c>
      <c r="T183">
        <v>0.34960000000000002</v>
      </c>
      <c r="U183">
        <v>0</v>
      </c>
      <c r="V183">
        <v>0.99994000000000005</v>
      </c>
      <c r="W183" s="1">
        <f t="shared" si="17"/>
        <v>0.99994000000000005</v>
      </c>
      <c r="X183" t="s">
        <v>630</v>
      </c>
      <c r="Y183" t="str">
        <f>VLOOKUP(X183,Sheet1!A:B,2,FALSE)</f>
        <v>Quercus macrocarpa Michx.</v>
      </c>
      <c r="Z183" t="s">
        <v>1384</v>
      </c>
      <c r="AB183" s="1">
        <f t="shared" si="18"/>
        <v>0.99994000000000005</v>
      </c>
      <c r="AD183" t="str">
        <f>IF(W183&lt;0.99,LARGE((N183:R183,U183,V183),2),"0")</f>
        <v>0</v>
      </c>
      <c r="AE183" t="str">
        <f t="shared" si="21"/>
        <v/>
      </c>
      <c r="AH183" t="str">
        <f t="shared" si="15"/>
        <v xml:space="preserve">Based on ADMIXTURE results of 78,187 SNPs, </v>
      </c>
    </row>
    <row r="184" spans="1:34" x14ac:dyDescent="0.4">
      <c r="A184">
        <v>320</v>
      </c>
      <c r="B184" t="s">
        <v>631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22</v>
      </c>
      <c r="J184">
        <v>1</v>
      </c>
      <c r="K184">
        <v>0</v>
      </c>
      <c r="L184" t="s">
        <v>23</v>
      </c>
      <c r="M184" t="str">
        <f t="shared" si="16"/>
        <v>&gt;0.74</v>
      </c>
      <c r="N184">
        <v>0.99990000000000001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1">
        <v>2.0000000000000002E-5</v>
      </c>
      <c r="W184" s="1">
        <f t="shared" si="17"/>
        <v>0.99990000000000001</v>
      </c>
      <c r="X184" t="s">
        <v>632</v>
      </c>
      <c r="Y184" t="str">
        <f>VLOOKUP(X184,Sheet1!A:B,2,FALSE)</f>
        <v>Quercus stellata Wangenh.</v>
      </c>
      <c r="Z184" t="s">
        <v>1385</v>
      </c>
      <c r="AB184" s="1">
        <f t="shared" si="18"/>
        <v>0.99990000000000001</v>
      </c>
      <c r="AD184" t="str">
        <f>IF(W184&lt;0.99,LARGE((N184:R184,U184,V184),2),"0")</f>
        <v>0</v>
      </c>
      <c r="AE184" t="str">
        <f t="shared" si="21"/>
        <v/>
      </c>
      <c r="AH184" t="str">
        <f t="shared" si="15"/>
        <v xml:space="preserve">Based on ADMIXTURE results of 78,187 SNPs, </v>
      </c>
    </row>
    <row r="185" spans="1:34" x14ac:dyDescent="0.4">
      <c r="A185">
        <v>321</v>
      </c>
      <c r="B185" t="s">
        <v>633</v>
      </c>
      <c r="C185" t="s">
        <v>21</v>
      </c>
      <c r="D185" t="s">
        <v>21</v>
      </c>
      <c r="E185" t="s">
        <v>21</v>
      </c>
      <c r="F185" t="s">
        <v>22</v>
      </c>
      <c r="G185" t="s">
        <v>21</v>
      </c>
      <c r="H185" t="s">
        <v>21</v>
      </c>
      <c r="I185" t="s">
        <v>21</v>
      </c>
      <c r="J185">
        <v>1</v>
      </c>
      <c r="K185">
        <v>0</v>
      </c>
      <c r="L185" t="s">
        <v>23</v>
      </c>
      <c r="M185" t="str">
        <f t="shared" si="16"/>
        <v>&gt;0.74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0.64539999999999997</v>
      </c>
      <c r="T185">
        <v>0.35449999999999998</v>
      </c>
      <c r="U185">
        <v>0</v>
      </c>
      <c r="V185">
        <v>0.99993299999999996</v>
      </c>
      <c r="W185" s="1">
        <f t="shared" si="17"/>
        <v>0.99993299999999996</v>
      </c>
      <c r="X185" t="s">
        <v>634</v>
      </c>
      <c r="Y185" t="str">
        <f>VLOOKUP(X185,Sheet1!A:B,2,FALSE)</f>
        <v>Quercus macrocarpa Michx.</v>
      </c>
      <c r="Z185" t="s">
        <v>1384</v>
      </c>
      <c r="AB185" s="1">
        <f t="shared" si="18"/>
        <v>0.99993299999999996</v>
      </c>
      <c r="AD185" t="str">
        <f>IF(W185&lt;0.99,LARGE((N185:R185,U185,V185),2),"0")</f>
        <v>0</v>
      </c>
      <c r="AE185" t="str">
        <f t="shared" si="21"/>
        <v/>
      </c>
      <c r="AH185" t="str">
        <f t="shared" si="15"/>
        <v xml:space="preserve">Based on ADMIXTURE results of 78,187 SNPs, </v>
      </c>
    </row>
    <row r="186" spans="1:34" x14ac:dyDescent="0.4">
      <c r="A186">
        <v>322</v>
      </c>
      <c r="B186" t="s">
        <v>635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22</v>
      </c>
      <c r="I186" t="s">
        <v>21</v>
      </c>
      <c r="J186">
        <v>1</v>
      </c>
      <c r="K186">
        <v>0</v>
      </c>
      <c r="L186" t="s">
        <v>23</v>
      </c>
      <c r="M186" t="str">
        <f t="shared" si="16"/>
        <v>&gt;0.74</v>
      </c>
      <c r="N186">
        <v>0</v>
      </c>
      <c r="O186">
        <v>0.99990000000000001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s="1">
        <v>2.0000000000000002E-5</v>
      </c>
      <c r="W186" s="1">
        <f t="shared" si="17"/>
        <v>0.99990000000000001</v>
      </c>
      <c r="X186" t="s">
        <v>636</v>
      </c>
      <c r="Y186" t="str">
        <f>VLOOKUP(X186,Sheet1!A:B,2,FALSE)</f>
        <v>Quercus muehlenbergii Engelm.</v>
      </c>
      <c r="Z186" t="s">
        <v>1387</v>
      </c>
      <c r="AB186" s="1">
        <f t="shared" si="18"/>
        <v>0.99990000000000001</v>
      </c>
      <c r="AD186" t="str">
        <f>IF(W186&lt;0.99,LARGE((N186:R186,U186,V186),2),"0")</f>
        <v>0</v>
      </c>
      <c r="AE186" t="str">
        <f t="shared" si="21"/>
        <v/>
      </c>
      <c r="AH186" t="str">
        <f t="shared" si="15"/>
        <v xml:space="preserve">Based on ADMIXTURE results of 78,187 SNPs, </v>
      </c>
    </row>
    <row r="187" spans="1:34" x14ac:dyDescent="0.4">
      <c r="A187">
        <v>323</v>
      </c>
      <c r="B187" t="s">
        <v>637</v>
      </c>
      <c r="C187" t="s">
        <v>21</v>
      </c>
      <c r="D187" t="s">
        <v>21</v>
      </c>
      <c r="E187" t="s">
        <v>21</v>
      </c>
      <c r="F187" t="s">
        <v>22</v>
      </c>
      <c r="G187" t="s">
        <v>21</v>
      </c>
      <c r="H187" t="s">
        <v>21</v>
      </c>
      <c r="I187" t="s">
        <v>21</v>
      </c>
      <c r="J187">
        <v>1</v>
      </c>
      <c r="K187">
        <v>0</v>
      </c>
      <c r="L187" t="s">
        <v>23</v>
      </c>
      <c r="M187" t="str">
        <f t="shared" si="16"/>
        <v>&gt;0.74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0.68899999999999995</v>
      </c>
      <c r="T187">
        <v>0.311</v>
      </c>
      <c r="U187">
        <v>0</v>
      </c>
      <c r="V187">
        <v>0.99993900000000002</v>
      </c>
      <c r="W187" s="1">
        <f t="shared" si="17"/>
        <v>0.99993900000000002</v>
      </c>
      <c r="X187" t="s">
        <v>638</v>
      </c>
      <c r="Y187" t="str">
        <f>VLOOKUP(X187,Sheet1!A:B,2,FALSE)</f>
        <v>Quercus macrocarpa Michx.</v>
      </c>
      <c r="Z187" t="s">
        <v>1384</v>
      </c>
      <c r="AB187" s="1">
        <f t="shared" si="18"/>
        <v>0.99993900000000002</v>
      </c>
      <c r="AD187" t="str">
        <f>IF(W187&lt;0.99,LARGE((N187:R187,U187,V187),2),"0")</f>
        <v>0</v>
      </c>
      <c r="AE187" t="str">
        <f t="shared" si="21"/>
        <v/>
      </c>
      <c r="AH187" t="str">
        <f t="shared" ref="AH187:AH250" si="22">_xlfn.CONCAT("Based on ADMIXTURE results of 78,187 SNPs, ",AE187,AC187)</f>
        <v xml:space="preserve">Based on ADMIXTURE results of 78,187 SNPs, </v>
      </c>
    </row>
    <row r="188" spans="1:34" x14ac:dyDescent="0.4">
      <c r="A188">
        <v>324</v>
      </c>
      <c r="B188" t="s">
        <v>639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22</v>
      </c>
      <c r="I188" t="s">
        <v>21</v>
      </c>
      <c r="J188">
        <v>1</v>
      </c>
      <c r="K188">
        <v>0</v>
      </c>
      <c r="L188" t="s">
        <v>23</v>
      </c>
      <c r="M188" t="str">
        <f t="shared" si="16"/>
        <v>&gt;0.74</v>
      </c>
      <c r="N188">
        <v>0</v>
      </c>
      <c r="O188">
        <v>0.99990000000000001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1">
        <v>2.0000000000000002E-5</v>
      </c>
      <c r="W188" s="1">
        <f t="shared" si="17"/>
        <v>0.99990000000000001</v>
      </c>
      <c r="X188" t="s">
        <v>640</v>
      </c>
      <c r="Y188" t="str">
        <f>VLOOKUP(X188,Sheet1!A:B,2,FALSE)</f>
        <v>Quercus muehlenbergii Engelm.</v>
      </c>
      <c r="Z188" t="s">
        <v>1387</v>
      </c>
      <c r="AB188" s="1">
        <f t="shared" si="18"/>
        <v>0.99990000000000001</v>
      </c>
      <c r="AD188" t="str">
        <f>IF(W188&lt;0.99,LARGE((N188:R188,U188,V188),2),"0")</f>
        <v>0</v>
      </c>
      <c r="AE188" t="str">
        <f t="shared" si="21"/>
        <v/>
      </c>
      <c r="AH188" t="str">
        <f t="shared" si="22"/>
        <v xml:space="preserve">Based on ADMIXTURE results of 78,187 SNPs, </v>
      </c>
    </row>
    <row r="189" spans="1:34" x14ac:dyDescent="0.4">
      <c r="A189">
        <v>325</v>
      </c>
      <c r="B189" t="s">
        <v>641</v>
      </c>
      <c r="C189" t="s">
        <v>21</v>
      </c>
      <c r="D189" t="s">
        <v>21</v>
      </c>
      <c r="E189" t="s">
        <v>21</v>
      </c>
      <c r="F189" t="s">
        <v>22</v>
      </c>
      <c r="G189" t="s">
        <v>21</v>
      </c>
      <c r="H189" t="s">
        <v>21</v>
      </c>
      <c r="I189" t="s">
        <v>21</v>
      </c>
      <c r="J189">
        <v>1</v>
      </c>
      <c r="K189">
        <v>0</v>
      </c>
      <c r="L189" t="s">
        <v>23</v>
      </c>
      <c r="M189" t="str">
        <f t="shared" si="16"/>
        <v>&gt;0.74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0.82230000000000003</v>
      </c>
      <c r="T189">
        <v>0.17760000000000001</v>
      </c>
      <c r="U189">
        <v>0</v>
      </c>
      <c r="V189">
        <v>0.99994000000000005</v>
      </c>
      <c r="W189" s="1">
        <f t="shared" si="17"/>
        <v>0.99994000000000005</v>
      </c>
      <c r="X189" t="s">
        <v>642</v>
      </c>
      <c r="Y189" t="str">
        <f>VLOOKUP(X189,Sheet1!A:B,2,FALSE)</f>
        <v>Quercus macrocarpa Michx.</v>
      </c>
      <c r="Z189" t="s">
        <v>1384</v>
      </c>
      <c r="AB189" s="1">
        <f t="shared" si="18"/>
        <v>0.99994000000000005</v>
      </c>
      <c r="AD189" t="str">
        <f>IF(W189&lt;0.99,LARGE((N189:R189,U189,V189),2),"0")</f>
        <v>0</v>
      </c>
      <c r="AE189" t="str">
        <f t="shared" si="21"/>
        <v/>
      </c>
      <c r="AH189" t="str">
        <f t="shared" si="22"/>
        <v xml:space="preserve">Based on ADMIXTURE results of 78,187 SNPs, </v>
      </c>
    </row>
    <row r="190" spans="1:34" x14ac:dyDescent="0.4">
      <c r="A190">
        <v>326</v>
      </c>
      <c r="B190" t="s">
        <v>643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22</v>
      </c>
      <c r="I190" t="s">
        <v>21</v>
      </c>
      <c r="J190">
        <v>1</v>
      </c>
      <c r="K190">
        <v>0</v>
      </c>
      <c r="L190" t="s">
        <v>23</v>
      </c>
      <c r="M190" t="str">
        <f t="shared" si="16"/>
        <v>&gt;0.74</v>
      </c>
      <c r="N190">
        <v>0</v>
      </c>
      <c r="O190">
        <v>0.99990000000000001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1">
        <v>2.0000000000000002E-5</v>
      </c>
      <c r="W190" s="1">
        <f t="shared" si="17"/>
        <v>0.99990000000000001</v>
      </c>
      <c r="X190" t="s">
        <v>644</v>
      </c>
      <c r="Y190" t="str">
        <f>VLOOKUP(X190,Sheet1!A:B,2,FALSE)</f>
        <v>Quercus muehlenbergii Engelm.</v>
      </c>
      <c r="Z190" t="s">
        <v>1387</v>
      </c>
      <c r="AB190" s="1">
        <f t="shared" si="18"/>
        <v>0.99990000000000001</v>
      </c>
      <c r="AD190" t="str">
        <f>IF(W190&lt;0.99,LARGE((N190:R190,U190,V190),2),"0")</f>
        <v>0</v>
      </c>
      <c r="AE190" t="str">
        <f t="shared" si="21"/>
        <v/>
      </c>
      <c r="AH190" t="str">
        <f t="shared" si="22"/>
        <v xml:space="preserve">Based on ADMIXTURE results of 78,187 SNPs, </v>
      </c>
    </row>
    <row r="191" spans="1:34" x14ac:dyDescent="0.4">
      <c r="A191">
        <v>327</v>
      </c>
      <c r="B191" t="s">
        <v>645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22</v>
      </c>
      <c r="J191">
        <v>1</v>
      </c>
      <c r="K191">
        <v>0</v>
      </c>
      <c r="L191" t="s">
        <v>23</v>
      </c>
      <c r="M191" t="str">
        <f t="shared" si="16"/>
        <v>&gt;0.74</v>
      </c>
      <c r="N191">
        <v>0.98980000000000001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1.01E-2</v>
      </c>
      <c r="U191">
        <v>0</v>
      </c>
      <c r="V191">
        <v>1.0147E-2</v>
      </c>
      <c r="W191" s="1">
        <f t="shared" si="17"/>
        <v>0.98980000000000001</v>
      </c>
      <c r="X191" t="s">
        <v>646</v>
      </c>
      <c r="Y191" t="str">
        <f>VLOOKUP(X191,Sheet1!A:B,2,FALSE)</f>
        <v>Quercus stellata Wangenh.</v>
      </c>
      <c r="Z191" t="s">
        <v>1385</v>
      </c>
      <c r="AB191" s="1">
        <f t="shared" si="18"/>
        <v>0.98980000000000001</v>
      </c>
      <c r="AD191">
        <f>IF(W191&lt;0.99,LARGE((N191:R191,U191,V191),2),"0")</f>
        <v>1.0147E-2</v>
      </c>
      <c r="AE191" t="str">
        <f t="shared" si="21"/>
        <v xml:space="preserve">trace admixed with </v>
      </c>
      <c r="AH191" t="str">
        <f t="shared" si="22"/>
        <v xml:space="preserve">Based on ADMIXTURE results of 78,187 SNPs, trace admixed with </v>
      </c>
    </row>
    <row r="192" spans="1:34" x14ac:dyDescent="0.4">
      <c r="A192">
        <v>328</v>
      </c>
      <c r="B192" t="s">
        <v>647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22</v>
      </c>
      <c r="J192">
        <v>1</v>
      </c>
      <c r="K192">
        <v>0</v>
      </c>
      <c r="L192" t="s">
        <v>23</v>
      </c>
      <c r="M192" t="str">
        <f t="shared" si="16"/>
        <v>&gt;0.74</v>
      </c>
      <c r="N192">
        <v>0.99990000000000001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1">
        <v>2.0000000000000002E-5</v>
      </c>
      <c r="W192" s="1">
        <f t="shared" si="17"/>
        <v>0.99990000000000001</v>
      </c>
      <c r="X192" t="s">
        <v>648</v>
      </c>
      <c r="Y192" t="str">
        <f>VLOOKUP(X192,Sheet1!A:B,2,FALSE)</f>
        <v>Quercus stellata Wangenh.</v>
      </c>
      <c r="Z192" t="s">
        <v>1385</v>
      </c>
      <c r="AB192" s="1">
        <f t="shared" si="18"/>
        <v>0.99990000000000001</v>
      </c>
      <c r="AD192" t="str">
        <f>IF(W192&lt;0.99,LARGE((N192:R192,U192,V192),2),"0")</f>
        <v>0</v>
      </c>
      <c r="AE192" t="str">
        <f t="shared" si="21"/>
        <v/>
      </c>
      <c r="AH192" t="str">
        <f t="shared" si="22"/>
        <v xml:space="preserve">Based on ADMIXTURE results of 78,187 SNPs, </v>
      </c>
    </row>
    <row r="193" spans="1:34" x14ac:dyDescent="0.4">
      <c r="A193">
        <v>329</v>
      </c>
      <c r="B193" t="s">
        <v>649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22</v>
      </c>
      <c r="J193">
        <v>1</v>
      </c>
      <c r="K193">
        <v>0</v>
      </c>
      <c r="L193" t="s">
        <v>23</v>
      </c>
      <c r="M193" t="str">
        <f t="shared" si="16"/>
        <v>&gt;0.74</v>
      </c>
      <c r="N193">
        <v>0.99990000000000001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1">
        <v>2.0000000000000002E-5</v>
      </c>
      <c r="W193" s="1">
        <f t="shared" si="17"/>
        <v>0.99990000000000001</v>
      </c>
      <c r="X193" t="s">
        <v>650</v>
      </c>
      <c r="Y193" t="str">
        <f>VLOOKUP(X193,Sheet1!A:B,2,FALSE)</f>
        <v>Quercus stellata Wangenh.</v>
      </c>
      <c r="Z193" t="s">
        <v>1385</v>
      </c>
      <c r="AB193" s="1">
        <f t="shared" si="18"/>
        <v>0.99990000000000001</v>
      </c>
      <c r="AD193" t="str">
        <f>IF(W193&lt;0.99,LARGE((N193:R193,U193,V193),2),"0")</f>
        <v>0</v>
      </c>
      <c r="AE193" t="str">
        <f t="shared" si="21"/>
        <v/>
      </c>
      <c r="AH193" t="str">
        <f t="shared" si="22"/>
        <v xml:space="preserve">Based on ADMIXTURE results of 78,187 SNPs, </v>
      </c>
    </row>
    <row r="194" spans="1:34" x14ac:dyDescent="0.4">
      <c r="A194">
        <v>330</v>
      </c>
      <c r="B194" t="s">
        <v>651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22</v>
      </c>
      <c r="J194">
        <v>1</v>
      </c>
      <c r="K194">
        <v>0</v>
      </c>
      <c r="L194" t="s">
        <v>23</v>
      </c>
      <c r="M194" t="str">
        <f t="shared" ref="M194:M257" si="23">IF(AND(W194&lt;0.58,W194&gt;0.2),"F1",IF(W194&lt;0.74,"BC1?","&gt;0.74"))</f>
        <v>&gt;0.74</v>
      </c>
      <c r="N194">
        <v>0.99990000000000001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1">
        <v>2.0000000000000002E-5</v>
      </c>
      <c r="W194" s="1">
        <f t="shared" ref="W194:W257" si="24">MAX(N194:R194,U194,V194)</f>
        <v>0.99990000000000001</v>
      </c>
      <c r="X194" t="s">
        <v>652</v>
      </c>
      <c r="Y194" t="str">
        <f>VLOOKUP(X194,Sheet1!A:B,2,FALSE)</f>
        <v>Quercus stellata Wangenh.</v>
      </c>
      <c r="Z194" t="s">
        <v>1385</v>
      </c>
      <c r="AB194" s="1">
        <f t="shared" ref="AB194:AB257" si="25">MAX(N194:R194,U194,V194)</f>
        <v>0.99990000000000001</v>
      </c>
      <c r="AD194" t="str">
        <f>IF(W194&lt;0.99,LARGE((N194:R194,U194,V194),2),"0")</f>
        <v>0</v>
      </c>
      <c r="AE194" t="str">
        <f t="shared" si="21"/>
        <v/>
      </c>
      <c r="AH194" t="str">
        <f t="shared" si="22"/>
        <v xml:space="preserve">Based on ADMIXTURE results of 78,187 SNPs, </v>
      </c>
    </row>
    <row r="195" spans="1:34" x14ac:dyDescent="0.4">
      <c r="A195">
        <v>331</v>
      </c>
      <c r="B195" t="s">
        <v>653</v>
      </c>
      <c r="C195" t="s">
        <v>22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>
        <v>1</v>
      </c>
      <c r="K195">
        <v>0</v>
      </c>
      <c r="L195" t="s">
        <v>23</v>
      </c>
      <c r="M195" t="str">
        <f t="shared" si="23"/>
        <v>&gt;0.74</v>
      </c>
      <c r="N195">
        <v>0</v>
      </c>
      <c r="O195">
        <v>0</v>
      </c>
      <c r="P195">
        <v>0.99990000000000001</v>
      </c>
      <c r="Q195">
        <v>0</v>
      </c>
      <c r="R195">
        <v>0</v>
      </c>
      <c r="S195">
        <v>0</v>
      </c>
      <c r="T195">
        <v>0</v>
      </c>
      <c r="U195">
        <v>0</v>
      </c>
      <c r="V195" s="1">
        <v>2.0000000000000002E-5</v>
      </c>
      <c r="W195" s="1">
        <f t="shared" si="24"/>
        <v>0.99990000000000001</v>
      </c>
      <c r="X195" t="s">
        <v>654</v>
      </c>
      <c r="Y195" t="str">
        <f>VLOOKUP(X195,Sheet1!A:B,2,FALSE)</f>
        <v>Quercus alba L.</v>
      </c>
      <c r="Z195" t="s">
        <v>1386</v>
      </c>
      <c r="AB195" s="1">
        <f t="shared" si="25"/>
        <v>0.99990000000000001</v>
      </c>
      <c r="AD195" t="str">
        <f>IF(W195&lt;0.99,LARGE((N195:R195,U195,V195),2),"0")</f>
        <v>0</v>
      </c>
      <c r="AE195" t="str">
        <f t="shared" si="21"/>
        <v/>
      </c>
      <c r="AH195" t="str">
        <f t="shared" si="22"/>
        <v xml:space="preserve">Based on ADMIXTURE results of 78,187 SNPs, </v>
      </c>
    </row>
    <row r="196" spans="1:34" x14ac:dyDescent="0.4">
      <c r="A196">
        <v>332</v>
      </c>
      <c r="B196" t="s">
        <v>655</v>
      </c>
      <c r="C196" t="s">
        <v>22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>
        <v>1</v>
      </c>
      <c r="K196">
        <v>0</v>
      </c>
      <c r="L196" t="s">
        <v>23</v>
      </c>
      <c r="M196" t="str">
        <f t="shared" si="23"/>
        <v>&gt;0.74</v>
      </c>
      <c r="N196">
        <v>0</v>
      </c>
      <c r="O196">
        <v>0</v>
      </c>
      <c r="P196">
        <v>0.99990000000000001</v>
      </c>
      <c r="Q196">
        <v>0</v>
      </c>
      <c r="R196">
        <v>0</v>
      </c>
      <c r="S196">
        <v>0</v>
      </c>
      <c r="T196">
        <v>0</v>
      </c>
      <c r="U196">
        <v>0</v>
      </c>
      <c r="V196" s="1">
        <v>2.0000000000000002E-5</v>
      </c>
      <c r="W196" s="1">
        <f t="shared" si="24"/>
        <v>0.99990000000000001</v>
      </c>
      <c r="X196" t="s">
        <v>656</v>
      </c>
      <c r="Y196" t="str">
        <f>VLOOKUP(X196,Sheet1!A:B,2,FALSE)</f>
        <v>Quercus alba L.</v>
      </c>
      <c r="Z196" t="s">
        <v>1386</v>
      </c>
      <c r="AB196" s="1">
        <f t="shared" si="25"/>
        <v>0.99990000000000001</v>
      </c>
      <c r="AD196" t="str">
        <f>IF(W196&lt;0.99,LARGE((N196:R196,U196,V196),2),"0")</f>
        <v>0</v>
      </c>
      <c r="AE196" t="str">
        <f t="shared" si="21"/>
        <v/>
      </c>
      <c r="AH196" t="str">
        <f t="shared" si="22"/>
        <v xml:space="preserve">Based on ADMIXTURE results of 78,187 SNPs, </v>
      </c>
    </row>
    <row r="197" spans="1:34" x14ac:dyDescent="0.4">
      <c r="A197">
        <v>333</v>
      </c>
      <c r="B197" t="s">
        <v>657</v>
      </c>
      <c r="C197" t="s">
        <v>22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>
        <v>1</v>
      </c>
      <c r="K197">
        <v>0</v>
      </c>
      <c r="L197" t="s">
        <v>23</v>
      </c>
      <c r="M197" t="str">
        <f t="shared" si="23"/>
        <v>&gt;0.74</v>
      </c>
      <c r="N197">
        <v>0</v>
      </c>
      <c r="O197">
        <v>0</v>
      </c>
      <c r="P197">
        <v>0.99990000000000001</v>
      </c>
      <c r="Q197">
        <v>0</v>
      </c>
      <c r="R197">
        <v>0</v>
      </c>
      <c r="S197">
        <v>0</v>
      </c>
      <c r="T197">
        <v>0</v>
      </c>
      <c r="U197">
        <v>0</v>
      </c>
      <c r="V197" s="1">
        <v>2.0000000000000002E-5</v>
      </c>
      <c r="W197" s="1">
        <f t="shared" si="24"/>
        <v>0.99990000000000001</v>
      </c>
      <c r="X197" t="s">
        <v>658</v>
      </c>
      <c r="Y197" t="str">
        <f>VLOOKUP(X197,Sheet1!A:B,2,FALSE)</f>
        <v>Quercus alba L.</v>
      </c>
      <c r="Z197" t="s">
        <v>1386</v>
      </c>
      <c r="AB197" s="1">
        <f t="shared" si="25"/>
        <v>0.99990000000000001</v>
      </c>
      <c r="AD197" t="str">
        <f>IF(W197&lt;0.99,LARGE((N197:R197,U197,V197),2),"0")</f>
        <v>0</v>
      </c>
      <c r="AE197" t="str">
        <f t="shared" si="21"/>
        <v/>
      </c>
      <c r="AH197" t="str">
        <f t="shared" si="22"/>
        <v xml:space="preserve">Based on ADMIXTURE results of 78,187 SNPs, </v>
      </c>
    </row>
    <row r="198" spans="1:34" x14ac:dyDescent="0.4">
      <c r="A198">
        <v>334</v>
      </c>
      <c r="B198" t="s">
        <v>659</v>
      </c>
      <c r="C198" t="s">
        <v>22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>
        <v>1</v>
      </c>
      <c r="K198">
        <v>0</v>
      </c>
      <c r="L198" t="s">
        <v>23</v>
      </c>
      <c r="M198" t="str">
        <f t="shared" si="23"/>
        <v>&gt;0.74</v>
      </c>
      <c r="N198">
        <v>0</v>
      </c>
      <c r="O198">
        <v>0</v>
      </c>
      <c r="P198">
        <v>0.99990000000000001</v>
      </c>
      <c r="Q198">
        <v>0</v>
      </c>
      <c r="R198">
        <v>0</v>
      </c>
      <c r="S198">
        <v>0</v>
      </c>
      <c r="T198">
        <v>0</v>
      </c>
      <c r="U198">
        <v>0</v>
      </c>
      <c r="V198" s="1">
        <v>2.0000000000000002E-5</v>
      </c>
      <c r="W198" s="1">
        <f t="shared" si="24"/>
        <v>0.99990000000000001</v>
      </c>
      <c r="X198" t="s">
        <v>660</v>
      </c>
      <c r="Y198" t="str">
        <f>VLOOKUP(X198,Sheet1!A:B,2,FALSE)</f>
        <v>Quercus alba L.</v>
      </c>
      <c r="Z198" t="s">
        <v>1386</v>
      </c>
      <c r="AB198" s="1">
        <f t="shared" si="25"/>
        <v>0.99990000000000001</v>
      </c>
      <c r="AD198" t="str">
        <f>IF(W198&lt;0.99,LARGE((N198:R198,U198,V198),2),"0")</f>
        <v>0</v>
      </c>
      <c r="AE198" t="str">
        <f t="shared" si="21"/>
        <v/>
      </c>
      <c r="AH198" t="str">
        <f t="shared" si="22"/>
        <v xml:space="preserve">Based on ADMIXTURE results of 78,187 SNPs, </v>
      </c>
    </row>
    <row r="199" spans="1:34" x14ac:dyDescent="0.4">
      <c r="A199">
        <v>335</v>
      </c>
      <c r="B199" t="s">
        <v>661</v>
      </c>
      <c r="C199" t="s">
        <v>22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>
        <v>1</v>
      </c>
      <c r="K199">
        <v>0</v>
      </c>
      <c r="L199" t="s">
        <v>23</v>
      </c>
      <c r="M199" t="str">
        <f t="shared" si="23"/>
        <v>&gt;0.74</v>
      </c>
      <c r="N199">
        <v>0</v>
      </c>
      <c r="O199">
        <v>0</v>
      </c>
      <c r="P199">
        <v>0.99990000000000001</v>
      </c>
      <c r="Q199">
        <v>0</v>
      </c>
      <c r="R199">
        <v>0</v>
      </c>
      <c r="S199">
        <v>0</v>
      </c>
      <c r="T199">
        <v>0</v>
      </c>
      <c r="U199">
        <v>0</v>
      </c>
      <c r="V199" s="1">
        <v>2.0000000000000002E-5</v>
      </c>
      <c r="W199" s="1">
        <f t="shared" si="24"/>
        <v>0.99990000000000001</v>
      </c>
      <c r="X199" t="s">
        <v>662</v>
      </c>
      <c r="Y199" t="str">
        <f>VLOOKUP(X199,Sheet1!A:B,2,FALSE)</f>
        <v>Quercus alba L.</v>
      </c>
      <c r="Z199" t="s">
        <v>1386</v>
      </c>
      <c r="AB199" s="1">
        <f t="shared" si="25"/>
        <v>0.99990000000000001</v>
      </c>
      <c r="AD199" t="str">
        <f>IF(W199&lt;0.99,LARGE((N199:R199,U199,V199),2),"0")</f>
        <v>0</v>
      </c>
      <c r="AE199" t="str">
        <f t="shared" ref="AE199:AE230" si="26">IF(AND(AB199&lt;0.99,AD199&gt;0.1),"admixed with",IF(AND(AB199&lt;0.99,AD199&gt;0.01),"trace admixed with ",""))</f>
        <v/>
      </c>
      <c r="AH199" t="str">
        <f t="shared" si="22"/>
        <v xml:space="preserve">Based on ADMIXTURE results of 78,187 SNPs, </v>
      </c>
    </row>
    <row r="200" spans="1:34" x14ac:dyDescent="0.4">
      <c r="A200">
        <v>208</v>
      </c>
      <c r="B200" t="s">
        <v>407</v>
      </c>
      <c r="C200" t="s">
        <v>21</v>
      </c>
      <c r="D200" t="s">
        <v>21</v>
      </c>
      <c r="E200" t="s">
        <v>21</v>
      </c>
      <c r="F200" t="s">
        <v>22</v>
      </c>
      <c r="G200" t="s">
        <v>21</v>
      </c>
      <c r="H200" t="s">
        <v>21</v>
      </c>
      <c r="I200" t="s">
        <v>21</v>
      </c>
      <c r="J200">
        <v>1</v>
      </c>
      <c r="K200">
        <v>0</v>
      </c>
      <c r="L200" t="s">
        <v>23</v>
      </c>
      <c r="M200" t="str">
        <f t="shared" si="23"/>
        <v>&gt;0.74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0.87519999999999998</v>
      </c>
      <c r="T200">
        <v>0.12479999999999999</v>
      </c>
      <c r="U200">
        <v>0</v>
      </c>
      <c r="V200">
        <v>0.99994000000000005</v>
      </c>
      <c r="W200" s="1">
        <f t="shared" si="24"/>
        <v>0.99994000000000005</v>
      </c>
      <c r="X200" t="s">
        <v>408</v>
      </c>
      <c r="Y200" t="str">
        <f>VLOOKUP(X200,Sheet1!A:B,2,FALSE)</f>
        <v>Quercus macrocarpa Michx.</v>
      </c>
      <c r="Z200" t="s">
        <v>1384</v>
      </c>
      <c r="AB200" s="1">
        <f t="shared" si="25"/>
        <v>0.99994000000000005</v>
      </c>
      <c r="AD200" t="str">
        <f>IF(W200&lt;0.99,LARGE((N200:R200,U200,V200),2),"0")</f>
        <v>0</v>
      </c>
      <c r="AE200" t="str">
        <f t="shared" si="26"/>
        <v/>
      </c>
      <c r="AH200" t="str">
        <f t="shared" si="22"/>
        <v xml:space="preserve">Based on ADMIXTURE results of 78,187 SNPs, </v>
      </c>
    </row>
    <row r="201" spans="1:34" x14ac:dyDescent="0.4">
      <c r="A201">
        <v>209</v>
      </c>
      <c r="B201" t="s">
        <v>409</v>
      </c>
      <c r="C201" t="s">
        <v>21</v>
      </c>
      <c r="D201" t="s">
        <v>21</v>
      </c>
      <c r="E201" t="s">
        <v>21</v>
      </c>
      <c r="F201" t="s">
        <v>22</v>
      </c>
      <c r="G201" t="s">
        <v>21</v>
      </c>
      <c r="H201" t="s">
        <v>21</v>
      </c>
      <c r="I201" t="s">
        <v>21</v>
      </c>
      <c r="J201">
        <v>1</v>
      </c>
      <c r="K201">
        <v>0</v>
      </c>
      <c r="L201" t="s">
        <v>23</v>
      </c>
      <c r="M201" t="str">
        <f t="shared" si="23"/>
        <v>&gt;0.74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0.88639999999999997</v>
      </c>
      <c r="T201">
        <v>0.11360000000000001</v>
      </c>
      <c r="U201">
        <v>0</v>
      </c>
      <c r="V201">
        <v>0.99993200000000004</v>
      </c>
      <c r="W201" s="1">
        <f t="shared" si="24"/>
        <v>0.99993200000000004</v>
      </c>
      <c r="X201" t="s">
        <v>410</v>
      </c>
      <c r="Y201" t="str">
        <f>VLOOKUP(X201,Sheet1!A:B,2,FALSE)</f>
        <v>Quercus macrocarpa Michx.</v>
      </c>
      <c r="Z201" t="s">
        <v>1384</v>
      </c>
      <c r="AB201" s="1">
        <f t="shared" si="25"/>
        <v>0.99993200000000004</v>
      </c>
      <c r="AD201" t="str">
        <f>IF(W201&lt;0.99,LARGE((N201:R201,U201,V201),2),"0")</f>
        <v>0</v>
      </c>
      <c r="AE201" t="str">
        <f t="shared" si="26"/>
        <v/>
      </c>
      <c r="AH201" t="str">
        <f t="shared" si="22"/>
        <v xml:space="preserve">Based on ADMIXTURE results of 78,187 SNPs, </v>
      </c>
    </row>
    <row r="202" spans="1:34" x14ac:dyDescent="0.4">
      <c r="A202">
        <v>210</v>
      </c>
      <c r="B202" t="s">
        <v>411</v>
      </c>
      <c r="C202" t="s">
        <v>21</v>
      </c>
      <c r="D202" t="s">
        <v>21</v>
      </c>
      <c r="E202" t="s">
        <v>21</v>
      </c>
      <c r="F202" t="s">
        <v>22</v>
      </c>
      <c r="G202" t="s">
        <v>21</v>
      </c>
      <c r="H202" t="s">
        <v>21</v>
      </c>
      <c r="I202" t="s">
        <v>21</v>
      </c>
      <c r="J202">
        <v>1</v>
      </c>
      <c r="K202">
        <v>0</v>
      </c>
      <c r="L202" t="s">
        <v>23</v>
      </c>
      <c r="M202" t="str">
        <f t="shared" si="23"/>
        <v>&gt;0.74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0.79100000000000004</v>
      </c>
      <c r="T202">
        <v>0.20899999999999999</v>
      </c>
      <c r="U202">
        <v>0</v>
      </c>
      <c r="V202">
        <v>0.99994000000000005</v>
      </c>
      <c r="W202" s="1">
        <f t="shared" si="24"/>
        <v>0.99994000000000005</v>
      </c>
      <c r="X202" t="s">
        <v>412</v>
      </c>
      <c r="Y202" t="str">
        <f>VLOOKUP(X202,Sheet1!A:B,2,FALSE)</f>
        <v>Quercus macrocarpa Michx.</v>
      </c>
      <c r="Z202" t="s">
        <v>1384</v>
      </c>
      <c r="AB202" s="1">
        <f t="shared" si="25"/>
        <v>0.99994000000000005</v>
      </c>
      <c r="AD202" t="str">
        <f>IF(W202&lt;0.99,LARGE((N202:R202,U202,V202),2),"0")</f>
        <v>0</v>
      </c>
      <c r="AE202" t="str">
        <f t="shared" si="26"/>
        <v/>
      </c>
      <c r="AH202" t="str">
        <f t="shared" si="22"/>
        <v xml:space="preserve">Based on ADMIXTURE results of 78,187 SNPs, </v>
      </c>
    </row>
    <row r="203" spans="1:34" x14ac:dyDescent="0.4">
      <c r="A203">
        <v>211</v>
      </c>
      <c r="B203" t="s">
        <v>413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22</v>
      </c>
      <c r="I203" t="s">
        <v>21</v>
      </c>
      <c r="J203">
        <v>1</v>
      </c>
      <c r="K203">
        <v>0</v>
      </c>
      <c r="L203" t="s">
        <v>23</v>
      </c>
      <c r="M203" t="str">
        <f t="shared" si="23"/>
        <v>&gt;0.74</v>
      </c>
      <c r="N203">
        <v>0</v>
      </c>
      <c r="O203">
        <v>0.99990000000000001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1">
        <v>2.0000000000000002E-5</v>
      </c>
      <c r="W203" s="1">
        <f t="shared" si="24"/>
        <v>0.99990000000000001</v>
      </c>
      <c r="X203" t="s">
        <v>414</v>
      </c>
      <c r="Y203" t="str">
        <f>VLOOKUP(X203,Sheet1!A:B,2,FALSE)</f>
        <v>Quercus muehlenbergii Engelm.</v>
      </c>
      <c r="Z203" t="s">
        <v>1387</v>
      </c>
      <c r="AB203" s="1">
        <f t="shared" si="25"/>
        <v>0.99990000000000001</v>
      </c>
      <c r="AD203" t="str">
        <f>IF(W203&lt;0.99,LARGE((N203:R203,U203,V203),2),"0")</f>
        <v>0</v>
      </c>
      <c r="AE203" t="str">
        <f t="shared" si="26"/>
        <v/>
      </c>
      <c r="AH203" t="str">
        <f t="shared" si="22"/>
        <v xml:space="preserve">Based on ADMIXTURE results of 78,187 SNPs, </v>
      </c>
    </row>
    <row r="204" spans="1:34" x14ac:dyDescent="0.4">
      <c r="A204">
        <v>212</v>
      </c>
      <c r="B204" t="s">
        <v>415</v>
      </c>
      <c r="C204" t="s">
        <v>21</v>
      </c>
      <c r="D204" t="s">
        <v>21</v>
      </c>
      <c r="E204" t="s">
        <v>21</v>
      </c>
      <c r="F204" t="s">
        <v>22</v>
      </c>
      <c r="G204" t="s">
        <v>21</v>
      </c>
      <c r="H204" t="s">
        <v>21</v>
      </c>
      <c r="I204" t="s">
        <v>21</v>
      </c>
      <c r="J204">
        <v>1</v>
      </c>
      <c r="K204">
        <v>0</v>
      </c>
      <c r="L204" t="s">
        <v>23</v>
      </c>
      <c r="M204" t="str">
        <f t="shared" si="23"/>
        <v>&gt;0.74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0.68989999999999996</v>
      </c>
      <c r="T204">
        <v>0.31</v>
      </c>
      <c r="U204">
        <v>0</v>
      </c>
      <c r="V204">
        <v>0.99994000000000005</v>
      </c>
      <c r="W204" s="1">
        <f t="shared" si="24"/>
        <v>0.99994000000000005</v>
      </c>
      <c r="X204" t="s">
        <v>416</v>
      </c>
      <c r="Y204" t="str">
        <f>VLOOKUP(X204,Sheet1!A:B,2,FALSE)</f>
        <v>Quercus macrocarpa Michx.</v>
      </c>
      <c r="Z204" t="s">
        <v>1384</v>
      </c>
      <c r="AB204" s="1">
        <f t="shared" si="25"/>
        <v>0.99994000000000005</v>
      </c>
      <c r="AD204" t="str">
        <f>IF(W204&lt;0.99,LARGE((N204:R204,U204,V204),2),"0")</f>
        <v>0</v>
      </c>
      <c r="AE204" t="str">
        <f t="shared" si="26"/>
        <v/>
      </c>
      <c r="AH204" t="str">
        <f t="shared" si="22"/>
        <v xml:space="preserve">Based on ADMIXTURE results of 78,187 SNPs, </v>
      </c>
    </row>
    <row r="205" spans="1:34" x14ac:dyDescent="0.4">
      <c r="A205">
        <v>213</v>
      </c>
      <c r="B205" t="s">
        <v>417</v>
      </c>
      <c r="C205" t="s">
        <v>21</v>
      </c>
      <c r="D205" t="s">
        <v>21</v>
      </c>
      <c r="E205" t="s">
        <v>21</v>
      </c>
      <c r="F205" t="s">
        <v>22</v>
      </c>
      <c r="G205" t="s">
        <v>21</v>
      </c>
      <c r="H205" t="s">
        <v>21</v>
      </c>
      <c r="I205" t="s">
        <v>21</v>
      </c>
      <c r="J205">
        <v>1</v>
      </c>
      <c r="K205">
        <v>0</v>
      </c>
      <c r="L205" t="s">
        <v>23</v>
      </c>
      <c r="M205" t="str">
        <f t="shared" si="23"/>
        <v>&gt;0.74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0.84619999999999995</v>
      </c>
      <c r="T205">
        <v>0.15379999999999999</v>
      </c>
      <c r="U205">
        <v>0</v>
      </c>
      <c r="V205">
        <v>0.99993200000000004</v>
      </c>
      <c r="W205" s="1">
        <f t="shared" si="24"/>
        <v>0.99993200000000004</v>
      </c>
      <c r="X205" t="s">
        <v>418</v>
      </c>
      <c r="Y205" t="str">
        <f>VLOOKUP(X205,Sheet1!A:B,2,FALSE)</f>
        <v>Quercus macrocarpa Michx.</v>
      </c>
      <c r="Z205" t="s">
        <v>1384</v>
      </c>
      <c r="AB205" s="1">
        <f t="shared" si="25"/>
        <v>0.99993200000000004</v>
      </c>
      <c r="AD205" t="str">
        <f>IF(W205&lt;0.99,LARGE((N205:R205,U205,V205),2),"0")</f>
        <v>0</v>
      </c>
      <c r="AE205" t="str">
        <f t="shared" si="26"/>
        <v/>
      </c>
      <c r="AH205" t="str">
        <f t="shared" si="22"/>
        <v xml:space="preserve">Based on ADMIXTURE results of 78,187 SNPs, </v>
      </c>
    </row>
    <row r="206" spans="1:34" x14ac:dyDescent="0.4">
      <c r="A206">
        <v>214</v>
      </c>
      <c r="B206" t="s">
        <v>419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22</v>
      </c>
      <c r="I206" t="s">
        <v>21</v>
      </c>
      <c r="J206">
        <v>1</v>
      </c>
      <c r="K206">
        <v>0</v>
      </c>
      <c r="L206" t="s">
        <v>23</v>
      </c>
      <c r="M206" t="str">
        <f t="shared" si="23"/>
        <v>&gt;0.74</v>
      </c>
      <c r="N206">
        <v>0</v>
      </c>
      <c r="O206">
        <v>0.99990000000000001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1">
        <v>2.0000000000000002E-5</v>
      </c>
      <c r="W206" s="1">
        <f t="shared" si="24"/>
        <v>0.99990000000000001</v>
      </c>
      <c r="X206" t="s">
        <v>420</v>
      </c>
      <c r="Y206" t="str">
        <f>VLOOKUP(X206,Sheet1!A:B,2,FALSE)</f>
        <v>Quercus muehlenbergii Engelm.</v>
      </c>
      <c r="Z206" t="s">
        <v>1387</v>
      </c>
      <c r="AB206" s="1">
        <f t="shared" si="25"/>
        <v>0.99990000000000001</v>
      </c>
      <c r="AD206" t="str">
        <f>IF(W206&lt;0.99,LARGE((N206:R206,U206,V206),2),"0")</f>
        <v>0</v>
      </c>
      <c r="AE206" t="str">
        <f t="shared" si="26"/>
        <v/>
      </c>
      <c r="AH206" t="str">
        <f t="shared" si="22"/>
        <v xml:space="preserve">Based on ADMIXTURE results of 78,187 SNPs, </v>
      </c>
    </row>
    <row r="207" spans="1:34" x14ac:dyDescent="0.4">
      <c r="A207">
        <v>215</v>
      </c>
      <c r="B207" t="s">
        <v>421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22</v>
      </c>
      <c r="I207" t="s">
        <v>21</v>
      </c>
      <c r="J207">
        <v>1</v>
      </c>
      <c r="K207">
        <v>0</v>
      </c>
      <c r="L207" t="s">
        <v>23</v>
      </c>
      <c r="M207" t="str">
        <f t="shared" si="23"/>
        <v>&gt;0.74</v>
      </c>
      <c r="N207">
        <v>0</v>
      </c>
      <c r="O207">
        <v>0.99990000000000001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1">
        <v>2.0000000000000002E-5</v>
      </c>
      <c r="W207" s="1">
        <f t="shared" si="24"/>
        <v>0.99990000000000001</v>
      </c>
      <c r="X207" t="s">
        <v>422</v>
      </c>
      <c r="Y207" t="str">
        <f>VLOOKUP(X207,Sheet1!A:B,2,FALSE)</f>
        <v>Quercus muehlenbergii Engelm.</v>
      </c>
      <c r="Z207" t="s">
        <v>1387</v>
      </c>
      <c r="AB207" s="1">
        <f t="shared" si="25"/>
        <v>0.99990000000000001</v>
      </c>
      <c r="AD207" t="str">
        <f>IF(W207&lt;0.99,LARGE((N207:R207,U207,V207),2),"0")</f>
        <v>0</v>
      </c>
      <c r="AE207" t="str">
        <f t="shared" si="26"/>
        <v/>
      </c>
      <c r="AH207" t="str">
        <f t="shared" si="22"/>
        <v xml:space="preserve">Based on ADMIXTURE results of 78,187 SNPs, </v>
      </c>
    </row>
    <row r="208" spans="1:34" x14ac:dyDescent="0.4">
      <c r="A208">
        <v>216</v>
      </c>
      <c r="B208" t="s">
        <v>423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22</v>
      </c>
      <c r="I208" t="s">
        <v>21</v>
      </c>
      <c r="J208">
        <v>1</v>
      </c>
      <c r="K208">
        <v>0</v>
      </c>
      <c r="L208" t="s">
        <v>23</v>
      </c>
      <c r="M208" t="str">
        <f t="shared" si="23"/>
        <v>&gt;0.74</v>
      </c>
      <c r="N208">
        <v>0</v>
      </c>
      <c r="O208">
        <v>0.99990000000000001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">
        <v>2.0999999999999999E-5</v>
      </c>
      <c r="W208" s="1">
        <f t="shared" si="24"/>
        <v>0.99990000000000001</v>
      </c>
      <c r="X208" t="s">
        <v>424</v>
      </c>
      <c r="Y208" t="str">
        <f>VLOOKUP(X208,Sheet1!A:B,2,FALSE)</f>
        <v>Quercus muehlenbergii Engelm.</v>
      </c>
      <c r="Z208" t="s">
        <v>1387</v>
      </c>
      <c r="AB208" s="1">
        <f t="shared" si="25"/>
        <v>0.99990000000000001</v>
      </c>
      <c r="AD208" t="str">
        <f>IF(W208&lt;0.99,LARGE((N208:R208,U208,V208),2),"0")</f>
        <v>0</v>
      </c>
      <c r="AE208" t="str">
        <f t="shared" si="26"/>
        <v/>
      </c>
      <c r="AH208" t="str">
        <f t="shared" si="22"/>
        <v xml:space="preserve">Based on ADMIXTURE results of 78,187 SNPs, </v>
      </c>
    </row>
    <row r="209" spans="1:34" x14ac:dyDescent="0.4">
      <c r="A209">
        <v>217</v>
      </c>
      <c r="B209" t="s">
        <v>425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22</v>
      </c>
      <c r="I209" t="s">
        <v>21</v>
      </c>
      <c r="J209">
        <v>1</v>
      </c>
      <c r="K209">
        <v>0</v>
      </c>
      <c r="L209" t="s">
        <v>23</v>
      </c>
      <c r="M209" t="str">
        <f t="shared" si="23"/>
        <v>&gt;0.74</v>
      </c>
      <c r="N209">
        <v>0</v>
      </c>
      <c r="O209">
        <v>0.99990000000000001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1">
        <v>2.0000000000000002E-5</v>
      </c>
      <c r="W209" s="1">
        <f t="shared" si="24"/>
        <v>0.99990000000000001</v>
      </c>
      <c r="X209" t="s">
        <v>426</v>
      </c>
      <c r="Y209" t="str">
        <f>VLOOKUP(X209,Sheet1!A:B,2,FALSE)</f>
        <v>Quercus muehlenbergii Engelm.</v>
      </c>
      <c r="Z209" t="s">
        <v>1387</v>
      </c>
      <c r="AB209" s="1">
        <f t="shared" si="25"/>
        <v>0.99990000000000001</v>
      </c>
      <c r="AD209" t="str">
        <f>IF(W209&lt;0.99,LARGE((N209:R209,U209,V209),2),"0")</f>
        <v>0</v>
      </c>
      <c r="AE209" t="str">
        <f t="shared" si="26"/>
        <v/>
      </c>
      <c r="AH209" t="str">
        <f t="shared" si="22"/>
        <v xml:space="preserve">Based on ADMIXTURE results of 78,187 SNPs, </v>
      </c>
    </row>
    <row r="210" spans="1:34" x14ac:dyDescent="0.4">
      <c r="A210">
        <v>198</v>
      </c>
      <c r="B210" t="s">
        <v>387</v>
      </c>
      <c r="C210" t="s">
        <v>21</v>
      </c>
      <c r="D210" t="s">
        <v>21</v>
      </c>
      <c r="E210" t="s">
        <v>21</v>
      </c>
      <c r="F210" t="s">
        <v>22</v>
      </c>
      <c r="G210" t="s">
        <v>21</v>
      </c>
      <c r="H210" t="s">
        <v>21</v>
      </c>
      <c r="I210" t="s">
        <v>21</v>
      </c>
      <c r="J210">
        <v>1</v>
      </c>
      <c r="K210">
        <v>0</v>
      </c>
      <c r="L210" t="s">
        <v>23</v>
      </c>
      <c r="M210" t="str">
        <f t="shared" si="23"/>
        <v>&gt;0.74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0.77239999999999998</v>
      </c>
      <c r="T210">
        <v>0.2276</v>
      </c>
      <c r="U210">
        <v>0</v>
      </c>
      <c r="V210">
        <v>0.99994000000000005</v>
      </c>
      <c r="W210" s="1">
        <f t="shared" si="24"/>
        <v>0.99994000000000005</v>
      </c>
      <c r="X210" t="s">
        <v>388</v>
      </c>
      <c r="Y210" t="str">
        <f>VLOOKUP(X210,Sheet1!A:B,2,FALSE)</f>
        <v>Quercus macrocarpa Michx.</v>
      </c>
      <c r="Z210" t="s">
        <v>1384</v>
      </c>
      <c r="AB210" s="1">
        <f t="shared" si="25"/>
        <v>0.99994000000000005</v>
      </c>
      <c r="AD210" t="str">
        <f>IF(W210&lt;0.99,LARGE((N210:R210,U210,V210),2),"0")</f>
        <v>0</v>
      </c>
      <c r="AE210" t="str">
        <f t="shared" si="26"/>
        <v/>
      </c>
      <c r="AH210" t="str">
        <f t="shared" si="22"/>
        <v xml:space="preserve">Based on ADMIXTURE results of 78,187 SNPs, </v>
      </c>
    </row>
    <row r="211" spans="1:34" x14ac:dyDescent="0.4">
      <c r="A211">
        <v>199</v>
      </c>
      <c r="B211" t="s">
        <v>389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22</v>
      </c>
      <c r="I211" t="s">
        <v>21</v>
      </c>
      <c r="J211">
        <v>1</v>
      </c>
      <c r="K211">
        <v>0</v>
      </c>
      <c r="L211" t="s">
        <v>23</v>
      </c>
      <c r="M211" t="str">
        <f t="shared" si="23"/>
        <v>&gt;0.74</v>
      </c>
      <c r="N211">
        <v>0</v>
      </c>
      <c r="O211">
        <v>0.99990000000000001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1">
        <v>2.0000000000000002E-5</v>
      </c>
      <c r="W211" s="1">
        <f t="shared" si="24"/>
        <v>0.99990000000000001</v>
      </c>
      <c r="X211" t="s">
        <v>390</v>
      </c>
      <c r="Y211" t="str">
        <f>VLOOKUP(X211,Sheet1!A:B,2,FALSE)</f>
        <v>Quercus muehlenbergii Engelm.</v>
      </c>
      <c r="Z211" t="s">
        <v>1387</v>
      </c>
      <c r="AB211" s="1">
        <f t="shared" si="25"/>
        <v>0.99990000000000001</v>
      </c>
      <c r="AD211" t="str">
        <f>IF(W211&lt;0.99,LARGE((N211:R211,U211,V211),2),"0")</f>
        <v>0</v>
      </c>
      <c r="AE211" t="str">
        <f t="shared" si="26"/>
        <v/>
      </c>
      <c r="AH211" t="str">
        <f t="shared" si="22"/>
        <v xml:space="preserve">Based on ADMIXTURE results of 78,187 SNPs, </v>
      </c>
    </row>
    <row r="212" spans="1:34" x14ac:dyDescent="0.4">
      <c r="A212">
        <v>200</v>
      </c>
      <c r="B212" t="s">
        <v>391</v>
      </c>
      <c r="C212" t="s">
        <v>21</v>
      </c>
      <c r="D212" t="s">
        <v>21</v>
      </c>
      <c r="E212" t="s">
        <v>21</v>
      </c>
      <c r="F212" t="s">
        <v>22</v>
      </c>
      <c r="G212" t="s">
        <v>21</v>
      </c>
      <c r="H212" t="s">
        <v>21</v>
      </c>
      <c r="I212" t="s">
        <v>21</v>
      </c>
      <c r="J212">
        <v>1</v>
      </c>
      <c r="K212">
        <v>0</v>
      </c>
      <c r="L212" t="s">
        <v>23</v>
      </c>
      <c r="M212" t="str">
        <f t="shared" si="23"/>
        <v>&gt;0.74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0.79169999999999996</v>
      </c>
      <c r="T212">
        <v>0.2082</v>
      </c>
      <c r="U212">
        <v>0</v>
      </c>
      <c r="V212">
        <v>0.99994000000000005</v>
      </c>
      <c r="W212" s="1">
        <f t="shared" si="24"/>
        <v>0.99994000000000005</v>
      </c>
      <c r="X212" t="s">
        <v>392</v>
      </c>
      <c r="Y212" t="str">
        <f>VLOOKUP(X212,Sheet1!A:B,2,FALSE)</f>
        <v>Quercus macrocarpa Michx.</v>
      </c>
      <c r="Z212" t="s">
        <v>1384</v>
      </c>
      <c r="AB212" s="1">
        <f t="shared" si="25"/>
        <v>0.99994000000000005</v>
      </c>
      <c r="AD212" t="str">
        <f>IF(W212&lt;0.99,LARGE((N212:R212,U212,V212),2),"0")</f>
        <v>0</v>
      </c>
      <c r="AE212" t="str">
        <f t="shared" si="26"/>
        <v/>
      </c>
      <c r="AH212" t="str">
        <f t="shared" si="22"/>
        <v xml:space="preserve">Based on ADMIXTURE results of 78,187 SNPs, </v>
      </c>
    </row>
    <row r="213" spans="1:34" x14ac:dyDescent="0.4">
      <c r="A213">
        <v>201</v>
      </c>
      <c r="B213" t="s">
        <v>393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22</v>
      </c>
      <c r="I213" t="s">
        <v>21</v>
      </c>
      <c r="J213">
        <v>1</v>
      </c>
      <c r="K213">
        <v>0</v>
      </c>
      <c r="L213" t="s">
        <v>23</v>
      </c>
      <c r="M213" t="str">
        <f t="shared" si="23"/>
        <v>&gt;0.74</v>
      </c>
      <c r="N213">
        <v>0</v>
      </c>
      <c r="O213">
        <v>0.99199999999999999</v>
      </c>
      <c r="P213">
        <v>0</v>
      </c>
      <c r="Q213">
        <v>0</v>
      </c>
      <c r="R213">
        <v>0</v>
      </c>
      <c r="S213">
        <v>0</v>
      </c>
      <c r="T213">
        <v>7.9000000000000008E-3</v>
      </c>
      <c r="U213">
        <v>0</v>
      </c>
      <c r="V213">
        <v>7.9290000000000003E-3</v>
      </c>
      <c r="W213" s="1">
        <f t="shared" si="24"/>
        <v>0.99199999999999999</v>
      </c>
      <c r="X213" t="s">
        <v>394</v>
      </c>
      <c r="Y213" t="str">
        <f>VLOOKUP(X213,Sheet1!A:B,2,FALSE)</f>
        <v>Quercus muehlenbergii Engelm.</v>
      </c>
      <c r="Z213" t="s">
        <v>1387</v>
      </c>
      <c r="AB213" s="1">
        <f t="shared" si="25"/>
        <v>0.99199999999999999</v>
      </c>
      <c r="AD213" t="str">
        <f>IF(W213&lt;0.99,LARGE((N213:R213,U213,V213),2),"0")</f>
        <v>0</v>
      </c>
      <c r="AE213" t="str">
        <f t="shared" si="26"/>
        <v/>
      </c>
      <c r="AH213" t="str">
        <f t="shared" si="22"/>
        <v xml:space="preserve">Based on ADMIXTURE results of 78,187 SNPs, </v>
      </c>
    </row>
    <row r="214" spans="1:34" x14ac:dyDescent="0.4">
      <c r="A214">
        <v>202</v>
      </c>
      <c r="B214" t="s">
        <v>395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22</v>
      </c>
      <c r="I214" t="s">
        <v>21</v>
      </c>
      <c r="J214">
        <v>1</v>
      </c>
      <c r="K214">
        <v>0</v>
      </c>
      <c r="L214" t="s">
        <v>23</v>
      </c>
      <c r="M214" t="str">
        <f t="shared" si="23"/>
        <v>&gt;0.74</v>
      </c>
      <c r="N214">
        <v>0</v>
      </c>
      <c r="O214">
        <v>0.99990000000000001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s="1">
        <v>2.0000000000000002E-5</v>
      </c>
      <c r="W214" s="1">
        <f t="shared" si="24"/>
        <v>0.99990000000000001</v>
      </c>
      <c r="X214" t="s">
        <v>396</v>
      </c>
      <c r="Y214" t="str">
        <f>VLOOKUP(X214,Sheet1!A:B,2,FALSE)</f>
        <v>Quercus muehlenbergii Engelm.</v>
      </c>
      <c r="Z214" t="s">
        <v>1387</v>
      </c>
      <c r="AB214" s="1">
        <f t="shared" si="25"/>
        <v>0.99990000000000001</v>
      </c>
      <c r="AD214" t="str">
        <f>IF(W214&lt;0.99,LARGE((N214:R214,U214,V214),2),"0")</f>
        <v>0</v>
      </c>
      <c r="AE214" t="str">
        <f t="shared" si="26"/>
        <v/>
      </c>
      <c r="AH214" t="str">
        <f t="shared" si="22"/>
        <v xml:space="preserve">Based on ADMIXTURE results of 78,187 SNPs, </v>
      </c>
    </row>
    <row r="215" spans="1:34" x14ac:dyDescent="0.4">
      <c r="A215">
        <v>203</v>
      </c>
      <c r="B215" t="s">
        <v>397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22</v>
      </c>
      <c r="I215" t="s">
        <v>21</v>
      </c>
      <c r="J215">
        <v>1</v>
      </c>
      <c r="K215">
        <v>0</v>
      </c>
      <c r="L215" t="s">
        <v>23</v>
      </c>
      <c r="M215" t="str">
        <f t="shared" si="23"/>
        <v>&gt;0.74</v>
      </c>
      <c r="N215">
        <v>0</v>
      </c>
      <c r="O215">
        <v>0.99990000000000001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1">
        <v>2.0000000000000002E-5</v>
      </c>
      <c r="W215" s="1">
        <f t="shared" si="24"/>
        <v>0.99990000000000001</v>
      </c>
      <c r="X215" t="s">
        <v>398</v>
      </c>
      <c r="Y215" t="str">
        <f>VLOOKUP(X215,Sheet1!A:B,2,FALSE)</f>
        <v>Quercus muehlenbergii Engelm.</v>
      </c>
      <c r="Z215" t="s">
        <v>1387</v>
      </c>
      <c r="AB215" s="1">
        <f t="shared" si="25"/>
        <v>0.99990000000000001</v>
      </c>
      <c r="AD215" t="str">
        <f>IF(W215&lt;0.99,LARGE((N215:R215,U215,V215),2),"0")</f>
        <v>0</v>
      </c>
      <c r="AE215" t="str">
        <f t="shared" si="26"/>
        <v/>
      </c>
      <c r="AH215" t="str">
        <f t="shared" si="22"/>
        <v xml:space="preserve">Based on ADMIXTURE results of 78,187 SNPs, </v>
      </c>
    </row>
    <row r="216" spans="1:34" x14ac:dyDescent="0.4">
      <c r="A216">
        <v>204</v>
      </c>
      <c r="B216" t="s">
        <v>399</v>
      </c>
      <c r="C216" t="s">
        <v>21</v>
      </c>
      <c r="D216" t="s">
        <v>21</v>
      </c>
      <c r="E216" t="s">
        <v>21</v>
      </c>
      <c r="F216" t="s">
        <v>22</v>
      </c>
      <c r="G216" t="s">
        <v>21</v>
      </c>
      <c r="H216" t="s">
        <v>21</v>
      </c>
      <c r="I216" t="s">
        <v>21</v>
      </c>
      <c r="J216">
        <v>1</v>
      </c>
      <c r="K216">
        <v>0</v>
      </c>
      <c r="L216" t="s">
        <v>23</v>
      </c>
      <c r="M216" t="str">
        <f t="shared" si="23"/>
        <v>&gt;0.74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0.77829999999999999</v>
      </c>
      <c r="T216">
        <v>0.22159999999999999</v>
      </c>
      <c r="U216">
        <v>0</v>
      </c>
      <c r="V216">
        <v>0.99994000000000005</v>
      </c>
      <c r="W216" s="1">
        <f t="shared" si="24"/>
        <v>0.99994000000000005</v>
      </c>
      <c r="X216" t="s">
        <v>400</v>
      </c>
      <c r="Y216" t="str">
        <f>VLOOKUP(X216,Sheet1!A:B,2,FALSE)</f>
        <v>Quercus macrocarpa Michx.</v>
      </c>
      <c r="Z216" t="s">
        <v>1384</v>
      </c>
      <c r="AB216" s="1">
        <f t="shared" si="25"/>
        <v>0.99994000000000005</v>
      </c>
      <c r="AD216" t="str">
        <f>IF(W216&lt;0.99,LARGE((N216:R216,U216,V216),2),"0")</f>
        <v>0</v>
      </c>
      <c r="AE216" t="str">
        <f t="shared" si="26"/>
        <v/>
      </c>
      <c r="AH216" t="str">
        <f t="shared" si="22"/>
        <v xml:space="preserve">Based on ADMIXTURE results of 78,187 SNPs, </v>
      </c>
    </row>
    <row r="217" spans="1:34" x14ac:dyDescent="0.4">
      <c r="A217">
        <v>205</v>
      </c>
      <c r="B217" t="s">
        <v>401</v>
      </c>
      <c r="C217" t="s">
        <v>21</v>
      </c>
      <c r="D217" t="s">
        <v>21</v>
      </c>
      <c r="E217" t="s">
        <v>21</v>
      </c>
      <c r="F217" t="s">
        <v>22</v>
      </c>
      <c r="G217" t="s">
        <v>21</v>
      </c>
      <c r="H217" t="s">
        <v>21</v>
      </c>
      <c r="I217" t="s">
        <v>21</v>
      </c>
      <c r="J217">
        <v>1</v>
      </c>
      <c r="K217">
        <v>0</v>
      </c>
      <c r="L217" t="s">
        <v>23</v>
      </c>
      <c r="M217" t="str">
        <f t="shared" si="23"/>
        <v>&gt;0.74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0.74239999999999995</v>
      </c>
      <c r="T217">
        <v>0.25750000000000001</v>
      </c>
      <c r="U217">
        <v>0</v>
      </c>
      <c r="V217">
        <v>0.99994000000000005</v>
      </c>
      <c r="W217" s="1">
        <f t="shared" si="24"/>
        <v>0.99994000000000005</v>
      </c>
      <c r="X217" t="s">
        <v>402</v>
      </c>
      <c r="Y217" t="str">
        <f>VLOOKUP(X217,Sheet1!A:B,2,FALSE)</f>
        <v>Quercus macrocarpa Michx.</v>
      </c>
      <c r="Z217" t="s">
        <v>1384</v>
      </c>
      <c r="AB217" s="1">
        <f t="shared" si="25"/>
        <v>0.99994000000000005</v>
      </c>
      <c r="AD217" t="str">
        <f>IF(W217&lt;0.99,LARGE((N217:R217,U217,V217),2),"0")</f>
        <v>0</v>
      </c>
      <c r="AE217" t="str">
        <f t="shared" si="26"/>
        <v/>
      </c>
      <c r="AH217" t="str">
        <f t="shared" si="22"/>
        <v xml:space="preserve">Based on ADMIXTURE results of 78,187 SNPs, </v>
      </c>
    </row>
    <row r="218" spans="1:34" x14ac:dyDescent="0.4">
      <c r="A218">
        <v>206</v>
      </c>
      <c r="B218" t="s">
        <v>403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22</v>
      </c>
      <c r="I218" t="s">
        <v>21</v>
      </c>
      <c r="J218">
        <v>1</v>
      </c>
      <c r="K218">
        <v>0</v>
      </c>
      <c r="L218" t="s">
        <v>23</v>
      </c>
      <c r="M218" t="str">
        <f t="shared" si="23"/>
        <v>&gt;0.74</v>
      </c>
      <c r="N218">
        <v>0</v>
      </c>
      <c r="O218">
        <v>0.99990000000000001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1">
        <v>2.0000000000000002E-5</v>
      </c>
      <c r="W218" s="1">
        <f t="shared" si="24"/>
        <v>0.99990000000000001</v>
      </c>
      <c r="X218" t="s">
        <v>404</v>
      </c>
      <c r="Y218" t="str">
        <f>VLOOKUP(X218,Sheet1!A:B,2,FALSE)</f>
        <v>Quercus muehlenbergii Engelm.</v>
      </c>
      <c r="Z218" t="s">
        <v>1387</v>
      </c>
      <c r="AB218" s="1">
        <f t="shared" si="25"/>
        <v>0.99990000000000001</v>
      </c>
      <c r="AD218" t="str">
        <f>IF(W218&lt;0.99,LARGE((N218:R218,U218,V218),2),"0")</f>
        <v>0</v>
      </c>
      <c r="AE218" t="str">
        <f t="shared" si="26"/>
        <v/>
      </c>
      <c r="AH218" t="str">
        <f t="shared" si="22"/>
        <v xml:space="preserve">Based on ADMIXTURE results of 78,187 SNPs, </v>
      </c>
    </row>
    <row r="219" spans="1:34" x14ac:dyDescent="0.4">
      <c r="A219">
        <v>207</v>
      </c>
      <c r="B219" t="s">
        <v>405</v>
      </c>
      <c r="C219" t="s">
        <v>21</v>
      </c>
      <c r="D219" t="s">
        <v>21</v>
      </c>
      <c r="E219" t="s">
        <v>21</v>
      </c>
      <c r="F219" t="s">
        <v>22</v>
      </c>
      <c r="G219" t="s">
        <v>21</v>
      </c>
      <c r="H219" t="s">
        <v>21</v>
      </c>
      <c r="I219" t="s">
        <v>21</v>
      </c>
      <c r="J219">
        <v>1</v>
      </c>
      <c r="K219">
        <v>0</v>
      </c>
      <c r="L219" t="s">
        <v>23</v>
      </c>
      <c r="M219" t="str">
        <f t="shared" si="23"/>
        <v>&gt;0.74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</v>
      </c>
      <c r="T219">
        <v>0.17</v>
      </c>
      <c r="U219">
        <v>0</v>
      </c>
      <c r="V219">
        <v>0.99994000000000005</v>
      </c>
      <c r="W219" s="1">
        <f t="shared" si="24"/>
        <v>0.99994000000000005</v>
      </c>
      <c r="X219" t="s">
        <v>406</v>
      </c>
      <c r="Y219" t="str">
        <f>VLOOKUP(X219,Sheet1!A:B,2,FALSE)</f>
        <v>Quercus macrocarpa Michx.</v>
      </c>
      <c r="Z219" t="s">
        <v>1384</v>
      </c>
      <c r="AB219" s="1">
        <f t="shared" si="25"/>
        <v>0.99994000000000005</v>
      </c>
      <c r="AD219" t="str">
        <f>IF(W219&lt;0.99,LARGE((N219:R219,U219,V219),2),"0")</f>
        <v>0</v>
      </c>
      <c r="AE219" t="str">
        <f t="shared" si="26"/>
        <v/>
      </c>
      <c r="AH219" t="str">
        <f t="shared" si="22"/>
        <v xml:space="preserve">Based on ADMIXTURE results of 78,187 SNPs, </v>
      </c>
    </row>
    <row r="220" spans="1:34" x14ac:dyDescent="0.4">
      <c r="A220">
        <v>195</v>
      </c>
      <c r="B220" t="s">
        <v>381</v>
      </c>
      <c r="C220" t="s">
        <v>21</v>
      </c>
      <c r="D220" t="s">
        <v>21</v>
      </c>
      <c r="E220" t="s">
        <v>21</v>
      </c>
      <c r="F220" t="s">
        <v>22</v>
      </c>
      <c r="G220" t="s">
        <v>21</v>
      </c>
      <c r="H220" t="s">
        <v>21</v>
      </c>
      <c r="I220" t="s">
        <v>21</v>
      </c>
      <c r="J220">
        <v>1</v>
      </c>
      <c r="K220">
        <v>0</v>
      </c>
      <c r="L220" t="s">
        <v>23</v>
      </c>
      <c r="M220" t="str">
        <f t="shared" si="23"/>
        <v>&gt;0.74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0.69499999999999995</v>
      </c>
      <c r="T220">
        <v>0.3049</v>
      </c>
      <c r="U220">
        <v>0</v>
      </c>
      <c r="V220">
        <v>0.99994000000000005</v>
      </c>
      <c r="W220" s="1">
        <f t="shared" si="24"/>
        <v>0.99994000000000005</v>
      </c>
      <c r="X220" t="s">
        <v>382</v>
      </c>
      <c r="Y220" t="str">
        <f>VLOOKUP(X220,Sheet1!A:B,2,FALSE)</f>
        <v>Quercus macrocarpa Michx.</v>
      </c>
      <c r="Z220" t="s">
        <v>1384</v>
      </c>
      <c r="AB220" s="1">
        <f t="shared" si="25"/>
        <v>0.99994000000000005</v>
      </c>
      <c r="AD220" t="str">
        <f>IF(W220&lt;0.99,LARGE((N220:R220,U220,V220),2),"0")</f>
        <v>0</v>
      </c>
      <c r="AE220" t="str">
        <f t="shared" si="26"/>
        <v/>
      </c>
      <c r="AH220" t="str">
        <f t="shared" si="22"/>
        <v xml:space="preserve">Based on ADMIXTURE results of 78,187 SNPs, </v>
      </c>
    </row>
    <row r="221" spans="1:34" x14ac:dyDescent="0.4">
      <c r="A221">
        <v>196</v>
      </c>
      <c r="B221" t="s">
        <v>383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22</v>
      </c>
      <c r="I221" t="s">
        <v>21</v>
      </c>
      <c r="J221">
        <v>1</v>
      </c>
      <c r="K221">
        <v>0</v>
      </c>
      <c r="L221" t="s">
        <v>23</v>
      </c>
      <c r="M221" t="str">
        <f t="shared" si="23"/>
        <v>&gt;0.74</v>
      </c>
      <c r="N221">
        <v>0</v>
      </c>
      <c r="O221">
        <v>0.99990000000000001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1">
        <v>2.0000000000000002E-5</v>
      </c>
      <c r="W221" s="1">
        <f t="shared" si="24"/>
        <v>0.99990000000000001</v>
      </c>
      <c r="X221" t="s">
        <v>384</v>
      </c>
      <c r="Y221" t="str">
        <f>VLOOKUP(X221,Sheet1!A:B,2,FALSE)</f>
        <v>Quercus muehlenbergii Engelm.</v>
      </c>
      <c r="Z221" t="s">
        <v>1387</v>
      </c>
      <c r="AB221" s="1">
        <f t="shared" si="25"/>
        <v>0.99990000000000001</v>
      </c>
      <c r="AD221" t="str">
        <f>IF(W221&lt;0.99,LARGE((N221:R221,U221,V221),2),"0")</f>
        <v>0</v>
      </c>
      <c r="AE221" t="str">
        <f t="shared" si="26"/>
        <v/>
      </c>
      <c r="AH221" t="str">
        <f t="shared" si="22"/>
        <v xml:space="preserve">Based on ADMIXTURE results of 78,187 SNPs, </v>
      </c>
    </row>
    <row r="222" spans="1:34" x14ac:dyDescent="0.4">
      <c r="A222">
        <v>197</v>
      </c>
      <c r="B222" t="s">
        <v>385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22</v>
      </c>
      <c r="I222" t="s">
        <v>21</v>
      </c>
      <c r="J222">
        <v>1</v>
      </c>
      <c r="K222">
        <v>0</v>
      </c>
      <c r="L222" t="s">
        <v>23</v>
      </c>
      <c r="M222" t="str">
        <f t="shared" si="23"/>
        <v>&gt;0.74</v>
      </c>
      <c r="N222">
        <v>0</v>
      </c>
      <c r="O222">
        <v>0.99990000000000001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1">
        <v>2.0000000000000002E-5</v>
      </c>
      <c r="W222" s="1">
        <f t="shared" si="24"/>
        <v>0.99990000000000001</v>
      </c>
      <c r="X222" t="s">
        <v>386</v>
      </c>
      <c r="Y222" t="str">
        <f>VLOOKUP(X222,Sheet1!A:B,2,FALSE)</f>
        <v>Quercus muehlenbergii Engelm.</v>
      </c>
      <c r="Z222" t="s">
        <v>1387</v>
      </c>
      <c r="AB222" s="1">
        <f t="shared" si="25"/>
        <v>0.99990000000000001</v>
      </c>
      <c r="AD222" t="str">
        <f>IF(W222&lt;0.99,LARGE((N222:R222,U222,V222),2),"0")</f>
        <v>0</v>
      </c>
      <c r="AE222" t="str">
        <f t="shared" si="26"/>
        <v/>
      </c>
      <c r="AH222" t="str">
        <f t="shared" si="22"/>
        <v xml:space="preserve">Based on ADMIXTURE results of 78,187 SNPs, </v>
      </c>
    </row>
    <row r="223" spans="1:34" x14ac:dyDescent="0.4">
      <c r="A223">
        <v>233</v>
      </c>
      <c r="B223" t="s">
        <v>457</v>
      </c>
      <c r="C223" t="s">
        <v>21</v>
      </c>
      <c r="D223" t="s">
        <v>21</v>
      </c>
      <c r="E223" t="s">
        <v>21</v>
      </c>
      <c r="F223" t="s">
        <v>22</v>
      </c>
      <c r="G223" t="s">
        <v>21</v>
      </c>
      <c r="H223" t="s">
        <v>21</v>
      </c>
      <c r="I223" t="s">
        <v>21</v>
      </c>
      <c r="J223">
        <v>1</v>
      </c>
      <c r="K223">
        <v>0</v>
      </c>
      <c r="L223" t="s">
        <v>23</v>
      </c>
      <c r="M223" t="str">
        <f t="shared" si="23"/>
        <v>&gt;0.74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0.99990000000000001</v>
      </c>
      <c r="T223">
        <v>0</v>
      </c>
      <c r="U223">
        <v>0</v>
      </c>
      <c r="V223">
        <v>0.99994000000000005</v>
      </c>
      <c r="W223" s="1">
        <f t="shared" si="24"/>
        <v>0.99994000000000005</v>
      </c>
      <c r="X223" t="s">
        <v>458</v>
      </c>
      <c r="Y223" t="str">
        <f>VLOOKUP(X223,Sheet1!A:B,2,FALSE)</f>
        <v>Quercus macrocarpa Michx.</v>
      </c>
      <c r="Z223" t="s">
        <v>1384</v>
      </c>
      <c r="AB223" s="1">
        <f t="shared" si="25"/>
        <v>0.99994000000000005</v>
      </c>
      <c r="AD223" t="str">
        <f>IF(W223&lt;0.99,LARGE((N223:R223,U223,V223),2),"0")</f>
        <v>0</v>
      </c>
      <c r="AE223" t="str">
        <f t="shared" si="26"/>
        <v/>
      </c>
      <c r="AH223" t="str">
        <f t="shared" si="22"/>
        <v xml:space="preserve">Based on ADMIXTURE results of 78,187 SNPs, </v>
      </c>
    </row>
    <row r="224" spans="1:34" x14ac:dyDescent="0.4">
      <c r="A224">
        <v>234</v>
      </c>
      <c r="B224" t="s">
        <v>459</v>
      </c>
      <c r="C224" t="s">
        <v>21</v>
      </c>
      <c r="D224" t="s">
        <v>21</v>
      </c>
      <c r="E224" t="s">
        <v>21</v>
      </c>
      <c r="F224" t="s">
        <v>22</v>
      </c>
      <c r="G224" t="s">
        <v>21</v>
      </c>
      <c r="H224" t="s">
        <v>21</v>
      </c>
      <c r="I224" t="s">
        <v>21</v>
      </c>
      <c r="J224">
        <v>1</v>
      </c>
      <c r="K224">
        <v>0</v>
      </c>
      <c r="L224" t="s">
        <v>23</v>
      </c>
      <c r="M224" t="str">
        <f t="shared" si="23"/>
        <v>&gt;0.74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0.99990000000000001</v>
      </c>
      <c r="T224">
        <v>0</v>
      </c>
      <c r="U224">
        <v>0</v>
      </c>
      <c r="V224">
        <v>0.99994000000000005</v>
      </c>
      <c r="W224" s="1">
        <f t="shared" si="24"/>
        <v>0.99994000000000005</v>
      </c>
      <c r="X224" t="s">
        <v>460</v>
      </c>
      <c r="Y224" t="str">
        <f>VLOOKUP(X224,Sheet1!A:B,2,FALSE)</f>
        <v>Quercus macrocarpa Michx.</v>
      </c>
      <c r="Z224" t="s">
        <v>1384</v>
      </c>
      <c r="AB224" s="1">
        <f t="shared" si="25"/>
        <v>0.99994000000000005</v>
      </c>
      <c r="AD224" t="str">
        <f>IF(W224&lt;0.99,LARGE((N224:R224,U224,V224),2),"0")</f>
        <v>0</v>
      </c>
      <c r="AE224" t="str">
        <f t="shared" si="26"/>
        <v/>
      </c>
      <c r="AH224" t="str">
        <f t="shared" si="22"/>
        <v xml:space="preserve">Based on ADMIXTURE results of 78,187 SNPs, </v>
      </c>
    </row>
    <row r="225" spans="1:34" x14ac:dyDescent="0.4">
      <c r="A225">
        <v>235</v>
      </c>
      <c r="B225" t="s">
        <v>461</v>
      </c>
      <c r="C225" t="s">
        <v>21</v>
      </c>
      <c r="D225" t="s">
        <v>21</v>
      </c>
      <c r="E225" t="s">
        <v>21</v>
      </c>
      <c r="F225" t="s">
        <v>22</v>
      </c>
      <c r="G225" t="s">
        <v>21</v>
      </c>
      <c r="H225" t="s">
        <v>21</v>
      </c>
      <c r="I225" t="s">
        <v>21</v>
      </c>
      <c r="J225">
        <v>1</v>
      </c>
      <c r="K225">
        <v>0</v>
      </c>
      <c r="L225" t="s">
        <v>23</v>
      </c>
      <c r="M225" t="str">
        <f t="shared" si="23"/>
        <v>&gt;0.74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0.93310000000000004</v>
      </c>
      <c r="T225">
        <v>6.6900000000000001E-2</v>
      </c>
      <c r="U225">
        <v>0</v>
      </c>
      <c r="V225">
        <v>0.99994000000000005</v>
      </c>
      <c r="W225" s="1">
        <f t="shared" si="24"/>
        <v>0.99994000000000005</v>
      </c>
      <c r="X225" t="s">
        <v>462</v>
      </c>
      <c r="Y225" t="str">
        <f>VLOOKUP(X225,Sheet1!A:B,2,FALSE)</f>
        <v>Quercus macrocarpa Michx.</v>
      </c>
      <c r="Z225" t="s">
        <v>1384</v>
      </c>
      <c r="AB225" s="1">
        <f t="shared" si="25"/>
        <v>0.99994000000000005</v>
      </c>
      <c r="AD225" t="str">
        <f>IF(W225&lt;0.99,LARGE((N225:R225,U225,V225),2),"0")</f>
        <v>0</v>
      </c>
      <c r="AE225" t="str">
        <f t="shared" si="26"/>
        <v/>
      </c>
      <c r="AH225" t="str">
        <f t="shared" si="22"/>
        <v xml:space="preserve">Based on ADMIXTURE results of 78,187 SNPs, </v>
      </c>
    </row>
    <row r="226" spans="1:34" x14ac:dyDescent="0.4">
      <c r="A226">
        <v>236</v>
      </c>
      <c r="B226" t="s">
        <v>463</v>
      </c>
      <c r="C226" t="s">
        <v>21</v>
      </c>
      <c r="D226" t="s">
        <v>21</v>
      </c>
      <c r="E226" t="s">
        <v>21</v>
      </c>
      <c r="F226" t="s">
        <v>22</v>
      </c>
      <c r="G226" t="s">
        <v>21</v>
      </c>
      <c r="H226" t="s">
        <v>21</v>
      </c>
      <c r="I226" t="s">
        <v>21</v>
      </c>
      <c r="J226">
        <v>1</v>
      </c>
      <c r="K226">
        <v>0</v>
      </c>
      <c r="L226" t="s">
        <v>23</v>
      </c>
      <c r="M226" t="str">
        <f t="shared" si="23"/>
        <v>&gt;0.74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0.99590000000000001</v>
      </c>
      <c r="T226">
        <v>4.1000000000000003E-3</v>
      </c>
      <c r="U226">
        <v>0</v>
      </c>
      <c r="V226">
        <v>0.99993900000000002</v>
      </c>
      <c r="W226" s="1">
        <f t="shared" si="24"/>
        <v>0.99993900000000002</v>
      </c>
      <c r="X226" t="s">
        <v>464</v>
      </c>
      <c r="Y226" t="str">
        <f>VLOOKUP(X226,Sheet1!A:B,2,FALSE)</f>
        <v>Quercus macrocarpa Michx.</v>
      </c>
      <c r="Z226" t="s">
        <v>1384</v>
      </c>
      <c r="AB226" s="1">
        <f t="shared" si="25"/>
        <v>0.99993900000000002</v>
      </c>
      <c r="AD226" t="str">
        <f>IF(W226&lt;0.99,LARGE((N226:R226,U226,V226),2),"0")</f>
        <v>0</v>
      </c>
      <c r="AE226" t="str">
        <f t="shared" si="26"/>
        <v/>
      </c>
      <c r="AH226" t="str">
        <f t="shared" si="22"/>
        <v xml:space="preserve">Based on ADMIXTURE results of 78,187 SNPs, </v>
      </c>
    </row>
    <row r="227" spans="1:34" x14ac:dyDescent="0.4">
      <c r="A227">
        <v>237</v>
      </c>
      <c r="B227" t="s">
        <v>465</v>
      </c>
      <c r="C227" t="s">
        <v>21</v>
      </c>
      <c r="D227" t="s">
        <v>21</v>
      </c>
      <c r="E227" t="s">
        <v>21</v>
      </c>
      <c r="F227" t="s">
        <v>22</v>
      </c>
      <c r="G227" t="s">
        <v>21</v>
      </c>
      <c r="H227" t="s">
        <v>21</v>
      </c>
      <c r="I227" t="s">
        <v>21</v>
      </c>
      <c r="J227">
        <v>1</v>
      </c>
      <c r="K227">
        <v>0</v>
      </c>
      <c r="L227" t="s">
        <v>23</v>
      </c>
      <c r="M227" t="str">
        <f t="shared" si="23"/>
        <v>&gt;0.74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0.97629999999999995</v>
      </c>
      <c r="T227">
        <v>2.3699999999999999E-2</v>
      </c>
      <c r="U227">
        <v>0</v>
      </c>
      <c r="V227">
        <v>0.99993799999999999</v>
      </c>
      <c r="W227" s="1">
        <f t="shared" si="24"/>
        <v>0.99993799999999999</v>
      </c>
      <c r="X227" t="s">
        <v>466</v>
      </c>
      <c r="Y227" t="str">
        <f>VLOOKUP(X227,Sheet1!A:B,2,FALSE)</f>
        <v>Quercus macrocarpa Michx.</v>
      </c>
      <c r="Z227" t="s">
        <v>1384</v>
      </c>
      <c r="AB227" s="1">
        <f t="shared" si="25"/>
        <v>0.99993799999999999</v>
      </c>
      <c r="AD227" t="str">
        <f>IF(W227&lt;0.99,LARGE((N227:R227,U227,V227),2),"0")</f>
        <v>0</v>
      </c>
      <c r="AE227" t="str">
        <f t="shared" si="26"/>
        <v/>
      </c>
      <c r="AH227" t="str">
        <f t="shared" si="22"/>
        <v xml:space="preserve">Based on ADMIXTURE results of 78,187 SNPs, </v>
      </c>
    </row>
    <row r="228" spans="1:34" x14ac:dyDescent="0.4">
      <c r="A228">
        <v>218</v>
      </c>
      <c r="B228" t="s">
        <v>427</v>
      </c>
      <c r="C228" t="s">
        <v>21</v>
      </c>
      <c r="D228" t="s">
        <v>21</v>
      </c>
      <c r="E228" t="s">
        <v>21</v>
      </c>
      <c r="F228" t="s">
        <v>21</v>
      </c>
      <c r="G228" t="s">
        <v>22</v>
      </c>
      <c r="H228" t="s">
        <v>21</v>
      </c>
      <c r="I228" t="s">
        <v>21</v>
      </c>
      <c r="J228">
        <v>1</v>
      </c>
      <c r="K228">
        <v>0</v>
      </c>
      <c r="L228" t="s">
        <v>23</v>
      </c>
      <c r="M228" t="str">
        <f t="shared" si="23"/>
        <v>&gt;0.74</v>
      </c>
      <c r="N228">
        <v>0</v>
      </c>
      <c r="O228">
        <v>0</v>
      </c>
      <c r="P228">
        <v>7.1999999999999998E-3</v>
      </c>
      <c r="Q228">
        <v>0</v>
      </c>
      <c r="R228">
        <v>0</v>
      </c>
      <c r="S228">
        <v>0</v>
      </c>
      <c r="T228">
        <v>0</v>
      </c>
      <c r="U228">
        <v>0.99270000000000003</v>
      </c>
      <c r="V228" s="1">
        <v>2.0000000000000002E-5</v>
      </c>
      <c r="W228" s="1">
        <f t="shared" si="24"/>
        <v>0.99270000000000003</v>
      </c>
      <c r="X228" t="s">
        <v>428</v>
      </c>
      <c r="Y228" t="str">
        <f>VLOOKUP(X228,Sheet1!A:B,2,FALSE)</f>
        <v>Quercus michauxii Nutt.</v>
      </c>
      <c r="Z228" t="s">
        <v>1389</v>
      </c>
      <c r="AB228" s="1">
        <f t="shared" si="25"/>
        <v>0.99270000000000003</v>
      </c>
      <c r="AD228" t="str">
        <f>IF(W228&lt;0.99,LARGE((N228:R228,U228,V228),2),"0")</f>
        <v>0</v>
      </c>
      <c r="AE228" t="str">
        <f t="shared" si="26"/>
        <v/>
      </c>
      <c r="AH228" t="str">
        <f t="shared" si="22"/>
        <v xml:space="preserve">Based on ADMIXTURE results of 78,187 SNPs, </v>
      </c>
    </row>
    <row r="229" spans="1:34" x14ac:dyDescent="0.4">
      <c r="A229">
        <v>219</v>
      </c>
      <c r="B229" t="s">
        <v>429</v>
      </c>
      <c r="C229" t="s">
        <v>21</v>
      </c>
      <c r="D229" t="s">
        <v>22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>
        <v>1</v>
      </c>
      <c r="K229">
        <v>0</v>
      </c>
      <c r="L229" t="s">
        <v>23</v>
      </c>
      <c r="M229" t="str">
        <f t="shared" si="23"/>
        <v>&gt;0.74</v>
      </c>
      <c r="N229">
        <v>0</v>
      </c>
      <c r="O229">
        <v>0</v>
      </c>
      <c r="P229">
        <v>0</v>
      </c>
      <c r="Q229">
        <v>0.99990000000000001</v>
      </c>
      <c r="R229">
        <v>0</v>
      </c>
      <c r="S229">
        <v>0</v>
      </c>
      <c r="T229">
        <v>0</v>
      </c>
      <c r="U229">
        <v>0</v>
      </c>
      <c r="V229" s="1">
        <v>2.0000000000000002E-5</v>
      </c>
      <c r="W229" s="1">
        <f t="shared" si="24"/>
        <v>0.99990000000000001</v>
      </c>
      <c r="X229" t="s">
        <v>430</v>
      </c>
      <c r="Y229" t="str">
        <f>VLOOKUP(X229,Sheet1!A:B,2,FALSE)</f>
        <v>Quercus lyrata Walt.</v>
      </c>
      <c r="Z229" t="s">
        <v>1383</v>
      </c>
      <c r="AB229" s="1">
        <f t="shared" si="25"/>
        <v>0.99990000000000001</v>
      </c>
      <c r="AD229" t="str">
        <f>IF(W229&lt;0.99,LARGE((N229:R229,U229,V229),2),"0")</f>
        <v>0</v>
      </c>
      <c r="AE229" t="str">
        <f t="shared" si="26"/>
        <v/>
      </c>
      <c r="AH229" t="str">
        <f t="shared" si="22"/>
        <v xml:space="preserve">Based on ADMIXTURE results of 78,187 SNPs, </v>
      </c>
    </row>
    <row r="230" spans="1:34" x14ac:dyDescent="0.4">
      <c r="A230">
        <v>220</v>
      </c>
      <c r="B230" t="s">
        <v>431</v>
      </c>
      <c r="C230" t="s">
        <v>21</v>
      </c>
      <c r="D230" t="s">
        <v>25</v>
      </c>
      <c r="E230" t="s">
        <v>21</v>
      </c>
      <c r="F230" t="s">
        <v>21</v>
      </c>
      <c r="G230" t="s">
        <v>25</v>
      </c>
      <c r="H230" t="s">
        <v>21</v>
      </c>
      <c r="I230" t="s">
        <v>21</v>
      </c>
      <c r="J230">
        <v>0</v>
      </c>
      <c r="K230">
        <v>2</v>
      </c>
      <c r="L230" t="s">
        <v>26</v>
      </c>
      <c r="M230" t="str">
        <f t="shared" si="23"/>
        <v>F1</v>
      </c>
      <c r="N230">
        <v>0</v>
      </c>
      <c r="O230">
        <v>0</v>
      </c>
      <c r="P230">
        <v>4.7800000000000002E-2</v>
      </c>
      <c r="Q230">
        <v>0.44419999999999998</v>
      </c>
      <c r="R230">
        <v>0</v>
      </c>
      <c r="S230">
        <v>0</v>
      </c>
      <c r="T230">
        <v>0</v>
      </c>
      <c r="U230">
        <v>0.50790000000000002</v>
      </c>
      <c r="V230" s="1">
        <v>2.0000000000000002E-5</v>
      </c>
      <c r="W230" s="1">
        <f t="shared" si="24"/>
        <v>0.50790000000000002</v>
      </c>
      <c r="X230" s="2" t="s">
        <v>432</v>
      </c>
      <c r="Y230" t="str">
        <f>VLOOKUP(X230,Sheet1!A:B,2,FALSE)</f>
        <v>Quercus michauxii Nutt.</v>
      </c>
      <c r="Z230" t="s">
        <v>1425</v>
      </c>
      <c r="AB230" s="1">
        <f t="shared" si="25"/>
        <v>0.50790000000000002</v>
      </c>
      <c r="AD230">
        <f>IF(W230&lt;0.99,LARGE((N230:R230,U230,V230),2),"0")</f>
        <v>0.44419999999999998</v>
      </c>
      <c r="AE230" t="str">
        <f>IF(AND(AB230&lt;0.99,AD230&gt;0.1,AB230&gt;0.6),"admixed with",IF(AND(AB230&lt;0.99,AD230&gt;0.01,AD230&lt;0.4),"trace admixed with ",""))</f>
        <v/>
      </c>
      <c r="AH230" t="str">
        <f t="shared" si="22"/>
        <v xml:space="preserve">Based on ADMIXTURE results of 78,187 SNPs, </v>
      </c>
    </row>
    <row r="231" spans="1:34" x14ac:dyDescent="0.4">
      <c r="A231">
        <v>221</v>
      </c>
      <c r="B231" t="s">
        <v>433</v>
      </c>
      <c r="C231" t="s">
        <v>21</v>
      </c>
      <c r="D231" t="s">
        <v>21</v>
      </c>
      <c r="E231" t="s">
        <v>21</v>
      </c>
      <c r="F231" t="s">
        <v>21</v>
      </c>
      <c r="G231" t="s">
        <v>22</v>
      </c>
      <c r="H231" t="s">
        <v>21</v>
      </c>
      <c r="I231" t="s">
        <v>21</v>
      </c>
      <c r="J231">
        <v>1</v>
      </c>
      <c r="K231">
        <v>0</v>
      </c>
      <c r="L231" t="s">
        <v>23</v>
      </c>
      <c r="M231" t="str">
        <f t="shared" si="23"/>
        <v>&gt;0.74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0.99990000000000001</v>
      </c>
      <c r="V231" s="1">
        <v>2.0000000000000002E-5</v>
      </c>
      <c r="W231" s="1">
        <f t="shared" si="24"/>
        <v>0.99990000000000001</v>
      </c>
      <c r="X231" t="s">
        <v>434</v>
      </c>
      <c r="Y231" t="str">
        <f>VLOOKUP(X231,Sheet1!A:B,2,FALSE)</f>
        <v>Quercus michauxii Nutt.</v>
      </c>
      <c r="Z231" t="s">
        <v>1389</v>
      </c>
      <c r="AB231" s="1">
        <f t="shared" si="25"/>
        <v>0.99990000000000001</v>
      </c>
      <c r="AD231" t="str">
        <f>IF(W231&lt;0.99,LARGE((N231:R231,U231,V231),2),"0")</f>
        <v>0</v>
      </c>
      <c r="AE231" t="str">
        <f>IF(AND(AB231&lt;0.99,AD231&gt;0.1),"admixed with",IF(AND(AB231&lt;0.99,AD231&gt;0.01),"trace admixed with ",""))</f>
        <v/>
      </c>
      <c r="AH231" t="str">
        <f t="shared" si="22"/>
        <v xml:space="preserve">Based on ADMIXTURE results of 78,187 SNPs, </v>
      </c>
    </row>
    <row r="232" spans="1:34" x14ac:dyDescent="0.4">
      <c r="A232">
        <v>222</v>
      </c>
      <c r="B232" t="s">
        <v>435</v>
      </c>
      <c r="C232" t="s">
        <v>21</v>
      </c>
      <c r="D232" t="s">
        <v>22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>
        <v>1</v>
      </c>
      <c r="K232">
        <v>0</v>
      </c>
      <c r="L232" t="s">
        <v>23</v>
      </c>
      <c r="M232" t="str">
        <f t="shared" si="23"/>
        <v>&gt;0.74</v>
      </c>
      <c r="N232">
        <v>0</v>
      </c>
      <c r="O232">
        <v>0</v>
      </c>
      <c r="P232">
        <v>0</v>
      </c>
      <c r="Q232">
        <v>0.99990000000000001</v>
      </c>
      <c r="R232">
        <v>0</v>
      </c>
      <c r="S232">
        <v>0</v>
      </c>
      <c r="T232">
        <v>0</v>
      </c>
      <c r="U232">
        <v>0</v>
      </c>
      <c r="V232" s="1">
        <v>2.0000000000000002E-5</v>
      </c>
      <c r="W232" s="1">
        <f t="shared" si="24"/>
        <v>0.99990000000000001</v>
      </c>
      <c r="X232" t="s">
        <v>436</v>
      </c>
      <c r="Y232" t="str">
        <f>VLOOKUP(X232,Sheet1!A:B,2,FALSE)</f>
        <v>Quercus lyrata Walt.</v>
      </c>
      <c r="Z232" t="s">
        <v>1383</v>
      </c>
      <c r="AB232" s="1">
        <f t="shared" si="25"/>
        <v>0.99990000000000001</v>
      </c>
      <c r="AD232" t="str">
        <f>IF(W232&lt;0.99,LARGE((N232:R232,U232,V232),2),"0")</f>
        <v>0</v>
      </c>
      <c r="AE232" t="str">
        <f>IF(AND(AB232&lt;0.99,AD232&gt;0.1),"admixed with",IF(AND(AB232&lt;0.99,AD232&gt;0.01),"trace admixed with ",""))</f>
        <v/>
      </c>
      <c r="AH232" t="str">
        <f t="shared" si="22"/>
        <v xml:space="preserve">Based on ADMIXTURE results of 78,187 SNPs, </v>
      </c>
    </row>
    <row r="233" spans="1:34" x14ac:dyDescent="0.4">
      <c r="A233">
        <v>223</v>
      </c>
      <c r="B233" t="s">
        <v>437</v>
      </c>
      <c r="C233" t="s">
        <v>22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>
        <v>1</v>
      </c>
      <c r="K233">
        <v>0</v>
      </c>
      <c r="L233" t="s">
        <v>23</v>
      </c>
      <c r="M233" t="str">
        <f t="shared" si="23"/>
        <v>&gt;0.74</v>
      </c>
      <c r="N233">
        <v>0</v>
      </c>
      <c r="O233">
        <v>0</v>
      </c>
      <c r="P233">
        <v>0.99990000000000001</v>
      </c>
      <c r="Q233">
        <v>0</v>
      </c>
      <c r="R233">
        <v>0</v>
      </c>
      <c r="S233">
        <v>0</v>
      </c>
      <c r="T233">
        <v>0</v>
      </c>
      <c r="U233">
        <v>0</v>
      </c>
      <c r="V233" s="1">
        <v>2.0000000000000002E-5</v>
      </c>
      <c r="W233" s="1">
        <f t="shared" si="24"/>
        <v>0.99990000000000001</v>
      </c>
      <c r="X233" t="s">
        <v>438</v>
      </c>
      <c r="Y233" t="str">
        <f>VLOOKUP(X233,Sheet1!A:B,2,FALSE)</f>
        <v>Quercus alba L.</v>
      </c>
      <c r="Z233" t="s">
        <v>1386</v>
      </c>
      <c r="AB233" s="1">
        <f t="shared" si="25"/>
        <v>0.99990000000000001</v>
      </c>
      <c r="AD233" t="str">
        <f>IF(W233&lt;0.99,LARGE((N233:R233,U233,V233),2),"0")</f>
        <v>0</v>
      </c>
      <c r="AE233" t="str">
        <f>IF(AND(AB233&lt;0.99,AD233&gt;0.1),"admixed with",IF(AND(AB233&lt;0.99,AD233&gt;0.01),"trace admixed with ",""))</f>
        <v/>
      </c>
      <c r="AH233" t="str">
        <f t="shared" si="22"/>
        <v xml:space="preserve">Based on ADMIXTURE results of 78,187 SNPs, </v>
      </c>
    </row>
    <row r="234" spans="1:34" x14ac:dyDescent="0.4">
      <c r="A234">
        <v>224</v>
      </c>
      <c r="B234" t="s">
        <v>439</v>
      </c>
      <c r="C234" t="s">
        <v>25</v>
      </c>
      <c r="D234" t="s">
        <v>21</v>
      </c>
      <c r="E234" t="s">
        <v>21</v>
      </c>
      <c r="F234" t="s">
        <v>21</v>
      </c>
      <c r="G234" t="s">
        <v>25</v>
      </c>
      <c r="H234" t="s">
        <v>21</v>
      </c>
      <c r="I234" t="s">
        <v>21</v>
      </c>
      <c r="J234">
        <v>0</v>
      </c>
      <c r="K234">
        <v>2</v>
      </c>
      <c r="L234" t="s">
        <v>26</v>
      </c>
      <c r="M234" t="str">
        <f t="shared" si="23"/>
        <v>F1</v>
      </c>
      <c r="N234">
        <v>0</v>
      </c>
      <c r="O234">
        <v>0</v>
      </c>
      <c r="P234">
        <v>0.52839999999999998</v>
      </c>
      <c r="Q234">
        <v>0</v>
      </c>
      <c r="R234">
        <v>0</v>
      </c>
      <c r="S234">
        <v>0</v>
      </c>
      <c r="T234">
        <v>0</v>
      </c>
      <c r="U234">
        <v>0.47149999999999997</v>
      </c>
      <c r="V234" s="1">
        <v>2.0000000000000002E-5</v>
      </c>
      <c r="W234" s="1">
        <f t="shared" si="24"/>
        <v>0.52839999999999998</v>
      </c>
      <c r="X234" s="2" t="s">
        <v>440</v>
      </c>
      <c r="Y234" t="str">
        <f>VLOOKUP(X234,Sheet1!A:B,2,FALSE)</f>
        <v>Quercus alba L. x michauxii Nutt.</v>
      </c>
      <c r="Z234" t="s">
        <v>1407</v>
      </c>
      <c r="AB234" s="1">
        <f t="shared" si="25"/>
        <v>0.52839999999999998</v>
      </c>
      <c r="AD234">
        <f>IF(W234&lt;0.99,LARGE((N234:R234,U234,V234),2),"0")</f>
        <v>0.47149999999999997</v>
      </c>
      <c r="AE234" t="str">
        <f>IF(AND(AB234&lt;0.99,AD234&gt;0.1,AB234&gt;0.6),"admixed with",IF(AND(AB234&lt;0.99,AD234&gt;0.01,AD234&lt;0.4),"trace admixed with ",""))</f>
        <v/>
      </c>
      <c r="AH234" t="str">
        <f t="shared" si="22"/>
        <v xml:space="preserve">Based on ADMIXTURE results of 78,187 SNPs, </v>
      </c>
    </row>
    <row r="235" spans="1:34" x14ac:dyDescent="0.4">
      <c r="A235">
        <v>225</v>
      </c>
      <c r="B235" t="s">
        <v>441</v>
      </c>
      <c r="C235" t="s">
        <v>21</v>
      </c>
      <c r="D235" t="s">
        <v>21</v>
      </c>
      <c r="E235" t="s">
        <v>21</v>
      </c>
      <c r="F235" t="s">
        <v>21</v>
      </c>
      <c r="G235" t="s">
        <v>22</v>
      </c>
      <c r="H235" t="s">
        <v>21</v>
      </c>
      <c r="I235" t="s">
        <v>21</v>
      </c>
      <c r="J235">
        <v>1</v>
      </c>
      <c r="K235">
        <v>0</v>
      </c>
      <c r="L235" t="s">
        <v>23</v>
      </c>
      <c r="M235" t="str">
        <f t="shared" si="23"/>
        <v>&gt;0.74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0.99990000000000001</v>
      </c>
      <c r="V235" s="1">
        <v>2.0000000000000002E-5</v>
      </c>
      <c r="W235" s="1">
        <f t="shared" si="24"/>
        <v>0.99990000000000001</v>
      </c>
      <c r="X235" t="s">
        <v>442</v>
      </c>
      <c r="Y235" t="str">
        <f>VLOOKUP(X235,Sheet1!A:B,2,FALSE)</f>
        <v>Quercus michauxii Nutt.</v>
      </c>
      <c r="Z235" t="s">
        <v>1389</v>
      </c>
      <c r="AB235" s="1">
        <f t="shared" si="25"/>
        <v>0.99990000000000001</v>
      </c>
      <c r="AD235" t="str">
        <f>IF(W235&lt;0.99,LARGE((N235:R235,U235,V235),2),"0")</f>
        <v>0</v>
      </c>
      <c r="AE235" t="str">
        <f t="shared" ref="AE235:AE252" si="27">IF(AND(AB235&lt;0.99,AD235&gt;0.1),"admixed with",IF(AND(AB235&lt;0.99,AD235&gt;0.01),"trace admixed with ",""))</f>
        <v/>
      </c>
      <c r="AH235" t="str">
        <f t="shared" si="22"/>
        <v xml:space="preserve">Based on ADMIXTURE results of 78,187 SNPs, </v>
      </c>
    </row>
    <row r="236" spans="1:34" x14ac:dyDescent="0.4">
      <c r="A236">
        <v>226</v>
      </c>
      <c r="B236" t="s">
        <v>443</v>
      </c>
      <c r="C236" t="s">
        <v>21</v>
      </c>
      <c r="D236" t="s">
        <v>22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>
        <v>1</v>
      </c>
      <c r="K236">
        <v>0</v>
      </c>
      <c r="L236" t="s">
        <v>23</v>
      </c>
      <c r="M236" t="str">
        <f t="shared" si="23"/>
        <v>&gt;0.74</v>
      </c>
      <c r="N236">
        <v>0</v>
      </c>
      <c r="O236">
        <v>0</v>
      </c>
      <c r="P236">
        <v>0</v>
      </c>
      <c r="Q236">
        <v>0.99990000000000001</v>
      </c>
      <c r="R236">
        <v>0</v>
      </c>
      <c r="S236">
        <v>0</v>
      </c>
      <c r="T236">
        <v>0</v>
      </c>
      <c r="U236">
        <v>0</v>
      </c>
      <c r="V236" s="1">
        <v>2.0000000000000002E-5</v>
      </c>
      <c r="W236" s="1">
        <f t="shared" si="24"/>
        <v>0.99990000000000001</v>
      </c>
      <c r="X236" t="s">
        <v>444</v>
      </c>
      <c r="Y236" t="str">
        <f>VLOOKUP(X236,Sheet1!A:B,2,FALSE)</f>
        <v>Quercus lyrata Walt.</v>
      </c>
      <c r="Z236" t="s">
        <v>1383</v>
      </c>
      <c r="AB236" s="1">
        <f t="shared" si="25"/>
        <v>0.99990000000000001</v>
      </c>
      <c r="AD236" t="str">
        <f>IF(W236&lt;0.99,LARGE((N236:R236,U236,V236),2),"0")</f>
        <v>0</v>
      </c>
      <c r="AE236" t="str">
        <f t="shared" si="27"/>
        <v/>
      </c>
      <c r="AH236" t="str">
        <f t="shared" si="22"/>
        <v xml:space="preserve">Based on ADMIXTURE results of 78,187 SNPs, </v>
      </c>
    </row>
    <row r="237" spans="1:34" x14ac:dyDescent="0.4">
      <c r="A237">
        <v>227</v>
      </c>
      <c r="B237" t="s">
        <v>445</v>
      </c>
      <c r="C237" t="s">
        <v>22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>
        <v>1</v>
      </c>
      <c r="K237">
        <v>0</v>
      </c>
      <c r="L237" t="s">
        <v>23</v>
      </c>
      <c r="M237" t="str">
        <f t="shared" si="23"/>
        <v>&gt;0.74</v>
      </c>
      <c r="N237">
        <v>0</v>
      </c>
      <c r="O237">
        <v>5.3E-3</v>
      </c>
      <c r="P237">
        <v>0.99460000000000004</v>
      </c>
      <c r="Q237">
        <v>0</v>
      </c>
      <c r="R237">
        <v>0</v>
      </c>
      <c r="S237">
        <v>0</v>
      </c>
      <c r="T237">
        <v>0</v>
      </c>
      <c r="U237">
        <v>0</v>
      </c>
      <c r="V237" s="1">
        <v>2.0000000000000002E-5</v>
      </c>
      <c r="W237" s="1">
        <f t="shared" si="24"/>
        <v>0.99460000000000004</v>
      </c>
      <c r="X237" t="s">
        <v>446</v>
      </c>
      <c r="Y237" t="str">
        <f>VLOOKUP(X237,Sheet1!A:B,2,FALSE)</f>
        <v>Quercus alba L.</v>
      </c>
      <c r="Z237" t="s">
        <v>1386</v>
      </c>
      <c r="AB237" s="1">
        <f t="shared" si="25"/>
        <v>0.99460000000000004</v>
      </c>
      <c r="AD237" t="str">
        <f>IF(W237&lt;0.99,LARGE((N237:R237,U237,V237),2),"0")</f>
        <v>0</v>
      </c>
      <c r="AE237" t="str">
        <f t="shared" si="27"/>
        <v/>
      </c>
      <c r="AH237" t="str">
        <f t="shared" si="22"/>
        <v xml:space="preserve">Based on ADMIXTURE results of 78,187 SNPs, </v>
      </c>
    </row>
    <row r="238" spans="1:34" x14ac:dyDescent="0.4">
      <c r="A238">
        <v>228</v>
      </c>
      <c r="B238" t="s">
        <v>447</v>
      </c>
      <c r="C238" t="s">
        <v>21</v>
      </c>
      <c r="D238" t="s">
        <v>22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>
        <v>1</v>
      </c>
      <c r="K238">
        <v>0</v>
      </c>
      <c r="L238" t="s">
        <v>23</v>
      </c>
      <c r="M238" t="str">
        <f t="shared" si="23"/>
        <v>&gt;0.74</v>
      </c>
      <c r="N238">
        <v>0</v>
      </c>
      <c r="O238">
        <v>0</v>
      </c>
      <c r="P238">
        <v>0</v>
      </c>
      <c r="Q238">
        <v>0.99990000000000001</v>
      </c>
      <c r="R238">
        <v>0</v>
      </c>
      <c r="S238">
        <v>0</v>
      </c>
      <c r="T238">
        <v>0</v>
      </c>
      <c r="U238">
        <v>0</v>
      </c>
      <c r="V238" s="1">
        <v>2.0000000000000002E-5</v>
      </c>
      <c r="W238" s="1">
        <f t="shared" si="24"/>
        <v>0.99990000000000001</v>
      </c>
      <c r="X238" t="s">
        <v>448</v>
      </c>
      <c r="Y238" t="str">
        <f>VLOOKUP(X238,Sheet1!A:B,2,FALSE)</f>
        <v>Quercus lyrata Walt.</v>
      </c>
      <c r="Z238" t="s">
        <v>1383</v>
      </c>
      <c r="AB238" s="1">
        <f t="shared" si="25"/>
        <v>0.99990000000000001</v>
      </c>
      <c r="AD238" t="str">
        <f>IF(W238&lt;0.99,LARGE((N238:R238,U238,V238),2),"0")</f>
        <v>0</v>
      </c>
      <c r="AE238" t="str">
        <f t="shared" si="27"/>
        <v/>
      </c>
      <c r="AH238" t="str">
        <f t="shared" si="22"/>
        <v xml:space="preserve">Based on ADMIXTURE results of 78,187 SNPs, </v>
      </c>
    </row>
    <row r="239" spans="1:34" x14ac:dyDescent="0.4">
      <c r="A239">
        <v>229</v>
      </c>
      <c r="B239" t="s">
        <v>449</v>
      </c>
      <c r="C239" t="s">
        <v>22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>
        <v>1</v>
      </c>
      <c r="K239">
        <v>0</v>
      </c>
      <c r="L239" t="s">
        <v>23</v>
      </c>
      <c r="M239" t="str">
        <f t="shared" si="23"/>
        <v>&gt;0.74</v>
      </c>
      <c r="N239">
        <v>0</v>
      </c>
      <c r="O239">
        <v>0</v>
      </c>
      <c r="P239">
        <v>0.99990000000000001</v>
      </c>
      <c r="Q239">
        <v>0</v>
      </c>
      <c r="R239">
        <v>0</v>
      </c>
      <c r="S239">
        <v>0</v>
      </c>
      <c r="T239">
        <v>0</v>
      </c>
      <c r="U239">
        <v>0</v>
      </c>
      <c r="V239" s="1">
        <v>2.0000000000000002E-5</v>
      </c>
      <c r="W239" s="1">
        <f t="shared" si="24"/>
        <v>0.99990000000000001</v>
      </c>
      <c r="X239" t="s">
        <v>450</v>
      </c>
      <c r="Y239" t="str">
        <f>VLOOKUP(X239,Sheet1!A:B,2,FALSE)</f>
        <v>Quercus alba L.</v>
      </c>
      <c r="Z239" t="s">
        <v>1386</v>
      </c>
      <c r="AB239" s="1">
        <f t="shared" si="25"/>
        <v>0.99990000000000001</v>
      </c>
      <c r="AD239" t="str">
        <f>IF(W239&lt;0.99,LARGE((N239:R239,U239,V239),2),"0")</f>
        <v>0</v>
      </c>
      <c r="AE239" t="str">
        <f t="shared" si="27"/>
        <v/>
      </c>
      <c r="AH239" t="str">
        <f t="shared" si="22"/>
        <v xml:space="preserve">Based on ADMIXTURE results of 78,187 SNPs, </v>
      </c>
    </row>
    <row r="240" spans="1:34" x14ac:dyDescent="0.4">
      <c r="A240">
        <v>230</v>
      </c>
      <c r="B240" t="s">
        <v>451</v>
      </c>
      <c r="C240" t="s">
        <v>21</v>
      </c>
      <c r="D240" t="s">
        <v>21</v>
      </c>
      <c r="E240" t="s">
        <v>21</v>
      </c>
      <c r="F240" t="s">
        <v>21</v>
      </c>
      <c r="G240" t="s">
        <v>21</v>
      </c>
      <c r="H240" t="s">
        <v>22</v>
      </c>
      <c r="I240" t="s">
        <v>21</v>
      </c>
      <c r="J240">
        <v>1</v>
      </c>
      <c r="K240">
        <v>0</v>
      </c>
      <c r="L240" t="s">
        <v>23</v>
      </c>
      <c r="M240" t="str">
        <f t="shared" si="23"/>
        <v>&gt;0.74</v>
      </c>
      <c r="N240">
        <v>0</v>
      </c>
      <c r="O240">
        <v>0.99990000000000001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1">
        <v>2.0000000000000002E-5</v>
      </c>
      <c r="W240" s="1">
        <f t="shared" si="24"/>
        <v>0.99990000000000001</v>
      </c>
      <c r="X240" t="s">
        <v>452</v>
      </c>
      <c r="Y240" t="str">
        <f>VLOOKUP(X240,Sheet1!A:B,2,FALSE)</f>
        <v>Quercus muehlenbergii Engelm.</v>
      </c>
      <c r="Z240" t="s">
        <v>1387</v>
      </c>
      <c r="AB240" s="1">
        <f t="shared" si="25"/>
        <v>0.99990000000000001</v>
      </c>
      <c r="AD240" t="str">
        <f>IF(W240&lt;0.99,LARGE((N240:R240,U240,V240),2),"0")</f>
        <v>0</v>
      </c>
      <c r="AE240" t="str">
        <f t="shared" si="27"/>
        <v/>
      </c>
      <c r="AH240" t="str">
        <f t="shared" si="22"/>
        <v xml:space="preserve">Based on ADMIXTURE results of 78,187 SNPs, </v>
      </c>
    </row>
    <row r="241" spans="1:34" x14ac:dyDescent="0.4">
      <c r="A241">
        <v>231</v>
      </c>
      <c r="B241" t="s">
        <v>453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22</v>
      </c>
      <c r="I241" t="s">
        <v>21</v>
      </c>
      <c r="J241">
        <v>1</v>
      </c>
      <c r="K241">
        <v>0</v>
      </c>
      <c r="L241" t="s">
        <v>23</v>
      </c>
      <c r="M241" t="str">
        <f t="shared" si="23"/>
        <v>&gt;0.74</v>
      </c>
      <c r="N241">
        <v>0</v>
      </c>
      <c r="O241">
        <v>0.99990000000000001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1">
        <v>2.0000000000000002E-5</v>
      </c>
      <c r="W241" s="1">
        <f t="shared" si="24"/>
        <v>0.99990000000000001</v>
      </c>
      <c r="X241" t="s">
        <v>454</v>
      </c>
      <c r="Y241" t="str">
        <f>VLOOKUP(X241,Sheet1!A:B,2,FALSE)</f>
        <v>Quercus muehlenbergii Engelm.</v>
      </c>
      <c r="Z241" t="s">
        <v>1387</v>
      </c>
      <c r="AB241" s="1">
        <f t="shared" si="25"/>
        <v>0.99990000000000001</v>
      </c>
      <c r="AD241" t="str">
        <f>IF(W241&lt;0.99,LARGE((N241:R241,U241,V241),2),"0")</f>
        <v>0</v>
      </c>
      <c r="AE241" t="str">
        <f t="shared" si="27"/>
        <v/>
      </c>
      <c r="AH241" t="str">
        <f t="shared" si="22"/>
        <v xml:space="preserve">Based on ADMIXTURE results of 78,187 SNPs, </v>
      </c>
    </row>
    <row r="242" spans="1:34" x14ac:dyDescent="0.4">
      <c r="A242">
        <v>232</v>
      </c>
      <c r="B242" t="s">
        <v>455</v>
      </c>
      <c r="C242" t="s">
        <v>21</v>
      </c>
      <c r="D242" t="s">
        <v>21</v>
      </c>
      <c r="E242" t="s">
        <v>21</v>
      </c>
      <c r="F242" t="s">
        <v>21</v>
      </c>
      <c r="G242" t="s">
        <v>21</v>
      </c>
      <c r="H242" t="s">
        <v>22</v>
      </c>
      <c r="I242" t="s">
        <v>21</v>
      </c>
      <c r="J242">
        <v>1</v>
      </c>
      <c r="K242">
        <v>0</v>
      </c>
      <c r="L242" t="s">
        <v>23</v>
      </c>
      <c r="M242" t="str">
        <f t="shared" si="23"/>
        <v>&gt;0.74</v>
      </c>
      <c r="N242">
        <v>0</v>
      </c>
      <c r="O242">
        <v>0.99990000000000001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1">
        <v>2.0000000000000002E-5</v>
      </c>
      <c r="W242" s="1">
        <f t="shared" si="24"/>
        <v>0.99990000000000001</v>
      </c>
      <c r="X242" t="s">
        <v>456</v>
      </c>
      <c r="Y242" t="str">
        <f>VLOOKUP(X242,Sheet1!A:B,2,FALSE)</f>
        <v>Quercus muehlenbergii Engelm.</v>
      </c>
      <c r="Z242" t="s">
        <v>1387</v>
      </c>
      <c r="AB242" s="1">
        <f t="shared" si="25"/>
        <v>0.99990000000000001</v>
      </c>
      <c r="AD242" t="str">
        <f>IF(W242&lt;0.99,LARGE((N242:R242,U242,V242),2),"0")</f>
        <v>0</v>
      </c>
      <c r="AE242" t="str">
        <f t="shared" si="27"/>
        <v/>
      </c>
      <c r="AH242" t="str">
        <f t="shared" si="22"/>
        <v xml:space="preserve">Based on ADMIXTURE results of 78,187 SNPs, </v>
      </c>
    </row>
    <row r="243" spans="1:34" x14ac:dyDescent="0.4">
      <c r="A243">
        <v>191</v>
      </c>
      <c r="B243" t="s">
        <v>373</v>
      </c>
      <c r="C243" t="s">
        <v>21</v>
      </c>
      <c r="D243" t="s">
        <v>21</v>
      </c>
      <c r="E243" t="s">
        <v>21</v>
      </c>
      <c r="F243" t="s">
        <v>22</v>
      </c>
      <c r="G243" t="s">
        <v>21</v>
      </c>
      <c r="H243" t="s">
        <v>21</v>
      </c>
      <c r="I243" t="s">
        <v>21</v>
      </c>
      <c r="J243">
        <v>1</v>
      </c>
      <c r="K243">
        <v>0</v>
      </c>
      <c r="L243" t="s">
        <v>23</v>
      </c>
      <c r="M243" t="str">
        <f t="shared" si="23"/>
        <v>&gt;0.74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0.84460000000000002</v>
      </c>
      <c r="T243">
        <v>0.15540000000000001</v>
      </c>
      <c r="U243">
        <v>0</v>
      </c>
      <c r="V243">
        <v>0.99994000000000005</v>
      </c>
      <c r="W243" s="1">
        <f t="shared" si="24"/>
        <v>0.99994000000000005</v>
      </c>
      <c r="X243" t="s">
        <v>374</v>
      </c>
      <c r="Y243" t="str">
        <f>VLOOKUP(X243,Sheet1!A:B,2,FALSE)</f>
        <v>Quercus macrocarpa Michx.</v>
      </c>
      <c r="Z243" t="s">
        <v>1384</v>
      </c>
      <c r="AB243" s="1">
        <f t="shared" si="25"/>
        <v>0.99994000000000005</v>
      </c>
      <c r="AD243" t="str">
        <f>IF(W243&lt;0.99,LARGE((N243:R243,U243,V243),2),"0")</f>
        <v>0</v>
      </c>
      <c r="AE243" t="str">
        <f t="shared" si="27"/>
        <v/>
      </c>
      <c r="AH243" t="str">
        <f t="shared" si="22"/>
        <v xml:space="preserve">Based on ADMIXTURE results of 78,187 SNPs, </v>
      </c>
    </row>
    <row r="244" spans="1:34" x14ac:dyDescent="0.4">
      <c r="A244">
        <v>192</v>
      </c>
      <c r="B244" t="s">
        <v>375</v>
      </c>
      <c r="C244" t="s">
        <v>21</v>
      </c>
      <c r="D244" t="s">
        <v>21</v>
      </c>
      <c r="E244" t="s">
        <v>21</v>
      </c>
      <c r="F244" t="s">
        <v>22</v>
      </c>
      <c r="G244" t="s">
        <v>21</v>
      </c>
      <c r="H244" t="s">
        <v>21</v>
      </c>
      <c r="I244" t="s">
        <v>21</v>
      </c>
      <c r="J244">
        <v>1</v>
      </c>
      <c r="K244">
        <v>0</v>
      </c>
      <c r="L244" t="s">
        <v>23</v>
      </c>
      <c r="M244" t="str">
        <f t="shared" si="23"/>
        <v>&gt;0.74</v>
      </c>
      <c r="N244">
        <v>0</v>
      </c>
      <c r="O244">
        <v>4.3E-3</v>
      </c>
      <c r="P244">
        <v>0</v>
      </c>
      <c r="Q244">
        <v>1.5299999999999999E-2</v>
      </c>
      <c r="R244">
        <v>0</v>
      </c>
      <c r="S244">
        <v>0.77100000000000002</v>
      </c>
      <c r="T244">
        <v>0.20930000000000001</v>
      </c>
      <c r="U244">
        <v>0</v>
      </c>
      <c r="V244">
        <v>0.98035700000000003</v>
      </c>
      <c r="W244" s="1">
        <f t="shared" si="24"/>
        <v>0.98035700000000003</v>
      </c>
      <c r="X244" t="s">
        <v>376</v>
      </c>
      <c r="Y244" t="str">
        <f>VLOOKUP(X244,Sheet1!A:B,2,FALSE)</f>
        <v>Quercus macrocarpa Michx.</v>
      </c>
      <c r="Z244" t="s">
        <v>1384</v>
      </c>
      <c r="AB244" s="1">
        <f t="shared" si="25"/>
        <v>0.98035700000000003</v>
      </c>
      <c r="AD244">
        <f>IF(W244&lt;0.99,LARGE((N244:R244,U244,V244),2),"0")</f>
        <v>1.5299999999999999E-2</v>
      </c>
      <c r="AE244" t="str">
        <f t="shared" si="27"/>
        <v xml:space="preserve">trace admixed with </v>
      </c>
      <c r="AH244" t="str">
        <f t="shared" si="22"/>
        <v xml:space="preserve">Based on ADMIXTURE results of 78,187 SNPs, trace admixed with </v>
      </c>
    </row>
    <row r="245" spans="1:34" x14ac:dyDescent="0.4">
      <c r="A245">
        <v>193</v>
      </c>
      <c r="B245" t="s">
        <v>377</v>
      </c>
      <c r="C245" t="s">
        <v>21</v>
      </c>
      <c r="D245" t="s">
        <v>21</v>
      </c>
      <c r="E245" t="s">
        <v>21</v>
      </c>
      <c r="F245" t="s">
        <v>22</v>
      </c>
      <c r="G245" t="s">
        <v>21</v>
      </c>
      <c r="H245" t="s">
        <v>21</v>
      </c>
      <c r="I245" t="s">
        <v>21</v>
      </c>
      <c r="J245">
        <v>1</v>
      </c>
      <c r="K245">
        <v>0</v>
      </c>
      <c r="L245" t="s">
        <v>23</v>
      </c>
      <c r="M245" t="str">
        <f t="shared" si="23"/>
        <v>&gt;0.74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0.87270000000000003</v>
      </c>
      <c r="T245">
        <v>0.12720000000000001</v>
      </c>
      <c r="U245">
        <v>0</v>
      </c>
      <c r="V245">
        <v>0.99994000000000005</v>
      </c>
      <c r="W245" s="1">
        <f t="shared" si="24"/>
        <v>0.99994000000000005</v>
      </c>
      <c r="X245" t="s">
        <v>378</v>
      </c>
      <c r="Y245" t="str">
        <f>VLOOKUP(X245,Sheet1!A:B,2,FALSE)</f>
        <v>Quercus macrocarpa Michx.</v>
      </c>
      <c r="Z245" t="s">
        <v>1384</v>
      </c>
      <c r="AB245" s="1">
        <f t="shared" si="25"/>
        <v>0.99994000000000005</v>
      </c>
      <c r="AD245" t="str">
        <f>IF(W245&lt;0.99,LARGE((N245:R245,U245,V245),2),"0")</f>
        <v>0</v>
      </c>
      <c r="AE245" t="str">
        <f t="shared" si="27"/>
        <v/>
      </c>
      <c r="AH245" t="str">
        <f t="shared" si="22"/>
        <v xml:space="preserve">Based on ADMIXTURE results of 78,187 SNPs, </v>
      </c>
    </row>
    <row r="246" spans="1:34" x14ac:dyDescent="0.4">
      <c r="A246">
        <v>194</v>
      </c>
      <c r="B246" t="s">
        <v>379</v>
      </c>
      <c r="C246" t="s">
        <v>21</v>
      </c>
      <c r="D246" t="s">
        <v>21</v>
      </c>
      <c r="E246" t="s">
        <v>21</v>
      </c>
      <c r="F246" t="s">
        <v>22</v>
      </c>
      <c r="G246" t="s">
        <v>21</v>
      </c>
      <c r="H246" t="s">
        <v>21</v>
      </c>
      <c r="I246" t="s">
        <v>21</v>
      </c>
      <c r="J246">
        <v>1</v>
      </c>
      <c r="K246">
        <v>0</v>
      </c>
      <c r="L246" t="s">
        <v>23</v>
      </c>
      <c r="M246" t="str">
        <f t="shared" si="23"/>
        <v>&gt;0.74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0.7883</v>
      </c>
      <c r="T246">
        <v>0.2117</v>
      </c>
      <c r="U246">
        <v>0</v>
      </c>
      <c r="V246">
        <v>0.99994000000000005</v>
      </c>
      <c r="W246" s="1">
        <f t="shared" si="24"/>
        <v>0.99994000000000005</v>
      </c>
      <c r="X246" t="s">
        <v>380</v>
      </c>
      <c r="Y246" t="str">
        <f>VLOOKUP(X246,Sheet1!A:B,2,FALSE)</f>
        <v>Quercus macrocarpa Michx.</v>
      </c>
      <c r="Z246" t="s">
        <v>1384</v>
      </c>
      <c r="AB246" s="1">
        <f t="shared" si="25"/>
        <v>0.99994000000000005</v>
      </c>
      <c r="AD246" t="str">
        <f>IF(W246&lt;0.99,LARGE((N246:R246,U246,V246),2),"0")</f>
        <v>0</v>
      </c>
      <c r="AE246" t="str">
        <f t="shared" si="27"/>
        <v/>
      </c>
      <c r="AH246" t="str">
        <f t="shared" si="22"/>
        <v xml:space="preserve">Based on ADMIXTURE results of 78,187 SNPs, </v>
      </c>
    </row>
    <row r="247" spans="1:34" x14ac:dyDescent="0.4">
      <c r="A247">
        <v>407</v>
      </c>
      <c r="B247" t="s">
        <v>805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22</v>
      </c>
      <c r="I247" t="s">
        <v>21</v>
      </c>
      <c r="J247">
        <v>1</v>
      </c>
      <c r="K247">
        <v>0</v>
      </c>
      <c r="L247" t="s">
        <v>23</v>
      </c>
      <c r="M247" t="str">
        <f t="shared" si="23"/>
        <v>&gt;0.74</v>
      </c>
      <c r="N247">
        <v>0</v>
      </c>
      <c r="O247">
        <v>0.98329999999999995</v>
      </c>
      <c r="P247">
        <v>0</v>
      </c>
      <c r="Q247">
        <v>0</v>
      </c>
      <c r="R247">
        <v>0</v>
      </c>
      <c r="S247">
        <v>1.67E-2</v>
      </c>
      <c r="T247">
        <v>0</v>
      </c>
      <c r="U247">
        <v>0</v>
      </c>
      <c r="V247">
        <v>1.6674999999999999E-2</v>
      </c>
      <c r="W247" s="1">
        <f t="shared" si="24"/>
        <v>0.98329999999999995</v>
      </c>
      <c r="X247" t="s">
        <v>806</v>
      </c>
      <c r="Y247" t="str">
        <f>VLOOKUP(X247,Sheet1!A:B,2,FALSE)</f>
        <v>Quercus muehlenbergii Engelm.</v>
      </c>
      <c r="Z247" t="s">
        <v>1387</v>
      </c>
      <c r="AB247" s="1">
        <f t="shared" si="25"/>
        <v>0.98329999999999995</v>
      </c>
      <c r="AD247">
        <f>IF(W247&lt;0.99,LARGE((N247:R247,U247,V247),2),"0")</f>
        <v>1.6674999999999999E-2</v>
      </c>
      <c r="AE247" t="str">
        <f t="shared" si="27"/>
        <v xml:space="preserve">trace admixed with </v>
      </c>
      <c r="AH247" t="str">
        <f t="shared" si="22"/>
        <v xml:space="preserve">Based on ADMIXTURE results of 78,187 SNPs, trace admixed with </v>
      </c>
    </row>
    <row r="248" spans="1:34" x14ac:dyDescent="0.4">
      <c r="A248">
        <v>408</v>
      </c>
      <c r="B248" t="s">
        <v>807</v>
      </c>
      <c r="C248" t="s">
        <v>21</v>
      </c>
      <c r="D248" t="s">
        <v>21</v>
      </c>
      <c r="E248" t="s">
        <v>21</v>
      </c>
      <c r="F248" t="s">
        <v>21</v>
      </c>
      <c r="G248" t="s">
        <v>21</v>
      </c>
      <c r="H248" t="s">
        <v>22</v>
      </c>
      <c r="I248" t="s">
        <v>21</v>
      </c>
      <c r="J248">
        <v>1</v>
      </c>
      <c r="K248">
        <v>0</v>
      </c>
      <c r="L248" t="s">
        <v>23</v>
      </c>
      <c r="M248" t="str">
        <f t="shared" si="23"/>
        <v>&gt;0.74</v>
      </c>
      <c r="N248">
        <v>0</v>
      </c>
      <c r="O248">
        <v>0.99429999999999996</v>
      </c>
      <c r="P248">
        <v>0</v>
      </c>
      <c r="Q248">
        <v>0</v>
      </c>
      <c r="R248">
        <v>0</v>
      </c>
      <c r="S248">
        <v>0</v>
      </c>
      <c r="T248">
        <v>5.7000000000000002E-3</v>
      </c>
      <c r="U248">
        <v>0</v>
      </c>
      <c r="V248">
        <v>5.6670000000000002E-3</v>
      </c>
      <c r="W248" s="1">
        <f t="shared" si="24"/>
        <v>0.99429999999999996</v>
      </c>
      <c r="X248" t="s">
        <v>808</v>
      </c>
      <c r="Y248" t="str">
        <f>VLOOKUP(X248,Sheet1!A:B,2,FALSE)</f>
        <v>Quercus muehlenbergii Engelm.</v>
      </c>
      <c r="Z248" t="s">
        <v>1387</v>
      </c>
      <c r="AB248" s="1">
        <f t="shared" si="25"/>
        <v>0.99429999999999996</v>
      </c>
      <c r="AD248" t="str">
        <f>IF(W248&lt;0.99,LARGE((N248:R248,U248,V248),2),"0")</f>
        <v>0</v>
      </c>
      <c r="AE248" t="str">
        <f t="shared" si="27"/>
        <v/>
      </c>
      <c r="AH248" t="str">
        <f t="shared" si="22"/>
        <v xml:space="preserve">Based on ADMIXTURE results of 78,187 SNPs, </v>
      </c>
    </row>
    <row r="249" spans="1:34" x14ac:dyDescent="0.4">
      <c r="A249">
        <v>409</v>
      </c>
      <c r="B249" t="s">
        <v>809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22</v>
      </c>
      <c r="I249" t="s">
        <v>21</v>
      </c>
      <c r="J249">
        <v>1</v>
      </c>
      <c r="K249">
        <v>0</v>
      </c>
      <c r="L249" t="s">
        <v>23</v>
      </c>
      <c r="M249" t="str">
        <f t="shared" si="23"/>
        <v>&gt;0.74</v>
      </c>
      <c r="N249">
        <v>0</v>
      </c>
      <c r="O249">
        <v>0.99160000000000004</v>
      </c>
      <c r="P249">
        <v>0</v>
      </c>
      <c r="Q249">
        <v>0</v>
      </c>
      <c r="R249">
        <v>0</v>
      </c>
      <c r="S249">
        <v>8.3000000000000001E-3</v>
      </c>
      <c r="T249">
        <v>0</v>
      </c>
      <c r="U249">
        <v>0</v>
      </c>
      <c r="V249">
        <v>8.3210000000000003E-3</v>
      </c>
      <c r="W249" s="1">
        <f t="shared" si="24"/>
        <v>0.99160000000000004</v>
      </c>
      <c r="X249" t="s">
        <v>810</v>
      </c>
      <c r="Y249" t="str">
        <f>VLOOKUP(X249,Sheet1!A:B,2,FALSE)</f>
        <v>Quercus muehlenbergii Engelm.</v>
      </c>
      <c r="Z249" t="s">
        <v>1387</v>
      </c>
      <c r="AB249" s="1">
        <f t="shared" si="25"/>
        <v>0.99160000000000004</v>
      </c>
      <c r="AD249" t="str">
        <f>IF(W249&lt;0.99,LARGE((N249:R249,U249,V249),2),"0")</f>
        <v>0</v>
      </c>
      <c r="AE249" t="str">
        <f t="shared" si="27"/>
        <v/>
      </c>
      <c r="AH249" t="str">
        <f t="shared" si="22"/>
        <v xml:space="preserve">Based on ADMIXTURE results of 78,187 SNPs, </v>
      </c>
    </row>
    <row r="250" spans="1:34" x14ac:dyDescent="0.4">
      <c r="A250">
        <v>410</v>
      </c>
      <c r="B250" t="s">
        <v>811</v>
      </c>
      <c r="C250" t="s">
        <v>22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>
        <v>1</v>
      </c>
      <c r="K250">
        <v>0</v>
      </c>
      <c r="L250" t="s">
        <v>23</v>
      </c>
      <c r="M250" t="str">
        <f t="shared" si="23"/>
        <v>&gt;0.74</v>
      </c>
      <c r="N250">
        <v>0</v>
      </c>
      <c r="O250">
        <v>4.1999999999999997E-3</v>
      </c>
      <c r="P250">
        <v>0.99570000000000003</v>
      </c>
      <c r="Q250">
        <v>0</v>
      </c>
      <c r="R250">
        <v>0</v>
      </c>
      <c r="S250">
        <v>0</v>
      </c>
      <c r="T250">
        <v>0</v>
      </c>
      <c r="U250">
        <v>0</v>
      </c>
      <c r="V250" s="1">
        <v>2.0000000000000002E-5</v>
      </c>
      <c r="W250" s="1">
        <f t="shared" si="24"/>
        <v>0.99570000000000003</v>
      </c>
      <c r="X250" t="s">
        <v>812</v>
      </c>
      <c r="Y250" t="str">
        <f>VLOOKUP(X250,Sheet1!A:B,2,FALSE)</f>
        <v>Quercus alba L.</v>
      </c>
      <c r="Z250" t="s">
        <v>1386</v>
      </c>
      <c r="AB250" s="1">
        <f t="shared" si="25"/>
        <v>0.99570000000000003</v>
      </c>
      <c r="AD250" t="str">
        <f>IF(W250&lt;0.99,LARGE((N250:R250,U250,V250),2),"0")</f>
        <v>0</v>
      </c>
      <c r="AE250" t="str">
        <f t="shared" si="27"/>
        <v/>
      </c>
      <c r="AH250" t="str">
        <f t="shared" si="22"/>
        <v xml:space="preserve">Based on ADMIXTURE results of 78,187 SNPs, </v>
      </c>
    </row>
    <row r="251" spans="1:34" x14ac:dyDescent="0.4">
      <c r="A251">
        <v>411</v>
      </c>
      <c r="B251" t="s">
        <v>813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22</v>
      </c>
      <c r="I251" t="s">
        <v>21</v>
      </c>
      <c r="J251">
        <v>1</v>
      </c>
      <c r="K251">
        <v>0</v>
      </c>
      <c r="L251" t="s">
        <v>23</v>
      </c>
      <c r="M251" t="str">
        <f t="shared" si="23"/>
        <v>&gt;0.74</v>
      </c>
      <c r="N251">
        <v>0</v>
      </c>
      <c r="O251">
        <v>0.98799999999999999</v>
      </c>
      <c r="P251">
        <v>0</v>
      </c>
      <c r="Q251">
        <v>0</v>
      </c>
      <c r="R251">
        <v>0</v>
      </c>
      <c r="S251">
        <v>0</v>
      </c>
      <c r="T251">
        <v>1.2E-2</v>
      </c>
      <c r="U251">
        <v>0</v>
      </c>
      <c r="V251">
        <v>1.1976000000000001E-2</v>
      </c>
      <c r="W251" s="1">
        <f t="shared" si="24"/>
        <v>0.98799999999999999</v>
      </c>
      <c r="X251" t="s">
        <v>814</v>
      </c>
      <c r="Y251" t="str">
        <f>VLOOKUP(X251,Sheet1!A:B,2,FALSE)</f>
        <v>Quercus muehlenbergii Engelm.</v>
      </c>
      <c r="Z251" t="s">
        <v>1387</v>
      </c>
      <c r="AB251" s="1">
        <f t="shared" si="25"/>
        <v>0.98799999999999999</v>
      </c>
      <c r="AD251">
        <f>IF(W251&lt;0.99,LARGE((N251:R251,U251,V251),2),"0")</f>
        <v>1.1976000000000001E-2</v>
      </c>
      <c r="AE251" t="str">
        <f t="shared" si="27"/>
        <v xml:space="preserve">trace admixed with </v>
      </c>
      <c r="AH251" t="str">
        <f t="shared" ref="AH251:AH314" si="28">_xlfn.CONCAT("Based on ADMIXTURE results of 78,187 SNPs, ",AE251,AC251)</f>
        <v xml:space="preserve">Based on ADMIXTURE results of 78,187 SNPs, trace admixed with </v>
      </c>
    </row>
    <row r="252" spans="1:34" x14ac:dyDescent="0.4">
      <c r="A252">
        <v>412</v>
      </c>
      <c r="B252" t="s">
        <v>815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22</v>
      </c>
      <c r="I252" t="s">
        <v>21</v>
      </c>
      <c r="J252">
        <v>1</v>
      </c>
      <c r="K252">
        <v>0</v>
      </c>
      <c r="L252" t="s">
        <v>23</v>
      </c>
      <c r="M252" t="str">
        <f t="shared" si="23"/>
        <v>&gt;0.74</v>
      </c>
      <c r="N252">
        <v>0</v>
      </c>
      <c r="O252">
        <v>0.99470000000000003</v>
      </c>
      <c r="P252">
        <v>0</v>
      </c>
      <c r="Q252">
        <v>0</v>
      </c>
      <c r="R252">
        <v>0</v>
      </c>
      <c r="S252">
        <v>0</v>
      </c>
      <c r="T252">
        <v>5.3E-3</v>
      </c>
      <c r="U252">
        <v>0</v>
      </c>
      <c r="V252">
        <v>5.2719999999999998E-3</v>
      </c>
      <c r="W252" s="1">
        <f t="shared" si="24"/>
        <v>0.99470000000000003</v>
      </c>
      <c r="X252" t="s">
        <v>816</v>
      </c>
      <c r="Y252" t="str">
        <f>VLOOKUP(X252,Sheet1!A:B,2,FALSE)</f>
        <v>Quercus muehlenbergii Engelm.</v>
      </c>
      <c r="Z252" t="s">
        <v>1387</v>
      </c>
      <c r="AB252" s="1">
        <f t="shared" si="25"/>
        <v>0.99470000000000003</v>
      </c>
      <c r="AD252" t="str">
        <f>IF(W252&lt;0.99,LARGE((N252:R252,U252,V252),2),"0")</f>
        <v>0</v>
      </c>
      <c r="AE252" t="str">
        <f t="shared" si="27"/>
        <v/>
      </c>
      <c r="AH252" t="str">
        <f t="shared" si="28"/>
        <v xml:space="preserve">Based on ADMIXTURE results of 78,187 SNPs, </v>
      </c>
    </row>
    <row r="253" spans="1:34" x14ac:dyDescent="0.4">
      <c r="A253">
        <v>413</v>
      </c>
      <c r="B253" t="s">
        <v>817</v>
      </c>
      <c r="C253" t="s">
        <v>21</v>
      </c>
      <c r="D253" t="s">
        <v>25</v>
      </c>
      <c r="E253" t="s">
        <v>21</v>
      </c>
      <c r="F253" t="s">
        <v>25</v>
      </c>
      <c r="G253" t="s">
        <v>21</v>
      </c>
      <c r="H253" t="s">
        <v>21</v>
      </c>
      <c r="I253" t="s">
        <v>21</v>
      </c>
      <c r="J253">
        <v>0</v>
      </c>
      <c r="K253">
        <v>2</v>
      </c>
      <c r="L253" t="s">
        <v>26</v>
      </c>
      <c r="M253" t="str">
        <f t="shared" si="23"/>
        <v>&gt;0.74</v>
      </c>
      <c r="N253">
        <v>0</v>
      </c>
      <c r="O253">
        <v>0</v>
      </c>
      <c r="P253">
        <v>8.0000000000000002E-3</v>
      </c>
      <c r="Q253">
        <v>8.1600000000000006E-2</v>
      </c>
      <c r="R253">
        <v>0</v>
      </c>
      <c r="S253">
        <v>0.11550000000000001</v>
      </c>
      <c r="T253">
        <v>0.79479999999999995</v>
      </c>
      <c r="U253">
        <v>0</v>
      </c>
      <c r="V253">
        <v>0.91030999999999995</v>
      </c>
      <c r="W253" s="1">
        <f t="shared" si="24"/>
        <v>0.91030999999999995</v>
      </c>
      <c r="X253" t="s">
        <v>818</v>
      </c>
      <c r="Y253" t="str">
        <f>VLOOKUP(X253,Sheet1!A:B,2,FALSE)</f>
        <v>Quercus macrocarpa Michx.</v>
      </c>
      <c r="Z253" t="s">
        <v>1384</v>
      </c>
      <c r="AB253" s="1">
        <f t="shared" si="25"/>
        <v>0.91030999999999995</v>
      </c>
      <c r="AC253" t="s">
        <v>1431</v>
      </c>
      <c r="AD253">
        <f>IF(W253&lt;0.99,LARGE((N253:R253,U253,V253),2),"0")</f>
        <v>8.1600000000000006E-2</v>
      </c>
      <c r="AE253" t="str">
        <f>IF(AND(AB253&lt;0.99,AD253&gt;0.1,AB253&gt;0.6),"admixed with ",IF(AND(AB253&lt;0.99,AD253&gt;0.01,AD253&lt;0.4),"trace admixed (Q&lt;0.10) with ",""))</f>
        <v xml:space="preserve">trace admixed (Q&lt;0.10) with </v>
      </c>
      <c r="AH253" t="str">
        <f t="shared" si="28"/>
        <v>Based on ADMIXTURE results of 78,187 SNPs, trace admixed (Q&lt;0.10) with Quercus bicolor</v>
      </c>
    </row>
    <row r="254" spans="1:34" x14ac:dyDescent="0.4">
      <c r="A254">
        <v>414</v>
      </c>
      <c r="B254" t="s">
        <v>819</v>
      </c>
      <c r="C254" t="s">
        <v>22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>
        <v>1</v>
      </c>
      <c r="K254">
        <v>0</v>
      </c>
      <c r="L254" t="s">
        <v>23</v>
      </c>
      <c r="M254" t="str">
        <f t="shared" si="23"/>
        <v>&gt;0.74</v>
      </c>
      <c r="N254">
        <v>0</v>
      </c>
      <c r="O254">
        <v>0</v>
      </c>
      <c r="P254">
        <v>0.99990000000000001</v>
      </c>
      <c r="Q254">
        <v>0</v>
      </c>
      <c r="R254">
        <v>0</v>
      </c>
      <c r="S254">
        <v>0</v>
      </c>
      <c r="T254">
        <v>0</v>
      </c>
      <c r="U254">
        <v>0</v>
      </c>
      <c r="V254" s="1">
        <v>2.0000000000000002E-5</v>
      </c>
      <c r="W254" s="1">
        <f t="shared" si="24"/>
        <v>0.99990000000000001</v>
      </c>
      <c r="X254" t="s">
        <v>820</v>
      </c>
      <c r="Y254" t="str">
        <f>VLOOKUP(X254,Sheet1!A:B,2,FALSE)</f>
        <v>Quercus alba L.</v>
      </c>
      <c r="Z254" t="s">
        <v>1386</v>
      </c>
      <c r="AB254" s="1">
        <f t="shared" si="25"/>
        <v>0.99990000000000001</v>
      </c>
      <c r="AD254" t="str">
        <f>IF(W254&lt;0.99,LARGE((N254:R254,U254,V254),2),"0")</f>
        <v>0</v>
      </c>
      <c r="AE254" t="str">
        <f>IF(AND(AB254&lt;0.99,AD254&gt;0.1),"admixed with",IF(AND(AB254&lt;0.99,AD254&gt;0.01),"trace admixed with ",""))</f>
        <v/>
      </c>
      <c r="AH254" t="str">
        <f t="shared" si="28"/>
        <v xml:space="preserve">Based on ADMIXTURE results of 78,187 SNPs, </v>
      </c>
    </row>
    <row r="255" spans="1:34" x14ac:dyDescent="0.4">
      <c r="A255">
        <v>420</v>
      </c>
      <c r="B255" t="s">
        <v>831</v>
      </c>
      <c r="C255" t="s">
        <v>21</v>
      </c>
      <c r="D255" t="s">
        <v>25</v>
      </c>
      <c r="E255" t="s">
        <v>21</v>
      </c>
      <c r="F255" t="s">
        <v>25</v>
      </c>
      <c r="G255" t="s">
        <v>21</v>
      </c>
      <c r="H255" t="s">
        <v>21</v>
      </c>
      <c r="I255" t="s">
        <v>21</v>
      </c>
      <c r="J255">
        <v>0</v>
      </c>
      <c r="K255">
        <v>2</v>
      </c>
      <c r="L255" t="s">
        <v>26</v>
      </c>
      <c r="M255" t="str">
        <f t="shared" si="23"/>
        <v>&gt;0.74</v>
      </c>
      <c r="N255">
        <v>0</v>
      </c>
      <c r="O255">
        <v>0</v>
      </c>
      <c r="P255">
        <v>0</v>
      </c>
      <c r="Q255">
        <v>0.10440000000000001</v>
      </c>
      <c r="R255">
        <v>0</v>
      </c>
      <c r="S255">
        <v>7.2099999999999997E-2</v>
      </c>
      <c r="T255">
        <v>0.82350000000000001</v>
      </c>
      <c r="U255">
        <v>0</v>
      </c>
      <c r="V255">
        <v>0.89557200000000003</v>
      </c>
      <c r="W255" s="1">
        <f t="shared" si="24"/>
        <v>0.89557200000000003</v>
      </c>
      <c r="X255" t="s">
        <v>832</v>
      </c>
      <c r="Y255" t="str">
        <f>VLOOKUP(X255,Sheet1!A:B,2,FALSE)</f>
        <v>Quercus macrocarpa Michx.</v>
      </c>
      <c r="Z255" t="s">
        <v>1384</v>
      </c>
      <c r="AB255" s="1">
        <f t="shared" si="25"/>
        <v>0.89557200000000003</v>
      </c>
      <c r="AC255" t="s">
        <v>1431</v>
      </c>
      <c r="AD255">
        <f>IF(W255&lt;0.99,LARGE((N255:R255,U255,V255),2),"0")</f>
        <v>0.10440000000000001</v>
      </c>
      <c r="AE255" t="str">
        <f>IF(AND(AB255&lt;0.99,AD255&gt;0.1,AB255&gt;0.6),"admixed with ",IF(AND(AB255&lt;0.99,AD255&gt;0.01,AD255&lt;0.4),"trace admixed (Q&lt;0.10) with ",""))</f>
        <v xml:space="preserve">admixed with </v>
      </c>
      <c r="AH255" t="str">
        <f t="shared" si="28"/>
        <v>Based on ADMIXTURE results of 78,187 SNPs, admixed with Quercus bicolor</v>
      </c>
    </row>
    <row r="256" spans="1:34" x14ac:dyDescent="0.4">
      <c r="A256">
        <v>421</v>
      </c>
      <c r="B256" t="s">
        <v>833</v>
      </c>
      <c r="C256" t="s">
        <v>22</v>
      </c>
      <c r="D256" t="s">
        <v>21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>
        <v>1</v>
      </c>
      <c r="K256">
        <v>0</v>
      </c>
      <c r="L256" t="s">
        <v>23</v>
      </c>
      <c r="M256" t="str">
        <f t="shared" si="23"/>
        <v>&gt;0.74</v>
      </c>
      <c r="N256">
        <v>0</v>
      </c>
      <c r="O256">
        <v>0</v>
      </c>
      <c r="P256">
        <v>0.99990000000000001</v>
      </c>
      <c r="Q256">
        <v>0</v>
      </c>
      <c r="R256">
        <v>0</v>
      </c>
      <c r="S256">
        <v>0</v>
      </c>
      <c r="T256">
        <v>0</v>
      </c>
      <c r="U256">
        <v>0</v>
      </c>
      <c r="V256" s="1">
        <v>2.0000000000000002E-5</v>
      </c>
      <c r="W256" s="1">
        <f t="shared" si="24"/>
        <v>0.99990000000000001</v>
      </c>
      <c r="X256" t="s">
        <v>834</v>
      </c>
      <c r="Y256" t="str">
        <f>VLOOKUP(X256,Sheet1!A:B,2,FALSE)</f>
        <v>Quercus alba L.</v>
      </c>
      <c r="Z256" t="s">
        <v>1386</v>
      </c>
      <c r="AB256" s="1">
        <f t="shared" si="25"/>
        <v>0.99990000000000001</v>
      </c>
      <c r="AD256" t="str">
        <f>IF(W256&lt;0.99,LARGE((N256:R256,U256,V256),2),"0")</f>
        <v>0</v>
      </c>
      <c r="AE256" t="str">
        <f>IF(AND(AB256&lt;0.99,AD256&gt;0.1),"admixed with",IF(AND(AB256&lt;0.99,AD256&gt;0.01),"trace admixed with ",""))</f>
        <v/>
      </c>
      <c r="AH256" t="str">
        <f t="shared" si="28"/>
        <v xml:space="preserve">Based on ADMIXTURE results of 78,187 SNPs, </v>
      </c>
    </row>
    <row r="257" spans="1:34" x14ac:dyDescent="0.4">
      <c r="A257">
        <v>422</v>
      </c>
      <c r="B257" t="s">
        <v>835</v>
      </c>
      <c r="C257" t="s">
        <v>22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>
        <v>1</v>
      </c>
      <c r="K257">
        <v>0</v>
      </c>
      <c r="L257" t="s">
        <v>23</v>
      </c>
      <c r="M257" t="str">
        <f t="shared" si="23"/>
        <v>&gt;0.74</v>
      </c>
      <c r="N257">
        <v>0</v>
      </c>
      <c r="O257">
        <v>0</v>
      </c>
      <c r="P257">
        <v>0.99990000000000001</v>
      </c>
      <c r="Q257">
        <v>0</v>
      </c>
      <c r="R257">
        <v>0</v>
      </c>
      <c r="S257">
        <v>0</v>
      </c>
      <c r="T257">
        <v>0</v>
      </c>
      <c r="U257">
        <v>0</v>
      </c>
      <c r="V257" s="1">
        <v>2.0000000000000002E-5</v>
      </c>
      <c r="W257" s="1">
        <f t="shared" si="24"/>
        <v>0.99990000000000001</v>
      </c>
      <c r="X257" t="s">
        <v>836</v>
      </c>
      <c r="Y257" t="str">
        <f>VLOOKUP(X257,Sheet1!A:B,2,FALSE)</f>
        <v>Quercus alba L.</v>
      </c>
      <c r="Z257" t="s">
        <v>1386</v>
      </c>
      <c r="AB257" s="1">
        <f t="shared" si="25"/>
        <v>0.99990000000000001</v>
      </c>
      <c r="AD257" t="str">
        <f>IF(W257&lt;0.99,LARGE((N257:R257,U257,V257),2),"0")</f>
        <v>0</v>
      </c>
      <c r="AE257" t="str">
        <f>IF(AND(AB257&lt;0.99,AD257&gt;0.1),"admixed with",IF(AND(AB257&lt;0.99,AD257&gt;0.01),"trace admixed with ",""))</f>
        <v/>
      </c>
      <c r="AH257" t="str">
        <f t="shared" si="28"/>
        <v xml:space="preserve">Based on ADMIXTURE results of 78,187 SNPs, </v>
      </c>
    </row>
    <row r="258" spans="1:34" x14ac:dyDescent="0.4">
      <c r="A258">
        <v>423</v>
      </c>
      <c r="B258" t="s">
        <v>837</v>
      </c>
      <c r="C258" t="s">
        <v>22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>
        <v>1</v>
      </c>
      <c r="K258">
        <v>0</v>
      </c>
      <c r="L258" t="s">
        <v>23</v>
      </c>
      <c r="M258" t="str">
        <f t="shared" ref="M258:M321" si="29">IF(AND(W258&lt;0.58,W258&gt;0.2),"F1",IF(W258&lt;0.74,"BC1?","&gt;0.74"))</f>
        <v>&gt;0.74</v>
      </c>
      <c r="N258">
        <v>0</v>
      </c>
      <c r="O258">
        <v>0</v>
      </c>
      <c r="P258">
        <v>0.99990000000000001</v>
      </c>
      <c r="Q258">
        <v>0</v>
      </c>
      <c r="R258">
        <v>0</v>
      </c>
      <c r="S258">
        <v>0</v>
      </c>
      <c r="T258">
        <v>0</v>
      </c>
      <c r="U258">
        <v>0</v>
      </c>
      <c r="V258" s="1">
        <v>2.0000000000000002E-5</v>
      </c>
      <c r="W258" s="1">
        <f t="shared" ref="W258:W321" si="30">MAX(N258:R258,U258,V258)</f>
        <v>0.99990000000000001</v>
      </c>
      <c r="X258" t="s">
        <v>838</v>
      </c>
      <c r="Y258" t="str">
        <f>VLOOKUP(X258,Sheet1!A:B,2,FALSE)</f>
        <v>Quercus alba L.</v>
      </c>
      <c r="Z258" t="s">
        <v>1386</v>
      </c>
      <c r="AB258" s="1">
        <f t="shared" ref="AB258:AB321" si="31">MAX(N258:R258,U258,V258)</f>
        <v>0.99990000000000001</v>
      </c>
      <c r="AD258" t="str">
        <f>IF(W258&lt;0.99,LARGE((N258:R258,U258,V258),2),"0")</f>
        <v>0</v>
      </c>
      <c r="AE258" t="str">
        <f>IF(AND(AB258&lt;0.99,AD258&gt;0.1),"admixed with",IF(AND(AB258&lt;0.99,AD258&gt;0.01),"trace admixed with ",""))</f>
        <v/>
      </c>
      <c r="AH258" t="str">
        <f t="shared" si="28"/>
        <v xml:space="preserve">Based on ADMIXTURE results of 78,187 SNPs, </v>
      </c>
    </row>
    <row r="259" spans="1:34" x14ac:dyDescent="0.4">
      <c r="A259">
        <v>415</v>
      </c>
      <c r="B259" t="s">
        <v>821</v>
      </c>
      <c r="C259" t="s">
        <v>25</v>
      </c>
      <c r="D259" t="s">
        <v>21</v>
      </c>
      <c r="E259" t="s">
        <v>21</v>
      </c>
      <c r="F259" t="s">
        <v>25</v>
      </c>
      <c r="G259" t="s">
        <v>21</v>
      </c>
      <c r="H259" t="s">
        <v>21</v>
      </c>
      <c r="I259" t="s">
        <v>21</v>
      </c>
      <c r="J259">
        <v>0</v>
      </c>
      <c r="K259">
        <v>2</v>
      </c>
      <c r="L259" t="s">
        <v>26</v>
      </c>
      <c r="M259" t="str">
        <f t="shared" si="29"/>
        <v>&gt;0.74</v>
      </c>
      <c r="N259">
        <v>0</v>
      </c>
      <c r="O259">
        <v>0</v>
      </c>
      <c r="P259">
        <v>6.3600000000000004E-2</v>
      </c>
      <c r="Q259">
        <v>2.06E-2</v>
      </c>
      <c r="R259">
        <v>0</v>
      </c>
      <c r="S259">
        <v>0.17050000000000001</v>
      </c>
      <c r="T259">
        <v>0.74519999999999997</v>
      </c>
      <c r="U259">
        <v>0</v>
      </c>
      <c r="V259">
        <v>0.91570499999999999</v>
      </c>
      <c r="W259" s="1">
        <f t="shared" si="30"/>
        <v>0.91570499999999999</v>
      </c>
      <c r="X259" t="s">
        <v>822</v>
      </c>
      <c r="Y259" t="str">
        <f>VLOOKUP(X259,Sheet1!A:B,2,FALSE)</f>
        <v>Quercus macrocarpa Michx.</v>
      </c>
      <c r="Z259" t="s">
        <v>1384</v>
      </c>
      <c r="AB259" s="1">
        <f t="shared" si="31"/>
        <v>0.91570499999999999</v>
      </c>
      <c r="AC259" s="3" t="s">
        <v>1430</v>
      </c>
      <c r="AD259">
        <f>IF(W259&lt;0.99,LARGE((N259:R259,U259,V259),2),"0")</f>
        <v>6.3600000000000004E-2</v>
      </c>
      <c r="AE259" t="str">
        <f>IF(AND(AB259&lt;0.99,AD259&gt;0.1,AB259&gt;0.6),"admixed with ",IF(AND(AB259&lt;0.99,AD259&gt;0.01,AD259&lt;0.4),"trace admixed (Q&lt;0.10) with ",""))</f>
        <v xml:space="preserve">trace admixed (Q&lt;0.10) with </v>
      </c>
      <c r="AH259" t="str">
        <f t="shared" si="28"/>
        <v>Based on ADMIXTURE results of 78,187 SNPs, trace admixed (Q&lt;0.10) with Quercus alba</v>
      </c>
    </row>
    <row r="260" spans="1:34" x14ac:dyDescent="0.4">
      <c r="A260">
        <v>416</v>
      </c>
      <c r="B260" t="s">
        <v>823</v>
      </c>
      <c r="C260" t="s">
        <v>21</v>
      </c>
      <c r="D260" t="s">
        <v>21</v>
      </c>
      <c r="E260" t="s">
        <v>21</v>
      </c>
      <c r="F260" t="s">
        <v>22</v>
      </c>
      <c r="G260" t="s">
        <v>21</v>
      </c>
      <c r="H260" t="s">
        <v>21</v>
      </c>
      <c r="I260" t="s">
        <v>21</v>
      </c>
      <c r="J260">
        <v>1</v>
      </c>
      <c r="K260">
        <v>0</v>
      </c>
      <c r="L260" t="s">
        <v>23</v>
      </c>
      <c r="M260" t="str">
        <f t="shared" si="29"/>
        <v>&gt;0.74</v>
      </c>
      <c r="N260">
        <v>0</v>
      </c>
      <c r="O260">
        <v>0</v>
      </c>
      <c r="P260">
        <v>0</v>
      </c>
      <c r="Q260">
        <v>2.81E-2</v>
      </c>
      <c r="R260">
        <v>0</v>
      </c>
      <c r="S260">
        <v>9.01E-2</v>
      </c>
      <c r="T260">
        <v>0.88180000000000003</v>
      </c>
      <c r="U260">
        <v>0</v>
      </c>
      <c r="V260">
        <v>0.97185100000000002</v>
      </c>
      <c r="W260" s="1">
        <f t="shared" si="30"/>
        <v>0.97185100000000002</v>
      </c>
      <c r="X260" t="s">
        <v>824</v>
      </c>
      <c r="Y260" t="str">
        <f>VLOOKUP(X260,Sheet1!A:B,2,FALSE)</f>
        <v>Quercus macrocarpa Michx.</v>
      </c>
      <c r="Z260" t="s">
        <v>1384</v>
      </c>
      <c r="AB260" s="1">
        <f t="shared" si="31"/>
        <v>0.97185100000000002</v>
      </c>
      <c r="AD260">
        <f>IF(W260&lt;0.99,LARGE((N260:R260,U260,V260),2),"0")</f>
        <v>2.81E-2</v>
      </c>
      <c r="AE260" t="str">
        <f>IF(AND(AB260&lt;0.99,AD260&gt;0.1),"admixed with",IF(AND(AB260&lt;0.99,AD260&gt;0.01),"trace admixed with ",""))</f>
        <v xml:space="preserve">trace admixed with </v>
      </c>
      <c r="AH260" t="str">
        <f t="shared" si="28"/>
        <v xml:space="preserve">Based on ADMIXTURE results of 78,187 SNPs, trace admixed with </v>
      </c>
    </row>
    <row r="261" spans="1:34" x14ac:dyDescent="0.4">
      <c r="A261">
        <v>417</v>
      </c>
      <c r="B261" t="s">
        <v>825</v>
      </c>
      <c r="C261" t="s">
        <v>21</v>
      </c>
      <c r="D261" t="s">
        <v>21</v>
      </c>
      <c r="E261" t="s">
        <v>21</v>
      </c>
      <c r="F261" t="s">
        <v>22</v>
      </c>
      <c r="G261" t="s">
        <v>21</v>
      </c>
      <c r="H261" t="s">
        <v>21</v>
      </c>
      <c r="I261" t="s">
        <v>21</v>
      </c>
      <c r="J261">
        <v>1</v>
      </c>
      <c r="K261">
        <v>0</v>
      </c>
      <c r="L261" t="s">
        <v>23</v>
      </c>
      <c r="M261" t="str">
        <f t="shared" si="29"/>
        <v>&gt;0.74</v>
      </c>
      <c r="N261">
        <v>0</v>
      </c>
      <c r="O261">
        <v>0</v>
      </c>
      <c r="P261">
        <v>0</v>
      </c>
      <c r="Q261">
        <v>2.2100000000000002E-2</v>
      </c>
      <c r="R261">
        <v>0</v>
      </c>
      <c r="S261">
        <v>3.8399999999999997E-2</v>
      </c>
      <c r="T261">
        <v>0.93940000000000001</v>
      </c>
      <c r="U261">
        <v>0</v>
      </c>
      <c r="V261">
        <v>0.97787100000000005</v>
      </c>
      <c r="W261" s="1">
        <f t="shared" si="30"/>
        <v>0.97787100000000005</v>
      </c>
      <c r="X261" t="s">
        <v>826</v>
      </c>
      <c r="Y261" t="str">
        <f>VLOOKUP(X261,Sheet1!A:B,2,FALSE)</f>
        <v>Quercus macrocarpa Michx.</v>
      </c>
      <c r="Z261" t="s">
        <v>1384</v>
      </c>
      <c r="AB261" s="1">
        <f t="shared" si="31"/>
        <v>0.97787100000000005</v>
      </c>
      <c r="AD261">
        <f>IF(W261&lt;0.99,LARGE((N261:R261,U261,V261),2),"0")</f>
        <v>2.2100000000000002E-2</v>
      </c>
      <c r="AE261" t="str">
        <f>IF(AND(AB261&lt;0.99,AD261&gt;0.1),"admixed with",IF(AND(AB261&lt;0.99,AD261&gt;0.01),"trace admixed with ",""))</f>
        <v xml:space="preserve">trace admixed with </v>
      </c>
      <c r="AH261" t="str">
        <f t="shared" si="28"/>
        <v xml:space="preserve">Based on ADMIXTURE results of 78,187 SNPs, trace admixed with </v>
      </c>
    </row>
    <row r="262" spans="1:34" x14ac:dyDescent="0.4">
      <c r="A262">
        <v>418</v>
      </c>
      <c r="B262" t="s">
        <v>827</v>
      </c>
      <c r="C262" t="s">
        <v>21</v>
      </c>
      <c r="D262" t="s">
        <v>25</v>
      </c>
      <c r="E262" t="s">
        <v>21</v>
      </c>
      <c r="F262" t="s">
        <v>25</v>
      </c>
      <c r="G262" t="s">
        <v>21</v>
      </c>
      <c r="H262" t="s">
        <v>21</v>
      </c>
      <c r="I262" t="s">
        <v>21</v>
      </c>
      <c r="J262">
        <v>0</v>
      </c>
      <c r="K262">
        <v>2</v>
      </c>
      <c r="L262" t="s">
        <v>26</v>
      </c>
      <c r="M262" t="str">
        <f t="shared" si="29"/>
        <v>&gt;0.74</v>
      </c>
      <c r="N262">
        <v>0</v>
      </c>
      <c r="O262">
        <v>0</v>
      </c>
      <c r="P262">
        <v>0</v>
      </c>
      <c r="Q262">
        <v>4.3499999999999997E-2</v>
      </c>
      <c r="R262">
        <v>0</v>
      </c>
      <c r="S262">
        <v>9.3600000000000003E-2</v>
      </c>
      <c r="T262">
        <v>0.8629</v>
      </c>
      <c r="U262">
        <v>0</v>
      </c>
      <c r="V262">
        <v>0.956488</v>
      </c>
      <c r="W262" s="1">
        <f t="shared" si="30"/>
        <v>0.956488</v>
      </c>
      <c r="X262" t="s">
        <v>828</v>
      </c>
      <c r="Y262" t="str">
        <f>VLOOKUP(X262,Sheet1!A:B,2,FALSE)</f>
        <v>Quercus macrocarpa Michx.</v>
      </c>
      <c r="Z262" t="s">
        <v>1384</v>
      </c>
      <c r="AB262" s="1">
        <f t="shared" si="31"/>
        <v>0.956488</v>
      </c>
      <c r="AC262" t="s">
        <v>1431</v>
      </c>
      <c r="AD262">
        <f>IF(W262&lt;0.99,LARGE((N262:R262,U262,V262),2),"0")</f>
        <v>4.3499999999999997E-2</v>
      </c>
      <c r="AE262" t="str">
        <f>IF(AND(AB262&lt;0.99,AD262&gt;0.1,AB262&gt;0.6),"admixed with ",IF(AND(AB262&lt;0.99,AD262&gt;0.01,AD262&lt;0.4),"trace admixed (Q&lt;0.10) with ",""))</f>
        <v xml:space="preserve">trace admixed (Q&lt;0.10) with </v>
      </c>
      <c r="AH262" t="str">
        <f t="shared" si="28"/>
        <v>Based on ADMIXTURE results of 78,187 SNPs, trace admixed (Q&lt;0.10) with Quercus bicolor</v>
      </c>
    </row>
    <row r="263" spans="1:34" x14ac:dyDescent="0.4">
      <c r="A263">
        <v>419</v>
      </c>
      <c r="B263" t="s">
        <v>829</v>
      </c>
      <c r="C263" t="s">
        <v>21</v>
      </c>
      <c r="D263" t="s">
        <v>21</v>
      </c>
      <c r="E263" t="s">
        <v>21</v>
      </c>
      <c r="F263" t="s">
        <v>22</v>
      </c>
      <c r="G263" t="s">
        <v>21</v>
      </c>
      <c r="H263" t="s">
        <v>21</v>
      </c>
      <c r="I263" t="s">
        <v>21</v>
      </c>
      <c r="J263">
        <v>1</v>
      </c>
      <c r="K263">
        <v>0</v>
      </c>
      <c r="L263" t="s">
        <v>23</v>
      </c>
      <c r="M263" t="str">
        <f t="shared" si="29"/>
        <v>&gt;0.74</v>
      </c>
      <c r="N263">
        <v>0</v>
      </c>
      <c r="O263">
        <v>3.7000000000000002E-3</v>
      </c>
      <c r="P263">
        <v>5.3E-3</v>
      </c>
      <c r="Q263">
        <v>1.9400000000000001E-2</v>
      </c>
      <c r="R263">
        <v>0</v>
      </c>
      <c r="S263">
        <v>0</v>
      </c>
      <c r="T263">
        <v>0.97150000000000003</v>
      </c>
      <c r="U263">
        <v>0</v>
      </c>
      <c r="V263">
        <v>0.97153599999999996</v>
      </c>
      <c r="W263" s="1">
        <f t="shared" si="30"/>
        <v>0.97153599999999996</v>
      </c>
      <c r="X263" t="s">
        <v>830</v>
      </c>
      <c r="Y263" t="str">
        <f>VLOOKUP(X263,Sheet1!A:B,2,FALSE)</f>
        <v>Quercus macrocarpa Michx.</v>
      </c>
      <c r="Z263" t="s">
        <v>1384</v>
      </c>
      <c r="AB263" s="1">
        <f t="shared" si="31"/>
        <v>0.97153599999999996</v>
      </c>
      <c r="AD263">
        <f>IF(W263&lt;0.99,LARGE((N263:R263,U263,V263),2),"0")</f>
        <v>1.9400000000000001E-2</v>
      </c>
      <c r="AE263" t="str">
        <f>IF(AND(AB263&lt;0.99,AD263&gt;0.1),"admixed with",IF(AND(AB263&lt;0.99,AD263&gt;0.01),"trace admixed with ",""))</f>
        <v xml:space="preserve">trace admixed with </v>
      </c>
      <c r="AH263" t="str">
        <f t="shared" si="28"/>
        <v xml:space="preserve">Based on ADMIXTURE results of 78,187 SNPs, trace admixed with </v>
      </c>
    </row>
    <row r="264" spans="1:34" x14ac:dyDescent="0.4">
      <c r="A264">
        <v>424</v>
      </c>
      <c r="B264" t="s">
        <v>839</v>
      </c>
      <c r="C264" t="s">
        <v>21</v>
      </c>
      <c r="D264" t="s">
        <v>25</v>
      </c>
      <c r="E264" t="s">
        <v>21</v>
      </c>
      <c r="F264" t="s">
        <v>25</v>
      </c>
      <c r="G264" t="s">
        <v>21</v>
      </c>
      <c r="H264" t="s">
        <v>21</v>
      </c>
      <c r="I264" t="s">
        <v>21</v>
      </c>
      <c r="J264">
        <v>0</v>
      </c>
      <c r="K264">
        <v>2</v>
      </c>
      <c r="L264" t="s">
        <v>26</v>
      </c>
      <c r="M264" t="str">
        <f t="shared" si="29"/>
        <v>&gt;0.74</v>
      </c>
      <c r="N264">
        <v>0</v>
      </c>
      <c r="O264">
        <v>0</v>
      </c>
      <c r="P264">
        <v>0</v>
      </c>
      <c r="Q264">
        <v>5.7299999999999997E-2</v>
      </c>
      <c r="R264">
        <v>0</v>
      </c>
      <c r="S264">
        <v>0.15329999999999999</v>
      </c>
      <c r="T264">
        <v>0.7893</v>
      </c>
      <c r="U264">
        <v>0</v>
      </c>
      <c r="V264">
        <v>0.94267000000000001</v>
      </c>
      <c r="W264" s="1">
        <f t="shared" si="30"/>
        <v>0.94267000000000001</v>
      </c>
      <c r="X264" t="s">
        <v>840</v>
      </c>
      <c r="Y264" t="str">
        <f>VLOOKUP(X264,Sheet1!A:B,2,FALSE)</f>
        <v>Quercus macrocarpa Michx.</v>
      </c>
      <c r="Z264" t="s">
        <v>1384</v>
      </c>
      <c r="AB264" s="1">
        <f t="shared" si="31"/>
        <v>0.94267000000000001</v>
      </c>
      <c r="AC264" t="s">
        <v>1431</v>
      </c>
      <c r="AD264">
        <f>IF(W264&lt;0.99,LARGE((N264:R264,U264,V264),2),"0")</f>
        <v>5.7299999999999997E-2</v>
      </c>
      <c r="AE264" t="str">
        <f>IF(AND(AB264&lt;0.99,AD264&gt;0.1,AB264&gt;0.6),"admixed with ",IF(AND(AB264&lt;0.99,AD264&gt;0.01,AD264&lt;0.4),"trace admixed (Q&lt;0.10) with ",""))</f>
        <v xml:space="preserve">trace admixed (Q&lt;0.10) with </v>
      </c>
      <c r="AH264" t="str">
        <f t="shared" si="28"/>
        <v>Based on ADMIXTURE results of 78,187 SNPs, trace admixed (Q&lt;0.10) with Quercus bicolor</v>
      </c>
    </row>
    <row r="265" spans="1:34" x14ac:dyDescent="0.4">
      <c r="A265">
        <v>425</v>
      </c>
      <c r="B265" t="s">
        <v>841</v>
      </c>
      <c r="C265" t="s">
        <v>21</v>
      </c>
      <c r="D265" t="s">
        <v>25</v>
      </c>
      <c r="E265" t="s">
        <v>21</v>
      </c>
      <c r="F265" t="s">
        <v>25</v>
      </c>
      <c r="G265" t="s">
        <v>21</v>
      </c>
      <c r="H265" t="s">
        <v>21</v>
      </c>
      <c r="I265" t="s">
        <v>21</v>
      </c>
      <c r="J265">
        <v>0</v>
      </c>
      <c r="K265">
        <v>2</v>
      </c>
      <c r="L265" t="s">
        <v>26</v>
      </c>
      <c r="M265" t="str">
        <f t="shared" si="29"/>
        <v>&gt;0.74</v>
      </c>
      <c r="N265">
        <v>0</v>
      </c>
      <c r="O265">
        <v>0</v>
      </c>
      <c r="P265">
        <v>7.3000000000000001E-3</v>
      </c>
      <c r="Q265">
        <v>0.2172</v>
      </c>
      <c r="R265">
        <v>0</v>
      </c>
      <c r="S265">
        <v>9.2100000000000001E-2</v>
      </c>
      <c r="T265">
        <v>0.68340000000000001</v>
      </c>
      <c r="U265">
        <v>0</v>
      </c>
      <c r="V265">
        <v>0.77554800000000002</v>
      </c>
      <c r="W265" s="1">
        <f t="shared" si="30"/>
        <v>0.77554800000000002</v>
      </c>
      <c r="X265" t="s">
        <v>842</v>
      </c>
      <c r="Y265" t="str">
        <f>VLOOKUP(X265,Sheet1!A:B,2,FALSE)</f>
        <v>Quercus macrocarpa Michx.</v>
      </c>
      <c r="Z265" t="s">
        <v>1384</v>
      </c>
      <c r="AB265" s="1">
        <f t="shared" si="31"/>
        <v>0.77554800000000002</v>
      </c>
      <c r="AC265" t="s">
        <v>1431</v>
      </c>
      <c r="AD265">
        <f>IF(W265&lt;0.99,LARGE((N265:R265,U265,V265),2),"0")</f>
        <v>0.2172</v>
      </c>
      <c r="AE265" t="str">
        <f>IF(AND(AB265&lt;0.99,AD265&gt;0.1,AB265&gt;0.6),"admixed with ",IF(AND(AB265&lt;0.99,AD265&gt;0.01,AD265&lt;0.4),"trace admixed (Q&lt;0.10) with ",""))</f>
        <v xml:space="preserve">admixed with </v>
      </c>
      <c r="AH265" t="str">
        <f t="shared" si="28"/>
        <v>Based on ADMIXTURE results of 78,187 SNPs, admixed with Quercus bicolor</v>
      </c>
    </row>
    <row r="266" spans="1:34" x14ac:dyDescent="0.4">
      <c r="A266">
        <v>426</v>
      </c>
      <c r="B266" t="s">
        <v>843</v>
      </c>
      <c r="C266" t="s">
        <v>22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>
        <v>1</v>
      </c>
      <c r="K266">
        <v>0</v>
      </c>
      <c r="L266" t="s">
        <v>23</v>
      </c>
      <c r="M266" t="str">
        <f t="shared" si="29"/>
        <v>&gt;0.74</v>
      </c>
      <c r="N266">
        <v>0</v>
      </c>
      <c r="O266">
        <v>0</v>
      </c>
      <c r="P266">
        <v>0.99990000000000001</v>
      </c>
      <c r="Q266">
        <v>0</v>
      </c>
      <c r="R266">
        <v>0</v>
      </c>
      <c r="S266">
        <v>0</v>
      </c>
      <c r="T266">
        <v>0</v>
      </c>
      <c r="U266">
        <v>0</v>
      </c>
      <c r="V266" s="1">
        <v>2.0000000000000002E-5</v>
      </c>
      <c r="W266" s="1">
        <f t="shared" si="30"/>
        <v>0.99990000000000001</v>
      </c>
      <c r="X266" t="s">
        <v>844</v>
      </c>
      <c r="Y266" t="str">
        <f>VLOOKUP(X266,Sheet1!A:B,2,FALSE)</f>
        <v>Quercus alba L.</v>
      </c>
      <c r="Z266" t="s">
        <v>1386</v>
      </c>
      <c r="AB266" s="1">
        <f t="shared" si="31"/>
        <v>0.99990000000000001</v>
      </c>
      <c r="AD266" t="str">
        <f>IF(W266&lt;0.99,LARGE((N266:R266,U266,V266),2),"0")</f>
        <v>0</v>
      </c>
      <c r="AE266" t="str">
        <f>IF(AND(AB266&lt;0.99,AD266&gt;0.1),"admixed with",IF(AND(AB266&lt;0.99,AD266&gt;0.01),"trace admixed with ",""))</f>
        <v/>
      </c>
      <c r="AH266" t="str">
        <f t="shared" si="28"/>
        <v xml:space="preserve">Based on ADMIXTURE results of 78,187 SNPs, </v>
      </c>
    </row>
    <row r="267" spans="1:34" x14ac:dyDescent="0.4">
      <c r="A267">
        <v>427</v>
      </c>
      <c r="B267" t="s">
        <v>845</v>
      </c>
      <c r="C267" t="s">
        <v>21</v>
      </c>
      <c r="D267" t="s">
        <v>25</v>
      </c>
      <c r="E267" t="s">
        <v>21</v>
      </c>
      <c r="F267" t="s">
        <v>22</v>
      </c>
      <c r="G267" t="s">
        <v>21</v>
      </c>
      <c r="H267" t="s">
        <v>21</v>
      </c>
      <c r="I267" t="s">
        <v>21</v>
      </c>
      <c r="J267">
        <v>1</v>
      </c>
      <c r="K267">
        <v>1</v>
      </c>
      <c r="L267" t="s">
        <v>193</v>
      </c>
      <c r="M267" t="str">
        <f t="shared" si="29"/>
        <v>&gt;0.74</v>
      </c>
      <c r="N267">
        <v>0</v>
      </c>
      <c r="O267">
        <v>0</v>
      </c>
      <c r="P267">
        <v>0</v>
      </c>
      <c r="Q267">
        <v>3.6700000000000003E-2</v>
      </c>
      <c r="R267">
        <v>0</v>
      </c>
      <c r="S267">
        <v>0.10290000000000001</v>
      </c>
      <c r="T267">
        <v>0.86040000000000005</v>
      </c>
      <c r="U267">
        <v>0</v>
      </c>
      <c r="V267">
        <v>0.96329500000000001</v>
      </c>
      <c r="W267" s="1">
        <f t="shared" si="30"/>
        <v>0.96329500000000001</v>
      </c>
      <c r="X267" t="s">
        <v>846</v>
      </c>
      <c r="Y267" t="str">
        <f>VLOOKUP(X267,Sheet1!A:B,2,FALSE)</f>
        <v>Quercus macrocarpa Michx.</v>
      </c>
      <c r="Z267" t="s">
        <v>1384</v>
      </c>
      <c r="AB267" s="1">
        <f t="shared" si="31"/>
        <v>0.96329500000000001</v>
      </c>
      <c r="AC267" t="s">
        <v>1431</v>
      </c>
      <c r="AD267">
        <f>IF(W267&lt;0.99,LARGE((N267:R267,U267,V267),2),"0")</f>
        <v>3.6700000000000003E-2</v>
      </c>
      <c r="AE267" t="str">
        <f>IF(AND(AB267&lt;0.99,AD267&gt;0.1,AB267&gt;0.6),"admixed with ",IF(AND(AB267&lt;0.99,AD267&gt;0.01,AD267&lt;0.4),"may be trace admixed with ",""))</f>
        <v xml:space="preserve">may be trace admixed with </v>
      </c>
      <c r="AH267" t="str">
        <f t="shared" si="28"/>
        <v>Based on ADMIXTURE results of 78,187 SNPs, may be trace admixed with Quercus bicolor</v>
      </c>
    </row>
    <row r="268" spans="1:34" x14ac:dyDescent="0.4">
      <c r="A268">
        <v>428</v>
      </c>
      <c r="B268" t="s">
        <v>847</v>
      </c>
      <c r="C268" t="s">
        <v>21</v>
      </c>
      <c r="D268" t="s">
        <v>25</v>
      </c>
      <c r="E268" t="s">
        <v>21</v>
      </c>
      <c r="F268" t="s">
        <v>25</v>
      </c>
      <c r="G268" t="s">
        <v>21</v>
      </c>
      <c r="H268" t="s">
        <v>21</v>
      </c>
      <c r="I268" t="s">
        <v>21</v>
      </c>
      <c r="J268">
        <v>0</v>
      </c>
      <c r="K268">
        <v>2</v>
      </c>
      <c r="L268" t="s">
        <v>26</v>
      </c>
      <c r="M268" t="str">
        <f t="shared" si="29"/>
        <v>&gt;0.74</v>
      </c>
      <c r="N268">
        <v>0</v>
      </c>
      <c r="O268">
        <v>0</v>
      </c>
      <c r="P268">
        <v>6.3E-3</v>
      </c>
      <c r="Q268">
        <v>0.104</v>
      </c>
      <c r="R268">
        <v>0</v>
      </c>
      <c r="S268">
        <v>9.2499999999999999E-2</v>
      </c>
      <c r="T268">
        <v>0.79720000000000002</v>
      </c>
      <c r="U268">
        <v>0</v>
      </c>
      <c r="V268">
        <v>0.889656</v>
      </c>
      <c r="W268" s="1">
        <f t="shared" si="30"/>
        <v>0.889656</v>
      </c>
      <c r="X268" t="s">
        <v>848</v>
      </c>
      <c r="Y268" t="str">
        <f>VLOOKUP(X268,Sheet1!A:B,2,FALSE)</f>
        <v>Quercus macrocarpa Michx.</v>
      </c>
      <c r="Z268" t="s">
        <v>1384</v>
      </c>
      <c r="AB268" s="1">
        <f t="shared" si="31"/>
        <v>0.889656</v>
      </c>
      <c r="AC268" t="s">
        <v>1431</v>
      </c>
      <c r="AD268">
        <f>IF(W268&lt;0.99,LARGE((N268:R268,U268,V268),2),"0")</f>
        <v>0.104</v>
      </c>
      <c r="AE268" t="str">
        <f>IF(AND(AB268&lt;0.99,AD268&gt;0.1,AB268&gt;0.6),"admixed with ",IF(AND(AB268&lt;0.99,AD268&gt;0.01,AD268&lt;0.4),"trace admixed (Q&lt;0.10) with ",""))</f>
        <v xml:space="preserve">admixed with </v>
      </c>
      <c r="AH268" t="str">
        <f t="shared" si="28"/>
        <v>Based on ADMIXTURE results of 78,187 SNPs, admixed with Quercus bicolor</v>
      </c>
    </row>
    <row r="269" spans="1:34" x14ac:dyDescent="0.4">
      <c r="A269">
        <v>429</v>
      </c>
      <c r="B269" t="s">
        <v>849</v>
      </c>
      <c r="C269" t="s">
        <v>22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>
        <v>1</v>
      </c>
      <c r="K269">
        <v>0</v>
      </c>
      <c r="L269" t="s">
        <v>23</v>
      </c>
      <c r="M269" t="str">
        <f t="shared" si="29"/>
        <v>&gt;0.74</v>
      </c>
      <c r="N269">
        <v>0</v>
      </c>
      <c r="O269">
        <v>0</v>
      </c>
      <c r="P269">
        <v>0.99990000000000001</v>
      </c>
      <c r="Q269">
        <v>0</v>
      </c>
      <c r="R269">
        <v>0</v>
      </c>
      <c r="S269">
        <v>0</v>
      </c>
      <c r="T269">
        <v>0</v>
      </c>
      <c r="U269">
        <v>0</v>
      </c>
      <c r="V269" s="1">
        <v>2.0000000000000002E-5</v>
      </c>
      <c r="W269" s="1">
        <f t="shared" si="30"/>
        <v>0.99990000000000001</v>
      </c>
      <c r="X269" t="s">
        <v>850</v>
      </c>
      <c r="Y269" t="str">
        <f>VLOOKUP(X269,Sheet1!A:B,2,FALSE)</f>
        <v>Quercus alba L.</v>
      </c>
      <c r="Z269" t="s">
        <v>1386</v>
      </c>
      <c r="AB269" s="1">
        <f t="shared" si="31"/>
        <v>0.99990000000000001</v>
      </c>
      <c r="AD269" t="str">
        <f>IF(W269&lt;0.99,LARGE((N269:R269,U269,V269),2),"0")</f>
        <v>0</v>
      </c>
      <c r="AE269" t="str">
        <f t="shared" ref="AE269:AE302" si="32">IF(AND(AB269&lt;0.99,AD269&gt;0.1),"admixed with",IF(AND(AB269&lt;0.99,AD269&gt;0.01),"trace admixed with ",""))</f>
        <v/>
      </c>
      <c r="AH269" t="str">
        <f t="shared" si="28"/>
        <v xml:space="preserve">Based on ADMIXTURE results of 78,187 SNPs, </v>
      </c>
    </row>
    <row r="270" spans="1:34" x14ac:dyDescent="0.4">
      <c r="A270">
        <v>562</v>
      </c>
      <c r="B270" t="s">
        <v>1116</v>
      </c>
      <c r="C270" t="s">
        <v>21</v>
      </c>
      <c r="D270" t="s">
        <v>21</v>
      </c>
      <c r="E270" t="s">
        <v>21</v>
      </c>
      <c r="F270" t="s">
        <v>22</v>
      </c>
      <c r="G270" t="s">
        <v>21</v>
      </c>
      <c r="H270" t="s">
        <v>21</v>
      </c>
      <c r="I270" t="s">
        <v>21</v>
      </c>
      <c r="J270">
        <v>1</v>
      </c>
      <c r="K270">
        <v>0</v>
      </c>
      <c r="L270" t="s">
        <v>23</v>
      </c>
      <c r="M270" t="str">
        <f t="shared" si="29"/>
        <v>&gt;0.74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0.99990000000000001</v>
      </c>
      <c r="U270">
        <v>0</v>
      </c>
      <c r="V270">
        <v>0.99994000000000005</v>
      </c>
      <c r="W270" s="1">
        <f t="shared" si="30"/>
        <v>0.99994000000000005</v>
      </c>
      <c r="X270" t="s">
        <v>1117</v>
      </c>
      <c r="Y270" t="str">
        <f>VLOOKUP(X270,Sheet1!A:B,2,FALSE)</f>
        <v>Quercus macrocarpa Michx.</v>
      </c>
      <c r="Z270" t="s">
        <v>1384</v>
      </c>
      <c r="AB270" s="1">
        <f t="shared" si="31"/>
        <v>0.99994000000000005</v>
      </c>
      <c r="AD270" t="str">
        <f>IF(W270&lt;0.99,LARGE((N270:R270,U270,V270),2),"0")</f>
        <v>0</v>
      </c>
      <c r="AE270" t="str">
        <f t="shared" si="32"/>
        <v/>
      </c>
      <c r="AH270" t="str">
        <f t="shared" si="28"/>
        <v xml:space="preserve">Based on ADMIXTURE results of 78,187 SNPs, </v>
      </c>
    </row>
    <row r="271" spans="1:34" x14ac:dyDescent="0.4">
      <c r="A271">
        <v>563</v>
      </c>
      <c r="B271" t="s">
        <v>1118</v>
      </c>
      <c r="C271" t="s">
        <v>21</v>
      </c>
      <c r="D271" t="s">
        <v>21</v>
      </c>
      <c r="E271" t="s">
        <v>21</v>
      </c>
      <c r="F271" t="s">
        <v>22</v>
      </c>
      <c r="G271" t="s">
        <v>21</v>
      </c>
      <c r="H271" t="s">
        <v>21</v>
      </c>
      <c r="I271" t="s">
        <v>21</v>
      </c>
      <c r="J271">
        <v>1</v>
      </c>
      <c r="K271">
        <v>0</v>
      </c>
      <c r="L271" t="s">
        <v>23</v>
      </c>
      <c r="M271" t="str">
        <f t="shared" si="29"/>
        <v>&gt;0.74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0.99990000000000001</v>
      </c>
      <c r="U271">
        <v>0</v>
      </c>
      <c r="V271">
        <v>0.99994000000000005</v>
      </c>
      <c r="W271" s="1">
        <f t="shared" si="30"/>
        <v>0.99994000000000005</v>
      </c>
      <c r="X271" t="s">
        <v>1119</v>
      </c>
      <c r="Y271" t="str">
        <f>VLOOKUP(X271,Sheet1!A:B,2,FALSE)</f>
        <v>Quercus macrocarpa Michx.</v>
      </c>
      <c r="Z271" t="s">
        <v>1384</v>
      </c>
      <c r="AB271" s="1">
        <f t="shared" si="31"/>
        <v>0.99994000000000005</v>
      </c>
      <c r="AD271" t="str">
        <f>IF(W271&lt;0.99,LARGE((N271:R271,U271,V271),2),"0")</f>
        <v>0</v>
      </c>
      <c r="AE271" t="str">
        <f t="shared" si="32"/>
        <v/>
      </c>
      <c r="AH271" t="str">
        <f t="shared" si="28"/>
        <v xml:space="preserve">Based on ADMIXTURE results of 78,187 SNPs, </v>
      </c>
    </row>
    <row r="272" spans="1:34" x14ac:dyDescent="0.4">
      <c r="A272">
        <v>564</v>
      </c>
      <c r="B272" t="s">
        <v>1120</v>
      </c>
      <c r="C272" t="s">
        <v>21</v>
      </c>
      <c r="D272" t="s">
        <v>21</v>
      </c>
      <c r="E272" t="s">
        <v>21</v>
      </c>
      <c r="F272" t="s">
        <v>22</v>
      </c>
      <c r="G272" t="s">
        <v>21</v>
      </c>
      <c r="H272" t="s">
        <v>21</v>
      </c>
      <c r="I272" t="s">
        <v>21</v>
      </c>
      <c r="J272">
        <v>1</v>
      </c>
      <c r="K272">
        <v>0</v>
      </c>
      <c r="L272" t="s">
        <v>23</v>
      </c>
      <c r="M272" t="str">
        <f t="shared" si="29"/>
        <v>&gt;0.74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0.99990000000000001</v>
      </c>
      <c r="U272">
        <v>0</v>
      </c>
      <c r="V272">
        <v>0.99992999999999999</v>
      </c>
      <c r="W272" s="1">
        <f t="shared" si="30"/>
        <v>0.99992999999999999</v>
      </c>
      <c r="X272" t="s">
        <v>1121</v>
      </c>
      <c r="Y272" t="str">
        <f>VLOOKUP(X272,Sheet1!A:B,2,FALSE)</f>
        <v>Quercus macrocarpa Michx.</v>
      </c>
      <c r="Z272" t="s">
        <v>1384</v>
      </c>
      <c r="AB272" s="1">
        <f t="shared" si="31"/>
        <v>0.99992999999999999</v>
      </c>
      <c r="AD272" t="str">
        <f>IF(W272&lt;0.99,LARGE((N272:R272,U272,V272),2),"0")</f>
        <v>0</v>
      </c>
      <c r="AE272" t="str">
        <f t="shared" si="32"/>
        <v/>
      </c>
      <c r="AH272" t="str">
        <f t="shared" si="28"/>
        <v xml:space="preserve">Based on ADMIXTURE results of 78,187 SNPs, </v>
      </c>
    </row>
    <row r="273" spans="1:34" x14ac:dyDescent="0.4">
      <c r="A273">
        <v>565</v>
      </c>
      <c r="B273" t="s">
        <v>1122</v>
      </c>
      <c r="C273" t="s">
        <v>21</v>
      </c>
      <c r="D273" t="s">
        <v>21</v>
      </c>
      <c r="E273" t="s">
        <v>21</v>
      </c>
      <c r="F273" t="s">
        <v>22</v>
      </c>
      <c r="G273" t="s">
        <v>21</v>
      </c>
      <c r="H273" t="s">
        <v>21</v>
      </c>
      <c r="I273" t="s">
        <v>21</v>
      </c>
      <c r="J273">
        <v>1</v>
      </c>
      <c r="K273">
        <v>0</v>
      </c>
      <c r="L273" t="s">
        <v>23</v>
      </c>
      <c r="M273" t="str">
        <f t="shared" si="29"/>
        <v>&gt;0.74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0.99990000000000001</v>
      </c>
      <c r="U273">
        <v>0</v>
      </c>
      <c r="V273">
        <v>0.99994000000000005</v>
      </c>
      <c r="W273" s="1">
        <f t="shared" si="30"/>
        <v>0.99994000000000005</v>
      </c>
      <c r="X273" t="s">
        <v>1123</v>
      </c>
      <c r="Y273" t="str">
        <f>VLOOKUP(X273,Sheet1!A:B,2,FALSE)</f>
        <v>Quercus macrocarpa Michx.</v>
      </c>
      <c r="Z273" t="s">
        <v>1384</v>
      </c>
      <c r="AB273" s="1">
        <f t="shared" si="31"/>
        <v>0.99994000000000005</v>
      </c>
      <c r="AD273" t="str">
        <f>IF(W273&lt;0.99,LARGE((N273:R273,U273,V273),2),"0")</f>
        <v>0</v>
      </c>
      <c r="AE273" t="str">
        <f t="shared" si="32"/>
        <v/>
      </c>
      <c r="AH273" t="str">
        <f t="shared" si="28"/>
        <v xml:space="preserve">Based on ADMIXTURE results of 78,187 SNPs, </v>
      </c>
    </row>
    <row r="274" spans="1:34" x14ac:dyDescent="0.4">
      <c r="A274">
        <v>566</v>
      </c>
      <c r="B274" t="s">
        <v>1124</v>
      </c>
      <c r="C274" t="s">
        <v>21</v>
      </c>
      <c r="D274" t="s">
        <v>21</v>
      </c>
      <c r="E274" t="s">
        <v>21</v>
      </c>
      <c r="F274" t="s">
        <v>22</v>
      </c>
      <c r="G274" t="s">
        <v>21</v>
      </c>
      <c r="H274" t="s">
        <v>21</v>
      </c>
      <c r="I274" t="s">
        <v>21</v>
      </c>
      <c r="J274">
        <v>1</v>
      </c>
      <c r="K274">
        <v>0</v>
      </c>
      <c r="L274" t="s">
        <v>23</v>
      </c>
      <c r="M274" t="str">
        <f t="shared" si="29"/>
        <v>&gt;0.74</v>
      </c>
      <c r="N274">
        <v>3.2000000000000002E-3</v>
      </c>
      <c r="O274">
        <v>0</v>
      </c>
      <c r="P274">
        <v>0</v>
      </c>
      <c r="Q274">
        <v>0</v>
      </c>
      <c r="R274">
        <v>0</v>
      </c>
      <c r="S274">
        <v>2.9000000000000001E-2</v>
      </c>
      <c r="T274">
        <v>0.9677</v>
      </c>
      <c r="U274">
        <v>0</v>
      </c>
      <c r="V274">
        <v>0.99671399999999999</v>
      </c>
      <c r="W274" s="1">
        <f t="shared" si="30"/>
        <v>0.99671399999999999</v>
      </c>
      <c r="X274" t="s">
        <v>1125</v>
      </c>
      <c r="Y274" t="str">
        <f>VLOOKUP(X274,Sheet1!A:B,2,FALSE)</f>
        <v>Quercus macrocarpa Michx.</v>
      </c>
      <c r="Z274" t="s">
        <v>1384</v>
      </c>
      <c r="AB274" s="1">
        <f t="shared" si="31"/>
        <v>0.99671399999999999</v>
      </c>
      <c r="AD274" t="str">
        <f>IF(W274&lt;0.99,LARGE((N274:R274,U274,V274),2),"0")</f>
        <v>0</v>
      </c>
      <c r="AE274" t="str">
        <f t="shared" si="32"/>
        <v/>
      </c>
      <c r="AH274" t="str">
        <f t="shared" si="28"/>
        <v xml:space="preserve">Based on ADMIXTURE results of 78,187 SNPs, </v>
      </c>
    </row>
    <row r="275" spans="1:34" x14ac:dyDescent="0.4">
      <c r="A275">
        <v>567</v>
      </c>
      <c r="B275" t="s">
        <v>1126</v>
      </c>
      <c r="C275" t="s">
        <v>21</v>
      </c>
      <c r="D275" t="s">
        <v>21</v>
      </c>
      <c r="E275" t="s">
        <v>21</v>
      </c>
      <c r="F275" t="s">
        <v>22</v>
      </c>
      <c r="G275" t="s">
        <v>21</v>
      </c>
      <c r="H275" t="s">
        <v>21</v>
      </c>
      <c r="I275" t="s">
        <v>21</v>
      </c>
      <c r="J275">
        <v>1</v>
      </c>
      <c r="K275">
        <v>0</v>
      </c>
      <c r="L275" t="s">
        <v>23</v>
      </c>
      <c r="M275" t="str">
        <f t="shared" si="29"/>
        <v>&gt;0.74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0.99990000000000001</v>
      </c>
      <c r="U275">
        <v>0</v>
      </c>
      <c r="V275">
        <v>0.99993799999999999</v>
      </c>
      <c r="W275" s="1">
        <f t="shared" si="30"/>
        <v>0.99993799999999999</v>
      </c>
      <c r="X275" t="s">
        <v>1127</v>
      </c>
      <c r="Y275" t="str">
        <f>VLOOKUP(X275,Sheet1!A:B,2,FALSE)</f>
        <v>Quercus macrocarpa Michx.</v>
      </c>
      <c r="Z275" t="s">
        <v>1384</v>
      </c>
      <c r="AB275" s="1">
        <f t="shared" si="31"/>
        <v>0.99993799999999999</v>
      </c>
      <c r="AD275" t="str">
        <f>IF(W275&lt;0.99,LARGE((N275:R275,U275,V275),2),"0")</f>
        <v>0</v>
      </c>
      <c r="AE275" t="str">
        <f t="shared" si="32"/>
        <v/>
      </c>
      <c r="AH275" t="str">
        <f t="shared" si="28"/>
        <v xml:space="preserve">Based on ADMIXTURE results of 78,187 SNPs, </v>
      </c>
    </row>
    <row r="276" spans="1:34" x14ac:dyDescent="0.4">
      <c r="A276">
        <v>568</v>
      </c>
      <c r="B276" t="s">
        <v>1128</v>
      </c>
      <c r="C276" t="s">
        <v>21</v>
      </c>
      <c r="D276" t="s">
        <v>21</v>
      </c>
      <c r="E276" t="s">
        <v>21</v>
      </c>
      <c r="F276" t="s">
        <v>22</v>
      </c>
      <c r="G276" t="s">
        <v>21</v>
      </c>
      <c r="H276" t="s">
        <v>21</v>
      </c>
      <c r="I276" t="s">
        <v>21</v>
      </c>
      <c r="J276">
        <v>1</v>
      </c>
      <c r="K276">
        <v>0</v>
      </c>
      <c r="L276" t="s">
        <v>23</v>
      </c>
      <c r="M276" t="str">
        <f t="shared" si="29"/>
        <v>&gt;0.74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0.99990000000000001</v>
      </c>
      <c r="U276">
        <v>0</v>
      </c>
      <c r="V276">
        <v>0.99994000000000005</v>
      </c>
      <c r="W276" s="1">
        <f t="shared" si="30"/>
        <v>0.99994000000000005</v>
      </c>
      <c r="X276" t="s">
        <v>1129</v>
      </c>
      <c r="Y276" t="str">
        <f>VLOOKUP(X276,Sheet1!A:B,2,FALSE)</f>
        <v>Quercus macrocarpa Michx.</v>
      </c>
      <c r="Z276" t="s">
        <v>1384</v>
      </c>
      <c r="AB276" s="1">
        <f t="shared" si="31"/>
        <v>0.99994000000000005</v>
      </c>
      <c r="AD276" t="str">
        <f>IF(W276&lt;0.99,LARGE((N276:R276,U276,V276),2),"0")</f>
        <v>0</v>
      </c>
      <c r="AE276" t="str">
        <f t="shared" si="32"/>
        <v/>
      </c>
      <c r="AH276" t="str">
        <f t="shared" si="28"/>
        <v xml:space="preserve">Based on ADMIXTURE results of 78,187 SNPs, </v>
      </c>
    </row>
    <row r="277" spans="1:34" x14ac:dyDescent="0.4">
      <c r="A277">
        <v>569</v>
      </c>
      <c r="B277" t="s">
        <v>1130</v>
      </c>
      <c r="C277" t="s">
        <v>21</v>
      </c>
      <c r="D277" t="s">
        <v>21</v>
      </c>
      <c r="E277" t="s">
        <v>21</v>
      </c>
      <c r="F277" t="s">
        <v>22</v>
      </c>
      <c r="G277" t="s">
        <v>21</v>
      </c>
      <c r="H277" t="s">
        <v>21</v>
      </c>
      <c r="I277" t="s">
        <v>21</v>
      </c>
      <c r="J277">
        <v>1</v>
      </c>
      <c r="K277">
        <v>0</v>
      </c>
      <c r="L277" t="s">
        <v>23</v>
      </c>
      <c r="M277" t="str">
        <f t="shared" si="29"/>
        <v>&gt;0.74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0.99990000000000001</v>
      </c>
      <c r="U277">
        <v>0</v>
      </c>
      <c r="V277">
        <v>0.99994000000000005</v>
      </c>
      <c r="W277" s="1">
        <f t="shared" si="30"/>
        <v>0.99994000000000005</v>
      </c>
      <c r="X277" t="s">
        <v>1131</v>
      </c>
      <c r="Y277" t="str">
        <f>VLOOKUP(X277,Sheet1!A:B,2,FALSE)</f>
        <v>Quercus macrocarpa Michx.</v>
      </c>
      <c r="Z277" t="s">
        <v>1384</v>
      </c>
      <c r="AB277" s="1">
        <f t="shared" si="31"/>
        <v>0.99994000000000005</v>
      </c>
      <c r="AD277" t="str">
        <f>IF(W277&lt;0.99,LARGE((N277:R277,U277,V277),2),"0")</f>
        <v>0</v>
      </c>
      <c r="AE277" t="str">
        <f t="shared" si="32"/>
        <v/>
      </c>
      <c r="AH277" t="str">
        <f t="shared" si="28"/>
        <v xml:space="preserve">Based on ADMIXTURE results of 78,187 SNPs, </v>
      </c>
    </row>
    <row r="278" spans="1:34" x14ac:dyDescent="0.4">
      <c r="A278">
        <v>570</v>
      </c>
      <c r="B278" t="s">
        <v>1132</v>
      </c>
      <c r="C278" t="s">
        <v>21</v>
      </c>
      <c r="D278" t="s">
        <v>21</v>
      </c>
      <c r="E278" t="s">
        <v>21</v>
      </c>
      <c r="F278" t="s">
        <v>22</v>
      </c>
      <c r="G278" t="s">
        <v>21</v>
      </c>
      <c r="H278" t="s">
        <v>21</v>
      </c>
      <c r="I278" t="s">
        <v>21</v>
      </c>
      <c r="J278">
        <v>1</v>
      </c>
      <c r="K278">
        <v>0</v>
      </c>
      <c r="L278" t="s">
        <v>23</v>
      </c>
      <c r="M278" t="str">
        <f t="shared" si="29"/>
        <v>&gt;0.74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0.99990000000000001</v>
      </c>
      <c r="U278">
        <v>0</v>
      </c>
      <c r="V278">
        <v>0.99994000000000005</v>
      </c>
      <c r="W278" s="1">
        <f t="shared" si="30"/>
        <v>0.99994000000000005</v>
      </c>
      <c r="X278" t="s">
        <v>1133</v>
      </c>
      <c r="Y278" t="str">
        <f>VLOOKUP(X278,Sheet1!A:B,2,FALSE)</f>
        <v>Quercus macrocarpa Michx.</v>
      </c>
      <c r="Z278" t="s">
        <v>1384</v>
      </c>
      <c r="AB278" s="1">
        <f t="shared" si="31"/>
        <v>0.99994000000000005</v>
      </c>
      <c r="AD278" t="str">
        <f>IF(W278&lt;0.99,LARGE((N278:R278,U278,V278),2),"0")</f>
        <v>0</v>
      </c>
      <c r="AE278" t="str">
        <f t="shared" si="32"/>
        <v/>
      </c>
      <c r="AH278" t="str">
        <f t="shared" si="28"/>
        <v xml:space="preserve">Based on ADMIXTURE results of 78,187 SNPs, </v>
      </c>
    </row>
    <row r="279" spans="1:34" x14ac:dyDescent="0.4">
      <c r="A279">
        <v>571</v>
      </c>
      <c r="B279" t="s">
        <v>1134</v>
      </c>
      <c r="C279" t="s">
        <v>21</v>
      </c>
      <c r="D279" t="s">
        <v>21</v>
      </c>
      <c r="E279" t="s">
        <v>21</v>
      </c>
      <c r="F279" t="s">
        <v>22</v>
      </c>
      <c r="G279" t="s">
        <v>21</v>
      </c>
      <c r="H279" t="s">
        <v>21</v>
      </c>
      <c r="I279" t="s">
        <v>21</v>
      </c>
      <c r="J279">
        <v>1</v>
      </c>
      <c r="K279">
        <v>0</v>
      </c>
      <c r="L279" t="s">
        <v>23</v>
      </c>
      <c r="M279" t="str">
        <f t="shared" si="29"/>
        <v>&gt;0.74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0.99990000000000001</v>
      </c>
      <c r="U279">
        <v>0</v>
      </c>
      <c r="V279">
        <v>0.99994000000000005</v>
      </c>
      <c r="W279" s="1">
        <f t="shared" si="30"/>
        <v>0.99994000000000005</v>
      </c>
      <c r="X279" t="s">
        <v>1135</v>
      </c>
      <c r="Y279" t="str">
        <f>VLOOKUP(X279,Sheet1!A:B,2,FALSE)</f>
        <v>Quercus macrocarpa Michx.</v>
      </c>
      <c r="Z279" t="s">
        <v>1384</v>
      </c>
      <c r="AB279" s="1">
        <f t="shared" si="31"/>
        <v>0.99994000000000005</v>
      </c>
      <c r="AD279" t="str">
        <f>IF(W279&lt;0.99,LARGE((N279:R279,U279,V279),2),"0")</f>
        <v>0</v>
      </c>
      <c r="AE279" t="str">
        <f t="shared" si="32"/>
        <v/>
      </c>
      <c r="AH279" t="str">
        <f t="shared" si="28"/>
        <v xml:space="preserve">Based on ADMIXTURE results of 78,187 SNPs, </v>
      </c>
    </row>
    <row r="280" spans="1:34" x14ac:dyDescent="0.4">
      <c r="A280">
        <v>572</v>
      </c>
      <c r="B280" t="s">
        <v>1136</v>
      </c>
      <c r="C280" t="s">
        <v>21</v>
      </c>
      <c r="D280" t="s">
        <v>21</v>
      </c>
      <c r="E280" t="s">
        <v>21</v>
      </c>
      <c r="F280" t="s">
        <v>22</v>
      </c>
      <c r="G280" t="s">
        <v>21</v>
      </c>
      <c r="H280" t="s">
        <v>21</v>
      </c>
      <c r="I280" t="s">
        <v>21</v>
      </c>
      <c r="J280">
        <v>1</v>
      </c>
      <c r="K280">
        <v>0</v>
      </c>
      <c r="L280" t="s">
        <v>23</v>
      </c>
      <c r="M280" t="str">
        <f t="shared" si="29"/>
        <v>&gt;0.74</v>
      </c>
      <c r="N280">
        <v>0</v>
      </c>
      <c r="O280">
        <v>4.7000000000000002E-3</v>
      </c>
      <c r="P280">
        <v>0</v>
      </c>
      <c r="Q280">
        <v>4.4000000000000003E-3</v>
      </c>
      <c r="R280">
        <v>0</v>
      </c>
      <c r="S280">
        <v>0</v>
      </c>
      <c r="T280">
        <v>0.99080000000000001</v>
      </c>
      <c r="U280">
        <v>0</v>
      </c>
      <c r="V280">
        <v>0.99078699999999997</v>
      </c>
      <c r="W280" s="1">
        <f t="shared" si="30"/>
        <v>0.99078699999999997</v>
      </c>
      <c r="X280" t="s">
        <v>1137</v>
      </c>
      <c r="Y280" t="str">
        <f>VLOOKUP(X280,Sheet1!A:B,2,FALSE)</f>
        <v>Quercus macrocarpa Michx.</v>
      </c>
      <c r="Z280" t="s">
        <v>1384</v>
      </c>
      <c r="AB280" s="1">
        <f t="shared" si="31"/>
        <v>0.99078699999999997</v>
      </c>
      <c r="AD280" t="str">
        <f>IF(W280&lt;0.99,LARGE((N280:R280,U280,V280),2),"0")</f>
        <v>0</v>
      </c>
      <c r="AE280" t="str">
        <f t="shared" si="32"/>
        <v/>
      </c>
      <c r="AH280" t="str">
        <f t="shared" si="28"/>
        <v xml:space="preserve">Based on ADMIXTURE results of 78,187 SNPs, </v>
      </c>
    </row>
    <row r="281" spans="1:34" x14ac:dyDescent="0.4">
      <c r="A281">
        <v>573</v>
      </c>
      <c r="B281" t="s">
        <v>1138</v>
      </c>
      <c r="C281" t="s">
        <v>21</v>
      </c>
      <c r="D281" t="s">
        <v>21</v>
      </c>
      <c r="E281" t="s">
        <v>21</v>
      </c>
      <c r="F281" t="s">
        <v>22</v>
      </c>
      <c r="G281" t="s">
        <v>21</v>
      </c>
      <c r="H281" t="s">
        <v>21</v>
      </c>
      <c r="I281" t="s">
        <v>21</v>
      </c>
      <c r="J281">
        <v>1</v>
      </c>
      <c r="K281">
        <v>0</v>
      </c>
      <c r="L281" t="s">
        <v>23</v>
      </c>
      <c r="M281" t="str">
        <f t="shared" si="29"/>
        <v>&gt;0.74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0.99990000000000001</v>
      </c>
      <c r="U281">
        <v>0</v>
      </c>
      <c r="V281">
        <v>0.99994000000000005</v>
      </c>
      <c r="W281" s="1">
        <f t="shared" si="30"/>
        <v>0.99994000000000005</v>
      </c>
      <c r="X281" t="s">
        <v>1139</v>
      </c>
      <c r="Y281" t="str">
        <f>VLOOKUP(X281,Sheet1!A:B,2,FALSE)</f>
        <v>Quercus macrocarpa Michx.</v>
      </c>
      <c r="Z281" t="s">
        <v>1384</v>
      </c>
      <c r="AB281" s="1">
        <f t="shared" si="31"/>
        <v>0.99994000000000005</v>
      </c>
      <c r="AD281" t="str">
        <f>IF(W281&lt;0.99,LARGE((N281:R281,U281,V281),2),"0")</f>
        <v>0</v>
      </c>
      <c r="AE281" t="str">
        <f t="shared" si="32"/>
        <v/>
      </c>
      <c r="AH281" t="str">
        <f t="shared" si="28"/>
        <v xml:space="preserve">Based on ADMIXTURE results of 78,187 SNPs, </v>
      </c>
    </row>
    <row r="282" spans="1:34" x14ac:dyDescent="0.4">
      <c r="A282">
        <v>574</v>
      </c>
      <c r="B282" t="s">
        <v>1140</v>
      </c>
      <c r="C282" t="s">
        <v>21</v>
      </c>
      <c r="D282" t="s">
        <v>21</v>
      </c>
      <c r="E282" t="s">
        <v>21</v>
      </c>
      <c r="F282" t="s">
        <v>22</v>
      </c>
      <c r="G282" t="s">
        <v>21</v>
      </c>
      <c r="H282" t="s">
        <v>21</v>
      </c>
      <c r="I282" t="s">
        <v>21</v>
      </c>
      <c r="J282">
        <v>1</v>
      </c>
      <c r="K282">
        <v>0</v>
      </c>
      <c r="L282" t="s">
        <v>23</v>
      </c>
      <c r="M282" t="str">
        <f t="shared" si="29"/>
        <v>&gt;0.74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0.99990000000000001</v>
      </c>
      <c r="U282">
        <v>0</v>
      </c>
      <c r="V282">
        <v>0.99994000000000005</v>
      </c>
      <c r="W282" s="1">
        <f t="shared" si="30"/>
        <v>0.99994000000000005</v>
      </c>
      <c r="X282" t="s">
        <v>1141</v>
      </c>
      <c r="Y282" t="str">
        <f>VLOOKUP(X282,Sheet1!A:B,2,FALSE)</f>
        <v>Quercus macrocarpa Michx.</v>
      </c>
      <c r="Z282" t="s">
        <v>1384</v>
      </c>
      <c r="AB282" s="1">
        <f t="shared" si="31"/>
        <v>0.99994000000000005</v>
      </c>
      <c r="AD282" t="str">
        <f>IF(W282&lt;0.99,LARGE((N282:R282,U282,V282),2),"0")</f>
        <v>0</v>
      </c>
      <c r="AE282" t="str">
        <f t="shared" si="32"/>
        <v/>
      </c>
      <c r="AH282" t="str">
        <f t="shared" si="28"/>
        <v xml:space="preserve">Based on ADMIXTURE results of 78,187 SNPs, </v>
      </c>
    </row>
    <row r="283" spans="1:34" x14ac:dyDescent="0.4">
      <c r="A283">
        <v>575</v>
      </c>
      <c r="B283" t="s">
        <v>1142</v>
      </c>
      <c r="C283" t="s">
        <v>21</v>
      </c>
      <c r="D283" t="s">
        <v>21</v>
      </c>
      <c r="E283" t="s">
        <v>21</v>
      </c>
      <c r="F283" t="s">
        <v>22</v>
      </c>
      <c r="G283" t="s">
        <v>21</v>
      </c>
      <c r="H283" t="s">
        <v>21</v>
      </c>
      <c r="I283" t="s">
        <v>21</v>
      </c>
      <c r="J283">
        <v>1</v>
      </c>
      <c r="K283">
        <v>0</v>
      </c>
      <c r="L283" t="s">
        <v>23</v>
      </c>
      <c r="M283" t="str">
        <f t="shared" si="29"/>
        <v>&gt;0.74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6.0699999999999997E-2</v>
      </c>
      <c r="T283">
        <v>0.93930000000000002</v>
      </c>
      <c r="U283">
        <v>0</v>
      </c>
      <c r="V283">
        <v>0.99993799999999999</v>
      </c>
      <c r="W283" s="1">
        <f t="shared" si="30"/>
        <v>0.99993799999999999</v>
      </c>
      <c r="X283" t="s">
        <v>1143</v>
      </c>
      <c r="Y283" t="str">
        <f>VLOOKUP(X283,Sheet1!A:B,2,FALSE)</f>
        <v>Quercus macrocarpa Michx.</v>
      </c>
      <c r="Z283" t="s">
        <v>1384</v>
      </c>
      <c r="AB283" s="1">
        <f t="shared" si="31"/>
        <v>0.99993799999999999</v>
      </c>
      <c r="AD283" t="str">
        <f>IF(W283&lt;0.99,LARGE((N283:R283,U283,V283),2),"0")</f>
        <v>0</v>
      </c>
      <c r="AE283" t="str">
        <f t="shared" si="32"/>
        <v/>
      </c>
      <c r="AH283" t="str">
        <f t="shared" si="28"/>
        <v xml:space="preserve">Based on ADMIXTURE results of 78,187 SNPs, </v>
      </c>
    </row>
    <row r="284" spans="1:34" x14ac:dyDescent="0.4">
      <c r="A284">
        <v>576</v>
      </c>
      <c r="B284" t="s">
        <v>1144</v>
      </c>
      <c r="C284" t="s">
        <v>21</v>
      </c>
      <c r="D284" t="s">
        <v>21</v>
      </c>
      <c r="E284" t="s">
        <v>21</v>
      </c>
      <c r="F284" t="s">
        <v>22</v>
      </c>
      <c r="G284" t="s">
        <v>21</v>
      </c>
      <c r="H284" t="s">
        <v>21</v>
      </c>
      <c r="I284" t="s">
        <v>21</v>
      </c>
      <c r="J284">
        <v>1</v>
      </c>
      <c r="K284">
        <v>0</v>
      </c>
      <c r="L284" t="s">
        <v>23</v>
      </c>
      <c r="M284" t="str">
        <f t="shared" si="29"/>
        <v>&gt;0.74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0.99990000000000001</v>
      </c>
      <c r="U284">
        <v>0</v>
      </c>
      <c r="V284">
        <v>0.99994000000000005</v>
      </c>
      <c r="W284" s="1">
        <f t="shared" si="30"/>
        <v>0.99994000000000005</v>
      </c>
      <c r="X284" t="s">
        <v>1145</v>
      </c>
      <c r="Y284" t="str">
        <f>VLOOKUP(X284,Sheet1!A:B,2,FALSE)</f>
        <v>Quercus macrocarpa Michx.</v>
      </c>
      <c r="Z284" t="s">
        <v>1384</v>
      </c>
      <c r="AB284" s="1">
        <f t="shared" si="31"/>
        <v>0.99994000000000005</v>
      </c>
      <c r="AD284" t="str">
        <f>IF(W284&lt;0.99,LARGE((N284:R284,U284,V284),2),"0")</f>
        <v>0</v>
      </c>
      <c r="AE284" t="str">
        <f t="shared" si="32"/>
        <v/>
      </c>
      <c r="AH284" t="str">
        <f t="shared" si="28"/>
        <v xml:space="preserve">Based on ADMIXTURE results of 78,187 SNPs, </v>
      </c>
    </row>
    <row r="285" spans="1:34" x14ac:dyDescent="0.4">
      <c r="A285">
        <v>577</v>
      </c>
      <c r="B285" t="s">
        <v>1146</v>
      </c>
      <c r="C285" t="s">
        <v>21</v>
      </c>
      <c r="D285" t="s">
        <v>21</v>
      </c>
      <c r="E285" t="s">
        <v>21</v>
      </c>
      <c r="F285" t="s">
        <v>22</v>
      </c>
      <c r="G285" t="s">
        <v>21</v>
      </c>
      <c r="H285" t="s">
        <v>21</v>
      </c>
      <c r="I285" t="s">
        <v>21</v>
      </c>
      <c r="J285">
        <v>1</v>
      </c>
      <c r="K285">
        <v>0</v>
      </c>
      <c r="L285" t="s">
        <v>23</v>
      </c>
      <c r="M285" t="str">
        <f t="shared" si="29"/>
        <v>&gt;0.74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7.7999999999999996E-3</v>
      </c>
      <c r="T285">
        <v>0.99209999999999998</v>
      </c>
      <c r="U285">
        <v>0</v>
      </c>
      <c r="V285">
        <v>0.99994000000000005</v>
      </c>
      <c r="W285" s="1">
        <f t="shared" si="30"/>
        <v>0.99994000000000005</v>
      </c>
      <c r="X285" t="s">
        <v>1147</v>
      </c>
      <c r="Y285" t="str">
        <f>VLOOKUP(X285,Sheet1!A:B,2,FALSE)</f>
        <v>Quercus macrocarpa Michx.</v>
      </c>
      <c r="Z285" t="s">
        <v>1384</v>
      </c>
      <c r="AB285" s="1">
        <f t="shared" si="31"/>
        <v>0.99994000000000005</v>
      </c>
      <c r="AD285" t="str">
        <f>IF(W285&lt;0.99,LARGE((N285:R285,U285,V285),2),"0")</f>
        <v>0</v>
      </c>
      <c r="AE285" t="str">
        <f t="shared" si="32"/>
        <v/>
      </c>
      <c r="AH285" t="str">
        <f t="shared" si="28"/>
        <v xml:space="preserve">Based on ADMIXTURE results of 78,187 SNPs, </v>
      </c>
    </row>
    <row r="286" spans="1:34" x14ac:dyDescent="0.4">
      <c r="A286">
        <v>578</v>
      </c>
      <c r="B286" t="s">
        <v>1148</v>
      </c>
      <c r="C286" t="s">
        <v>21</v>
      </c>
      <c r="D286" t="s">
        <v>21</v>
      </c>
      <c r="E286" t="s">
        <v>21</v>
      </c>
      <c r="F286" t="s">
        <v>22</v>
      </c>
      <c r="G286" t="s">
        <v>21</v>
      </c>
      <c r="H286" t="s">
        <v>21</v>
      </c>
      <c r="I286" t="s">
        <v>21</v>
      </c>
      <c r="J286">
        <v>1</v>
      </c>
      <c r="K286">
        <v>0</v>
      </c>
      <c r="L286" t="s">
        <v>23</v>
      </c>
      <c r="M286" t="str">
        <f t="shared" si="29"/>
        <v>&gt;0.74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0.99990000000000001</v>
      </c>
      <c r="U286">
        <v>0</v>
      </c>
      <c r="V286">
        <v>0.99994000000000005</v>
      </c>
      <c r="W286" s="1">
        <f t="shared" si="30"/>
        <v>0.99994000000000005</v>
      </c>
      <c r="X286" t="s">
        <v>1149</v>
      </c>
      <c r="Y286" t="str">
        <f>VLOOKUP(X286,Sheet1!A:B,2,FALSE)</f>
        <v>Quercus macrocarpa Michx.</v>
      </c>
      <c r="Z286" t="s">
        <v>1384</v>
      </c>
      <c r="AB286" s="1">
        <f t="shared" si="31"/>
        <v>0.99994000000000005</v>
      </c>
      <c r="AD286" t="str">
        <f>IF(W286&lt;0.99,LARGE((N286:R286,U286,V286),2),"0")</f>
        <v>0</v>
      </c>
      <c r="AE286" t="str">
        <f t="shared" si="32"/>
        <v/>
      </c>
      <c r="AH286" t="str">
        <f t="shared" si="28"/>
        <v xml:space="preserve">Based on ADMIXTURE results of 78,187 SNPs, </v>
      </c>
    </row>
    <row r="287" spans="1:34" x14ac:dyDescent="0.4">
      <c r="A287">
        <v>579</v>
      </c>
      <c r="B287" t="s">
        <v>1150</v>
      </c>
      <c r="C287" t="s">
        <v>21</v>
      </c>
      <c r="D287" t="s">
        <v>21</v>
      </c>
      <c r="E287" t="s">
        <v>21</v>
      </c>
      <c r="F287" t="s">
        <v>22</v>
      </c>
      <c r="G287" t="s">
        <v>21</v>
      </c>
      <c r="H287" t="s">
        <v>21</v>
      </c>
      <c r="I287" t="s">
        <v>21</v>
      </c>
      <c r="J287">
        <v>1</v>
      </c>
      <c r="K287">
        <v>0</v>
      </c>
      <c r="L287" t="s">
        <v>23</v>
      </c>
      <c r="M287" t="str">
        <f t="shared" si="29"/>
        <v>&gt;0.74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0.99990000000000001</v>
      </c>
      <c r="U287">
        <v>0</v>
      </c>
      <c r="V287">
        <v>0.99994000000000005</v>
      </c>
      <c r="W287" s="1">
        <f t="shared" si="30"/>
        <v>0.99994000000000005</v>
      </c>
      <c r="X287" t="s">
        <v>1151</v>
      </c>
      <c r="Y287" t="str">
        <f>VLOOKUP(X287,Sheet1!A:B,2,FALSE)</f>
        <v>Quercus macrocarpa Michx.</v>
      </c>
      <c r="Z287" t="s">
        <v>1384</v>
      </c>
      <c r="AB287" s="1">
        <f t="shared" si="31"/>
        <v>0.99994000000000005</v>
      </c>
      <c r="AD287" t="str">
        <f>IF(W287&lt;0.99,LARGE((N287:R287,U287,V287),2),"0")</f>
        <v>0</v>
      </c>
      <c r="AE287" t="str">
        <f t="shared" si="32"/>
        <v/>
      </c>
      <c r="AH287" t="str">
        <f t="shared" si="28"/>
        <v xml:space="preserve">Based on ADMIXTURE results of 78,187 SNPs, </v>
      </c>
    </row>
    <row r="288" spans="1:34" x14ac:dyDescent="0.4">
      <c r="A288">
        <v>580</v>
      </c>
      <c r="B288" t="s">
        <v>1152</v>
      </c>
      <c r="C288" t="s">
        <v>21</v>
      </c>
      <c r="D288" t="s">
        <v>21</v>
      </c>
      <c r="E288" t="s">
        <v>21</v>
      </c>
      <c r="F288" t="s">
        <v>22</v>
      </c>
      <c r="G288" t="s">
        <v>21</v>
      </c>
      <c r="H288" t="s">
        <v>21</v>
      </c>
      <c r="I288" t="s">
        <v>21</v>
      </c>
      <c r="J288">
        <v>1</v>
      </c>
      <c r="K288">
        <v>0</v>
      </c>
      <c r="L288" t="s">
        <v>23</v>
      </c>
      <c r="M288" t="str">
        <f t="shared" si="29"/>
        <v>&gt;0.74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0.99990000000000001</v>
      </c>
      <c r="U288">
        <v>0</v>
      </c>
      <c r="V288">
        <v>0.99994000000000005</v>
      </c>
      <c r="W288" s="1">
        <f t="shared" si="30"/>
        <v>0.99994000000000005</v>
      </c>
      <c r="X288" t="s">
        <v>1153</v>
      </c>
      <c r="Y288" t="str">
        <f>VLOOKUP(X288,Sheet1!A:B,2,FALSE)</f>
        <v>Quercus macrocarpa Michx.</v>
      </c>
      <c r="Z288" t="s">
        <v>1384</v>
      </c>
      <c r="AB288" s="1">
        <f t="shared" si="31"/>
        <v>0.99994000000000005</v>
      </c>
      <c r="AD288" t="str">
        <f>IF(W288&lt;0.99,LARGE((N288:R288,U288,V288),2),"0")</f>
        <v>0</v>
      </c>
      <c r="AE288" t="str">
        <f t="shared" si="32"/>
        <v/>
      </c>
      <c r="AH288" t="str">
        <f t="shared" si="28"/>
        <v xml:space="preserve">Based on ADMIXTURE results of 78,187 SNPs, </v>
      </c>
    </row>
    <row r="289" spans="1:34" x14ac:dyDescent="0.4">
      <c r="A289">
        <v>581</v>
      </c>
      <c r="B289" t="s">
        <v>1154</v>
      </c>
      <c r="C289" t="s">
        <v>21</v>
      </c>
      <c r="D289" t="s">
        <v>21</v>
      </c>
      <c r="E289" t="s">
        <v>21</v>
      </c>
      <c r="F289" t="s">
        <v>22</v>
      </c>
      <c r="G289" t="s">
        <v>21</v>
      </c>
      <c r="H289" t="s">
        <v>21</v>
      </c>
      <c r="I289" t="s">
        <v>21</v>
      </c>
      <c r="J289">
        <v>1</v>
      </c>
      <c r="K289">
        <v>0</v>
      </c>
      <c r="L289" t="s">
        <v>23</v>
      </c>
      <c r="M289" t="str">
        <f t="shared" si="29"/>
        <v>&gt;0.74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0.99990000000000001</v>
      </c>
      <c r="U289">
        <v>0</v>
      </c>
      <c r="V289">
        <v>0.99994000000000005</v>
      </c>
      <c r="W289" s="1">
        <f t="shared" si="30"/>
        <v>0.99994000000000005</v>
      </c>
      <c r="X289" t="s">
        <v>1155</v>
      </c>
      <c r="Y289" t="str">
        <f>VLOOKUP(X289,Sheet1!A:B,2,FALSE)</f>
        <v>Quercus macrocarpa Michx.</v>
      </c>
      <c r="Z289" t="s">
        <v>1384</v>
      </c>
      <c r="AB289" s="1">
        <f t="shared" si="31"/>
        <v>0.99994000000000005</v>
      </c>
      <c r="AD289" t="str">
        <f>IF(W289&lt;0.99,LARGE((N289:R289,U289,V289),2),"0")</f>
        <v>0</v>
      </c>
      <c r="AE289" t="str">
        <f t="shared" si="32"/>
        <v/>
      </c>
      <c r="AH289" t="str">
        <f t="shared" si="28"/>
        <v xml:space="preserve">Based on ADMIXTURE results of 78,187 SNPs, </v>
      </c>
    </row>
    <row r="290" spans="1:34" x14ac:dyDescent="0.4">
      <c r="A290">
        <v>582</v>
      </c>
      <c r="B290" t="s">
        <v>1156</v>
      </c>
      <c r="C290" t="s">
        <v>21</v>
      </c>
      <c r="D290" t="s">
        <v>21</v>
      </c>
      <c r="E290" t="s">
        <v>21</v>
      </c>
      <c r="F290" t="s">
        <v>22</v>
      </c>
      <c r="G290" t="s">
        <v>21</v>
      </c>
      <c r="H290" t="s">
        <v>21</v>
      </c>
      <c r="I290" t="s">
        <v>21</v>
      </c>
      <c r="J290">
        <v>1</v>
      </c>
      <c r="K290">
        <v>0</v>
      </c>
      <c r="L290" t="s">
        <v>23</v>
      </c>
      <c r="M290" t="str">
        <f t="shared" si="29"/>
        <v>&gt;0.74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1.5299999999999999E-2</v>
      </c>
      <c r="T290">
        <v>0.98470000000000002</v>
      </c>
      <c r="U290">
        <v>0</v>
      </c>
      <c r="V290">
        <v>0.99994000000000005</v>
      </c>
      <c r="W290" s="1">
        <f t="shared" si="30"/>
        <v>0.99994000000000005</v>
      </c>
      <c r="X290" t="s">
        <v>1157</v>
      </c>
      <c r="Y290" t="str">
        <f>VLOOKUP(X290,Sheet1!A:B,2,FALSE)</f>
        <v>Quercus macrocarpa Michx.</v>
      </c>
      <c r="Z290" t="s">
        <v>1384</v>
      </c>
      <c r="AB290" s="1">
        <f t="shared" si="31"/>
        <v>0.99994000000000005</v>
      </c>
      <c r="AD290" t="str">
        <f>IF(W290&lt;0.99,LARGE((N290:R290,U290,V290),2),"0")</f>
        <v>0</v>
      </c>
      <c r="AE290" t="str">
        <f t="shared" si="32"/>
        <v/>
      </c>
      <c r="AH290" t="str">
        <f t="shared" si="28"/>
        <v xml:space="preserve">Based on ADMIXTURE results of 78,187 SNPs, </v>
      </c>
    </row>
    <row r="291" spans="1:34" x14ac:dyDescent="0.4">
      <c r="A291">
        <v>583</v>
      </c>
      <c r="B291" t="s">
        <v>1158</v>
      </c>
      <c r="C291" t="s">
        <v>21</v>
      </c>
      <c r="D291" t="s">
        <v>21</v>
      </c>
      <c r="E291" t="s">
        <v>21</v>
      </c>
      <c r="F291" t="s">
        <v>22</v>
      </c>
      <c r="G291" t="s">
        <v>21</v>
      </c>
      <c r="H291" t="s">
        <v>21</v>
      </c>
      <c r="I291" t="s">
        <v>21</v>
      </c>
      <c r="J291">
        <v>1</v>
      </c>
      <c r="K291">
        <v>0</v>
      </c>
      <c r="L291" t="s">
        <v>23</v>
      </c>
      <c r="M291" t="str">
        <f t="shared" si="29"/>
        <v>&gt;0.74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0.99990000000000001</v>
      </c>
      <c r="U291">
        <v>0</v>
      </c>
      <c r="V291">
        <v>0.99994000000000005</v>
      </c>
      <c r="W291" s="1">
        <f t="shared" si="30"/>
        <v>0.99994000000000005</v>
      </c>
      <c r="X291" t="s">
        <v>1159</v>
      </c>
      <c r="Y291" t="str">
        <f>VLOOKUP(X291,Sheet1!A:B,2,FALSE)</f>
        <v>Quercus macrocarpa Michx.</v>
      </c>
      <c r="Z291" t="s">
        <v>1384</v>
      </c>
      <c r="AB291" s="1">
        <f t="shared" si="31"/>
        <v>0.99994000000000005</v>
      </c>
      <c r="AD291" t="str">
        <f>IF(W291&lt;0.99,LARGE((N291:R291,U291,V291),2),"0")</f>
        <v>0</v>
      </c>
      <c r="AE291" t="str">
        <f t="shared" si="32"/>
        <v/>
      </c>
      <c r="AH291" t="str">
        <f t="shared" si="28"/>
        <v xml:space="preserve">Based on ADMIXTURE results of 78,187 SNPs, </v>
      </c>
    </row>
    <row r="292" spans="1:34" x14ac:dyDescent="0.4">
      <c r="A292">
        <v>584</v>
      </c>
      <c r="B292" t="s">
        <v>1160</v>
      </c>
      <c r="C292" t="s">
        <v>21</v>
      </c>
      <c r="D292" t="s">
        <v>21</v>
      </c>
      <c r="E292" t="s">
        <v>21</v>
      </c>
      <c r="F292" t="s">
        <v>22</v>
      </c>
      <c r="G292" t="s">
        <v>21</v>
      </c>
      <c r="H292" t="s">
        <v>21</v>
      </c>
      <c r="I292" t="s">
        <v>21</v>
      </c>
      <c r="J292">
        <v>1</v>
      </c>
      <c r="K292">
        <v>0</v>
      </c>
      <c r="L292" t="s">
        <v>23</v>
      </c>
      <c r="M292" t="str">
        <f t="shared" si="29"/>
        <v>&gt;0.74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1.3599999999999999E-2</v>
      </c>
      <c r="T292">
        <v>0.98629999999999995</v>
      </c>
      <c r="U292">
        <v>0</v>
      </c>
      <c r="V292">
        <v>0.99993900000000002</v>
      </c>
      <c r="W292" s="1">
        <f t="shared" si="30"/>
        <v>0.99993900000000002</v>
      </c>
      <c r="X292" t="s">
        <v>1161</v>
      </c>
      <c r="Y292" t="str">
        <f>VLOOKUP(X292,Sheet1!A:B,2,FALSE)</f>
        <v>Quercus macrocarpa Michx.</v>
      </c>
      <c r="Z292" t="s">
        <v>1384</v>
      </c>
      <c r="AB292" s="1">
        <f t="shared" si="31"/>
        <v>0.99993900000000002</v>
      </c>
      <c r="AD292" t="str">
        <f>IF(W292&lt;0.99,LARGE((N292:R292,U292,V292),2),"0")</f>
        <v>0</v>
      </c>
      <c r="AE292" t="str">
        <f t="shared" si="32"/>
        <v/>
      </c>
      <c r="AH292" t="str">
        <f t="shared" si="28"/>
        <v xml:space="preserve">Based on ADMIXTURE results of 78,187 SNPs, </v>
      </c>
    </row>
    <row r="293" spans="1:34" x14ac:dyDescent="0.4">
      <c r="A293">
        <v>585</v>
      </c>
      <c r="B293" t="s">
        <v>1162</v>
      </c>
      <c r="C293" t="s">
        <v>21</v>
      </c>
      <c r="D293" t="s">
        <v>21</v>
      </c>
      <c r="E293" t="s">
        <v>21</v>
      </c>
      <c r="F293" t="s">
        <v>22</v>
      </c>
      <c r="G293" t="s">
        <v>21</v>
      </c>
      <c r="H293" t="s">
        <v>21</v>
      </c>
      <c r="I293" t="s">
        <v>21</v>
      </c>
      <c r="J293">
        <v>1</v>
      </c>
      <c r="K293">
        <v>0</v>
      </c>
      <c r="L293" t="s">
        <v>23</v>
      </c>
      <c r="M293" t="str">
        <f t="shared" si="29"/>
        <v>&gt;0.74</v>
      </c>
      <c r="N293">
        <v>0</v>
      </c>
      <c r="O293">
        <v>3.3E-3</v>
      </c>
      <c r="P293">
        <v>0</v>
      </c>
      <c r="Q293">
        <v>0</v>
      </c>
      <c r="R293">
        <v>0</v>
      </c>
      <c r="S293">
        <v>0</v>
      </c>
      <c r="T293">
        <v>0.99660000000000004</v>
      </c>
      <c r="U293">
        <v>0</v>
      </c>
      <c r="V293">
        <v>0.99661900000000003</v>
      </c>
      <c r="W293" s="1">
        <f t="shared" si="30"/>
        <v>0.99661900000000003</v>
      </c>
      <c r="X293" t="s">
        <v>1163</v>
      </c>
      <c r="Y293" t="str">
        <f>VLOOKUP(X293,Sheet1!A:B,2,FALSE)</f>
        <v>Quercus macrocarpa Michx.</v>
      </c>
      <c r="Z293" t="s">
        <v>1384</v>
      </c>
      <c r="AB293" s="1">
        <f t="shared" si="31"/>
        <v>0.99661900000000003</v>
      </c>
      <c r="AD293" t="str">
        <f>IF(W293&lt;0.99,LARGE((N293:R293,U293,V293),2),"0")</f>
        <v>0</v>
      </c>
      <c r="AE293" t="str">
        <f t="shared" si="32"/>
        <v/>
      </c>
      <c r="AH293" t="str">
        <f t="shared" si="28"/>
        <v xml:space="preserve">Based on ADMIXTURE results of 78,187 SNPs, </v>
      </c>
    </row>
    <row r="294" spans="1:34" x14ac:dyDescent="0.4">
      <c r="A294">
        <v>586</v>
      </c>
      <c r="B294" t="s">
        <v>1164</v>
      </c>
      <c r="C294" t="s">
        <v>21</v>
      </c>
      <c r="D294" t="s">
        <v>21</v>
      </c>
      <c r="E294" t="s">
        <v>21</v>
      </c>
      <c r="F294" t="s">
        <v>22</v>
      </c>
      <c r="G294" t="s">
        <v>21</v>
      </c>
      <c r="H294" t="s">
        <v>21</v>
      </c>
      <c r="I294" t="s">
        <v>21</v>
      </c>
      <c r="J294">
        <v>1</v>
      </c>
      <c r="K294">
        <v>0</v>
      </c>
      <c r="L294" t="s">
        <v>23</v>
      </c>
      <c r="M294" t="str">
        <f t="shared" si="29"/>
        <v>&gt;0.74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0.99990000000000001</v>
      </c>
      <c r="U294">
        <v>0</v>
      </c>
      <c r="V294">
        <v>0.99994000000000005</v>
      </c>
      <c r="W294" s="1">
        <f t="shared" si="30"/>
        <v>0.99994000000000005</v>
      </c>
      <c r="X294" t="s">
        <v>1165</v>
      </c>
      <c r="Y294" t="str">
        <f>VLOOKUP(X294,Sheet1!A:B,2,FALSE)</f>
        <v>Quercus macrocarpa Michx.</v>
      </c>
      <c r="Z294" t="s">
        <v>1384</v>
      </c>
      <c r="AB294" s="1">
        <f t="shared" si="31"/>
        <v>0.99994000000000005</v>
      </c>
      <c r="AD294" t="str">
        <f>IF(W294&lt;0.99,LARGE((N294:R294,U294,V294),2),"0")</f>
        <v>0</v>
      </c>
      <c r="AE294" t="str">
        <f t="shared" si="32"/>
        <v/>
      </c>
      <c r="AH294" t="str">
        <f t="shared" si="28"/>
        <v xml:space="preserve">Based on ADMIXTURE results of 78,187 SNPs, </v>
      </c>
    </row>
    <row r="295" spans="1:34" x14ac:dyDescent="0.4">
      <c r="A295">
        <v>587</v>
      </c>
      <c r="B295" t="s">
        <v>1166</v>
      </c>
      <c r="C295" t="s">
        <v>21</v>
      </c>
      <c r="D295" t="s">
        <v>21</v>
      </c>
      <c r="E295" t="s">
        <v>21</v>
      </c>
      <c r="F295" t="s">
        <v>22</v>
      </c>
      <c r="G295" t="s">
        <v>21</v>
      </c>
      <c r="H295" t="s">
        <v>21</v>
      </c>
      <c r="I295" t="s">
        <v>21</v>
      </c>
      <c r="J295">
        <v>1</v>
      </c>
      <c r="K295">
        <v>0</v>
      </c>
      <c r="L295" t="s">
        <v>23</v>
      </c>
      <c r="M295" t="str">
        <f t="shared" si="29"/>
        <v>&gt;0.74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0.99990000000000001</v>
      </c>
      <c r="U295">
        <v>0</v>
      </c>
      <c r="V295">
        <v>0.99994000000000005</v>
      </c>
      <c r="W295" s="1">
        <f t="shared" si="30"/>
        <v>0.99994000000000005</v>
      </c>
      <c r="X295" t="s">
        <v>1167</v>
      </c>
      <c r="Y295" t="str">
        <f>VLOOKUP(X295,Sheet1!A:B,2,FALSE)</f>
        <v>Quercus macrocarpa Michx.</v>
      </c>
      <c r="Z295" t="s">
        <v>1384</v>
      </c>
      <c r="AB295" s="1">
        <f t="shared" si="31"/>
        <v>0.99994000000000005</v>
      </c>
      <c r="AD295" t="str">
        <f>IF(W295&lt;0.99,LARGE((N295:R295,U295,V295),2),"0")</f>
        <v>0</v>
      </c>
      <c r="AE295" t="str">
        <f t="shared" si="32"/>
        <v/>
      </c>
      <c r="AH295" t="str">
        <f t="shared" si="28"/>
        <v xml:space="preserve">Based on ADMIXTURE results of 78,187 SNPs, </v>
      </c>
    </row>
    <row r="296" spans="1:34" x14ac:dyDescent="0.4">
      <c r="A296">
        <v>588</v>
      </c>
      <c r="B296" t="s">
        <v>1168</v>
      </c>
      <c r="C296" t="s">
        <v>21</v>
      </c>
      <c r="D296" t="s">
        <v>21</v>
      </c>
      <c r="E296" t="s">
        <v>21</v>
      </c>
      <c r="F296" t="s">
        <v>22</v>
      </c>
      <c r="G296" t="s">
        <v>21</v>
      </c>
      <c r="H296" t="s">
        <v>21</v>
      </c>
      <c r="I296" t="s">
        <v>21</v>
      </c>
      <c r="J296">
        <v>1</v>
      </c>
      <c r="K296">
        <v>0</v>
      </c>
      <c r="L296" t="s">
        <v>23</v>
      </c>
      <c r="M296" t="str">
        <f t="shared" si="29"/>
        <v>&gt;0.74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0.99990000000000001</v>
      </c>
      <c r="U296">
        <v>0</v>
      </c>
      <c r="V296">
        <v>0.99993500000000002</v>
      </c>
      <c r="W296" s="1">
        <f t="shared" si="30"/>
        <v>0.99993500000000002</v>
      </c>
      <c r="X296" t="s">
        <v>1169</v>
      </c>
      <c r="Y296" t="str">
        <f>VLOOKUP(X296,Sheet1!A:B,2,FALSE)</f>
        <v>Quercus macrocarpa Michx.</v>
      </c>
      <c r="Z296" t="s">
        <v>1384</v>
      </c>
      <c r="AB296" s="1">
        <f t="shared" si="31"/>
        <v>0.99993500000000002</v>
      </c>
      <c r="AD296" t="str">
        <f>IF(W296&lt;0.99,LARGE((N296:R296,U296,V296),2),"0")</f>
        <v>0</v>
      </c>
      <c r="AE296" t="str">
        <f t="shared" si="32"/>
        <v/>
      </c>
      <c r="AH296" t="str">
        <f t="shared" si="28"/>
        <v xml:space="preserve">Based on ADMIXTURE results of 78,187 SNPs, </v>
      </c>
    </row>
    <row r="297" spans="1:34" x14ac:dyDescent="0.4">
      <c r="A297">
        <v>589</v>
      </c>
      <c r="B297" t="s">
        <v>1170</v>
      </c>
      <c r="C297" t="s">
        <v>21</v>
      </c>
      <c r="D297" t="s">
        <v>21</v>
      </c>
      <c r="E297" t="s">
        <v>21</v>
      </c>
      <c r="F297" t="s">
        <v>22</v>
      </c>
      <c r="G297" t="s">
        <v>21</v>
      </c>
      <c r="H297" t="s">
        <v>21</v>
      </c>
      <c r="I297" t="s">
        <v>21</v>
      </c>
      <c r="J297">
        <v>1</v>
      </c>
      <c r="K297">
        <v>0</v>
      </c>
      <c r="L297" t="s">
        <v>23</v>
      </c>
      <c r="M297" t="str">
        <f t="shared" si="29"/>
        <v>&gt;0.74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0.99990000000000001</v>
      </c>
      <c r="U297">
        <v>0</v>
      </c>
      <c r="V297">
        <v>0.99994000000000005</v>
      </c>
      <c r="W297" s="1">
        <f t="shared" si="30"/>
        <v>0.99994000000000005</v>
      </c>
      <c r="X297" t="s">
        <v>1171</v>
      </c>
      <c r="Y297" t="str">
        <f>VLOOKUP(X297,Sheet1!A:B,2,FALSE)</f>
        <v>Quercus macrocarpa Michx.</v>
      </c>
      <c r="Z297" t="s">
        <v>1384</v>
      </c>
      <c r="AB297" s="1">
        <f t="shared" si="31"/>
        <v>0.99994000000000005</v>
      </c>
      <c r="AD297" t="str">
        <f>IF(W297&lt;0.99,LARGE((N297:R297,U297,V297),2),"0")</f>
        <v>0</v>
      </c>
      <c r="AE297" t="str">
        <f t="shared" si="32"/>
        <v/>
      </c>
      <c r="AH297" t="str">
        <f t="shared" si="28"/>
        <v xml:space="preserve">Based on ADMIXTURE results of 78,187 SNPs, </v>
      </c>
    </row>
    <row r="298" spans="1:34" x14ac:dyDescent="0.4">
      <c r="A298">
        <v>590</v>
      </c>
      <c r="B298" t="s">
        <v>1172</v>
      </c>
      <c r="C298" t="s">
        <v>21</v>
      </c>
      <c r="D298" t="s">
        <v>21</v>
      </c>
      <c r="E298" t="s">
        <v>21</v>
      </c>
      <c r="F298" t="s">
        <v>22</v>
      </c>
      <c r="G298" t="s">
        <v>21</v>
      </c>
      <c r="H298" t="s">
        <v>21</v>
      </c>
      <c r="I298" t="s">
        <v>21</v>
      </c>
      <c r="J298">
        <v>1</v>
      </c>
      <c r="K298">
        <v>0</v>
      </c>
      <c r="L298" t="s">
        <v>23</v>
      </c>
      <c r="M298" t="str">
        <f t="shared" si="29"/>
        <v>&gt;0.74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0.99990000000000001</v>
      </c>
      <c r="U298">
        <v>0</v>
      </c>
      <c r="V298">
        <v>0.99994000000000005</v>
      </c>
      <c r="W298" s="1">
        <f t="shared" si="30"/>
        <v>0.99994000000000005</v>
      </c>
      <c r="X298" t="s">
        <v>1173</v>
      </c>
      <c r="Y298" t="str">
        <f>VLOOKUP(X298,Sheet1!A:B,2,FALSE)</f>
        <v>Quercus macrocarpa Michx.</v>
      </c>
      <c r="Z298" t="s">
        <v>1384</v>
      </c>
      <c r="AB298" s="1">
        <f t="shared" si="31"/>
        <v>0.99994000000000005</v>
      </c>
      <c r="AD298" t="str">
        <f>IF(W298&lt;0.99,LARGE((N298:R298,U298,V298),2),"0")</f>
        <v>0</v>
      </c>
      <c r="AE298" t="str">
        <f t="shared" si="32"/>
        <v/>
      </c>
      <c r="AH298" t="str">
        <f t="shared" si="28"/>
        <v xml:space="preserve">Based on ADMIXTURE results of 78,187 SNPs, </v>
      </c>
    </row>
    <row r="299" spans="1:34" x14ac:dyDescent="0.4">
      <c r="A299">
        <v>591</v>
      </c>
      <c r="B299" t="s">
        <v>1174</v>
      </c>
      <c r="C299" t="s">
        <v>21</v>
      </c>
      <c r="D299" t="s">
        <v>21</v>
      </c>
      <c r="E299" t="s">
        <v>21</v>
      </c>
      <c r="F299" t="s">
        <v>22</v>
      </c>
      <c r="G299" t="s">
        <v>21</v>
      </c>
      <c r="H299" t="s">
        <v>21</v>
      </c>
      <c r="I299" t="s">
        <v>21</v>
      </c>
      <c r="J299">
        <v>1</v>
      </c>
      <c r="K299">
        <v>0</v>
      </c>
      <c r="L299" t="s">
        <v>23</v>
      </c>
      <c r="M299" t="str">
        <f t="shared" si="29"/>
        <v>&gt;0.74</v>
      </c>
      <c r="N299">
        <v>0</v>
      </c>
      <c r="O299">
        <v>0</v>
      </c>
      <c r="P299">
        <v>0</v>
      </c>
      <c r="Q299">
        <v>0</v>
      </c>
      <c r="R299">
        <v>0</v>
      </c>
      <c r="S299" s="1">
        <v>2.0000000000000001E-4</v>
      </c>
      <c r="T299">
        <v>0.99980000000000002</v>
      </c>
      <c r="U299">
        <v>0</v>
      </c>
      <c r="V299">
        <v>0.99994000000000005</v>
      </c>
      <c r="W299" s="1">
        <f t="shared" si="30"/>
        <v>0.99994000000000005</v>
      </c>
      <c r="X299" t="s">
        <v>1175</v>
      </c>
      <c r="Y299" t="str">
        <f>VLOOKUP(X299,Sheet1!A:B,2,FALSE)</f>
        <v>Quercus macrocarpa Michx.</v>
      </c>
      <c r="Z299" t="s">
        <v>1384</v>
      </c>
      <c r="AB299" s="1">
        <f t="shared" si="31"/>
        <v>0.99994000000000005</v>
      </c>
      <c r="AD299" t="str">
        <f>IF(W299&lt;0.99,LARGE((N299:R299,U299,V299),2),"0")</f>
        <v>0</v>
      </c>
      <c r="AE299" t="str">
        <f t="shared" si="32"/>
        <v/>
      </c>
      <c r="AH299" t="str">
        <f t="shared" si="28"/>
        <v xml:space="preserve">Based on ADMIXTURE results of 78,187 SNPs, </v>
      </c>
    </row>
    <row r="300" spans="1:34" x14ac:dyDescent="0.4">
      <c r="A300">
        <v>143</v>
      </c>
      <c r="B300" t="s">
        <v>277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22</v>
      </c>
      <c r="J300">
        <v>1</v>
      </c>
      <c r="K300">
        <v>0</v>
      </c>
      <c r="L300" t="s">
        <v>23</v>
      </c>
      <c r="M300" t="str">
        <f t="shared" si="29"/>
        <v>&gt;0.74</v>
      </c>
      <c r="N300">
        <v>0.99990000000000001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1">
        <v>2.0000000000000002E-5</v>
      </c>
      <c r="W300" s="1">
        <f t="shared" si="30"/>
        <v>0.99990000000000001</v>
      </c>
      <c r="X300" t="s">
        <v>278</v>
      </c>
      <c r="Y300" t="str">
        <f>VLOOKUP(X300,Sheet1!A:B,2,FALSE)</f>
        <v>Quercus margaretiae Ashe ex Small</v>
      </c>
      <c r="Z300" t="s">
        <v>1409</v>
      </c>
      <c r="AB300" s="1">
        <f t="shared" si="31"/>
        <v>0.99990000000000001</v>
      </c>
      <c r="AD300" t="str">
        <f>IF(W300&lt;0.99,LARGE((N300:R300,U300,V300),2),"0")</f>
        <v>0</v>
      </c>
      <c r="AE300" t="str">
        <f t="shared" si="32"/>
        <v/>
      </c>
      <c r="AH300" t="str">
        <f t="shared" si="28"/>
        <v xml:space="preserve">Based on ADMIXTURE results of 78,187 SNPs, </v>
      </c>
    </row>
    <row r="301" spans="1:34" x14ac:dyDescent="0.4">
      <c r="A301">
        <v>305</v>
      </c>
      <c r="B301" t="s">
        <v>601</v>
      </c>
      <c r="C301" t="s">
        <v>21</v>
      </c>
      <c r="D301" t="s">
        <v>22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>
        <v>1</v>
      </c>
      <c r="K301">
        <v>0</v>
      </c>
      <c r="L301" t="s">
        <v>23</v>
      </c>
      <c r="M301" t="str">
        <f t="shared" si="29"/>
        <v>&gt;0.74</v>
      </c>
      <c r="N301">
        <v>0</v>
      </c>
      <c r="O301">
        <v>0</v>
      </c>
      <c r="P301">
        <v>0</v>
      </c>
      <c r="Q301">
        <v>0.99990000000000001</v>
      </c>
      <c r="R301">
        <v>0</v>
      </c>
      <c r="S301">
        <v>0</v>
      </c>
      <c r="T301">
        <v>0</v>
      </c>
      <c r="U301">
        <v>0</v>
      </c>
      <c r="V301" s="1">
        <v>2.0000000000000002E-5</v>
      </c>
      <c r="W301" s="1">
        <f t="shared" si="30"/>
        <v>0.99990000000000001</v>
      </c>
      <c r="X301" t="s">
        <v>602</v>
      </c>
      <c r="Y301" t="str">
        <f>VLOOKUP(X301,Sheet1!A:B,2,FALSE)</f>
        <v>Quercus bicolor Willd.</v>
      </c>
      <c r="Z301" t="s">
        <v>1388</v>
      </c>
      <c r="AB301" s="1">
        <f t="shared" si="31"/>
        <v>0.99990000000000001</v>
      </c>
      <c r="AD301" t="str">
        <f>IF(W301&lt;0.99,LARGE((N301:R301,U301,V301),2),"0")</f>
        <v>0</v>
      </c>
      <c r="AE301" t="str">
        <f t="shared" si="32"/>
        <v/>
      </c>
      <c r="AH301" t="str">
        <f t="shared" si="28"/>
        <v xml:space="preserve">Based on ADMIXTURE results of 78,187 SNPs, </v>
      </c>
    </row>
    <row r="302" spans="1:34" x14ac:dyDescent="0.4">
      <c r="A302">
        <v>306</v>
      </c>
      <c r="B302" t="s">
        <v>603</v>
      </c>
      <c r="C302" t="s">
        <v>22</v>
      </c>
      <c r="D302" t="s">
        <v>21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>
        <v>1</v>
      </c>
      <c r="K302">
        <v>0</v>
      </c>
      <c r="L302" t="s">
        <v>23</v>
      </c>
      <c r="M302" t="str">
        <f t="shared" si="29"/>
        <v>&gt;0.74</v>
      </c>
      <c r="N302">
        <v>0</v>
      </c>
      <c r="O302">
        <v>0</v>
      </c>
      <c r="P302">
        <v>0.99990000000000001</v>
      </c>
      <c r="Q302">
        <v>0</v>
      </c>
      <c r="R302">
        <v>0</v>
      </c>
      <c r="S302">
        <v>0</v>
      </c>
      <c r="T302">
        <v>0</v>
      </c>
      <c r="U302">
        <v>0</v>
      </c>
      <c r="V302" s="1">
        <v>2.0000000000000002E-5</v>
      </c>
      <c r="W302" s="1">
        <f t="shared" si="30"/>
        <v>0.99990000000000001</v>
      </c>
      <c r="X302" t="s">
        <v>604</v>
      </c>
      <c r="Y302" t="str">
        <f>VLOOKUP(X302,Sheet1!A:B,2,FALSE)</f>
        <v>Quercus alba L.</v>
      </c>
      <c r="Z302" t="s">
        <v>1386</v>
      </c>
      <c r="AB302" s="1">
        <f t="shared" si="31"/>
        <v>0.99990000000000001</v>
      </c>
      <c r="AD302" t="str">
        <f>IF(W302&lt;0.99,LARGE((N302:R302,U302,V302),2),"0")</f>
        <v>0</v>
      </c>
      <c r="AE302" t="str">
        <f t="shared" si="32"/>
        <v/>
      </c>
      <c r="AH302" t="str">
        <f t="shared" si="28"/>
        <v xml:space="preserve">Based on ADMIXTURE results of 78,187 SNPs, </v>
      </c>
    </row>
    <row r="303" spans="1:34" x14ac:dyDescent="0.4">
      <c r="A303">
        <v>307</v>
      </c>
      <c r="B303" t="s">
        <v>605</v>
      </c>
      <c r="C303" t="s">
        <v>21</v>
      </c>
      <c r="D303" t="s">
        <v>25</v>
      </c>
      <c r="E303" t="s">
        <v>21</v>
      </c>
      <c r="F303" t="s">
        <v>25</v>
      </c>
      <c r="G303" t="s">
        <v>21</v>
      </c>
      <c r="H303" t="s">
        <v>21</v>
      </c>
      <c r="I303" t="s">
        <v>21</v>
      </c>
      <c r="J303">
        <v>0</v>
      </c>
      <c r="K303">
        <v>2</v>
      </c>
      <c r="L303" t="s">
        <v>26</v>
      </c>
      <c r="M303" t="str">
        <f t="shared" si="29"/>
        <v>&gt;0.74</v>
      </c>
      <c r="N303">
        <v>0</v>
      </c>
      <c r="O303">
        <v>0</v>
      </c>
      <c r="P303">
        <v>0</v>
      </c>
      <c r="Q303">
        <v>0.9204</v>
      </c>
      <c r="R303">
        <v>0</v>
      </c>
      <c r="S303">
        <v>0</v>
      </c>
      <c r="T303">
        <v>7.9500000000000001E-2</v>
      </c>
      <c r="U303">
        <v>0</v>
      </c>
      <c r="V303">
        <v>7.9548999999999995E-2</v>
      </c>
      <c r="W303" s="1">
        <f t="shared" si="30"/>
        <v>0.9204</v>
      </c>
      <c r="X303" t="s">
        <v>606</v>
      </c>
      <c r="Y303" t="str">
        <f>VLOOKUP(X303,Sheet1!A:B,2,FALSE)</f>
        <v>Quercus bicolor Willd.</v>
      </c>
      <c r="Z303" t="s">
        <v>1388</v>
      </c>
      <c r="AB303" s="1">
        <f t="shared" si="31"/>
        <v>0.9204</v>
      </c>
      <c r="AC303" t="s">
        <v>1421</v>
      </c>
      <c r="AD303">
        <f>IF(W303&lt;0.99,LARGE((N303:R303,U303,V303),2),"0")</f>
        <v>7.9548999999999995E-2</v>
      </c>
      <c r="AE303" t="str">
        <f>IF(AND(AB303&lt;0.99,AD303&gt;0.1,AB303&gt;0.6),"admixed with ",IF(AND(AB303&lt;0.99,AD303&gt;0.01,AD303&lt;0.4),"trace admixed (Q&lt;0.10) with ",""))</f>
        <v xml:space="preserve">trace admixed (Q&lt;0.10) with </v>
      </c>
      <c r="AH303" t="str">
        <f t="shared" si="28"/>
        <v>Based on ADMIXTURE results of 78,187 SNPs, trace admixed (Q&lt;0.10) with Quercus macrocarpa</v>
      </c>
    </row>
    <row r="304" spans="1:34" x14ac:dyDescent="0.4">
      <c r="A304">
        <v>308</v>
      </c>
      <c r="B304" t="s">
        <v>607</v>
      </c>
      <c r="C304" t="s">
        <v>22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>
        <v>1</v>
      </c>
      <c r="K304">
        <v>0</v>
      </c>
      <c r="L304" t="s">
        <v>23</v>
      </c>
      <c r="M304" t="str">
        <f t="shared" si="29"/>
        <v>&gt;0.74</v>
      </c>
      <c r="N304">
        <v>0</v>
      </c>
      <c r="O304">
        <v>0</v>
      </c>
      <c r="P304">
        <v>0.99990000000000001</v>
      </c>
      <c r="Q304">
        <v>0</v>
      </c>
      <c r="R304">
        <v>0</v>
      </c>
      <c r="S304">
        <v>0</v>
      </c>
      <c r="T304">
        <v>0</v>
      </c>
      <c r="U304">
        <v>0</v>
      </c>
      <c r="V304" s="1">
        <v>2.0000000000000002E-5</v>
      </c>
      <c r="W304" s="1">
        <f t="shared" si="30"/>
        <v>0.99990000000000001</v>
      </c>
      <c r="X304" t="s">
        <v>608</v>
      </c>
      <c r="Y304" t="str">
        <f>VLOOKUP(X304,Sheet1!A:B,2,FALSE)</f>
        <v>Quercus alba L.</v>
      </c>
      <c r="Z304" t="s">
        <v>1386</v>
      </c>
      <c r="AB304" s="1">
        <f t="shared" si="31"/>
        <v>0.99990000000000001</v>
      </c>
      <c r="AD304" t="str">
        <f>IF(W304&lt;0.99,LARGE((N304:R304,U304,V304),2),"0")</f>
        <v>0</v>
      </c>
      <c r="AE304" t="str">
        <f>IF(AND(AB304&lt;0.99,AD304&gt;0.1),"admixed with",IF(AND(AB304&lt;0.99,AD304&gt;0.01),"trace admixed with ",""))</f>
        <v/>
      </c>
      <c r="AH304" t="str">
        <f t="shared" si="28"/>
        <v xml:space="preserve">Based on ADMIXTURE results of 78,187 SNPs, </v>
      </c>
    </row>
    <row r="305" spans="1:34" x14ac:dyDescent="0.4">
      <c r="A305">
        <v>309</v>
      </c>
      <c r="B305" t="s">
        <v>609</v>
      </c>
      <c r="C305" t="s">
        <v>21</v>
      </c>
      <c r="D305" t="s">
        <v>22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>
        <v>1</v>
      </c>
      <c r="K305">
        <v>0</v>
      </c>
      <c r="L305" t="s">
        <v>23</v>
      </c>
      <c r="M305" t="str">
        <f t="shared" si="29"/>
        <v>&gt;0.74</v>
      </c>
      <c r="N305">
        <v>0</v>
      </c>
      <c r="O305">
        <v>0</v>
      </c>
      <c r="P305">
        <v>0</v>
      </c>
      <c r="Q305">
        <v>0.99990000000000001</v>
      </c>
      <c r="R305">
        <v>0</v>
      </c>
      <c r="S305">
        <v>0</v>
      </c>
      <c r="T305">
        <v>0</v>
      </c>
      <c r="U305">
        <v>0</v>
      </c>
      <c r="V305" s="1">
        <v>2.0000000000000002E-5</v>
      </c>
      <c r="W305" s="1">
        <f t="shared" si="30"/>
        <v>0.99990000000000001</v>
      </c>
      <c r="X305" t="s">
        <v>610</v>
      </c>
      <c r="Y305" t="str">
        <f>VLOOKUP(X305,Sheet1!A:B,2,FALSE)</f>
        <v>Quercus bicolor Willd.</v>
      </c>
      <c r="Z305" t="s">
        <v>1388</v>
      </c>
      <c r="AB305" s="1">
        <f t="shared" si="31"/>
        <v>0.99990000000000001</v>
      </c>
      <c r="AD305" t="str">
        <f>IF(W305&lt;0.99,LARGE((N305:R305,U305,V305),2),"0")</f>
        <v>0</v>
      </c>
      <c r="AE305" t="str">
        <f>IF(AND(AB305&lt;0.99,AD305&gt;0.1),"admixed with",IF(AND(AB305&lt;0.99,AD305&gt;0.01),"trace admixed with ",""))</f>
        <v/>
      </c>
      <c r="AH305" t="str">
        <f t="shared" si="28"/>
        <v xml:space="preserve">Based on ADMIXTURE results of 78,187 SNPs, </v>
      </c>
    </row>
    <row r="306" spans="1:34" x14ac:dyDescent="0.4">
      <c r="A306">
        <v>310</v>
      </c>
      <c r="B306" t="s">
        <v>611</v>
      </c>
      <c r="C306" t="s">
        <v>22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>
        <v>1</v>
      </c>
      <c r="K306">
        <v>0</v>
      </c>
      <c r="L306" t="s">
        <v>23</v>
      </c>
      <c r="M306" t="str">
        <f t="shared" si="29"/>
        <v>&gt;0.74</v>
      </c>
      <c r="N306">
        <v>0</v>
      </c>
      <c r="O306">
        <v>6.1000000000000004E-3</v>
      </c>
      <c r="P306">
        <v>0.9869</v>
      </c>
      <c r="Q306">
        <v>0</v>
      </c>
      <c r="R306">
        <v>0</v>
      </c>
      <c r="S306">
        <v>0</v>
      </c>
      <c r="T306">
        <v>6.8999999999999999E-3</v>
      </c>
      <c r="U306">
        <v>0</v>
      </c>
      <c r="V306">
        <v>6.9569999999999996E-3</v>
      </c>
      <c r="W306" s="1">
        <f t="shared" si="30"/>
        <v>0.9869</v>
      </c>
      <c r="X306" t="s">
        <v>612</v>
      </c>
      <c r="Y306" t="str">
        <f>VLOOKUP(X306,Sheet1!A:B,2,FALSE)</f>
        <v>Quercus alba L.</v>
      </c>
      <c r="Z306" t="s">
        <v>1386</v>
      </c>
      <c r="AB306" s="1">
        <f t="shared" si="31"/>
        <v>0.9869</v>
      </c>
      <c r="AD306">
        <f>IF(W306&lt;0.99,LARGE((N306:R306,U306,V306),2),"0")</f>
        <v>6.9569999999999996E-3</v>
      </c>
      <c r="AE306" t="str">
        <f>IF(AND(AB306&lt;0.99,AD306&gt;0.1),"admixed with",IF(AND(AB306&lt;0.99,AD306&gt;0.01),"trace admixed with ",""))</f>
        <v/>
      </c>
      <c r="AH306" t="str">
        <f t="shared" si="28"/>
        <v xml:space="preserve">Based on ADMIXTURE results of 78,187 SNPs, </v>
      </c>
    </row>
    <row r="307" spans="1:34" x14ac:dyDescent="0.4">
      <c r="A307">
        <v>311</v>
      </c>
      <c r="B307" t="s">
        <v>613</v>
      </c>
      <c r="C307" t="s">
        <v>21</v>
      </c>
      <c r="D307" t="s">
        <v>25</v>
      </c>
      <c r="E307" t="s">
        <v>21</v>
      </c>
      <c r="F307" t="s">
        <v>25</v>
      </c>
      <c r="G307" t="s">
        <v>21</v>
      </c>
      <c r="H307" t="s">
        <v>21</v>
      </c>
      <c r="I307" t="s">
        <v>21</v>
      </c>
      <c r="J307">
        <v>0</v>
      </c>
      <c r="K307">
        <v>2</v>
      </c>
      <c r="L307" t="s">
        <v>26</v>
      </c>
      <c r="M307" t="str">
        <f t="shared" si="29"/>
        <v>&gt;0.74</v>
      </c>
      <c r="N307">
        <v>0</v>
      </c>
      <c r="O307">
        <v>0</v>
      </c>
      <c r="P307">
        <v>0</v>
      </c>
      <c r="Q307">
        <v>0.8992</v>
      </c>
      <c r="R307">
        <v>0</v>
      </c>
      <c r="S307">
        <v>2.1499999999999998E-2</v>
      </c>
      <c r="T307">
        <v>7.9299999999999995E-2</v>
      </c>
      <c r="U307">
        <v>0</v>
      </c>
      <c r="V307">
        <v>0.100783</v>
      </c>
      <c r="W307" s="1">
        <f t="shared" si="30"/>
        <v>0.8992</v>
      </c>
      <c r="X307" t="s">
        <v>614</v>
      </c>
      <c r="Y307" t="str">
        <f>VLOOKUP(X307,Sheet1!A:B,2,FALSE)</f>
        <v>Quercus bicolor Willd.</v>
      </c>
      <c r="Z307" t="s">
        <v>1388</v>
      </c>
      <c r="AB307" s="1">
        <f t="shared" si="31"/>
        <v>0.8992</v>
      </c>
      <c r="AC307" t="s">
        <v>1421</v>
      </c>
      <c r="AD307">
        <f>IF(W307&lt;0.99,LARGE((N307:R307,U307,V307),2),"0")</f>
        <v>0.100783</v>
      </c>
      <c r="AE307" t="str">
        <f>IF(AND(AB307&lt;0.99,AD307&gt;0.1,AB307&gt;0.6),"admixed with ",IF(AND(AB307&lt;0.99,AD307&gt;0.01,AD307&lt;0.4),"trace admixed (Q&lt;0.10) with ",""))</f>
        <v xml:space="preserve">admixed with </v>
      </c>
      <c r="AH307" t="str">
        <f t="shared" si="28"/>
        <v>Based on ADMIXTURE results of 78,187 SNPs, admixed with Quercus macrocarpa</v>
      </c>
    </row>
    <row r="308" spans="1:34" x14ac:dyDescent="0.4">
      <c r="A308">
        <v>312</v>
      </c>
      <c r="B308" t="s">
        <v>615</v>
      </c>
      <c r="C308" t="s">
        <v>22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>
        <v>1</v>
      </c>
      <c r="K308">
        <v>0</v>
      </c>
      <c r="L308" t="s">
        <v>23</v>
      </c>
      <c r="M308" t="str">
        <f t="shared" si="29"/>
        <v>&gt;0.74</v>
      </c>
      <c r="N308">
        <v>0</v>
      </c>
      <c r="O308">
        <v>0</v>
      </c>
      <c r="P308">
        <v>0.99439999999999995</v>
      </c>
      <c r="Q308">
        <v>0</v>
      </c>
      <c r="R308">
        <v>0</v>
      </c>
      <c r="S308">
        <v>5.4999999999999997E-3</v>
      </c>
      <c r="T308">
        <v>0</v>
      </c>
      <c r="U308">
        <v>0</v>
      </c>
      <c r="V308">
        <v>5.5030000000000001E-3</v>
      </c>
      <c r="W308" s="1">
        <f t="shared" si="30"/>
        <v>0.99439999999999995</v>
      </c>
      <c r="X308" t="s">
        <v>616</v>
      </c>
      <c r="Y308" t="str">
        <f>VLOOKUP(X308,Sheet1!A:B,2,FALSE)</f>
        <v>Quercus alba L.</v>
      </c>
      <c r="Z308" t="s">
        <v>1386</v>
      </c>
      <c r="AB308" s="1">
        <f t="shared" si="31"/>
        <v>0.99439999999999995</v>
      </c>
      <c r="AD308" t="str">
        <f>IF(W308&lt;0.99,LARGE((N308:R308,U308,V308),2),"0")</f>
        <v>0</v>
      </c>
      <c r="AE308" t="str">
        <f>IF(AND(AB308&lt;0.99,AD308&gt;0.1),"admixed with",IF(AND(AB308&lt;0.99,AD308&gt;0.01),"trace admixed with ",""))</f>
        <v/>
      </c>
      <c r="AH308" t="str">
        <f t="shared" si="28"/>
        <v xml:space="preserve">Based on ADMIXTURE results of 78,187 SNPs, </v>
      </c>
    </row>
    <row r="309" spans="1:34" x14ac:dyDescent="0.4">
      <c r="A309">
        <v>313</v>
      </c>
      <c r="B309" t="s">
        <v>617</v>
      </c>
      <c r="C309" t="s">
        <v>21</v>
      </c>
      <c r="D309" t="s">
        <v>22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>
        <v>1</v>
      </c>
      <c r="K309">
        <v>0</v>
      </c>
      <c r="L309" t="s">
        <v>23</v>
      </c>
      <c r="M309" t="str">
        <f t="shared" si="29"/>
        <v>&gt;0.74</v>
      </c>
      <c r="N309">
        <v>0</v>
      </c>
      <c r="O309">
        <v>0</v>
      </c>
      <c r="P309">
        <v>0</v>
      </c>
      <c r="Q309">
        <v>0.99990000000000001</v>
      </c>
      <c r="R309">
        <v>0</v>
      </c>
      <c r="S309">
        <v>0</v>
      </c>
      <c r="T309">
        <v>0</v>
      </c>
      <c r="U309">
        <v>0</v>
      </c>
      <c r="V309" s="1">
        <v>2.0000000000000002E-5</v>
      </c>
      <c r="W309" s="1">
        <f t="shared" si="30"/>
        <v>0.99990000000000001</v>
      </c>
      <c r="X309" t="s">
        <v>618</v>
      </c>
      <c r="Y309" t="str">
        <f>VLOOKUP(X309,Sheet1!A:B,2,FALSE)</f>
        <v>Quercus bicolor Willd.</v>
      </c>
      <c r="Z309" t="s">
        <v>1388</v>
      </c>
      <c r="AB309" s="1">
        <f t="shared" si="31"/>
        <v>0.99990000000000001</v>
      </c>
      <c r="AD309" t="str">
        <f>IF(W309&lt;0.99,LARGE((N309:R309,U309,V309),2),"0")</f>
        <v>0</v>
      </c>
      <c r="AE309" t="str">
        <f>IF(AND(AB309&lt;0.99,AD309&gt;0.1),"admixed with",IF(AND(AB309&lt;0.99,AD309&gt;0.01),"trace admixed with ",""))</f>
        <v/>
      </c>
      <c r="AH309" t="str">
        <f t="shared" si="28"/>
        <v xml:space="preserve">Based on ADMIXTURE results of 78,187 SNPs, </v>
      </c>
    </row>
    <row r="310" spans="1:34" x14ac:dyDescent="0.4">
      <c r="A310">
        <v>314</v>
      </c>
      <c r="B310" t="s">
        <v>619</v>
      </c>
      <c r="C310" t="s">
        <v>22</v>
      </c>
      <c r="D310" t="s">
        <v>21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>
        <v>1</v>
      </c>
      <c r="K310">
        <v>0</v>
      </c>
      <c r="L310" t="s">
        <v>23</v>
      </c>
      <c r="M310" t="str">
        <f t="shared" si="29"/>
        <v>&gt;0.74</v>
      </c>
      <c r="N310">
        <v>0</v>
      </c>
      <c r="O310">
        <v>0</v>
      </c>
      <c r="P310">
        <v>0.99990000000000001</v>
      </c>
      <c r="Q310">
        <v>0</v>
      </c>
      <c r="R310">
        <v>0</v>
      </c>
      <c r="S310">
        <v>0</v>
      </c>
      <c r="T310">
        <v>0</v>
      </c>
      <c r="U310">
        <v>0</v>
      </c>
      <c r="V310" s="1">
        <v>2.0000000000000002E-5</v>
      </c>
      <c r="W310" s="1">
        <f t="shared" si="30"/>
        <v>0.99990000000000001</v>
      </c>
      <c r="X310" t="s">
        <v>620</v>
      </c>
      <c r="Y310" t="str">
        <f>VLOOKUP(X310,Sheet1!A:B,2,FALSE)</f>
        <v>Quercus alba L.</v>
      </c>
      <c r="Z310" t="s">
        <v>1386</v>
      </c>
      <c r="AB310" s="1">
        <f t="shared" si="31"/>
        <v>0.99990000000000001</v>
      </c>
      <c r="AD310" t="str">
        <f>IF(W310&lt;0.99,LARGE((N310:R310,U310,V310),2),"0")</f>
        <v>0</v>
      </c>
      <c r="AE310" t="str">
        <f>IF(AND(AB310&lt;0.99,AD310&gt;0.1),"admixed with",IF(AND(AB310&lt;0.99,AD310&gt;0.01),"trace admixed with ",""))</f>
        <v/>
      </c>
      <c r="AH310" t="str">
        <f t="shared" si="28"/>
        <v xml:space="preserve">Based on ADMIXTURE results of 78,187 SNPs, </v>
      </c>
    </row>
    <row r="311" spans="1:34" x14ac:dyDescent="0.4">
      <c r="A311">
        <v>315</v>
      </c>
      <c r="B311" t="s">
        <v>621</v>
      </c>
      <c r="C311" t="s">
        <v>21</v>
      </c>
      <c r="D311" t="s">
        <v>25</v>
      </c>
      <c r="E311" t="s">
        <v>21</v>
      </c>
      <c r="F311" t="s">
        <v>22</v>
      </c>
      <c r="G311" t="s">
        <v>21</v>
      </c>
      <c r="H311" t="s">
        <v>21</v>
      </c>
      <c r="I311" t="s">
        <v>21</v>
      </c>
      <c r="J311">
        <v>1</v>
      </c>
      <c r="K311">
        <v>1</v>
      </c>
      <c r="L311" t="s">
        <v>193</v>
      </c>
      <c r="M311" t="str">
        <f t="shared" si="29"/>
        <v>&gt;0.74</v>
      </c>
      <c r="N311">
        <v>0</v>
      </c>
      <c r="O311">
        <v>0</v>
      </c>
      <c r="P311">
        <v>0</v>
      </c>
      <c r="Q311">
        <v>2.18E-2</v>
      </c>
      <c r="R311">
        <v>0</v>
      </c>
      <c r="S311">
        <v>0.27389999999999998</v>
      </c>
      <c r="T311">
        <v>0.70430000000000004</v>
      </c>
      <c r="U311">
        <v>0</v>
      </c>
      <c r="V311">
        <v>0.97819100000000003</v>
      </c>
      <c r="W311" s="1">
        <f t="shared" si="30"/>
        <v>0.97819100000000003</v>
      </c>
      <c r="X311" t="s">
        <v>622</v>
      </c>
      <c r="Y311" t="str">
        <f>VLOOKUP(X311,Sheet1!A:B,2,FALSE)</f>
        <v>Quercus macrocarpa Michx.</v>
      </c>
      <c r="Z311" t="s">
        <v>1384</v>
      </c>
      <c r="AB311" s="1">
        <f t="shared" si="31"/>
        <v>0.97819100000000003</v>
      </c>
      <c r="AC311" t="s">
        <v>1431</v>
      </c>
      <c r="AD311">
        <f>IF(W311&lt;0.99,LARGE((N311:R311,U311,V311),2),"0")</f>
        <v>2.18E-2</v>
      </c>
      <c r="AE311" t="str">
        <f>IF(AND(AB311&lt;0.99,AD311&gt;0.1,AB311&gt;0.6),"admixed with ",IF(AND(AB311&lt;0.99,AD311&gt;0.01,AD311&lt;0.4),"may be trace admixed with ",""))</f>
        <v xml:space="preserve">may be trace admixed with </v>
      </c>
      <c r="AH311" t="str">
        <f t="shared" si="28"/>
        <v>Based on ADMIXTURE results of 78,187 SNPs, may be trace admixed with Quercus bicolor</v>
      </c>
    </row>
    <row r="312" spans="1:34" x14ac:dyDescent="0.4">
      <c r="A312">
        <v>286</v>
      </c>
      <c r="B312" t="s">
        <v>563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22</v>
      </c>
      <c r="I312" t="s">
        <v>21</v>
      </c>
      <c r="J312">
        <v>1</v>
      </c>
      <c r="K312">
        <v>0</v>
      </c>
      <c r="L312" t="s">
        <v>23</v>
      </c>
      <c r="M312" t="str">
        <f t="shared" si="29"/>
        <v>&gt;0.74</v>
      </c>
      <c r="N312">
        <v>0</v>
      </c>
      <c r="O312">
        <v>0.96579999999999999</v>
      </c>
      <c r="P312">
        <v>0</v>
      </c>
      <c r="Q312">
        <v>0</v>
      </c>
      <c r="R312">
        <v>0</v>
      </c>
      <c r="S312">
        <v>3.4200000000000001E-2</v>
      </c>
      <c r="T312">
        <v>0</v>
      </c>
      <c r="U312">
        <v>0</v>
      </c>
      <c r="V312">
        <v>3.4160000000000003E-2</v>
      </c>
      <c r="W312" s="1">
        <f t="shared" si="30"/>
        <v>0.96579999999999999</v>
      </c>
      <c r="X312" t="s">
        <v>564</v>
      </c>
      <c r="Y312" t="str">
        <f>VLOOKUP(X312,Sheet1!A:B,2,FALSE)</f>
        <v>Quercus prinoides Willd.</v>
      </c>
      <c r="Z312" t="s">
        <v>1390</v>
      </c>
      <c r="AB312" s="1">
        <f t="shared" si="31"/>
        <v>0.96579999999999999</v>
      </c>
      <c r="AD312">
        <f>IF(W312&lt;0.99,LARGE((N312:R312,U312,V312),2),"0")</f>
        <v>3.4160000000000003E-2</v>
      </c>
      <c r="AE312" t="str">
        <f t="shared" ref="AE312:AE324" si="33">IF(AND(AB312&lt;0.99,AD312&gt;0.1),"admixed with",IF(AND(AB312&lt;0.99,AD312&gt;0.01),"trace admixed with ",""))</f>
        <v xml:space="preserve">trace admixed with </v>
      </c>
      <c r="AH312" t="str">
        <f t="shared" si="28"/>
        <v xml:space="preserve">Based on ADMIXTURE results of 78,187 SNPs, trace admixed with </v>
      </c>
    </row>
    <row r="313" spans="1:34" x14ac:dyDescent="0.4">
      <c r="A313">
        <v>287</v>
      </c>
      <c r="B313" t="s">
        <v>565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 t="s">
        <v>22</v>
      </c>
      <c r="I313" t="s">
        <v>21</v>
      </c>
      <c r="J313">
        <v>1</v>
      </c>
      <c r="K313">
        <v>0</v>
      </c>
      <c r="L313" t="s">
        <v>23</v>
      </c>
      <c r="M313" t="str">
        <f t="shared" si="29"/>
        <v>&gt;0.74</v>
      </c>
      <c r="N313">
        <v>0</v>
      </c>
      <c r="O313">
        <v>0.97550000000000003</v>
      </c>
      <c r="P313">
        <v>0</v>
      </c>
      <c r="Q313">
        <v>0</v>
      </c>
      <c r="R313">
        <v>0</v>
      </c>
      <c r="S313">
        <v>0</v>
      </c>
      <c r="T313">
        <v>2.4500000000000001E-2</v>
      </c>
      <c r="U313">
        <v>0</v>
      </c>
      <c r="V313">
        <v>2.4462000000000001E-2</v>
      </c>
      <c r="W313" s="1">
        <f t="shared" si="30"/>
        <v>0.97550000000000003</v>
      </c>
      <c r="X313" t="s">
        <v>566</v>
      </c>
      <c r="Y313" t="str">
        <f>VLOOKUP(X313,Sheet1!A:B,2,FALSE)</f>
        <v>Quercus prinoides Willd.</v>
      </c>
      <c r="Z313" t="s">
        <v>1390</v>
      </c>
      <c r="AB313" s="1">
        <f t="shared" si="31"/>
        <v>0.97550000000000003</v>
      </c>
      <c r="AD313">
        <f>IF(W313&lt;0.99,LARGE((N313:R313,U313,V313),2),"0")</f>
        <v>2.4462000000000001E-2</v>
      </c>
      <c r="AE313" t="str">
        <f t="shared" si="33"/>
        <v xml:space="preserve">trace admixed with </v>
      </c>
      <c r="AH313" t="str">
        <f t="shared" si="28"/>
        <v xml:space="preserve">Based on ADMIXTURE results of 78,187 SNPs, trace admixed with </v>
      </c>
    </row>
    <row r="314" spans="1:34" x14ac:dyDescent="0.4">
      <c r="A314">
        <v>288</v>
      </c>
      <c r="B314" t="s">
        <v>567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22</v>
      </c>
      <c r="I314" t="s">
        <v>21</v>
      </c>
      <c r="J314">
        <v>1</v>
      </c>
      <c r="K314">
        <v>0</v>
      </c>
      <c r="L314" t="s">
        <v>23</v>
      </c>
      <c r="M314" t="str">
        <f t="shared" si="29"/>
        <v>&gt;0.74</v>
      </c>
      <c r="N314">
        <v>0</v>
      </c>
      <c r="O314">
        <v>0.99339999999999995</v>
      </c>
      <c r="P314">
        <v>0</v>
      </c>
      <c r="Q314">
        <v>0</v>
      </c>
      <c r="R314">
        <v>0</v>
      </c>
      <c r="S314">
        <v>0</v>
      </c>
      <c r="T314">
        <v>6.4999999999999997E-3</v>
      </c>
      <c r="U314">
        <v>0</v>
      </c>
      <c r="V314">
        <v>6.5519999999999997E-3</v>
      </c>
      <c r="W314" s="1">
        <f t="shared" si="30"/>
        <v>0.99339999999999995</v>
      </c>
      <c r="X314" t="s">
        <v>568</v>
      </c>
      <c r="Y314" t="str">
        <f>VLOOKUP(X314,Sheet1!A:B,2,FALSE)</f>
        <v>Quercus prinoides Willd.</v>
      </c>
      <c r="Z314" t="s">
        <v>1390</v>
      </c>
      <c r="AB314" s="1">
        <f t="shared" si="31"/>
        <v>0.99339999999999995</v>
      </c>
      <c r="AD314" t="str">
        <f>IF(W314&lt;0.99,LARGE((N314:R314,U314,V314),2),"0")</f>
        <v>0</v>
      </c>
      <c r="AE314" t="str">
        <f t="shared" si="33"/>
        <v/>
      </c>
      <c r="AH314" t="str">
        <f t="shared" si="28"/>
        <v xml:space="preserve">Based on ADMIXTURE results of 78,187 SNPs, </v>
      </c>
    </row>
    <row r="315" spans="1:34" x14ac:dyDescent="0.4">
      <c r="A315">
        <v>289</v>
      </c>
      <c r="B315" t="s">
        <v>569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22</v>
      </c>
      <c r="I315" t="s">
        <v>21</v>
      </c>
      <c r="J315">
        <v>1</v>
      </c>
      <c r="K315">
        <v>0</v>
      </c>
      <c r="L315" t="s">
        <v>23</v>
      </c>
      <c r="M315" t="str">
        <f t="shared" si="29"/>
        <v>&gt;0.74</v>
      </c>
      <c r="N315">
        <v>0</v>
      </c>
      <c r="O315">
        <v>0.97519999999999996</v>
      </c>
      <c r="P315">
        <v>0</v>
      </c>
      <c r="Q315">
        <v>0</v>
      </c>
      <c r="R315">
        <v>0</v>
      </c>
      <c r="S315">
        <v>2.4799999999999999E-2</v>
      </c>
      <c r="T315">
        <v>0</v>
      </c>
      <c r="U315">
        <v>0</v>
      </c>
      <c r="V315">
        <v>2.4766E-2</v>
      </c>
      <c r="W315" s="1">
        <f t="shared" si="30"/>
        <v>0.97519999999999996</v>
      </c>
      <c r="X315" t="s">
        <v>570</v>
      </c>
      <c r="Y315" t="str">
        <f>VLOOKUP(X315,Sheet1!A:B,2,FALSE)</f>
        <v>Quercus prinoides Willd.</v>
      </c>
      <c r="Z315" t="s">
        <v>1390</v>
      </c>
      <c r="AB315" s="1">
        <f t="shared" si="31"/>
        <v>0.97519999999999996</v>
      </c>
      <c r="AD315">
        <f>IF(W315&lt;0.99,LARGE((N315:R315,U315,V315),2),"0")</f>
        <v>2.4766E-2</v>
      </c>
      <c r="AE315" t="str">
        <f t="shared" si="33"/>
        <v xml:space="preserve">trace admixed with </v>
      </c>
      <c r="AH315" t="str">
        <f t="shared" ref="AH315:AH378" si="34">_xlfn.CONCAT("Based on ADMIXTURE results of 78,187 SNPs, ",AE315,AC315)</f>
        <v xml:space="preserve">Based on ADMIXTURE results of 78,187 SNPs, trace admixed with </v>
      </c>
    </row>
    <row r="316" spans="1:34" x14ac:dyDescent="0.4">
      <c r="A316">
        <v>290</v>
      </c>
      <c r="B316" t="s">
        <v>571</v>
      </c>
      <c r="C316" t="s">
        <v>22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>
        <v>1</v>
      </c>
      <c r="K316">
        <v>0</v>
      </c>
      <c r="L316" t="s">
        <v>23</v>
      </c>
      <c r="M316" t="str">
        <f t="shared" si="29"/>
        <v>&gt;0.74</v>
      </c>
      <c r="N316">
        <v>0</v>
      </c>
      <c r="O316">
        <v>0</v>
      </c>
      <c r="P316">
        <v>0.99280000000000002</v>
      </c>
      <c r="Q316">
        <v>7.1999999999999998E-3</v>
      </c>
      <c r="R316">
        <v>0</v>
      </c>
      <c r="S316">
        <v>0</v>
      </c>
      <c r="T316">
        <v>0</v>
      </c>
      <c r="U316">
        <v>0</v>
      </c>
      <c r="V316" s="1">
        <v>2.0000000000000002E-5</v>
      </c>
      <c r="W316" s="1">
        <f t="shared" si="30"/>
        <v>0.99280000000000002</v>
      </c>
      <c r="X316" t="s">
        <v>572</v>
      </c>
      <c r="Y316" t="str">
        <f>VLOOKUP(X316,Sheet1!A:B,2,FALSE)</f>
        <v>Quercus alba L.</v>
      </c>
      <c r="Z316" t="s">
        <v>1386</v>
      </c>
      <c r="AB316" s="1">
        <f t="shared" si="31"/>
        <v>0.99280000000000002</v>
      </c>
      <c r="AD316" t="str">
        <f>IF(W316&lt;0.99,LARGE((N316:R316,U316,V316),2),"0")</f>
        <v>0</v>
      </c>
      <c r="AE316" t="str">
        <f t="shared" si="33"/>
        <v/>
      </c>
      <c r="AH316" t="str">
        <f t="shared" si="34"/>
        <v xml:space="preserve">Based on ADMIXTURE results of 78,187 SNPs, </v>
      </c>
    </row>
    <row r="317" spans="1:34" x14ac:dyDescent="0.4">
      <c r="A317">
        <v>291</v>
      </c>
      <c r="B317" t="s">
        <v>573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22</v>
      </c>
      <c r="I317" t="s">
        <v>21</v>
      </c>
      <c r="J317">
        <v>1</v>
      </c>
      <c r="K317">
        <v>0</v>
      </c>
      <c r="L317" t="s">
        <v>23</v>
      </c>
      <c r="M317" t="str">
        <f t="shared" si="29"/>
        <v>&gt;0.74</v>
      </c>
      <c r="N317">
        <v>0</v>
      </c>
      <c r="O317">
        <v>0.96750000000000003</v>
      </c>
      <c r="P317">
        <v>0</v>
      </c>
      <c r="Q317">
        <v>0</v>
      </c>
      <c r="R317">
        <v>0</v>
      </c>
      <c r="S317">
        <v>3.2500000000000001E-2</v>
      </c>
      <c r="T317">
        <v>0</v>
      </c>
      <c r="U317">
        <v>0</v>
      </c>
      <c r="V317">
        <v>3.2474000000000003E-2</v>
      </c>
      <c r="W317" s="1">
        <f t="shared" si="30"/>
        <v>0.96750000000000003</v>
      </c>
      <c r="X317" t="s">
        <v>574</v>
      </c>
      <c r="Y317" t="str">
        <f>VLOOKUP(X317,Sheet1!A:B,2,FALSE)</f>
        <v>Quercus prinoides Willd.</v>
      </c>
      <c r="Z317" t="s">
        <v>1390</v>
      </c>
      <c r="AB317" s="1">
        <f t="shared" si="31"/>
        <v>0.96750000000000003</v>
      </c>
      <c r="AD317">
        <f>IF(W317&lt;0.99,LARGE((N317:R317,U317,V317),2),"0")</f>
        <v>3.2474000000000003E-2</v>
      </c>
      <c r="AE317" t="str">
        <f t="shared" si="33"/>
        <v xml:space="preserve">trace admixed with </v>
      </c>
      <c r="AH317" t="str">
        <f t="shared" si="34"/>
        <v xml:space="preserve">Based on ADMIXTURE results of 78,187 SNPs, trace admixed with </v>
      </c>
    </row>
    <row r="318" spans="1:34" x14ac:dyDescent="0.4">
      <c r="A318">
        <v>292</v>
      </c>
      <c r="B318" t="s">
        <v>575</v>
      </c>
      <c r="C318" t="s">
        <v>22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>
        <v>1</v>
      </c>
      <c r="K318">
        <v>0</v>
      </c>
      <c r="L318" t="s">
        <v>23</v>
      </c>
      <c r="M318" t="str">
        <f t="shared" si="29"/>
        <v>&gt;0.74</v>
      </c>
      <c r="N318">
        <v>0</v>
      </c>
      <c r="O318">
        <v>0</v>
      </c>
      <c r="P318">
        <v>0.99409999999999998</v>
      </c>
      <c r="Q318">
        <v>0</v>
      </c>
      <c r="R318">
        <v>0</v>
      </c>
      <c r="S318">
        <v>5.8999999999999999E-3</v>
      </c>
      <c r="T318">
        <v>0</v>
      </c>
      <c r="U318">
        <v>0</v>
      </c>
      <c r="V318">
        <v>5.8690000000000001E-3</v>
      </c>
      <c r="W318" s="1">
        <f t="shared" si="30"/>
        <v>0.99409999999999998</v>
      </c>
      <c r="X318" t="s">
        <v>576</v>
      </c>
      <c r="Y318" t="str">
        <f>VLOOKUP(X318,Sheet1!A:B,2,FALSE)</f>
        <v>Quercus alba L.</v>
      </c>
      <c r="Z318" t="s">
        <v>1386</v>
      </c>
      <c r="AB318" s="1">
        <f t="shared" si="31"/>
        <v>0.99409999999999998</v>
      </c>
      <c r="AD318" t="str">
        <f>IF(W318&lt;0.99,LARGE((N318:R318,U318,V318),2),"0")</f>
        <v>0</v>
      </c>
      <c r="AE318" t="str">
        <f t="shared" si="33"/>
        <v/>
      </c>
      <c r="AH318" t="str">
        <f t="shared" si="34"/>
        <v xml:space="preserve">Based on ADMIXTURE results of 78,187 SNPs, </v>
      </c>
    </row>
    <row r="319" spans="1:34" x14ac:dyDescent="0.4">
      <c r="A319">
        <v>293</v>
      </c>
      <c r="B319" t="s">
        <v>577</v>
      </c>
      <c r="C319" t="s">
        <v>22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>
        <v>1</v>
      </c>
      <c r="K319">
        <v>0</v>
      </c>
      <c r="L319" t="s">
        <v>23</v>
      </c>
      <c r="M319" t="str">
        <f t="shared" si="29"/>
        <v>&gt;0.74</v>
      </c>
      <c r="N319">
        <v>0</v>
      </c>
      <c r="O319">
        <v>0</v>
      </c>
      <c r="P319">
        <v>0.99990000000000001</v>
      </c>
      <c r="Q319">
        <v>0</v>
      </c>
      <c r="R319">
        <v>0</v>
      </c>
      <c r="S319">
        <v>0</v>
      </c>
      <c r="T319">
        <v>0</v>
      </c>
      <c r="U319">
        <v>0</v>
      </c>
      <c r="V319" s="1">
        <v>2.0999999999999999E-5</v>
      </c>
      <c r="W319" s="1">
        <f t="shared" si="30"/>
        <v>0.99990000000000001</v>
      </c>
      <c r="X319" t="s">
        <v>578</v>
      </c>
      <c r="Y319" t="str">
        <f>VLOOKUP(X319,Sheet1!A:B,2,FALSE)</f>
        <v>Quercus alba L.</v>
      </c>
      <c r="Z319" t="s">
        <v>1386</v>
      </c>
      <c r="AB319" s="1">
        <f t="shared" si="31"/>
        <v>0.99990000000000001</v>
      </c>
      <c r="AD319" t="str">
        <f>IF(W319&lt;0.99,LARGE((N319:R319,U319,V319),2),"0")</f>
        <v>0</v>
      </c>
      <c r="AE319" t="str">
        <f t="shared" si="33"/>
        <v/>
      </c>
      <c r="AH319" t="str">
        <f t="shared" si="34"/>
        <v xml:space="preserve">Based on ADMIXTURE results of 78,187 SNPs, </v>
      </c>
    </row>
    <row r="320" spans="1:34" x14ac:dyDescent="0.4">
      <c r="A320">
        <v>294</v>
      </c>
      <c r="B320" t="s">
        <v>579</v>
      </c>
      <c r="C320" t="s">
        <v>22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>
        <v>1</v>
      </c>
      <c r="K320">
        <v>0</v>
      </c>
      <c r="L320" t="s">
        <v>23</v>
      </c>
      <c r="M320" t="str">
        <f t="shared" si="29"/>
        <v>&gt;0.74</v>
      </c>
      <c r="N320">
        <v>0</v>
      </c>
      <c r="O320">
        <v>4.5999999999999999E-3</v>
      </c>
      <c r="P320">
        <v>0.99539999999999995</v>
      </c>
      <c r="Q320">
        <v>0</v>
      </c>
      <c r="R320">
        <v>0</v>
      </c>
      <c r="S320">
        <v>0</v>
      </c>
      <c r="T320">
        <v>0</v>
      </c>
      <c r="U320">
        <v>0</v>
      </c>
      <c r="V320" s="1">
        <v>2.0000000000000002E-5</v>
      </c>
      <c r="W320" s="1">
        <f t="shared" si="30"/>
        <v>0.99539999999999995</v>
      </c>
      <c r="X320" t="s">
        <v>580</v>
      </c>
      <c r="Y320" t="str">
        <f>VLOOKUP(X320,Sheet1!A:B,2,FALSE)</f>
        <v>Quercus alba L.</v>
      </c>
      <c r="Z320" t="s">
        <v>1386</v>
      </c>
      <c r="AB320" s="1">
        <f t="shared" si="31"/>
        <v>0.99539999999999995</v>
      </c>
      <c r="AD320" t="str">
        <f>IF(W320&lt;0.99,LARGE((N320:R320,U320,V320),2),"0")</f>
        <v>0</v>
      </c>
      <c r="AE320" t="str">
        <f t="shared" si="33"/>
        <v/>
      </c>
      <c r="AH320" t="str">
        <f t="shared" si="34"/>
        <v xml:space="preserve">Based on ADMIXTURE results of 78,187 SNPs, </v>
      </c>
    </row>
    <row r="321" spans="1:34" x14ac:dyDescent="0.4">
      <c r="A321">
        <v>295</v>
      </c>
      <c r="B321" t="s">
        <v>581</v>
      </c>
      <c r="C321" t="s">
        <v>21</v>
      </c>
      <c r="D321" t="s">
        <v>22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>
        <v>1</v>
      </c>
      <c r="K321">
        <v>0</v>
      </c>
      <c r="L321" t="s">
        <v>23</v>
      </c>
      <c r="M321" t="str">
        <f t="shared" si="29"/>
        <v>&gt;0.74</v>
      </c>
      <c r="N321">
        <v>0</v>
      </c>
      <c r="O321">
        <v>0</v>
      </c>
      <c r="P321">
        <v>0</v>
      </c>
      <c r="Q321">
        <v>0.99990000000000001</v>
      </c>
      <c r="R321">
        <v>0</v>
      </c>
      <c r="S321">
        <v>0</v>
      </c>
      <c r="T321">
        <v>0</v>
      </c>
      <c r="U321">
        <v>0</v>
      </c>
      <c r="V321" s="1">
        <v>2.0000000000000002E-5</v>
      </c>
      <c r="W321" s="1">
        <f t="shared" si="30"/>
        <v>0.99990000000000001</v>
      </c>
      <c r="X321" t="s">
        <v>582</v>
      </c>
      <c r="Y321" t="str">
        <f>VLOOKUP(X321,Sheet1!A:B,2,FALSE)</f>
        <v>Quercus bicolor Willd.</v>
      </c>
      <c r="Z321" t="s">
        <v>1388</v>
      </c>
      <c r="AB321" s="1">
        <f t="shared" si="31"/>
        <v>0.99990000000000001</v>
      </c>
      <c r="AD321" t="str">
        <f>IF(W321&lt;0.99,LARGE((N321:R321,U321,V321),2),"0")</f>
        <v>0</v>
      </c>
      <c r="AE321" t="str">
        <f t="shared" si="33"/>
        <v/>
      </c>
      <c r="AH321" t="str">
        <f t="shared" si="34"/>
        <v xml:space="preserve">Based on ADMIXTURE results of 78,187 SNPs, </v>
      </c>
    </row>
    <row r="322" spans="1:34" x14ac:dyDescent="0.4">
      <c r="A322">
        <v>296</v>
      </c>
      <c r="B322" t="s">
        <v>583</v>
      </c>
      <c r="C322" t="s">
        <v>21</v>
      </c>
      <c r="D322" t="s">
        <v>22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>
        <v>1</v>
      </c>
      <c r="K322">
        <v>0</v>
      </c>
      <c r="L322" t="s">
        <v>23</v>
      </c>
      <c r="M322" t="str">
        <f t="shared" ref="M322:M385" si="35">IF(AND(W322&lt;0.58,W322&gt;0.2),"F1",IF(W322&lt;0.74,"BC1?","&gt;0.74"))</f>
        <v>&gt;0.74</v>
      </c>
      <c r="N322">
        <v>0</v>
      </c>
      <c r="O322">
        <v>0</v>
      </c>
      <c r="P322">
        <v>0</v>
      </c>
      <c r="Q322">
        <v>0.98370000000000002</v>
      </c>
      <c r="R322">
        <v>0</v>
      </c>
      <c r="S322">
        <v>1.6199999999999999E-2</v>
      </c>
      <c r="T322">
        <v>0</v>
      </c>
      <c r="U322">
        <v>0</v>
      </c>
      <c r="V322">
        <v>1.6205000000000001E-2</v>
      </c>
      <c r="W322" s="1">
        <f t="shared" ref="W322:W385" si="36">MAX(N322:R322,U322,V322)</f>
        <v>0.98370000000000002</v>
      </c>
      <c r="X322" t="s">
        <v>584</v>
      </c>
      <c r="Y322" t="str">
        <f>VLOOKUP(X322,Sheet1!A:B,2,FALSE)</f>
        <v>Quercus bicolor Willd.</v>
      </c>
      <c r="Z322" t="s">
        <v>1388</v>
      </c>
      <c r="AB322" s="1">
        <f t="shared" ref="AB322:AB385" si="37">MAX(N322:R322,U322,V322)</f>
        <v>0.98370000000000002</v>
      </c>
      <c r="AD322">
        <f>IF(W322&lt;0.99,LARGE((N322:R322,U322,V322),2),"0")</f>
        <v>1.6205000000000001E-2</v>
      </c>
      <c r="AE322" t="str">
        <f t="shared" si="33"/>
        <v xml:space="preserve">trace admixed with </v>
      </c>
      <c r="AH322" t="str">
        <f t="shared" si="34"/>
        <v xml:space="preserve">Based on ADMIXTURE results of 78,187 SNPs, trace admixed with </v>
      </c>
    </row>
    <row r="323" spans="1:34" x14ac:dyDescent="0.4">
      <c r="A323">
        <v>297</v>
      </c>
      <c r="B323" t="s">
        <v>585</v>
      </c>
      <c r="C323" t="s">
        <v>21</v>
      </c>
      <c r="D323" t="s">
        <v>22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>
        <v>1</v>
      </c>
      <c r="K323">
        <v>0</v>
      </c>
      <c r="L323" t="s">
        <v>23</v>
      </c>
      <c r="M323" t="str">
        <f t="shared" si="35"/>
        <v>&gt;0.74</v>
      </c>
      <c r="N323">
        <v>0</v>
      </c>
      <c r="O323">
        <v>0</v>
      </c>
      <c r="P323">
        <v>0</v>
      </c>
      <c r="Q323">
        <v>0.97970000000000002</v>
      </c>
      <c r="R323">
        <v>0</v>
      </c>
      <c r="S323">
        <v>0</v>
      </c>
      <c r="T323">
        <v>2.0199999999999999E-2</v>
      </c>
      <c r="U323">
        <v>0</v>
      </c>
      <c r="V323">
        <v>2.0206999999999999E-2</v>
      </c>
      <c r="W323" s="1">
        <f t="shared" si="36"/>
        <v>0.97970000000000002</v>
      </c>
      <c r="X323" t="s">
        <v>586</v>
      </c>
      <c r="Y323" t="str">
        <f>VLOOKUP(X323,Sheet1!A:B,2,FALSE)</f>
        <v>Quercus bicolor Willd.</v>
      </c>
      <c r="Z323" t="s">
        <v>1388</v>
      </c>
      <c r="AB323" s="1">
        <f t="shared" si="37"/>
        <v>0.97970000000000002</v>
      </c>
      <c r="AD323">
        <f>IF(W323&lt;0.99,LARGE((N323:R323,U323,V323),2),"0")</f>
        <v>2.0206999999999999E-2</v>
      </c>
      <c r="AE323" t="str">
        <f t="shared" si="33"/>
        <v xml:space="preserve">trace admixed with </v>
      </c>
      <c r="AH323" t="str">
        <f t="shared" si="34"/>
        <v xml:space="preserve">Based on ADMIXTURE results of 78,187 SNPs, trace admixed with </v>
      </c>
    </row>
    <row r="324" spans="1:34" x14ac:dyDescent="0.4">
      <c r="A324">
        <v>298</v>
      </c>
      <c r="B324" t="s">
        <v>587</v>
      </c>
      <c r="C324" t="s">
        <v>21</v>
      </c>
      <c r="D324" t="s">
        <v>22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>
        <v>1</v>
      </c>
      <c r="K324">
        <v>0</v>
      </c>
      <c r="L324" t="s">
        <v>23</v>
      </c>
      <c r="M324" t="str">
        <f t="shared" si="35"/>
        <v>&gt;0.74</v>
      </c>
      <c r="N324">
        <v>0</v>
      </c>
      <c r="O324">
        <v>0</v>
      </c>
      <c r="P324">
        <v>0</v>
      </c>
      <c r="Q324">
        <v>0.98599999999999999</v>
      </c>
      <c r="R324">
        <v>0</v>
      </c>
      <c r="S324">
        <v>0</v>
      </c>
      <c r="T324">
        <v>1.4E-2</v>
      </c>
      <c r="U324">
        <v>0</v>
      </c>
      <c r="V324">
        <v>1.3964000000000001E-2</v>
      </c>
      <c r="W324" s="1">
        <f t="shared" si="36"/>
        <v>0.98599999999999999</v>
      </c>
      <c r="X324" t="s">
        <v>588</v>
      </c>
      <c r="Y324" t="str">
        <f>VLOOKUP(X324,Sheet1!A:B,2,FALSE)</f>
        <v>Quercus bicolor Willd.</v>
      </c>
      <c r="Z324" t="s">
        <v>1388</v>
      </c>
      <c r="AB324" s="1">
        <f t="shared" si="37"/>
        <v>0.98599999999999999</v>
      </c>
      <c r="AD324">
        <f>IF(W324&lt;0.99,LARGE((N324:R324,U324,V324),2),"0")</f>
        <v>1.3964000000000001E-2</v>
      </c>
      <c r="AE324" t="str">
        <f t="shared" si="33"/>
        <v xml:space="preserve">trace admixed with </v>
      </c>
      <c r="AH324" t="str">
        <f t="shared" si="34"/>
        <v xml:space="preserve">Based on ADMIXTURE results of 78,187 SNPs, trace admixed with </v>
      </c>
    </row>
    <row r="325" spans="1:34" x14ac:dyDescent="0.4">
      <c r="A325">
        <v>299</v>
      </c>
      <c r="B325" t="s">
        <v>589</v>
      </c>
      <c r="C325" t="s">
        <v>25</v>
      </c>
      <c r="D325" t="s">
        <v>21</v>
      </c>
      <c r="E325" t="s">
        <v>21</v>
      </c>
      <c r="F325" t="s">
        <v>25</v>
      </c>
      <c r="G325" t="s">
        <v>21</v>
      </c>
      <c r="H325" t="s">
        <v>21</v>
      </c>
      <c r="I325" t="s">
        <v>21</v>
      </c>
      <c r="J325">
        <v>0</v>
      </c>
      <c r="K325">
        <v>2</v>
      </c>
      <c r="L325" t="s">
        <v>26</v>
      </c>
      <c r="M325" t="str">
        <f t="shared" si="35"/>
        <v>F1</v>
      </c>
      <c r="N325">
        <v>0</v>
      </c>
      <c r="O325">
        <v>0</v>
      </c>
      <c r="P325">
        <v>0.4929</v>
      </c>
      <c r="Q325">
        <v>2.8E-3</v>
      </c>
      <c r="R325">
        <v>3.3E-3</v>
      </c>
      <c r="S325">
        <v>0.1183</v>
      </c>
      <c r="T325">
        <v>0.3826</v>
      </c>
      <c r="U325">
        <v>0</v>
      </c>
      <c r="V325">
        <v>0.50090400000000002</v>
      </c>
      <c r="W325" s="1">
        <f t="shared" si="36"/>
        <v>0.50090400000000002</v>
      </c>
      <c r="X325" s="2" t="s">
        <v>590</v>
      </c>
      <c r="Y325" t="str">
        <f>VLOOKUP(X325,Sheet1!A:B,2,FALSE)</f>
        <v>Quercus macrocarpa Michx.</v>
      </c>
      <c r="Z325" t="s">
        <v>1426</v>
      </c>
      <c r="AB325" s="1">
        <f t="shared" si="37"/>
        <v>0.50090400000000002</v>
      </c>
      <c r="AD325">
        <f>IF(W325&lt;0.99,LARGE((N325:R325,U325,V325),2),"0")</f>
        <v>0.4929</v>
      </c>
      <c r="AE325" t="str">
        <f>IF(AND(AB325&lt;0.99,AD325&gt;0.1,AB325&gt;0.6),"admixed with",IF(AND(AB325&lt;0.99,AD325&gt;0.01,AD325&lt;0.4),"trace admixed with ",""))</f>
        <v/>
      </c>
      <c r="AH325" t="str">
        <f t="shared" si="34"/>
        <v xml:space="preserve">Based on ADMIXTURE results of 78,187 SNPs, </v>
      </c>
    </row>
    <row r="326" spans="1:34" x14ac:dyDescent="0.4">
      <c r="A326">
        <v>300</v>
      </c>
      <c r="B326" t="s">
        <v>591</v>
      </c>
      <c r="C326" t="s">
        <v>21</v>
      </c>
      <c r="D326" t="s">
        <v>21</v>
      </c>
      <c r="E326" t="s">
        <v>21</v>
      </c>
      <c r="F326" t="s">
        <v>22</v>
      </c>
      <c r="G326" t="s">
        <v>21</v>
      </c>
      <c r="H326" t="s">
        <v>21</v>
      </c>
      <c r="I326" t="s">
        <v>21</v>
      </c>
      <c r="J326">
        <v>1</v>
      </c>
      <c r="K326">
        <v>0</v>
      </c>
      <c r="L326" t="s">
        <v>23</v>
      </c>
      <c r="M326" t="str">
        <f t="shared" si="35"/>
        <v>&gt;0.74</v>
      </c>
      <c r="N326">
        <v>0</v>
      </c>
      <c r="O326">
        <v>0</v>
      </c>
      <c r="P326">
        <v>0</v>
      </c>
      <c r="Q326">
        <v>4.7000000000000002E-3</v>
      </c>
      <c r="R326">
        <v>0</v>
      </c>
      <c r="S326">
        <v>0.1623</v>
      </c>
      <c r="T326">
        <v>0.83289999999999997</v>
      </c>
      <c r="U326">
        <v>0</v>
      </c>
      <c r="V326">
        <v>0.99523099999999998</v>
      </c>
      <c r="W326" s="1">
        <f t="shared" si="36"/>
        <v>0.99523099999999998</v>
      </c>
      <c r="X326" t="s">
        <v>592</v>
      </c>
      <c r="Y326" t="str">
        <f>VLOOKUP(X326,Sheet1!A:B,2,FALSE)</f>
        <v>Quercus macrocarpa Michx.</v>
      </c>
      <c r="Z326" t="s">
        <v>1384</v>
      </c>
      <c r="AB326" s="1">
        <f t="shared" si="37"/>
        <v>0.99523099999999998</v>
      </c>
      <c r="AD326" t="str">
        <f>IF(W326&lt;0.99,LARGE((N326:R326,U326,V326),2),"0")</f>
        <v>0</v>
      </c>
      <c r="AE326" t="str">
        <f>IF(AND(AB326&lt;0.99,AD326&gt;0.1),"admixed with",IF(AND(AB326&lt;0.99,AD326&gt;0.01),"trace admixed with ",""))</f>
        <v/>
      </c>
      <c r="AH326" t="str">
        <f t="shared" si="34"/>
        <v xml:space="preserve">Based on ADMIXTURE results of 78,187 SNPs, </v>
      </c>
    </row>
    <row r="327" spans="1:34" x14ac:dyDescent="0.4">
      <c r="A327">
        <v>301</v>
      </c>
      <c r="B327" t="s">
        <v>593</v>
      </c>
      <c r="C327" t="s">
        <v>22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>
        <v>1</v>
      </c>
      <c r="K327">
        <v>0</v>
      </c>
      <c r="L327" t="s">
        <v>23</v>
      </c>
      <c r="M327" t="str">
        <f t="shared" si="35"/>
        <v>&gt;0.74</v>
      </c>
      <c r="N327">
        <v>0</v>
      </c>
      <c r="O327">
        <v>0</v>
      </c>
      <c r="P327">
        <v>0.99990000000000001</v>
      </c>
      <c r="Q327">
        <v>0</v>
      </c>
      <c r="R327">
        <v>0</v>
      </c>
      <c r="S327">
        <v>0</v>
      </c>
      <c r="T327">
        <v>0</v>
      </c>
      <c r="U327">
        <v>0</v>
      </c>
      <c r="V327" s="1">
        <v>2.0000000000000002E-5</v>
      </c>
      <c r="W327" s="1">
        <f t="shared" si="36"/>
        <v>0.99990000000000001</v>
      </c>
      <c r="X327" t="s">
        <v>594</v>
      </c>
      <c r="Y327" t="str">
        <f>VLOOKUP(X327,Sheet1!A:B,2,FALSE)</f>
        <v>Quercus alba L.</v>
      </c>
      <c r="Z327" t="s">
        <v>1386</v>
      </c>
      <c r="AB327" s="1">
        <f t="shared" si="37"/>
        <v>0.99990000000000001</v>
      </c>
      <c r="AD327" t="str">
        <f>IF(W327&lt;0.99,LARGE((N327:R327,U327,V327),2),"0")</f>
        <v>0</v>
      </c>
      <c r="AE327" t="str">
        <f>IF(AND(AB327&lt;0.99,AD327&gt;0.1),"admixed with",IF(AND(AB327&lt;0.99,AD327&gt;0.01),"trace admixed with ",""))</f>
        <v/>
      </c>
      <c r="AH327" t="str">
        <f t="shared" si="34"/>
        <v xml:space="preserve">Based on ADMIXTURE results of 78,187 SNPs, </v>
      </c>
    </row>
    <row r="328" spans="1:34" x14ac:dyDescent="0.4">
      <c r="A328">
        <v>302</v>
      </c>
      <c r="B328" t="s">
        <v>595</v>
      </c>
      <c r="C328" t="s">
        <v>21</v>
      </c>
      <c r="D328" t="s">
        <v>21</v>
      </c>
      <c r="E328" t="s">
        <v>21</v>
      </c>
      <c r="F328" t="s">
        <v>22</v>
      </c>
      <c r="G328" t="s">
        <v>21</v>
      </c>
      <c r="H328" t="s">
        <v>21</v>
      </c>
      <c r="I328" t="s">
        <v>21</v>
      </c>
      <c r="J328">
        <v>1</v>
      </c>
      <c r="K328">
        <v>0</v>
      </c>
      <c r="L328" t="s">
        <v>23</v>
      </c>
      <c r="M328" t="str">
        <f t="shared" si="35"/>
        <v>&gt;0.74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0.1633</v>
      </c>
      <c r="T328">
        <v>0.83660000000000001</v>
      </c>
      <c r="U328">
        <v>0</v>
      </c>
      <c r="V328">
        <v>0.99994000000000005</v>
      </c>
      <c r="W328" s="1">
        <f t="shared" si="36"/>
        <v>0.99994000000000005</v>
      </c>
      <c r="X328" t="s">
        <v>596</v>
      </c>
      <c r="Y328" t="str">
        <f>VLOOKUP(X328,Sheet1!A:B,2,FALSE)</f>
        <v>Quercus macrocarpa Michx.</v>
      </c>
      <c r="Z328" t="s">
        <v>1384</v>
      </c>
      <c r="AB328" s="1">
        <f t="shared" si="37"/>
        <v>0.99994000000000005</v>
      </c>
      <c r="AD328" t="str">
        <f>IF(W328&lt;0.99,LARGE((N328:R328,U328,V328),2),"0")</f>
        <v>0</v>
      </c>
      <c r="AE328" t="str">
        <f>IF(AND(AB328&lt;0.99,AD328&gt;0.1),"admixed with",IF(AND(AB328&lt;0.99,AD328&gt;0.01),"trace admixed with ",""))</f>
        <v/>
      </c>
      <c r="AH328" t="str">
        <f t="shared" si="34"/>
        <v xml:space="preserve">Based on ADMIXTURE results of 78,187 SNPs, </v>
      </c>
    </row>
    <row r="329" spans="1:34" x14ac:dyDescent="0.4">
      <c r="A329">
        <v>303</v>
      </c>
      <c r="B329" t="s">
        <v>597</v>
      </c>
      <c r="C329" t="s">
        <v>21</v>
      </c>
      <c r="D329" t="s">
        <v>21</v>
      </c>
      <c r="E329" t="s">
        <v>21</v>
      </c>
      <c r="F329" t="s">
        <v>22</v>
      </c>
      <c r="G329" t="s">
        <v>21</v>
      </c>
      <c r="H329" t="s">
        <v>21</v>
      </c>
      <c r="I329" t="s">
        <v>21</v>
      </c>
      <c r="J329">
        <v>1</v>
      </c>
      <c r="K329">
        <v>0</v>
      </c>
      <c r="L329" t="s">
        <v>23</v>
      </c>
      <c r="M329" t="str">
        <f t="shared" si="35"/>
        <v>&gt;0.74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0.31330000000000002</v>
      </c>
      <c r="T329">
        <v>0.68659999999999999</v>
      </c>
      <c r="U329">
        <v>0</v>
      </c>
      <c r="V329">
        <v>0.99994000000000005</v>
      </c>
      <c r="W329" s="1">
        <f t="shared" si="36"/>
        <v>0.99994000000000005</v>
      </c>
      <c r="X329" t="s">
        <v>598</v>
      </c>
      <c r="Y329" t="str">
        <f>VLOOKUP(X329,Sheet1!A:B,2,FALSE)</f>
        <v>Quercus macrocarpa Michx.</v>
      </c>
      <c r="Z329" t="s">
        <v>1384</v>
      </c>
      <c r="AB329" s="1">
        <f t="shared" si="37"/>
        <v>0.99994000000000005</v>
      </c>
      <c r="AD329" t="str">
        <f>IF(W329&lt;0.99,LARGE((N329:R329,U329,V329),2),"0")</f>
        <v>0</v>
      </c>
      <c r="AE329" t="str">
        <f>IF(AND(AB329&lt;0.99,AD329&gt;0.1),"admixed with",IF(AND(AB329&lt;0.99,AD329&gt;0.01),"trace admixed with ",""))</f>
        <v/>
      </c>
      <c r="AH329" t="str">
        <f t="shared" si="34"/>
        <v xml:space="preserve">Based on ADMIXTURE results of 78,187 SNPs, </v>
      </c>
    </row>
    <row r="330" spans="1:34" x14ac:dyDescent="0.4">
      <c r="A330">
        <v>304</v>
      </c>
      <c r="B330" t="s">
        <v>599</v>
      </c>
      <c r="C330" t="s">
        <v>21</v>
      </c>
      <c r="D330" t="s">
        <v>21</v>
      </c>
      <c r="E330" t="s">
        <v>21</v>
      </c>
      <c r="F330" t="s">
        <v>22</v>
      </c>
      <c r="G330" t="s">
        <v>21</v>
      </c>
      <c r="H330" t="s">
        <v>21</v>
      </c>
      <c r="I330" t="s">
        <v>21</v>
      </c>
      <c r="J330">
        <v>1</v>
      </c>
      <c r="K330">
        <v>0</v>
      </c>
      <c r="L330" t="s">
        <v>23</v>
      </c>
      <c r="M330" t="str">
        <f t="shared" si="35"/>
        <v>&gt;0.74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9.1600000000000001E-2</v>
      </c>
      <c r="T330">
        <v>0.90839999999999999</v>
      </c>
      <c r="U330">
        <v>0</v>
      </c>
      <c r="V330">
        <v>0.99993500000000002</v>
      </c>
      <c r="W330" s="1">
        <f t="shared" si="36"/>
        <v>0.99993500000000002</v>
      </c>
      <c r="X330" t="s">
        <v>600</v>
      </c>
      <c r="Y330" t="str">
        <f>VLOOKUP(X330,Sheet1!A:B,2,FALSE)</f>
        <v>Quercus macrocarpa Michx.</v>
      </c>
      <c r="Z330" t="s">
        <v>1384</v>
      </c>
      <c r="AB330" s="1">
        <f t="shared" si="37"/>
        <v>0.99993500000000002</v>
      </c>
      <c r="AD330" t="str">
        <f>IF(W330&lt;0.99,LARGE((N330:R330,U330,V330),2),"0")</f>
        <v>0</v>
      </c>
      <c r="AE330" t="str">
        <f>IF(AND(AB330&lt;0.99,AD330&gt;0.1),"admixed with",IF(AND(AB330&lt;0.99,AD330&gt;0.01),"trace admixed with ",""))</f>
        <v/>
      </c>
      <c r="AH330" t="str">
        <f t="shared" si="34"/>
        <v xml:space="preserve">Based on ADMIXTURE results of 78,187 SNPs, </v>
      </c>
    </row>
    <row r="331" spans="1:34" x14ac:dyDescent="0.4">
      <c r="A331">
        <v>624</v>
      </c>
      <c r="B331" t="s">
        <v>1240</v>
      </c>
      <c r="C331" t="s">
        <v>21</v>
      </c>
      <c r="D331" t="s">
        <v>25</v>
      </c>
      <c r="E331" t="s">
        <v>21</v>
      </c>
      <c r="F331" t="s">
        <v>25</v>
      </c>
      <c r="G331" t="s">
        <v>21</v>
      </c>
      <c r="H331" t="s">
        <v>21</v>
      </c>
      <c r="I331" t="s">
        <v>21</v>
      </c>
      <c r="J331">
        <v>0</v>
      </c>
      <c r="K331">
        <v>2</v>
      </c>
      <c r="L331" t="s">
        <v>26</v>
      </c>
      <c r="M331" t="str">
        <f t="shared" si="35"/>
        <v>&gt;0.74</v>
      </c>
      <c r="N331">
        <v>0</v>
      </c>
      <c r="O331">
        <v>0</v>
      </c>
      <c r="P331">
        <v>0</v>
      </c>
      <c r="Q331">
        <v>0.1825</v>
      </c>
      <c r="R331">
        <v>0</v>
      </c>
      <c r="S331">
        <v>2.2200000000000001E-2</v>
      </c>
      <c r="T331">
        <v>0.79520000000000002</v>
      </c>
      <c r="U331">
        <v>0</v>
      </c>
      <c r="V331">
        <v>0.81740100000000004</v>
      </c>
      <c r="W331" s="1">
        <f t="shared" si="36"/>
        <v>0.81740100000000004</v>
      </c>
      <c r="X331" t="s">
        <v>1241</v>
      </c>
      <c r="Y331" t="str">
        <f>VLOOKUP(X331,Sheet1!A:B,2,FALSE)</f>
        <v>Quercus macrocarpa Michx.</v>
      </c>
      <c r="Z331" t="s">
        <v>1384</v>
      </c>
      <c r="AB331" s="1">
        <f t="shared" si="37"/>
        <v>0.81740100000000004</v>
      </c>
      <c r="AC331" t="s">
        <v>1431</v>
      </c>
      <c r="AD331">
        <f>IF(W331&lt;0.99,LARGE((N331:R331,U331,V331),2),"0")</f>
        <v>0.1825</v>
      </c>
      <c r="AE331" t="str">
        <f>IF(AND(AB331&lt;0.99,AD331&gt;0.1,AB331&gt;0.6),"admixed with ",IF(AND(AB331&lt;0.99,AD331&gt;0.01,AD331&lt;0.4),"trace admixed (Q&lt;0.10) with ",""))</f>
        <v xml:space="preserve">admixed with </v>
      </c>
      <c r="AH331" t="str">
        <f t="shared" si="34"/>
        <v>Based on ADMIXTURE results of 78,187 SNPs, admixed with Quercus bicolor</v>
      </c>
    </row>
    <row r="332" spans="1:34" x14ac:dyDescent="0.4">
      <c r="A332">
        <v>625</v>
      </c>
      <c r="B332" t="s">
        <v>1242</v>
      </c>
      <c r="C332" t="s">
        <v>21</v>
      </c>
      <c r="D332" t="s">
        <v>25</v>
      </c>
      <c r="E332" t="s">
        <v>21</v>
      </c>
      <c r="F332" t="s">
        <v>25</v>
      </c>
      <c r="G332" t="s">
        <v>21</v>
      </c>
      <c r="H332" t="s">
        <v>21</v>
      </c>
      <c r="I332" t="s">
        <v>21</v>
      </c>
      <c r="J332">
        <v>0</v>
      </c>
      <c r="K332">
        <v>2</v>
      </c>
      <c r="L332" t="s">
        <v>26</v>
      </c>
      <c r="M332" t="str">
        <f t="shared" si="35"/>
        <v>F1</v>
      </c>
      <c r="N332">
        <v>0</v>
      </c>
      <c r="O332">
        <v>0</v>
      </c>
      <c r="P332">
        <v>0</v>
      </c>
      <c r="Q332">
        <v>0.47499999999999998</v>
      </c>
      <c r="R332">
        <v>0</v>
      </c>
      <c r="S332">
        <v>2.0199999999999999E-2</v>
      </c>
      <c r="T332">
        <v>0.50480000000000003</v>
      </c>
      <c r="U332">
        <v>0</v>
      </c>
      <c r="V332">
        <v>0.52499099999999999</v>
      </c>
      <c r="W332" s="1">
        <f t="shared" si="36"/>
        <v>0.52499099999999999</v>
      </c>
      <c r="X332" s="2" t="s">
        <v>1243</v>
      </c>
      <c r="Y332" t="str">
        <f>VLOOKUP(X332,Sheet1!A:B,2,FALSE)</f>
        <v>Quercus macrocarpa Michx.</v>
      </c>
      <c r="Z332" t="s">
        <v>1423</v>
      </c>
      <c r="AB332" s="1">
        <f t="shared" si="37"/>
        <v>0.52499099999999999</v>
      </c>
      <c r="AD332">
        <f>IF(W332&lt;0.99,LARGE((N332:R332,U332,V332),2),"0")</f>
        <v>0.47499999999999998</v>
      </c>
      <c r="AE332" t="str">
        <f>IF(AND(AB332&lt;0.99,AD332&gt;0.1,AB332&gt;0.6),"admixed with",IF(AND(AB332&lt;0.99,AD332&gt;0.01,AD332&lt;0.4),"trace admixed with ",""))</f>
        <v/>
      </c>
      <c r="AH332" t="str">
        <f t="shared" si="34"/>
        <v xml:space="preserve">Based on ADMIXTURE results of 78,187 SNPs, </v>
      </c>
    </row>
    <row r="333" spans="1:34" x14ac:dyDescent="0.4">
      <c r="A333">
        <v>626</v>
      </c>
      <c r="B333" t="s">
        <v>1244</v>
      </c>
      <c r="C333" t="s">
        <v>21</v>
      </c>
      <c r="D333" t="s">
        <v>21</v>
      </c>
      <c r="E333" t="s">
        <v>21</v>
      </c>
      <c r="F333" t="s">
        <v>22</v>
      </c>
      <c r="G333" t="s">
        <v>21</v>
      </c>
      <c r="H333" t="s">
        <v>21</v>
      </c>
      <c r="I333" t="s">
        <v>21</v>
      </c>
      <c r="J333">
        <v>1</v>
      </c>
      <c r="K333">
        <v>0</v>
      </c>
      <c r="L333" t="s">
        <v>23</v>
      </c>
      <c r="M333" t="str">
        <f t="shared" si="35"/>
        <v>&gt;0.74</v>
      </c>
      <c r="N333">
        <v>0</v>
      </c>
      <c r="O333">
        <v>0</v>
      </c>
      <c r="P333">
        <v>0</v>
      </c>
      <c r="Q333">
        <v>3.1399999999999997E-2</v>
      </c>
      <c r="R333">
        <v>0</v>
      </c>
      <c r="S333">
        <v>8.5199999999999998E-2</v>
      </c>
      <c r="T333">
        <v>0.88339999999999996</v>
      </c>
      <c r="U333">
        <v>0</v>
      </c>
      <c r="V333">
        <v>0.96857800000000005</v>
      </c>
      <c r="W333" s="1">
        <f t="shared" si="36"/>
        <v>0.96857800000000005</v>
      </c>
      <c r="X333" t="s">
        <v>1245</v>
      </c>
      <c r="Y333" t="str">
        <f>VLOOKUP(X333,Sheet1!A:B,2,FALSE)</f>
        <v>Quercus macrocarpa Michx.</v>
      </c>
      <c r="Z333" t="s">
        <v>1384</v>
      </c>
      <c r="AB333" s="1">
        <f t="shared" si="37"/>
        <v>0.96857800000000005</v>
      </c>
      <c r="AD333">
        <f>IF(W333&lt;0.99,LARGE((N333:R333,U333,V333),2),"0")</f>
        <v>3.1399999999999997E-2</v>
      </c>
      <c r="AE333" t="str">
        <f>IF(AND(AB333&lt;0.99,AD333&gt;0.1),"admixed with",IF(AND(AB333&lt;0.99,AD333&gt;0.01),"trace admixed with ",""))</f>
        <v xml:space="preserve">trace admixed with </v>
      </c>
      <c r="AH333" t="str">
        <f t="shared" si="34"/>
        <v xml:space="preserve">Based on ADMIXTURE results of 78,187 SNPs, trace admixed with </v>
      </c>
    </row>
    <row r="334" spans="1:34" s="3" customFormat="1" x14ac:dyDescent="0.4">
      <c r="A334">
        <v>627</v>
      </c>
      <c r="B334" t="s">
        <v>1246</v>
      </c>
      <c r="C334" t="s">
        <v>21</v>
      </c>
      <c r="D334" t="s">
        <v>25</v>
      </c>
      <c r="E334" t="s">
        <v>21</v>
      </c>
      <c r="F334" t="s">
        <v>25</v>
      </c>
      <c r="G334" t="s">
        <v>21</v>
      </c>
      <c r="H334" t="s">
        <v>21</v>
      </c>
      <c r="I334" t="s">
        <v>21</v>
      </c>
      <c r="J334">
        <v>0</v>
      </c>
      <c r="K334">
        <v>2</v>
      </c>
      <c r="L334" t="s">
        <v>26</v>
      </c>
      <c r="M334" t="str">
        <f t="shared" si="35"/>
        <v>&gt;0.74</v>
      </c>
      <c r="N334">
        <v>0</v>
      </c>
      <c r="O334">
        <v>0</v>
      </c>
      <c r="P334">
        <v>0</v>
      </c>
      <c r="Q334">
        <v>5.8599999999999999E-2</v>
      </c>
      <c r="R334">
        <v>0</v>
      </c>
      <c r="S334">
        <v>3.4099999999999998E-2</v>
      </c>
      <c r="T334">
        <v>0.90720000000000001</v>
      </c>
      <c r="U334">
        <v>0</v>
      </c>
      <c r="V334">
        <v>0.94129399999999996</v>
      </c>
      <c r="W334" s="1">
        <f t="shared" si="36"/>
        <v>0.94129399999999996</v>
      </c>
      <c r="X334" t="s">
        <v>1247</v>
      </c>
      <c r="Y334" t="str">
        <f>VLOOKUP(X334,Sheet1!A:B,2,FALSE)</f>
        <v>Quercus macrocarpa Michx.</v>
      </c>
      <c r="Z334" t="s">
        <v>1384</v>
      </c>
      <c r="AA334"/>
      <c r="AB334" s="1">
        <f t="shared" si="37"/>
        <v>0.94129399999999996</v>
      </c>
      <c r="AC334" t="s">
        <v>1431</v>
      </c>
      <c r="AD334">
        <f>IF(W334&lt;0.99,LARGE((N334:R334,U334,V334),2),"0")</f>
        <v>5.8599999999999999E-2</v>
      </c>
      <c r="AE334" t="str">
        <f>IF(AND(AB334&lt;0.99,AD334&gt;0.1,AB334&gt;0.6),"admixed with ",IF(AND(AB334&lt;0.99,AD334&gt;0.01,AD334&lt;0.4),"trace admixed (Q&lt;0.10) with ",""))</f>
        <v xml:space="preserve">trace admixed (Q&lt;0.10) with </v>
      </c>
      <c r="AF334"/>
      <c r="AG334"/>
      <c r="AH334" t="str">
        <f t="shared" si="34"/>
        <v>Based on ADMIXTURE results of 78,187 SNPs, trace admixed (Q&lt;0.10) with Quercus bicolor</v>
      </c>
    </row>
    <row r="335" spans="1:34" x14ac:dyDescent="0.4">
      <c r="A335">
        <v>628</v>
      </c>
      <c r="B335" t="s">
        <v>1248</v>
      </c>
      <c r="C335" t="s">
        <v>21</v>
      </c>
      <c r="D335" t="s">
        <v>25</v>
      </c>
      <c r="E335" t="s">
        <v>21</v>
      </c>
      <c r="F335" t="s">
        <v>25</v>
      </c>
      <c r="G335" t="s">
        <v>21</v>
      </c>
      <c r="H335" t="s">
        <v>21</v>
      </c>
      <c r="I335" t="s">
        <v>21</v>
      </c>
      <c r="J335">
        <v>0</v>
      </c>
      <c r="K335">
        <v>2</v>
      </c>
      <c r="L335" t="s">
        <v>26</v>
      </c>
      <c r="M335" t="str">
        <f t="shared" si="35"/>
        <v>F1</v>
      </c>
      <c r="N335">
        <v>0</v>
      </c>
      <c r="O335">
        <v>0</v>
      </c>
      <c r="P335">
        <v>0</v>
      </c>
      <c r="Q335">
        <v>0.5171</v>
      </c>
      <c r="R335">
        <v>0</v>
      </c>
      <c r="S335">
        <v>0</v>
      </c>
      <c r="T335">
        <v>0.48280000000000001</v>
      </c>
      <c r="U335">
        <v>0</v>
      </c>
      <c r="V335">
        <v>0.48284199999999999</v>
      </c>
      <c r="W335" s="1">
        <f t="shared" si="36"/>
        <v>0.5171</v>
      </c>
      <c r="X335" s="2" t="s">
        <v>1249</v>
      </c>
      <c r="Y335" t="str">
        <f>VLOOKUP(X335,Sheet1!A:B,2,FALSE)</f>
        <v>Quercus macrocarpa Michx.</v>
      </c>
      <c r="Z335" t="s">
        <v>1423</v>
      </c>
      <c r="AB335" s="1">
        <f t="shared" si="37"/>
        <v>0.5171</v>
      </c>
      <c r="AD335">
        <f>IF(W335&lt;0.99,LARGE((N335:R335,U335,V335),2),"0")</f>
        <v>0.48284199999999999</v>
      </c>
      <c r="AE335" t="str">
        <f>IF(AND(AB335&lt;0.99,AD335&gt;0.1,AB335&gt;0.6),"admixed with",IF(AND(AB335&lt;0.99,AD335&gt;0.01,AD335&lt;0.4),"trace admixed with ",""))</f>
        <v/>
      </c>
      <c r="AH335" t="str">
        <f t="shared" si="34"/>
        <v xml:space="preserve">Based on ADMIXTURE results of 78,187 SNPs, </v>
      </c>
    </row>
    <row r="336" spans="1:34" x14ac:dyDescent="0.4">
      <c r="A336">
        <v>629</v>
      </c>
      <c r="B336" t="s">
        <v>1250</v>
      </c>
      <c r="C336" t="s">
        <v>21</v>
      </c>
      <c r="D336" t="s">
        <v>25</v>
      </c>
      <c r="E336" t="s">
        <v>21</v>
      </c>
      <c r="F336" t="s">
        <v>25</v>
      </c>
      <c r="G336" t="s">
        <v>21</v>
      </c>
      <c r="H336" t="s">
        <v>21</v>
      </c>
      <c r="I336" t="s">
        <v>21</v>
      </c>
      <c r="J336">
        <v>0</v>
      </c>
      <c r="K336">
        <v>2</v>
      </c>
      <c r="L336" t="s">
        <v>26</v>
      </c>
      <c r="M336" t="str">
        <f t="shared" si="35"/>
        <v>&gt;0.74</v>
      </c>
      <c r="N336">
        <v>0</v>
      </c>
      <c r="O336">
        <v>0</v>
      </c>
      <c r="P336">
        <v>0</v>
      </c>
      <c r="Q336">
        <v>5.3400000000000003E-2</v>
      </c>
      <c r="R336">
        <v>5.4000000000000003E-3</v>
      </c>
      <c r="S336">
        <v>5.1900000000000002E-2</v>
      </c>
      <c r="T336">
        <v>0.88929999999999998</v>
      </c>
      <c r="U336">
        <v>0</v>
      </c>
      <c r="V336">
        <v>0.94115800000000005</v>
      </c>
      <c r="W336" s="1">
        <f t="shared" si="36"/>
        <v>0.94115800000000005</v>
      </c>
      <c r="X336" t="s">
        <v>1251</v>
      </c>
      <c r="Y336" t="str">
        <f>VLOOKUP(X336,Sheet1!A:B,2,FALSE)</f>
        <v>Quercus macrocarpa Michx.</v>
      </c>
      <c r="Z336" t="s">
        <v>1384</v>
      </c>
      <c r="AB336" s="1">
        <f t="shared" si="37"/>
        <v>0.94115800000000005</v>
      </c>
      <c r="AC336" t="s">
        <v>1431</v>
      </c>
      <c r="AD336">
        <f>IF(W336&lt;0.99,LARGE((N336:R336,U336,V336),2),"0")</f>
        <v>5.3400000000000003E-2</v>
      </c>
      <c r="AE336" t="str">
        <f>IF(AND(AB336&lt;0.99,AD336&gt;0.1,AB336&gt;0.6),"admixed with ",IF(AND(AB336&lt;0.99,AD336&gt;0.01,AD336&lt;0.4),"trace admixed (Q&lt;0.10) with ",""))</f>
        <v xml:space="preserve">trace admixed (Q&lt;0.10) with </v>
      </c>
      <c r="AH336" t="str">
        <f t="shared" si="34"/>
        <v>Based on ADMIXTURE results of 78,187 SNPs, trace admixed (Q&lt;0.10) with Quercus bicolor</v>
      </c>
    </row>
    <row r="337" spans="1:34" s="3" customFormat="1" x14ac:dyDescent="0.4">
      <c r="A337">
        <v>630</v>
      </c>
      <c r="B337" t="s">
        <v>1252</v>
      </c>
      <c r="C337" t="s">
        <v>21</v>
      </c>
      <c r="D337" t="s">
        <v>21</v>
      </c>
      <c r="E337" t="s">
        <v>21</v>
      </c>
      <c r="F337" t="s">
        <v>25</v>
      </c>
      <c r="G337" t="s">
        <v>21</v>
      </c>
      <c r="H337" t="s">
        <v>21</v>
      </c>
      <c r="I337" t="s">
        <v>21</v>
      </c>
      <c r="J337">
        <v>0</v>
      </c>
      <c r="K337">
        <v>1</v>
      </c>
      <c r="L337" t="s">
        <v>1068</v>
      </c>
      <c r="M337" t="str">
        <f t="shared" si="35"/>
        <v>&gt;0.74</v>
      </c>
      <c r="N337">
        <v>0</v>
      </c>
      <c r="O337">
        <v>0</v>
      </c>
      <c r="P337">
        <v>0</v>
      </c>
      <c r="Q337">
        <v>5.9400000000000001E-2</v>
      </c>
      <c r="R337">
        <v>0</v>
      </c>
      <c r="S337">
        <v>8.1100000000000005E-2</v>
      </c>
      <c r="T337">
        <v>0.85950000000000004</v>
      </c>
      <c r="U337">
        <v>0</v>
      </c>
      <c r="V337">
        <v>0.94057299999999999</v>
      </c>
      <c r="W337" s="1">
        <f t="shared" si="36"/>
        <v>0.94057299999999999</v>
      </c>
      <c r="X337" t="s">
        <v>1253</v>
      </c>
      <c r="Y337" t="str">
        <f>VLOOKUP(X337,Sheet1!A:B,2,FALSE)</f>
        <v>Quercus macrocarpa Michx.</v>
      </c>
      <c r="Z337" t="s">
        <v>1384</v>
      </c>
      <c r="AA337"/>
      <c r="AB337" s="1">
        <f t="shared" si="37"/>
        <v>0.94057299999999999</v>
      </c>
      <c r="AC337" t="s">
        <v>1431</v>
      </c>
      <c r="AD337">
        <f>IF(W337&lt;0.99,LARGE((N337:R337,U337,V337),2),"0")</f>
        <v>5.9400000000000001E-2</v>
      </c>
      <c r="AE337" t="str">
        <f>IF(AND(AB337&lt;0.99,AD337&gt;0.1,AB337&gt;0.6),"admixed with ",IF(AND(AB337&lt;0.99,AD337&gt;0.01,AD337&lt;0.4),"trace admixed with ",""))</f>
        <v xml:space="preserve">trace admixed with </v>
      </c>
      <c r="AF337"/>
      <c r="AG337"/>
      <c r="AH337" t="str">
        <f t="shared" si="34"/>
        <v>Based on ADMIXTURE results of 78,187 SNPs, trace admixed with Quercus bicolor</v>
      </c>
    </row>
    <row r="338" spans="1:34" x14ac:dyDescent="0.4">
      <c r="A338">
        <v>631</v>
      </c>
      <c r="B338" t="s">
        <v>1254</v>
      </c>
      <c r="C338" t="s">
        <v>21</v>
      </c>
      <c r="D338" t="s">
        <v>25</v>
      </c>
      <c r="E338" t="s">
        <v>21</v>
      </c>
      <c r="F338" t="s">
        <v>25</v>
      </c>
      <c r="G338" t="s">
        <v>21</v>
      </c>
      <c r="H338" t="s">
        <v>21</v>
      </c>
      <c r="I338" t="s">
        <v>21</v>
      </c>
      <c r="J338">
        <v>0</v>
      </c>
      <c r="K338">
        <v>2</v>
      </c>
      <c r="L338" t="s">
        <v>26</v>
      </c>
      <c r="M338" t="str">
        <f t="shared" si="35"/>
        <v>BC1?</v>
      </c>
      <c r="N338">
        <v>0</v>
      </c>
      <c r="O338">
        <v>0</v>
      </c>
      <c r="P338">
        <v>0</v>
      </c>
      <c r="Q338">
        <v>0.33739999999999998</v>
      </c>
      <c r="R338">
        <v>0</v>
      </c>
      <c r="S338">
        <v>1.6899999999999998E-2</v>
      </c>
      <c r="T338">
        <v>0.64559999999999995</v>
      </c>
      <c r="U338">
        <v>0</v>
      </c>
      <c r="V338">
        <v>0.66250699999999996</v>
      </c>
      <c r="W338" s="1">
        <f t="shared" si="36"/>
        <v>0.66250699999999996</v>
      </c>
      <c r="X338" t="s">
        <v>1255</v>
      </c>
      <c r="Y338" t="str">
        <f>VLOOKUP(X338,Sheet1!A:B,2,FALSE)</f>
        <v>Quercus macrocarpa Michx.</v>
      </c>
      <c r="Z338" t="s">
        <v>1384</v>
      </c>
      <c r="AB338" s="1">
        <f t="shared" si="37"/>
        <v>0.66250699999999996</v>
      </c>
      <c r="AC338" t="s">
        <v>1431</v>
      </c>
      <c r="AD338">
        <f>IF(W338&lt;0.99,LARGE((N338:R338,U338,V338),2),"0")</f>
        <v>0.33739999999999998</v>
      </c>
      <c r="AE338" t="str">
        <f>IF(AND(AB338&lt;0.99,AD338&gt;0.1,AB338&gt;0.6),"admixed with ",IF(AND(AB338&lt;0.99,AD338&gt;0.01,AD338&lt;0.4),"trace admixed (Q&lt;0.10) with ",""))</f>
        <v xml:space="preserve">admixed with </v>
      </c>
      <c r="AH338" t="str">
        <f t="shared" si="34"/>
        <v>Based on ADMIXTURE results of 78,187 SNPs, admixed with Quercus bicolor</v>
      </c>
    </row>
    <row r="339" spans="1:34" x14ac:dyDescent="0.4">
      <c r="A339">
        <v>632</v>
      </c>
      <c r="B339" t="s">
        <v>1256</v>
      </c>
      <c r="C339" t="s">
        <v>21</v>
      </c>
      <c r="D339" t="s">
        <v>25</v>
      </c>
      <c r="E339" t="s">
        <v>21</v>
      </c>
      <c r="F339" t="s">
        <v>25</v>
      </c>
      <c r="G339" t="s">
        <v>21</v>
      </c>
      <c r="H339" t="s">
        <v>21</v>
      </c>
      <c r="I339" t="s">
        <v>21</v>
      </c>
      <c r="J339">
        <v>0</v>
      </c>
      <c r="K339">
        <v>2</v>
      </c>
      <c r="L339" t="s">
        <v>26</v>
      </c>
      <c r="M339" t="str">
        <f t="shared" si="35"/>
        <v>BC1?</v>
      </c>
      <c r="N339">
        <v>0</v>
      </c>
      <c r="O339">
        <v>0</v>
      </c>
      <c r="P339">
        <v>0</v>
      </c>
      <c r="Q339">
        <v>0.31419999999999998</v>
      </c>
      <c r="R339">
        <v>0</v>
      </c>
      <c r="S339">
        <v>0</v>
      </c>
      <c r="T339">
        <v>0.68569999999999998</v>
      </c>
      <c r="U339">
        <v>0</v>
      </c>
      <c r="V339">
        <v>0.68573099999999998</v>
      </c>
      <c r="W339" s="1">
        <f t="shared" si="36"/>
        <v>0.68573099999999998</v>
      </c>
      <c r="X339" t="s">
        <v>1257</v>
      </c>
      <c r="Y339" t="str">
        <f>VLOOKUP(X339,Sheet1!A:B,2,FALSE)</f>
        <v>Quercus macrocarpa Michx.</v>
      </c>
      <c r="Z339" t="s">
        <v>1384</v>
      </c>
      <c r="AB339" s="1">
        <f t="shared" si="37"/>
        <v>0.68573099999999998</v>
      </c>
      <c r="AC339" t="s">
        <v>1431</v>
      </c>
      <c r="AD339">
        <f>IF(W339&lt;0.99,LARGE((N339:R339,U339,V339),2),"0")</f>
        <v>0.31419999999999998</v>
      </c>
      <c r="AE339" t="str">
        <f>IF(AND(AB339&lt;0.99,AD339&gt;0.1,AB339&gt;0.6),"admixed with ",IF(AND(AB339&lt;0.99,AD339&gt;0.01,AD339&lt;0.4),"trace admixed (Q&lt;0.10) with ",""))</f>
        <v xml:space="preserve">admixed with </v>
      </c>
      <c r="AH339" t="str">
        <f t="shared" si="34"/>
        <v>Based on ADMIXTURE results of 78,187 SNPs, admixed with Quercus bicolor</v>
      </c>
    </row>
    <row r="340" spans="1:34" x14ac:dyDescent="0.4">
      <c r="A340">
        <v>633</v>
      </c>
      <c r="B340" t="s">
        <v>1258</v>
      </c>
      <c r="C340" t="s">
        <v>21</v>
      </c>
      <c r="D340" t="s">
        <v>25</v>
      </c>
      <c r="E340" t="s">
        <v>21</v>
      </c>
      <c r="F340" t="s">
        <v>25</v>
      </c>
      <c r="G340" t="s">
        <v>21</v>
      </c>
      <c r="H340" t="s">
        <v>21</v>
      </c>
      <c r="I340" t="s">
        <v>21</v>
      </c>
      <c r="J340">
        <v>0</v>
      </c>
      <c r="K340">
        <v>2</v>
      </c>
      <c r="L340" t="s">
        <v>26</v>
      </c>
      <c r="M340" t="str">
        <f t="shared" si="35"/>
        <v>&gt;0.74</v>
      </c>
      <c r="N340">
        <v>0</v>
      </c>
      <c r="O340">
        <v>0</v>
      </c>
      <c r="P340">
        <v>0</v>
      </c>
      <c r="Q340">
        <v>7.4499999999999997E-2</v>
      </c>
      <c r="R340">
        <v>0</v>
      </c>
      <c r="S340">
        <v>3.4599999999999999E-2</v>
      </c>
      <c r="T340">
        <v>0.89090000000000003</v>
      </c>
      <c r="U340">
        <v>0</v>
      </c>
      <c r="V340">
        <v>0.92545100000000002</v>
      </c>
      <c r="W340" s="1">
        <f t="shared" si="36"/>
        <v>0.92545100000000002</v>
      </c>
      <c r="X340" t="s">
        <v>1259</v>
      </c>
      <c r="Y340" t="str">
        <f>VLOOKUP(X340,Sheet1!A:B,2,FALSE)</f>
        <v>Quercus macrocarpa Michx.</v>
      </c>
      <c r="Z340" t="s">
        <v>1384</v>
      </c>
      <c r="AB340" s="1">
        <f t="shared" si="37"/>
        <v>0.92545100000000002</v>
      </c>
      <c r="AC340" t="s">
        <v>1431</v>
      </c>
      <c r="AD340">
        <f>IF(W340&lt;0.99,LARGE((N340:R340,U340,V340),2),"0")</f>
        <v>7.4499999999999997E-2</v>
      </c>
      <c r="AE340" t="str">
        <f>IF(AND(AB340&lt;0.99,AD340&gt;0.1,AB340&gt;0.6),"admixed with ",IF(AND(AB340&lt;0.99,AD340&gt;0.01,AD340&lt;0.4),"trace admixed (Q&lt;0.10) with ",""))</f>
        <v xml:space="preserve">trace admixed (Q&lt;0.10) with </v>
      </c>
      <c r="AH340" t="str">
        <f t="shared" si="34"/>
        <v>Based on ADMIXTURE results of 78,187 SNPs, trace admixed (Q&lt;0.10) with Quercus bicolor</v>
      </c>
    </row>
    <row r="341" spans="1:34" x14ac:dyDescent="0.4">
      <c r="A341">
        <v>634</v>
      </c>
      <c r="B341" t="s">
        <v>1260</v>
      </c>
      <c r="C341" t="s">
        <v>21</v>
      </c>
      <c r="D341" t="s">
        <v>25</v>
      </c>
      <c r="E341" t="s">
        <v>21</v>
      </c>
      <c r="F341" t="s">
        <v>25</v>
      </c>
      <c r="G341" t="s">
        <v>21</v>
      </c>
      <c r="H341" t="s">
        <v>21</v>
      </c>
      <c r="I341" t="s">
        <v>21</v>
      </c>
      <c r="J341">
        <v>0</v>
      </c>
      <c r="K341">
        <v>2</v>
      </c>
      <c r="L341" t="s">
        <v>26</v>
      </c>
      <c r="M341" t="str">
        <f t="shared" si="35"/>
        <v>&gt;0.74</v>
      </c>
      <c r="N341">
        <v>0</v>
      </c>
      <c r="O341">
        <v>2.0299999999999999E-2</v>
      </c>
      <c r="P341">
        <v>1.43E-2</v>
      </c>
      <c r="Q341">
        <v>3.2500000000000001E-2</v>
      </c>
      <c r="R341">
        <v>0</v>
      </c>
      <c r="S341">
        <v>2.23E-2</v>
      </c>
      <c r="T341">
        <v>0.91059999999999997</v>
      </c>
      <c r="U341">
        <v>0</v>
      </c>
      <c r="V341">
        <v>0.93289200000000005</v>
      </c>
      <c r="W341" s="1">
        <f t="shared" si="36"/>
        <v>0.93289200000000005</v>
      </c>
      <c r="X341" t="s">
        <v>1261</v>
      </c>
      <c r="Y341" t="str">
        <f>VLOOKUP(X341,Sheet1!A:B,2,FALSE)</f>
        <v>Quercus macrocarpa Michx.</v>
      </c>
      <c r="Z341" t="s">
        <v>1384</v>
      </c>
      <c r="AB341" s="1">
        <f t="shared" si="37"/>
        <v>0.93289200000000005</v>
      </c>
      <c r="AC341" t="s">
        <v>1431</v>
      </c>
      <c r="AD341">
        <f>IF(W341&lt;0.99,LARGE((N341:R341,U341,V341),2),"0")</f>
        <v>3.2500000000000001E-2</v>
      </c>
      <c r="AE341" t="str">
        <f>IF(AND(AB341&lt;0.99,AD341&gt;0.1,AB341&gt;0.6),"admixed with ",IF(AND(AB341&lt;0.99,AD341&gt;0.01,AD341&lt;0.4),"trace admixed (Q&lt;0.10) with ",""))</f>
        <v xml:space="preserve">trace admixed (Q&lt;0.10) with </v>
      </c>
      <c r="AH341" t="str">
        <f t="shared" si="34"/>
        <v>Based on ADMIXTURE results of 78,187 SNPs, trace admixed (Q&lt;0.10) with Quercus bicolor</v>
      </c>
    </row>
    <row r="342" spans="1:34" x14ac:dyDescent="0.4">
      <c r="A342">
        <v>552</v>
      </c>
      <c r="B342" t="s">
        <v>1096</v>
      </c>
      <c r="C342" t="s">
        <v>21</v>
      </c>
      <c r="D342" t="s">
        <v>21</v>
      </c>
      <c r="E342" t="s">
        <v>21</v>
      </c>
      <c r="F342" t="s">
        <v>22</v>
      </c>
      <c r="G342" t="s">
        <v>21</v>
      </c>
      <c r="H342" t="s">
        <v>21</v>
      </c>
      <c r="I342" t="s">
        <v>21</v>
      </c>
      <c r="J342">
        <v>1</v>
      </c>
      <c r="K342">
        <v>0</v>
      </c>
      <c r="L342" t="s">
        <v>23</v>
      </c>
      <c r="M342" t="str">
        <f t="shared" si="35"/>
        <v>&gt;0.74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0.99990000000000001</v>
      </c>
      <c r="U342">
        <v>0</v>
      </c>
      <c r="V342">
        <v>0.99994000000000005</v>
      </c>
      <c r="W342" s="1">
        <f t="shared" si="36"/>
        <v>0.99994000000000005</v>
      </c>
      <c r="X342" t="s">
        <v>1097</v>
      </c>
      <c r="Y342" t="str">
        <f>VLOOKUP(X342,Sheet1!A:B,2,FALSE)</f>
        <v>Quercus macrocarpa Michx.</v>
      </c>
      <c r="Z342" t="s">
        <v>1384</v>
      </c>
      <c r="AB342" s="1">
        <f t="shared" si="37"/>
        <v>0.99994000000000005</v>
      </c>
      <c r="AD342" t="str">
        <f>IF(W342&lt;0.99,LARGE((N342:R342,U342,V342),2),"0")</f>
        <v>0</v>
      </c>
      <c r="AE342" t="str">
        <f>IF(AND(AB342&lt;0.99,AD342&gt;0.1),"admixed with",IF(AND(AB342&lt;0.99,AD342&gt;0.01),"trace admixed with ",""))</f>
        <v/>
      </c>
      <c r="AH342" t="str">
        <f t="shared" si="34"/>
        <v xml:space="preserve">Based on ADMIXTURE results of 78,187 SNPs, </v>
      </c>
    </row>
    <row r="343" spans="1:34" x14ac:dyDescent="0.4">
      <c r="A343">
        <v>553</v>
      </c>
      <c r="B343" t="s">
        <v>1098</v>
      </c>
      <c r="C343" t="s">
        <v>21</v>
      </c>
      <c r="D343" t="s">
        <v>21</v>
      </c>
      <c r="E343" t="s">
        <v>21</v>
      </c>
      <c r="F343" t="s">
        <v>22</v>
      </c>
      <c r="G343" t="s">
        <v>21</v>
      </c>
      <c r="H343" t="s">
        <v>21</v>
      </c>
      <c r="I343" t="s">
        <v>21</v>
      </c>
      <c r="J343">
        <v>1</v>
      </c>
      <c r="K343">
        <v>0</v>
      </c>
      <c r="L343" t="s">
        <v>23</v>
      </c>
      <c r="M343" t="str">
        <f t="shared" si="35"/>
        <v>&gt;0.74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0.99990000000000001</v>
      </c>
      <c r="U343">
        <v>0</v>
      </c>
      <c r="V343">
        <v>0.99993900000000002</v>
      </c>
      <c r="W343" s="1">
        <f t="shared" si="36"/>
        <v>0.99993900000000002</v>
      </c>
      <c r="X343" t="s">
        <v>1099</v>
      </c>
      <c r="Y343" t="str">
        <f>VLOOKUP(X343,Sheet1!A:B,2,FALSE)</f>
        <v>Quercus macrocarpa Michx.</v>
      </c>
      <c r="Z343" t="s">
        <v>1384</v>
      </c>
      <c r="AB343" s="1">
        <f t="shared" si="37"/>
        <v>0.99993900000000002</v>
      </c>
      <c r="AD343" t="str">
        <f>IF(W343&lt;0.99,LARGE((N343:R343,U343,V343),2),"0")</f>
        <v>0</v>
      </c>
      <c r="AE343" t="str">
        <f>IF(AND(AB343&lt;0.99,AD343&gt;0.1),"admixed with",IF(AND(AB343&lt;0.99,AD343&gt;0.01),"trace admixed with ",""))</f>
        <v/>
      </c>
      <c r="AH343" t="str">
        <f t="shared" si="34"/>
        <v xml:space="preserve">Based on ADMIXTURE results of 78,187 SNPs, </v>
      </c>
    </row>
    <row r="344" spans="1:34" x14ac:dyDescent="0.4">
      <c r="A344">
        <v>554</v>
      </c>
      <c r="B344" t="s">
        <v>1100</v>
      </c>
      <c r="C344" t="s">
        <v>21</v>
      </c>
      <c r="D344" t="s">
        <v>21</v>
      </c>
      <c r="E344" t="s">
        <v>21</v>
      </c>
      <c r="F344" t="s">
        <v>22</v>
      </c>
      <c r="G344" t="s">
        <v>21</v>
      </c>
      <c r="H344" t="s">
        <v>21</v>
      </c>
      <c r="I344" t="s">
        <v>21</v>
      </c>
      <c r="J344">
        <v>1</v>
      </c>
      <c r="K344">
        <v>0</v>
      </c>
      <c r="L344" t="s">
        <v>23</v>
      </c>
      <c r="M344" t="str">
        <f t="shared" si="35"/>
        <v>&gt;0.74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5.1900000000000002E-2</v>
      </c>
      <c r="T344">
        <v>0.94799999999999995</v>
      </c>
      <c r="U344">
        <v>0</v>
      </c>
      <c r="V344">
        <v>0.99994000000000005</v>
      </c>
      <c r="W344" s="1">
        <f t="shared" si="36"/>
        <v>0.99994000000000005</v>
      </c>
      <c r="X344" t="s">
        <v>1101</v>
      </c>
      <c r="Y344" t="str">
        <f>VLOOKUP(X344,Sheet1!A:B,2,FALSE)</f>
        <v>Quercus macrocarpa Michx.</v>
      </c>
      <c r="Z344" t="s">
        <v>1384</v>
      </c>
      <c r="AB344" s="1">
        <f t="shared" si="37"/>
        <v>0.99994000000000005</v>
      </c>
      <c r="AD344" t="str">
        <f>IF(W344&lt;0.99,LARGE((N344:R344,U344,V344),2),"0")</f>
        <v>0</v>
      </c>
      <c r="AE344" t="str">
        <f>IF(AND(AB344&lt;0.99,AD344&gt;0.1),"admixed with",IF(AND(AB344&lt;0.99,AD344&gt;0.01),"trace admixed with ",""))</f>
        <v/>
      </c>
      <c r="AH344" t="str">
        <f t="shared" si="34"/>
        <v xml:space="preserve">Based on ADMIXTURE results of 78,187 SNPs, </v>
      </c>
    </row>
    <row r="345" spans="1:34" x14ac:dyDescent="0.4">
      <c r="A345">
        <v>555</v>
      </c>
      <c r="B345" t="s">
        <v>1102</v>
      </c>
      <c r="C345" t="s">
        <v>21</v>
      </c>
      <c r="D345" t="s">
        <v>21</v>
      </c>
      <c r="E345" t="s">
        <v>21</v>
      </c>
      <c r="F345" t="s">
        <v>22</v>
      </c>
      <c r="G345" t="s">
        <v>21</v>
      </c>
      <c r="H345" t="s">
        <v>21</v>
      </c>
      <c r="I345" t="s">
        <v>21</v>
      </c>
      <c r="J345">
        <v>1</v>
      </c>
      <c r="K345">
        <v>0</v>
      </c>
      <c r="L345" t="s">
        <v>23</v>
      </c>
      <c r="M345" t="str">
        <f t="shared" si="35"/>
        <v>&gt;0.74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0.99990000000000001</v>
      </c>
      <c r="U345">
        <v>0</v>
      </c>
      <c r="V345">
        <v>0.99994000000000005</v>
      </c>
      <c r="W345" s="1">
        <f t="shared" si="36"/>
        <v>0.99994000000000005</v>
      </c>
      <c r="X345" t="s">
        <v>1103</v>
      </c>
      <c r="Y345" t="str">
        <f>VLOOKUP(X345,Sheet1!A:B,2,FALSE)</f>
        <v>Quercus macrocarpa Michx.</v>
      </c>
      <c r="Z345" t="s">
        <v>1384</v>
      </c>
      <c r="AB345" s="1">
        <f t="shared" si="37"/>
        <v>0.99994000000000005</v>
      </c>
      <c r="AD345" t="str">
        <f>IF(W345&lt;0.99,LARGE((N345:R345,U345,V345),2),"0")</f>
        <v>0</v>
      </c>
      <c r="AE345" t="str">
        <f>IF(AND(AB345&lt;0.99,AD345&gt;0.1),"admixed with",IF(AND(AB345&lt;0.99,AD345&gt;0.01),"trace admixed with ",""))</f>
        <v/>
      </c>
      <c r="AH345" t="str">
        <f t="shared" si="34"/>
        <v xml:space="preserve">Based on ADMIXTURE results of 78,187 SNPs, </v>
      </c>
    </row>
    <row r="346" spans="1:34" x14ac:dyDescent="0.4">
      <c r="A346">
        <v>556</v>
      </c>
      <c r="B346" t="s">
        <v>1104</v>
      </c>
      <c r="C346" t="s">
        <v>21</v>
      </c>
      <c r="D346" t="s">
        <v>21</v>
      </c>
      <c r="E346" t="s">
        <v>21</v>
      </c>
      <c r="F346" t="s">
        <v>22</v>
      </c>
      <c r="G346" t="s">
        <v>21</v>
      </c>
      <c r="H346" t="s">
        <v>21</v>
      </c>
      <c r="I346" t="s">
        <v>21</v>
      </c>
      <c r="J346">
        <v>1</v>
      </c>
      <c r="K346">
        <v>0</v>
      </c>
      <c r="L346" t="s">
        <v>23</v>
      </c>
      <c r="M346" t="str">
        <f t="shared" si="35"/>
        <v>&gt;0.74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0.99990000000000001</v>
      </c>
      <c r="U346">
        <v>0</v>
      </c>
      <c r="V346">
        <v>0.99993699999999996</v>
      </c>
      <c r="W346" s="1">
        <f t="shared" si="36"/>
        <v>0.99993699999999996</v>
      </c>
      <c r="X346" t="s">
        <v>1105</v>
      </c>
      <c r="Y346" t="str">
        <f>VLOOKUP(X346,Sheet1!A:B,2,FALSE)</f>
        <v>Quercus macrocarpa Michx.</v>
      </c>
      <c r="Z346" t="s">
        <v>1384</v>
      </c>
      <c r="AB346" s="1">
        <f t="shared" si="37"/>
        <v>0.99993699999999996</v>
      </c>
      <c r="AD346" t="str">
        <f>IF(W346&lt;0.99,LARGE((N346:R346,U346,V346),2),"0")</f>
        <v>0</v>
      </c>
      <c r="AE346" t="str">
        <f>IF(AND(AB346&lt;0.99,AD346&gt;0.1),"admixed with",IF(AND(AB346&lt;0.99,AD346&gt;0.01),"trace admixed with ",""))</f>
        <v/>
      </c>
      <c r="AH346" t="str">
        <f t="shared" si="34"/>
        <v xml:space="preserve">Based on ADMIXTURE results of 78,187 SNPs, </v>
      </c>
    </row>
    <row r="347" spans="1:34" x14ac:dyDescent="0.4">
      <c r="A347">
        <v>558</v>
      </c>
      <c r="B347" t="s">
        <v>1108</v>
      </c>
      <c r="C347" t="s">
        <v>25</v>
      </c>
      <c r="D347" t="s">
        <v>21</v>
      </c>
      <c r="E347" t="s">
        <v>25</v>
      </c>
      <c r="F347" t="s">
        <v>21</v>
      </c>
      <c r="G347" t="s">
        <v>21</v>
      </c>
      <c r="H347" t="s">
        <v>21</v>
      </c>
      <c r="I347" t="s">
        <v>21</v>
      </c>
      <c r="J347">
        <v>0</v>
      </c>
      <c r="K347">
        <v>2</v>
      </c>
      <c r="L347" t="s">
        <v>26</v>
      </c>
      <c r="M347" t="str">
        <f t="shared" si="35"/>
        <v>&gt;0.74</v>
      </c>
      <c r="N347">
        <v>1.83E-2</v>
      </c>
      <c r="O347">
        <v>3.4700000000000002E-2</v>
      </c>
      <c r="P347">
        <v>0.86960000000000004</v>
      </c>
      <c r="Q347">
        <v>0</v>
      </c>
      <c r="R347">
        <v>7.7399999999999997E-2</v>
      </c>
      <c r="S347">
        <v>0</v>
      </c>
      <c r="T347">
        <v>0</v>
      </c>
      <c r="U347">
        <v>0</v>
      </c>
      <c r="V347" s="1">
        <v>2.0000000000000002E-5</v>
      </c>
      <c r="W347" s="1">
        <f t="shared" si="36"/>
        <v>0.86960000000000004</v>
      </c>
      <c r="X347" t="s">
        <v>1109</v>
      </c>
      <c r="Y347" t="str">
        <f>VLOOKUP(X347,Sheet1!A:B,2,FALSE)</f>
        <v>Quercus alba L.</v>
      </c>
      <c r="Z347" t="s">
        <v>1386</v>
      </c>
      <c r="AB347" s="1">
        <f t="shared" si="37"/>
        <v>0.86960000000000004</v>
      </c>
      <c r="AC347" t="s">
        <v>1432</v>
      </c>
      <c r="AD347">
        <f>IF(W347&lt;0.99,LARGE((N347:R347,U347,V347),2),"0")</f>
        <v>7.7399999999999997E-2</v>
      </c>
      <c r="AE347" t="str">
        <f>IF(AND(AB347&lt;0.99,AD347&gt;0.1,AB347&gt;0.6),"admixed with ",IF(AND(AB347&lt;0.99,AD347&gt;0.01,AD347&lt;0.4),"trace admixed (Q&lt;0.10) with ",""))</f>
        <v xml:space="preserve">trace admixed (Q&lt;0.10) with </v>
      </c>
      <c r="AH347" t="str">
        <f t="shared" si="34"/>
        <v>Based on ADMIXTURE results of 78,187 SNPs, trace admixed (Q&lt;0.10) with Quercus lobata</v>
      </c>
    </row>
    <row r="348" spans="1:34" x14ac:dyDescent="0.4">
      <c r="A348">
        <v>559</v>
      </c>
      <c r="B348" t="s">
        <v>1110</v>
      </c>
      <c r="C348" t="s">
        <v>22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>
        <v>1</v>
      </c>
      <c r="K348">
        <v>0</v>
      </c>
      <c r="L348" t="s">
        <v>23</v>
      </c>
      <c r="M348" t="str">
        <f t="shared" si="35"/>
        <v>&gt;0.74</v>
      </c>
      <c r="N348">
        <v>0</v>
      </c>
      <c r="O348">
        <v>0</v>
      </c>
      <c r="P348">
        <v>0.99929999999999997</v>
      </c>
      <c r="Q348">
        <v>0</v>
      </c>
      <c r="R348">
        <v>0</v>
      </c>
      <c r="S348">
        <v>0</v>
      </c>
      <c r="T348" s="1">
        <v>6.9999999999999999E-4</v>
      </c>
      <c r="U348">
        <v>0</v>
      </c>
      <c r="V348">
        <v>6.8400000000000004E-4</v>
      </c>
      <c r="W348" s="1">
        <f t="shared" si="36"/>
        <v>0.99929999999999997</v>
      </c>
      <c r="X348" t="s">
        <v>1111</v>
      </c>
      <c r="Y348" t="str">
        <f>VLOOKUP(X348,Sheet1!A:B,2,FALSE)</f>
        <v>Quercus alba L.</v>
      </c>
      <c r="Z348" t="s">
        <v>1386</v>
      </c>
      <c r="AB348" s="1">
        <f t="shared" si="37"/>
        <v>0.99929999999999997</v>
      </c>
      <c r="AD348" t="str">
        <f>IF(W348&lt;0.99,LARGE((N348:R348,U348,V348),2),"0")</f>
        <v>0</v>
      </c>
      <c r="AE348" t="str">
        <f t="shared" ref="AE348:AE357" si="38">IF(AND(AB348&lt;0.99,AD348&gt;0.1),"admixed with",IF(AND(AB348&lt;0.99,AD348&gt;0.01),"trace admixed with ",""))</f>
        <v/>
      </c>
      <c r="AH348" t="str">
        <f t="shared" si="34"/>
        <v xml:space="preserve">Based on ADMIXTURE results of 78,187 SNPs, </v>
      </c>
    </row>
    <row r="349" spans="1:34" x14ac:dyDescent="0.4">
      <c r="A349">
        <v>560</v>
      </c>
      <c r="B349" t="s">
        <v>1112</v>
      </c>
      <c r="C349" t="s">
        <v>22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>
        <v>1</v>
      </c>
      <c r="K349">
        <v>0</v>
      </c>
      <c r="L349" t="s">
        <v>23</v>
      </c>
      <c r="M349" t="str">
        <f t="shared" si="35"/>
        <v>&gt;0.74</v>
      </c>
      <c r="N349">
        <v>0</v>
      </c>
      <c r="O349">
        <v>0</v>
      </c>
      <c r="P349">
        <v>0.97309999999999997</v>
      </c>
      <c r="Q349">
        <v>0</v>
      </c>
      <c r="R349">
        <v>0</v>
      </c>
      <c r="S349">
        <v>0</v>
      </c>
      <c r="T349">
        <v>2.6800000000000001E-2</v>
      </c>
      <c r="U349">
        <v>0</v>
      </c>
      <c r="V349">
        <v>2.6811999999999999E-2</v>
      </c>
      <c r="W349" s="1">
        <f t="shared" si="36"/>
        <v>0.97309999999999997</v>
      </c>
      <c r="X349" t="s">
        <v>1113</v>
      </c>
      <c r="Y349" t="str">
        <f>VLOOKUP(X349,Sheet1!A:B,2,FALSE)</f>
        <v>Quercus alba L.</v>
      </c>
      <c r="Z349" t="s">
        <v>1386</v>
      </c>
      <c r="AB349" s="1">
        <f t="shared" si="37"/>
        <v>0.97309999999999997</v>
      </c>
      <c r="AD349">
        <f>IF(W349&lt;0.99,LARGE((N349:R349,U349,V349),2),"0")</f>
        <v>2.6811999999999999E-2</v>
      </c>
      <c r="AE349" t="str">
        <f t="shared" si="38"/>
        <v xml:space="preserve">trace admixed with </v>
      </c>
      <c r="AH349" t="str">
        <f t="shared" si="34"/>
        <v xml:space="preserve">Based on ADMIXTURE results of 78,187 SNPs, trace admixed with </v>
      </c>
    </row>
    <row r="350" spans="1:34" x14ac:dyDescent="0.4">
      <c r="A350">
        <v>561</v>
      </c>
      <c r="B350" t="s">
        <v>1114</v>
      </c>
      <c r="C350" t="s">
        <v>22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>
        <v>1</v>
      </c>
      <c r="K350">
        <v>0</v>
      </c>
      <c r="L350" t="s">
        <v>23</v>
      </c>
      <c r="M350" t="str">
        <f t="shared" si="35"/>
        <v>&gt;0.74</v>
      </c>
      <c r="N350">
        <v>0</v>
      </c>
      <c r="O350">
        <v>0</v>
      </c>
      <c r="P350">
        <v>0.98019999999999996</v>
      </c>
      <c r="Q350">
        <v>0</v>
      </c>
      <c r="R350">
        <v>0</v>
      </c>
      <c r="S350" s="1">
        <v>8.9999999999999998E-4</v>
      </c>
      <c r="T350">
        <v>1.8800000000000001E-2</v>
      </c>
      <c r="U350">
        <v>0</v>
      </c>
      <c r="V350">
        <v>1.9709999999999998E-2</v>
      </c>
      <c r="W350" s="1">
        <f t="shared" si="36"/>
        <v>0.98019999999999996</v>
      </c>
      <c r="X350" t="s">
        <v>1115</v>
      </c>
      <c r="Y350" t="str">
        <f>VLOOKUP(X350,Sheet1!A:B,2,FALSE)</f>
        <v>Quercus alba L.</v>
      </c>
      <c r="Z350" t="s">
        <v>1386</v>
      </c>
      <c r="AB350" s="1">
        <f t="shared" si="37"/>
        <v>0.98019999999999996</v>
      </c>
      <c r="AD350">
        <f>IF(W350&lt;0.99,LARGE((N350:R350,U350,V350),2),"0")</f>
        <v>1.9709999999999998E-2</v>
      </c>
      <c r="AE350" t="str">
        <f t="shared" si="38"/>
        <v xml:space="preserve">trace admixed with </v>
      </c>
      <c r="AH350" t="str">
        <f t="shared" si="34"/>
        <v xml:space="preserve">Based on ADMIXTURE results of 78,187 SNPs, trace admixed with </v>
      </c>
    </row>
    <row r="351" spans="1:34" x14ac:dyDescent="0.4">
      <c r="A351">
        <v>557</v>
      </c>
      <c r="B351" t="s">
        <v>1106</v>
      </c>
      <c r="C351" t="s">
        <v>22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>
        <v>1</v>
      </c>
      <c r="K351">
        <v>0</v>
      </c>
      <c r="L351" t="s">
        <v>23</v>
      </c>
      <c r="M351" t="str">
        <f t="shared" si="35"/>
        <v>&gt;0.74</v>
      </c>
      <c r="N351">
        <v>0</v>
      </c>
      <c r="O351">
        <v>0</v>
      </c>
      <c r="P351">
        <v>0.97609999999999997</v>
      </c>
      <c r="Q351">
        <v>0</v>
      </c>
      <c r="R351">
        <v>0</v>
      </c>
      <c r="S351">
        <v>1.2200000000000001E-2</v>
      </c>
      <c r="T351">
        <v>1.1599999999999999E-2</v>
      </c>
      <c r="U351">
        <v>0</v>
      </c>
      <c r="V351">
        <v>2.3810000000000001E-2</v>
      </c>
      <c r="W351" s="1">
        <f t="shared" si="36"/>
        <v>0.97609999999999997</v>
      </c>
      <c r="X351" t="s">
        <v>1107</v>
      </c>
      <c r="Y351" t="str">
        <f>VLOOKUP(X351,Sheet1!A:B,2,FALSE)</f>
        <v>Quercus alba L.</v>
      </c>
      <c r="Z351" t="s">
        <v>1386</v>
      </c>
      <c r="AB351" s="1">
        <f t="shared" si="37"/>
        <v>0.97609999999999997</v>
      </c>
      <c r="AD351">
        <f>IF(W351&lt;0.99,LARGE((N351:R351,U351,V351),2),"0")</f>
        <v>2.3810000000000001E-2</v>
      </c>
      <c r="AE351" t="str">
        <f t="shared" si="38"/>
        <v xml:space="preserve">trace admixed with </v>
      </c>
      <c r="AH351" t="str">
        <f t="shared" si="34"/>
        <v xml:space="preserve">Based on ADMIXTURE results of 78,187 SNPs, trace admixed with </v>
      </c>
    </row>
    <row r="352" spans="1:34" x14ac:dyDescent="0.4">
      <c r="A352">
        <v>244</v>
      </c>
      <c r="B352" t="s">
        <v>479</v>
      </c>
      <c r="C352" t="s">
        <v>21</v>
      </c>
      <c r="D352" t="s">
        <v>21</v>
      </c>
      <c r="E352" t="s">
        <v>21</v>
      </c>
      <c r="F352" t="s">
        <v>22</v>
      </c>
      <c r="G352" t="s">
        <v>21</v>
      </c>
      <c r="H352" t="s">
        <v>21</v>
      </c>
      <c r="I352" t="s">
        <v>21</v>
      </c>
      <c r="J352">
        <v>1</v>
      </c>
      <c r="K352">
        <v>0</v>
      </c>
      <c r="L352" t="s">
        <v>23</v>
      </c>
      <c r="M352" t="str">
        <f t="shared" si="35"/>
        <v>&gt;0.74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2.58E-2</v>
      </c>
      <c r="T352">
        <v>0.97409999999999997</v>
      </c>
      <c r="U352">
        <v>0</v>
      </c>
      <c r="V352">
        <v>0.99994000000000005</v>
      </c>
      <c r="W352" s="1">
        <f t="shared" si="36"/>
        <v>0.99994000000000005</v>
      </c>
      <c r="X352" t="s">
        <v>480</v>
      </c>
      <c r="Y352" t="str">
        <f>VLOOKUP(X352,Sheet1!A:B,2,FALSE)</f>
        <v>Quercus macrocarpa Michx.</v>
      </c>
      <c r="Z352" t="s">
        <v>1384</v>
      </c>
      <c r="AB352" s="1">
        <f t="shared" si="37"/>
        <v>0.99994000000000005</v>
      </c>
      <c r="AD352" t="str">
        <f>IF(W352&lt;0.99,LARGE((N352:R352,U352,V352),2),"0")</f>
        <v>0</v>
      </c>
      <c r="AE352" t="str">
        <f t="shared" si="38"/>
        <v/>
      </c>
      <c r="AH352" t="str">
        <f t="shared" si="34"/>
        <v xml:space="preserve">Based on ADMIXTURE results of 78,187 SNPs, </v>
      </c>
    </row>
    <row r="353" spans="1:34" x14ac:dyDescent="0.4">
      <c r="A353">
        <v>245</v>
      </c>
      <c r="B353" t="s">
        <v>481</v>
      </c>
      <c r="C353" t="s">
        <v>21</v>
      </c>
      <c r="D353" t="s">
        <v>21</v>
      </c>
      <c r="E353" t="s">
        <v>21</v>
      </c>
      <c r="F353" t="s">
        <v>22</v>
      </c>
      <c r="G353" t="s">
        <v>21</v>
      </c>
      <c r="H353" t="s">
        <v>21</v>
      </c>
      <c r="I353" t="s">
        <v>21</v>
      </c>
      <c r="J353">
        <v>1</v>
      </c>
      <c r="K353">
        <v>0</v>
      </c>
      <c r="L353" t="s">
        <v>23</v>
      </c>
      <c r="M353" t="str">
        <f t="shared" si="35"/>
        <v>&gt;0.74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0.99990000000000001</v>
      </c>
      <c r="U353">
        <v>0</v>
      </c>
      <c r="V353">
        <v>0.99994000000000005</v>
      </c>
      <c r="W353" s="1">
        <f t="shared" si="36"/>
        <v>0.99994000000000005</v>
      </c>
      <c r="X353" t="s">
        <v>482</v>
      </c>
      <c r="Y353" t="str">
        <f>VLOOKUP(X353,Sheet1!A:B,2,FALSE)</f>
        <v>Quercus macrocarpa Michx.</v>
      </c>
      <c r="Z353" t="s">
        <v>1384</v>
      </c>
      <c r="AB353" s="1">
        <f t="shared" si="37"/>
        <v>0.99994000000000005</v>
      </c>
      <c r="AD353" t="str">
        <f>IF(W353&lt;0.99,LARGE((N353:R353,U353,V353),2),"0")</f>
        <v>0</v>
      </c>
      <c r="AE353" t="str">
        <f t="shared" si="38"/>
        <v/>
      </c>
      <c r="AH353" t="str">
        <f t="shared" si="34"/>
        <v xml:space="preserve">Based on ADMIXTURE results of 78,187 SNPs, </v>
      </c>
    </row>
    <row r="354" spans="1:34" x14ac:dyDescent="0.4">
      <c r="A354">
        <v>246</v>
      </c>
      <c r="B354" t="s">
        <v>483</v>
      </c>
      <c r="C354" t="s">
        <v>21</v>
      </c>
      <c r="D354" t="s">
        <v>21</v>
      </c>
      <c r="E354" t="s">
        <v>21</v>
      </c>
      <c r="F354" t="s">
        <v>22</v>
      </c>
      <c r="G354" t="s">
        <v>21</v>
      </c>
      <c r="H354" t="s">
        <v>21</v>
      </c>
      <c r="I354" t="s">
        <v>21</v>
      </c>
      <c r="J354">
        <v>1</v>
      </c>
      <c r="K354">
        <v>0</v>
      </c>
      <c r="L354" t="s">
        <v>23</v>
      </c>
      <c r="M354" t="str">
        <f t="shared" si="35"/>
        <v>&gt;0.74</v>
      </c>
      <c r="N354">
        <v>0</v>
      </c>
      <c r="O354">
        <v>0</v>
      </c>
      <c r="P354">
        <v>0</v>
      </c>
      <c r="Q354">
        <v>0</v>
      </c>
      <c r="R354">
        <v>4.1999999999999997E-3</v>
      </c>
      <c r="S354">
        <v>0</v>
      </c>
      <c r="T354">
        <v>0.99580000000000002</v>
      </c>
      <c r="U354">
        <v>0</v>
      </c>
      <c r="V354">
        <v>0.99578500000000003</v>
      </c>
      <c r="W354" s="1">
        <f t="shared" si="36"/>
        <v>0.99578500000000003</v>
      </c>
      <c r="X354" t="s">
        <v>484</v>
      </c>
      <c r="Y354" t="str">
        <f>VLOOKUP(X354,Sheet1!A:B,2,FALSE)</f>
        <v>Quercus macrocarpa Michx.</v>
      </c>
      <c r="Z354" t="s">
        <v>1384</v>
      </c>
      <c r="AB354" s="1">
        <f t="shared" si="37"/>
        <v>0.99578500000000003</v>
      </c>
      <c r="AD354" t="str">
        <f>IF(W354&lt;0.99,LARGE((N354:R354,U354,V354),2),"0")</f>
        <v>0</v>
      </c>
      <c r="AE354" t="str">
        <f t="shared" si="38"/>
        <v/>
      </c>
      <c r="AH354" t="str">
        <f t="shared" si="34"/>
        <v xml:space="preserve">Based on ADMIXTURE results of 78,187 SNPs, </v>
      </c>
    </row>
    <row r="355" spans="1:34" x14ac:dyDescent="0.4">
      <c r="A355">
        <v>247</v>
      </c>
      <c r="B355" t="s">
        <v>485</v>
      </c>
      <c r="C355" t="s">
        <v>22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>
        <v>1</v>
      </c>
      <c r="K355">
        <v>0</v>
      </c>
      <c r="L355" t="s">
        <v>23</v>
      </c>
      <c r="M355" t="str">
        <f t="shared" si="35"/>
        <v>&gt;0.74</v>
      </c>
      <c r="N355">
        <v>0</v>
      </c>
      <c r="O355">
        <v>0</v>
      </c>
      <c r="P355">
        <v>0.99990000000000001</v>
      </c>
      <c r="Q355">
        <v>0</v>
      </c>
      <c r="R355">
        <v>0</v>
      </c>
      <c r="S355">
        <v>0</v>
      </c>
      <c r="T355">
        <v>0</v>
      </c>
      <c r="U355">
        <v>0</v>
      </c>
      <c r="V355" s="1">
        <v>2.0000000000000002E-5</v>
      </c>
      <c r="W355" s="1">
        <f t="shared" si="36"/>
        <v>0.99990000000000001</v>
      </c>
      <c r="X355" t="s">
        <v>486</v>
      </c>
      <c r="Y355" t="str">
        <f>VLOOKUP(X355,Sheet1!A:B,2,FALSE)</f>
        <v>Quercus alba L.</v>
      </c>
      <c r="Z355" t="s">
        <v>1386</v>
      </c>
      <c r="AB355" s="1">
        <f t="shared" si="37"/>
        <v>0.99990000000000001</v>
      </c>
      <c r="AD355" t="str">
        <f>IF(W355&lt;0.99,LARGE((N355:R355,U355,V355),2),"0")</f>
        <v>0</v>
      </c>
      <c r="AE355" t="str">
        <f t="shared" si="38"/>
        <v/>
      </c>
      <c r="AH355" t="str">
        <f t="shared" si="34"/>
        <v xml:space="preserve">Based on ADMIXTURE results of 78,187 SNPs, </v>
      </c>
    </row>
    <row r="356" spans="1:34" x14ac:dyDescent="0.4">
      <c r="A356">
        <v>248</v>
      </c>
      <c r="B356" t="s">
        <v>487</v>
      </c>
      <c r="C356" t="s">
        <v>21</v>
      </c>
      <c r="D356" t="s">
        <v>21</v>
      </c>
      <c r="E356" t="s">
        <v>21</v>
      </c>
      <c r="F356" t="s">
        <v>22</v>
      </c>
      <c r="G356" t="s">
        <v>21</v>
      </c>
      <c r="H356" t="s">
        <v>21</v>
      </c>
      <c r="I356" t="s">
        <v>21</v>
      </c>
      <c r="J356">
        <v>1</v>
      </c>
      <c r="K356">
        <v>0</v>
      </c>
      <c r="L356" t="s">
        <v>23</v>
      </c>
      <c r="M356" t="str">
        <f t="shared" si="35"/>
        <v>&gt;0.74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7.7999999999999996E-3</v>
      </c>
      <c r="T356">
        <v>0.99209999999999998</v>
      </c>
      <c r="U356">
        <v>0</v>
      </c>
      <c r="V356">
        <v>0.99994000000000005</v>
      </c>
      <c r="W356" s="1">
        <f t="shared" si="36"/>
        <v>0.99994000000000005</v>
      </c>
      <c r="X356" t="s">
        <v>488</v>
      </c>
      <c r="Y356" t="str">
        <f>VLOOKUP(X356,Sheet1!A:B,2,FALSE)</f>
        <v>Quercus macrocarpa Michx.</v>
      </c>
      <c r="Z356" t="s">
        <v>1384</v>
      </c>
      <c r="AB356" s="1">
        <f t="shared" si="37"/>
        <v>0.99994000000000005</v>
      </c>
      <c r="AD356" t="str">
        <f>IF(W356&lt;0.99,LARGE((N356:R356,U356,V356),2),"0")</f>
        <v>0</v>
      </c>
      <c r="AE356" t="str">
        <f t="shared" si="38"/>
        <v/>
      </c>
      <c r="AH356" t="str">
        <f t="shared" si="34"/>
        <v xml:space="preserve">Based on ADMIXTURE results of 78,187 SNPs, </v>
      </c>
    </row>
    <row r="357" spans="1:34" x14ac:dyDescent="0.4">
      <c r="A357">
        <v>249</v>
      </c>
      <c r="B357" t="s">
        <v>489</v>
      </c>
      <c r="C357" t="s">
        <v>21</v>
      </c>
      <c r="D357" t="s">
        <v>21</v>
      </c>
      <c r="E357" t="s">
        <v>21</v>
      </c>
      <c r="F357" t="s">
        <v>22</v>
      </c>
      <c r="G357" t="s">
        <v>21</v>
      </c>
      <c r="H357" t="s">
        <v>21</v>
      </c>
      <c r="I357" t="s">
        <v>21</v>
      </c>
      <c r="J357">
        <v>1</v>
      </c>
      <c r="K357">
        <v>0</v>
      </c>
      <c r="L357" t="s">
        <v>23</v>
      </c>
      <c r="M357" t="str">
        <f t="shared" si="35"/>
        <v>&gt;0.74</v>
      </c>
      <c r="N357">
        <v>0</v>
      </c>
      <c r="O357">
        <v>5.0000000000000001E-3</v>
      </c>
      <c r="P357">
        <v>0</v>
      </c>
      <c r="Q357">
        <v>0</v>
      </c>
      <c r="R357">
        <v>0</v>
      </c>
      <c r="S357">
        <v>0</v>
      </c>
      <c r="T357">
        <v>0.99490000000000001</v>
      </c>
      <c r="U357">
        <v>0</v>
      </c>
      <c r="V357">
        <v>0.994919</v>
      </c>
      <c r="W357" s="1">
        <f t="shared" si="36"/>
        <v>0.994919</v>
      </c>
      <c r="X357" t="s">
        <v>490</v>
      </c>
      <c r="Y357" t="str">
        <f>VLOOKUP(X357,Sheet1!A:B,2,FALSE)</f>
        <v>Quercus macrocarpa Michx.</v>
      </c>
      <c r="Z357" t="s">
        <v>1384</v>
      </c>
      <c r="AB357" s="1">
        <f t="shared" si="37"/>
        <v>0.994919</v>
      </c>
      <c r="AD357" t="str">
        <f>IF(W357&lt;0.99,LARGE((N357:R357,U357,V357),2),"0")</f>
        <v>0</v>
      </c>
      <c r="AE357" t="str">
        <f t="shared" si="38"/>
        <v/>
      </c>
      <c r="AH357" t="str">
        <f t="shared" si="34"/>
        <v xml:space="preserve">Based on ADMIXTURE results of 78,187 SNPs, </v>
      </c>
    </row>
    <row r="358" spans="1:34" x14ac:dyDescent="0.4">
      <c r="A358">
        <v>250</v>
      </c>
      <c r="B358" t="s">
        <v>491</v>
      </c>
      <c r="C358" t="s">
        <v>25</v>
      </c>
      <c r="D358" t="s">
        <v>21</v>
      </c>
      <c r="E358" t="s">
        <v>21</v>
      </c>
      <c r="F358" t="s">
        <v>25</v>
      </c>
      <c r="G358" t="s">
        <v>21</v>
      </c>
      <c r="H358" t="s">
        <v>21</v>
      </c>
      <c r="I358" t="s">
        <v>21</v>
      </c>
      <c r="J358">
        <v>0</v>
      </c>
      <c r="K358">
        <v>2</v>
      </c>
      <c r="L358" t="s">
        <v>26</v>
      </c>
      <c r="M358" t="str">
        <f t="shared" si="35"/>
        <v>F1</v>
      </c>
      <c r="N358">
        <v>0</v>
      </c>
      <c r="O358">
        <v>0</v>
      </c>
      <c r="P358">
        <v>0.54239999999999999</v>
      </c>
      <c r="Q358">
        <v>0</v>
      </c>
      <c r="R358">
        <v>0</v>
      </c>
      <c r="S358">
        <v>2.4E-2</v>
      </c>
      <c r="T358">
        <v>0.4335</v>
      </c>
      <c r="U358">
        <v>0</v>
      </c>
      <c r="V358">
        <v>0.45753300000000002</v>
      </c>
      <c r="W358" s="1">
        <f t="shared" si="36"/>
        <v>0.54239999999999999</v>
      </c>
      <c r="X358" s="2" t="s">
        <v>492</v>
      </c>
      <c r="Y358" t="str">
        <f>VLOOKUP(X358,Sheet1!A:B,2,FALSE)</f>
        <v>Quercus alba L.</v>
      </c>
      <c r="Z358" t="s">
        <v>1426</v>
      </c>
      <c r="AB358" s="1">
        <f t="shared" si="37"/>
        <v>0.54239999999999999</v>
      </c>
      <c r="AD358">
        <f>IF(W358&lt;0.99,LARGE((N358:R358,U358,V358),2),"0")</f>
        <v>0.45753300000000002</v>
      </c>
      <c r="AE358" t="str">
        <f>IF(AND(AB358&lt;0.99,AD358&gt;0.1,AB358&gt;0.6),"admixed with",IF(AND(AB358&lt;0.99,AD358&gt;0.01,AD358&lt;0.4),"trace admixed with ",""))</f>
        <v/>
      </c>
      <c r="AH358" t="str">
        <f t="shared" si="34"/>
        <v xml:space="preserve">Based on ADMIXTURE results of 78,187 SNPs, </v>
      </c>
    </row>
    <row r="359" spans="1:34" x14ac:dyDescent="0.4">
      <c r="A359">
        <v>251</v>
      </c>
      <c r="B359" t="s">
        <v>493</v>
      </c>
      <c r="C359" t="s">
        <v>22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>
        <v>1</v>
      </c>
      <c r="K359">
        <v>0</v>
      </c>
      <c r="L359" t="s">
        <v>23</v>
      </c>
      <c r="M359" t="str">
        <f t="shared" si="35"/>
        <v>&gt;0.74</v>
      </c>
      <c r="N359">
        <v>0</v>
      </c>
      <c r="O359">
        <v>0</v>
      </c>
      <c r="P359">
        <v>0.996</v>
      </c>
      <c r="Q359">
        <v>0</v>
      </c>
      <c r="R359">
        <v>0</v>
      </c>
      <c r="S359">
        <v>4.0000000000000001E-3</v>
      </c>
      <c r="T359">
        <v>0</v>
      </c>
      <c r="U359">
        <v>0</v>
      </c>
      <c r="V359">
        <v>3.9760000000000004E-3</v>
      </c>
      <c r="W359" s="1">
        <f t="shared" si="36"/>
        <v>0.996</v>
      </c>
      <c r="X359" t="s">
        <v>494</v>
      </c>
      <c r="Y359" t="str">
        <f>VLOOKUP(X359,Sheet1!A:B,2,FALSE)</f>
        <v>Quercus alba L.</v>
      </c>
      <c r="Z359" t="s">
        <v>1386</v>
      </c>
      <c r="AB359" s="1">
        <f t="shared" si="37"/>
        <v>0.996</v>
      </c>
      <c r="AD359" t="str">
        <f>IF(W359&lt;0.99,LARGE((N359:R359,U359,V359),2),"0")</f>
        <v>0</v>
      </c>
      <c r="AE359" t="str">
        <f t="shared" ref="AE359:AE390" si="39">IF(AND(AB359&lt;0.99,AD359&gt;0.1),"admixed with",IF(AND(AB359&lt;0.99,AD359&gt;0.01),"trace admixed with ",""))</f>
        <v/>
      </c>
      <c r="AH359" t="str">
        <f t="shared" si="34"/>
        <v xml:space="preserve">Based on ADMIXTURE results of 78,187 SNPs, </v>
      </c>
    </row>
    <row r="360" spans="1:34" x14ac:dyDescent="0.4">
      <c r="A360">
        <v>635</v>
      </c>
      <c r="B360" t="s">
        <v>1262</v>
      </c>
      <c r="C360" t="s">
        <v>21</v>
      </c>
      <c r="D360" t="s">
        <v>21</v>
      </c>
      <c r="E360" t="s">
        <v>21</v>
      </c>
      <c r="F360" t="s">
        <v>22</v>
      </c>
      <c r="G360" t="s">
        <v>21</v>
      </c>
      <c r="H360" t="s">
        <v>21</v>
      </c>
      <c r="I360" t="s">
        <v>21</v>
      </c>
      <c r="J360">
        <v>1</v>
      </c>
      <c r="K360">
        <v>0</v>
      </c>
      <c r="L360" t="s">
        <v>23</v>
      </c>
      <c r="M360" t="str">
        <f t="shared" si="35"/>
        <v>&gt;0.74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6.1400000000000003E-2</v>
      </c>
      <c r="T360">
        <v>0.9385</v>
      </c>
      <c r="U360">
        <v>0</v>
      </c>
      <c r="V360">
        <v>0.99993799999999999</v>
      </c>
      <c r="W360" s="1">
        <f t="shared" si="36"/>
        <v>0.99993799999999999</v>
      </c>
      <c r="X360" t="s">
        <v>1263</v>
      </c>
      <c r="Y360" t="str">
        <f>VLOOKUP(X360,Sheet1!A:B,2,FALSE)</f>
        <v>Quercus macrocarpa Michx.</v>
      </c>
      <c r="Z360" t="s">
        <v>1384</v>
      </c>
      <c r="AB360" s="1">
        <f t="shared" si="37"/>
        <v>0.99993799999999999</v>
      </c>
      <c r="AD360" t="str">
        <f>IF(W360&lt;0.99,LARGE((N360:R360,U360,V360),2),"0")</f>
        <v>0</v>
      </c>
      <c r="AE360" t="str">
        <f t="shared" si="39"/>
        <v/>
      </c>
      <c r="AH360" t="str">
        <f t="shared" si="34"/>
        <v xml:space="preserve">Based on ADMIXTURE results of 78,187 SNPs, </v>
      </c>
    </row>
    <row r="361" spans="1:34" x14ac:dyDescent="0.4">
      <c r="A361">
        <v>636</v>
      </c>
      <c r="B361" t="s">
        <v>1264</v>
      </c>
      <c r="C361" t="s">
        <v>21</v>
      </c>
      <c r="D361" t="s">
        <v>21</v>
      </c>
      <c r="E361" t="s">
        <v>21</v>
      </c>
      <c r="F361" t="s">
        <v>22</v>
      </c>
      <c r="G361" t="s">
        <v>21</v>
      </c>
      <c r="H361" t="s">
        <v>21</v>
      </c>
      <c r="I361" t="s">
        <v>21</v>
      </c>
      <c r="J361">
        <v>1</v>
      </c>
      <c r="K361">
        <v>0</v>
      </c>
      <c r="L361" t="s">
        <v>23</v>
      </c>
      <c r="M361" t="str">
        <f t="shared" si="35"/>
        <v>&gt;0.74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0.99990000000000001</v>
      </c>
      <c r="U361">
        <v>0</v>
      </c>
      <c r="V361">
        <v>0.99994000000000005</v>
      </c>
      <c r="W361" s="1">
        <f t="shared" si="36"/>
        <v>0.99994000000000005</v>
      </c>
      <c r="X361" t="s">
        <v>1265</v>
      </c>
      <c r="Y361" t="str">
        <f>VLOOKUP(X361,Sheet1!A:B,2,FALSE)</f>
        <v>Quercus macrocarpa Michx.</v>
      </c>
      <c r="Z361" t="s">
        <v>1384</v>
      </c>
      <c r="AB361" s="1">
        <f t="shared" si="37"/>
        <v>0.99994000000000005</v>
      </c>
      <c r="AD361" t="str">
        <f>IF(W361&lt;0.99,LARGE((N361:R361,U361,V361),2),"0")</f>
        <v>0</v>
      </c>
      <c r="AE361" t="str">
        <f t="shared" si="39"/>
        <v/>
      </c>
      <c r="AH361" t="str">
        <f t="shared" si="34"/>
        <v xml:space="preserve">Based on ADMIXTURE results of 78,187 SNPs, </v>
      </c>
    </row>
    <row r="362" spans="1:34" x14ac:dyDescent="0.4">
      <c r="A362">
        <v>637</v>
      </c>
      <c r="B362" t="s">
        <v>1266</v>
      </c>
      <c r="C362" t="s">
        <v>21</v>
      </c>
      <c r="D362" t="s">
        <v>21</v>
      </c>
      <c r="E362" t="s">
        <v>21</v>
      </c>
      <c r="F362" t="s">
        <v>22</v>
      </c>
      <c r="G362" t="s">
        <v>21</v>
      </c>
      <c r="H362" t="s">
        <v>21</v>
      </c>
      <c r="I362" t="s">
        <v>21</v>
      </c>
      <c r="J362">
        <v>1</v>
      </c>
      <c r="K362">
        <v>0</v>
      </c>
      <c r="L362" t="s">
        <v>23</v>
      </c>
      <c r="M362" t="str">
        <f t="shared" si="35"/>
        <v>&gt;0.74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0.99990000000000001</v>
      </c>
      <c r="U362">
        <v>0</v>
      </c>
      <c r="V362">
        <v>0.99994000000000005</v>
      </c>
      <c r="W362" s="1">
        <f t="shared" si="36"/>
        <v>0.99994000000000005</v>
      </c>
      <c r="X362" t="s">
        <v>1267</v>
      </c>
      <c r="Y362" t="str">
        <f>VLOOKUP(X362,Sheet1!A:B,2,FALSE)</f>
        <v>Quercus macrocarpa Michx.</v>
      </c>
      <c r="Z362" t="s">
        <v>1384</v>
      </c>
      <c r="AB362" s="1">
        <f t="shared" si="37"/>
        <v>0.99994000000000005</v>
      </c>
      <c r="AD362" t="str">
        <f>IF(W362&lt;0.99,LARGE((N362:R362,U362,V362),2),"0")</f>
        <v>0</v>
      </c>
      <c r="AE362" t="str">
        <f t="shared" si="39"/>
        <v/>
      </c>
      <c r="AH362" t="str">
        <f t="shared" si="34"/>
        <v xml:space="preserve">Based on ADMIXTURE results of 78,187 SNPs, </v>
      </c>
    </row>
    <row r="363" spans="1:34" x14ac:dyDescent="0.4">
      <c r="A363">
        <v>638</v>
      </c>
      <c r="B363" t="s">
        <v>1268</v>
      </c>
      <c r="C363" t="s">
        <v>21</v>
      </c>
      <c r="D363" t="s">
        <v>21</v>
      </c>
      <c r="E363" t="s">
        <v>21</v>
      </c>
      <c r="F363" t="s">
        <v>22</v>
      </c>
      <c r="G363" t="s">
        <v>21</v>
      </c>
      <c r="H363" t="s">
        <v>21</v>
      </c>
      <c r="I363" t="s">
        <v>21</v>
      </c>
      <c r="J363">
        <v>1</v>
      </c>
      <c r="K363">
        <v>0</v>
      </c>
      <c r="L363" t="s">
        <v>23</v>
      </c>
      <c r="M363" t="str">
        <f t="shared" si="35"/>
        <v>&gt;0.74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2.4500000000000001E-2</v>
      </c>
      <c r="T363">
        <v>0.97550000000000003</v>
      </c>
      <c r="U363">
        <v>0</v>
      </c>
      <c r="V363">
        <v>0.99994000000000005</v>
      </c>
      <c r="W363" s="1">
        <f t="shared" si="36"/>
        <v>0.99994000000000005</v>
      </c>
      <c r="X363" t="s">
        <v>1269</v>
      </c>
      <c r="Y363" t="str">
        <f>VLOOKUP(X363,Sheet1!A:B,2,FALSE)</f>
        <v>Quercus macrocarpa Michx.</v>
      </c>
      <c r="Z363" t="s">
        <v>1384</v>
      </c>
      <c r="AB363" s="1">
        <f t="shared" si="37"/>
        <v>0.99994000000000005</v>
      </c>
      <c r="AD363" t="str">
        <f>IF(W363&lt;0.99,LARGE((N363:R363,U363,V363),2),"0")</f>
        <v>0</v>
      </c>
      <c r="AE363" t="str">
        <f t="shared" si="39"/>
        <v/>
      </c>
      <c r="AH363" t="str">
        <f t="shared" si="34"/>
        <v xml:space="preserve">Based on ADMIXTURE results of 78,187 SNPs, </v>
      </c>
    </row>
    <row r="364" spans="1:34" x14ac:dyDescent="0.4">
      <c r="A364">
        <v>639</v>
      </c>
      <c r="B364" t="s">
        <v>1270</v>
      </c>
      <c r="C364" t="s">
        <v>21</v>
      </c>
      <c r="D364" t="s">
        <v>21</v>
      </c>
      <c r="E364" t="s">
        <v>21</v>
      </c>
      <c r="F364" t="s">
        <v>22</v>
      </c>
      <c r="G364" t="s">
        <v>21</v>
      </c>
      <c r="H364" t="s">
        <v>21</v>
      </c>
      <c r="I364" t="s">
        <v>21</v>
      </c>
      <c r="J364">
        <v>1</v>
      </c>
      <c r="K364">
        <v>0</v>
      </c>
      <c r="L364" t="s">
        <v>23</v>
      </c>
      <c r="M364" t="str">
        <f t="shared" si="35"/>
        <v>&gt;0.74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0.99990000000000001</v>
      </c>
      <c r="U364">
        <v>0</v>
      </c>
      <c r="V364">
        <v>0.99994000000000005</v>
      </c>
      <c r="W364" s="1">
        <f t="shared" si="36"/>
        <v>0.99994000000000005</v>
      </c>
      <c r="X364" t="s">
        <v>1271</v>
      </c>
      <c r="Y364" t="str">
        <f>VLOOKUP(X364,Sheet1!A:B,2,FALSE)</f>
        <v>Quercus macrocarpa Michx.</v>
      </c>
      <c r="Z364" t="s">
        <v>1384</v>
      </c>
      <c r="AB364" s="1">
        <f t="shared" si="37"/>
        <v>0.99994000000000005</v>
      </c>
      <c r="AD364" t="str">
        <f>IF(W364&lt;0.99,LARGE((N364:R364,U364,V364),2),"0")</f>
        <v>0</v>
      </c>
      <c r="AE364" t="str">
        <f t="shared" si="39"/>
        <v/>
      </c>
      <c r="AH364" t="str">
        <f t="shared" si="34"/>
        <v xml:space="preserve">Based on ADMIXTURE results of 78,187 SNPs, </v>
      </c>
    </row>
    <row r="365" spans="1:34" x14ac:dyDescent="0.4">
      <c r="A365">
        <v>640</v>
      </c>
      <c r="B365" t="s">
        <v>1272</v>
      </c>
      <c r="C365" t="s">
        <v>21</v>
      </c>
      <c r="D365" t="s">
        <v>21</v>
      </c>
      <c r="E365" t="s">
        <v>21</v>
      </c>
      <c r="F365" t="s">
        <v>22</v>
      </c>
      <c r="G365" t="s">
        <v>21</v>
      </c>
      <c r="H365" t="s">
        <v>21</v>
      </c>
      <c r="I365" t="s">
        <v>21</v>
      </c>
      <c r="J365">
        <v>1</v>
      </c>
      <c r="K365">
        <v>0</v>
      </c>
      <c r="L365" t="s">
        <v>23</v>
      </c>
      <c r="M365" t="str">
        <f t="shared" si="35"/>
        <v>&gt;0.74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0.99990000000000001</v>
      </c>
      <c r="U365">
        <v>0</v>
      </c>
      <c r="V365">
        <v>0.99994000000000005</v>
      </c>
      <c r="W365" s="1">
        <f t="shared" si="36"/>
        <v>0.99994000000000005</v>
      </c>
      <c r="X365" t="s">
        <v>1273</v>
      </c>
      <c r="Y365" t="str">
        <f>VLOOKUP(X365,Sheet1!A:B,2,FALSE)</f>
        <v>Quercus macrocarpa Michx.</v>
      </c>
      <c r="Z365" t="s">
        <v>1384</v>
      </c>
      <c r="AB365" s="1">
        <f t="shared" si="37"/>
        <v>0.99994000000000005</v>
      </c>
      <c r="AD365" t="str">
        <f>IF(W365&lt;0.99,LARGE((N365:R365,U365,V365),2),"0")</f>
        <v>0</v>
      </c>
      <c r="AE365" t="str">
        <f t="shared" si="39"/>
        <v/>
      </c>
      <c r="AH365" t="str">
        <f t="shared" si="34"/>
        <v xml:space="preserve">Based on ADMIXTURE results of 78,187 SNPs, </v>
      </c>
    </row>
    <row r="366" spans="1:34" x14ac:dyDescent="0.4">
      <c r="A366">
        <v>641</v>
      </c>
      <c r="B366" t="s">
        <v>1274</v>
      </c>
      <c r="C366" t="s">
        <v>21</v>
      </c>
      <c r="D366" t="s">
        <v>21</v>
      </c>
      <c r="E366" t="s">
        <v>21</v>
      </c>
      <c r="F366" t="s">
        <v>22</v>
      </c>
      <c r="G366" t="s">
        <v>21</v>
      </c>
      <c r="H366" t="s">
        <v>21</v>
      </c>
      <c r="I366" t="s">
        <v>21</v>
      </c>
      <c r="J366">
        <v>1</v>
      </c>
      <c r="K366">
        <v>0</v>
      </c>
      <c r="L366" t="s">
        <v>23</v>
      </c>
      <c r="M366" t="str">
        <f t="shared" si="35"/>
        <v>&gt;0.74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0.99990000000000001</v>
      </c>
      <c r="U366">
        <v>0</v>
      </c>
      <c r="V366">
        <v>0.99994000000000005</v>
      </c>
      <c r="W366" s="1">
        <f t="shared" si="36"/>
        <v>0.99994000000000005</v>
      </c>
      <c r="X366" t="s">
        <v>1275</v>
      </c>
      <c r="Y366" t="str">
        <f>VLOOKUP(X366,Sheet1!A:B,2,FALSE)</f>
        <v>Quercus macrocarpa Michx.</v>
      </c>
      <c r="Z366" t="s">
        <v>1384</v>
      </c>
      <c r="AB366" s="1">
        <f t="shared" si="37"/>
        <v>0.99994000000000005</v>
      </c>
      <c r="AD366" t="str">
        <f>IF(W366&lt;0.99,LARGE((N366:R366,U366,V366),2),"0")</f>
        <v>0</v>
      </c>
      <c r="AE366" t="str">
        <f t="shared" si="39"/>
        <v/>
      </c>
      <c r="AH366" t="str">
        <f t="shared" si="34"/>
        <v xml:space="preserve">Based on ADMIXTURE results of 78,187 SNPs, </v>
      </c>
    </row>
    <row r="367" spans="1:34" x14ac:dyDescent="0.4">
      <c r="A367">
        <v>642</v>
      </c>
      <c r="B367" t="s">
        <v>1276</v>
      </c>
      <c r="C367" t="s">
        <v>21</v>
      </c>
      <c r="D367" t="s">
        <v>21</v>
      </c>
      <c r="E367" t="s">
        <v>21</v>
      </c>
      <c r="F367" t="s">
        <v>22</v>
      </c>
      <c r="G367" t="s">
        <v>21</v>
      </c>
      <c r="H367" t="s">
        <v>21</v>
      </c>
      <c r="I367" t="s">
        <v>21</v>
      </c>
      <c r="J367">
        <v>1</v>
      </c>
      <c r="K367">
        <v>0</v>
      </c>
      <c r="L367" t="s">
        <v>23</v>
      </c>
      <c r="M367" t="str">
        <f t="shared" si="35"/>
        <v>&gt;0.74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0.99990000000000001</v>
      </c>
      <c r="U367">
        <v>0</v>
      </c>
      <c r="V367">
        <v>0.99994000000000005</v>
      </c>
      <c r="W367" s="1">
        <f t="shared" si="36"/>
        <v>0.99994000000000005</v>
      </c>
      <c r="X367" t="s">
        <v>1277</v>
      </c>
      <c r="Y367" t="str">
        <f>VLOOKUP(X367,Sheet1!A:B,2,FALSE)</f>
        <v>Quercus macrocarpa Michx.</v>
      </c>
      <c r="Z367" t="s">
        <v>1384</v>
      </c>
      <c r="AB367" s="1">
        <f t="shared" si="37"/>
        <v>0.99994000000000005</v>
      </c>
      <c r="AD367" t="str">
        <f>IF(W367&lt;0.99,LARGE((N367:R367,U367,V367),2),"0")</f>
        <v>0</v>
      </c>
      <c r="AE367" t="str">
        <f t="shared" si="39"/>
        <v/>
      </c>
      <c r="AH367" t="str">
        <f t="shared" si="34"/>
        <v xml:space="preserve">Based on ADMIXTURE results of 78,187 SNPs, </v>
      </c>
    </row>
    <row r="368" spans="1:34" x14ac:dyDescent="0.4">
      <c r="A368">
        <v>643</v>
      </c>
      <c r="B368" t="s">
        <v>1278</v>
      </c>
      <c r="C368" t="s">
        <v>21</v>
      </c>
      <c r="D368" t="s">
        <v>21</v>
      </c>
      <c r="E368" t="s">
        <v>21</v>
      </c>
      <c r="F368" t="s">
        <v>22</v>
      </c>
      <c r="G368" t="s">
        <v>21</v>
      </c>
      <c r="H368" t="s">
        <v>21</v>
      </c>
      <c r="I368" t="s">
        <v>21</v>
      </c>
      <c r="J368">
        <v>1</v>
      </c>
      <c r="K368">
        <v>0</v>
      </c>
      <c r="L368" t="s">
        <v>23</v>
      </c>
      <c r="M368" t="str">
        <f t="shared" si="35"/>
        <v>&gt;0.74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0.99990000000000001</v>
      </c>
      <c r="U368">
        <v>0</v>
      </c>
      <c r="V368">
        <v>0.99994000000000005</v>
      </c>
      <c r="W368" s="1">
        <f t="shared" si="36"/>
        <v>0.99994000000000005</v>
      </c>
      <c r="X368" t="s">
        <v>1279</v>
      </c>
      <c r="Y368" t="str">
        <f>VLOOKUP(X368,Sheet1!A:B,2,FALSE)</f>
        <v>Quercus macrocarpa Michx.</v>
      </c>
      <c r="Z368" t="s">
        <v>1384</v>
      </c>
      <c r="AB368" s="1">
        <f t="shared" si="37"/>
        <v>0.99994000000000005</v>
      </c>
      <c r="AD368" t="str">
        <f>IF(W368&lt;0.99,LARGE((N368:R368,U368,V368),2),"0")</f>
        <v>0</v>
      </c>
      <c r="AE368" t="str">
        <f t="shared" si="39"/>
        <v/>
      </c>
      <c r="AH368" t="str">
        <f t="shared" si="34"/>
        <v xml:space="preserve">Based on ADMIXTURE results of 78,187 SNPs, </v>
      </c>
    </row>
    <row r="369" spans="1:34" x14ac:dyDescent="0.4">
      <c r="A369">
        <v>644</v>
      </c>
      <c r="B369" t="s">
        <v>1280</v>
      </c>
      <c r="C369" t="s">
        <v>21</v>
      </c>
      <c r="D369" t="s">
        <v>21</v>
      </c>
      <c r="E369" t="s">
        <v>21</v>
      </c>
      <c r="F369" t="s">
        <v>22</v>
      </c>
      <c r="G369" t="s">
        <v>21</v>
      </c>
      <c r="H369" t="s">
        <v>21</v>
      </c>
      <c r="I369" t="s">
        <v>21</v>
      </c>
      <c r="J369">
        <v>1</v>
      </c>
      <c r="K369">
        <v>0</v>
      </c>
      <c r="L369" t="s">
        <v>23</v>
      </c>
      <c r="M369" t="str">
        <f t="shared" si="35"/>
        <v>&gt;0.74</v>
      </c>
      <c r="N369">
        <v>0</v>
      </c>
      <c r="O369">
        <v>0</v>
      </c>
      <c r="P369">
        <v>0</v>
      </c>
      <c r="Q369">
        <v>5.4000000000000003E-3</v>
      </c>
      <c r="R369">
        <v>1.8100000000000002E-2</v>
      </c>
      <c r="S369">
        <v>1.5100000000000001E-2</v>
      </c>
      <c r="T369">
        <v>0.96140000000000003</v>
      </c>
      <c r="U369">
        <v>0</v>
      </c>
      <c r="V369">
        <v>0.97646699999999997</v>
      </c>
      <c r="W369" s="1">
        <f t="shared" si="36"/>
        <v>0.97646699999999997</v>
      </c>
      <c r="X369" t="s">
        <v>1281</v>
      </c>
      <c r="Y369" t="str">
        <f>VLOOKUP(X369,Sheet1!A:B,2,FALSE)</f>
        <v>Quercus macrocarpa Michx.</v>
      </c>
      <c r="Z369" t="s">
        <v>1384</v>
      </c>
      <c r="AB369" s="1">
        <f t="shared" si="37"/>
        <v>0.97646699999999997</v>
      </c>
      <c r="AD369">
        <f>IF(W369&lt;0.99,LARGE((N369:R369,U369,V369),2),"0")</f>
        <v>1.8100000000000002E-2</v>
      </c>
      <c r="AE369" t="str">
        <f t="shared" si="39"/>
        <v xml:space="preserve">trace admixed with </v>
      </c>
      <c r="AH369" t="str">
        <f t="shared" si="34"/>
        <v xml:space="preserve">Based on ADMIXTURE results of 78,187 SNPs, trace admixed with </v>
      </c>
    </row>
    <row r="370" spans="1:34" x14ac:dyDescent="0.4">
      <c r="A370">
        <v>645</v>
      </c>
      <c r="B370" t="s">
        <v>1282</v>
      </c>
      <c r="C370" t="s">
        <v>21</v>
      </c>
      <c r="D370" t="s">
        <v>21</v>
      </c>
      <c r="E370" t="s">
        <v>21</v>
      </c>
      <c r="F370" t="s">
        <v>22</v>
      </c>
      <c r="G370" t="s">
        <v>21</v>
      </c>
      <c r="H370" t="s">
        <v>21</v>
      </c>
      <c r="I370" t="s">
        <v>21</v>
      </c>
      <c r="J370">
        <v>1</v>
      </c>
      <c r="K370">
        <v>0</v>
      </c>
      <c r="L370" t="s">
        <v>23</v>
      </c>
      <c r="M370" t="str">
        <f t="shared" si="35"/>
        <v>&gt;0.74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3.1699999999999999E-2</v>
      </c>
      <c r="T370">
        <v>0.96830000000000005</v>
      </c>
      <c r="U370">
        <v>0</v>
      </c>
      <c r="V370">
        <v>0.99994000000000005</v>
      </c>
      <c r="W370" s="1">
        <f t="shared" si="36"/>
        <v>0.99994000000000005</v>
      </c>
      <c r="X370" t="s">
        <v>1283</v>
      </c>
      <c r="Y370" t="str">
        <f>VLOOKUP(X370,Sheet1!A:B,2,FALSE)</f>
        <v>Quercus macrocarpa Michx.</v>
      </c>
      <c r="Z370" t="s">
        <v>1384</v>
      </c>
      <c r="AB370" s="1">
        <f t="shared" si="37"/>
        <v>0.99994000000000005</v>
      </c>
      <c r="AD370" t="str">
        <f>IF(W370&lt;0.99,LARGE((N370:R370,U370,V370),2),"0")</f>
        <v>0</v>
      </c>
      <c r="AE370" t="str">
        <f t="shared" si="39"/>
        <v/>
      </c>
      <c r="AH370" t="str">
        <f t="shared" si="34"/>
        <v xml:space="preserve">Based on ADMIXTURE results of 78,187 SNPs, </v>
      </c>
    </row>
    <row r="371" spans="1:34" x14ac:dyDescent="0.4">
      <c r="A371">
        <v>646</v>
      </c>
      <c r="B371" t="s">
        <v>1284</v>
      </c>
      <c r="C371" t="s">
        <v>21</v>
      </c>
      <c r="D371" t="s">
        <v>21</v>
      </c>
      <c r="E371" t="s">
        <v>21</v>
      </c>
      <c r="F371" t="s">
        <v>22</v>
      </c>
      <c r="G371" t="s">
        <v>21</v>
      </c>
      <c r="H371" t="s">
        <v>21</v>
      </c>
      <c r="I371" t="s">
        <v>21</v>
      </c>
      <c r="J371">
        <v>1</v>
      </c>
      <c r="K371">
        <v>0</v>
      </c>
      <c r="L371" t="s">
        <v>23</v>
      </c>
      <c r="M371" t="str">
        <f t="shared" si="35"/>
        <v>&gt;0.74</v>
      </c>
      <c r="N371">
        <v>0</v>
      </c>
      <c r="O371">
        <v>4.1999999999999997E-3</v>
      </c>
      <c r="P371">
        <v>0</v>
      </c>
      <c r="Q371">
        <v>0</v>
      </c>
      <c r="R371">
        <v>0</v>
      </c>
      <c r="S371">
        <v>1.4800000000000001E-2</v>
      </c>
      <c r="T371">
        <v>0.98089999999999999</v>
      </c>
      <c r="U371">
        <v>0</v>
      </c>
      <c r="V371">
        <v>0.99570700000000001</v>
      </c>
      <c r="W371" s="1">
        <f t="shared" si="36"/>
        <v>0.99570700000000001</v>
      </c>
      <c r="X371" t="s">
        <v>1285</v>
      </c>
      <c r="Y371" t="str">
        <f>VLOOKUP(X371,Sheet1!A:B,2,FALSE)</f>
        <v>Quercus macrocarpa Michx.</v>
      </c>
      <c r="Z371" t="s">
        <v>1384</v>
      </c>
      <c r="AB371" s="1">
        <f t="shared" si="37"/>
        <v>0.99570700000000001</v>
      </c>
      <c r="AD371" t="str">
        <f>IF(W371&lt;0.99,LARGE((N371:R371,U371,V371),2),"0")</f>
        <v>0</v>
      </c>
      <c r="AE371" t="str">
        <f t="shared" si="39"/>
        <v/>
      </c>
      <c r="AH371" t="str">
        <f t="shared" si="34"/>
        <v xml:space="preserve">Based on ADMIXTURE results of 78,187 SNPs, </v>
      </c>
    </row>
    <row r="372" spans="1:34" x14ac:dyDescent="0.4">
      <c r="A372">
        <v>647</v>
      </c>
      <c r="B372" t="s">
        <v>1286</v>
      </c>
      <c r="C372" t="s">
        <v>21</v>
      </c>
      <c r="D372" t="s">
        <v>21</v>
      </c>
      <c r="E372" t="s">
        <v>21</v>
      </c>
      <c r="F372" t="s">
        <v>22</v>
      </c>
      <c r="G372" t="s">
        <v>21</v>
      </c>
      <c r="H372" t="s">
        <v>21</v>
      </c>
      <c r="I372" t="s">
        <v>21</v>
      </c>
      <c r="J372">
        <v>1</v>
      </c>
      <c r="K372">
        <v>0</v>
      </c>
      <c r="L372" t="s">
        <v>23</v>
      </c>
      <c r="M372" t="str">
        <f t="shared" si="35"/>
        <v>&gt;0.74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3.4000000000000002E-2</v>
      </c>
      <c r="T372">
        <v>0.96589999999999998</v>
      </c>
      <c r="U372">
        <v>0</v>
      </c>
      <c r="V372">
        <v>0.99994000000000005</v>
      </c>
      <c r="W372" s="1">
        <f t="shared" si="36"/>
        <v>0.99994000000000005</v>
      </c>
      <c r="X372" t="s">
        <v>1287</v>
      </c>
      <c r="Y372" t="str">
        <f>VLOOKUP(X372,Sheet1!A:B,2,FALSE)</f>
        <v>Quercus macrocarpa Michx.</v>
      </c>
      <c r="Z372" t="s">
        <v>1384</v>
      </c>
      <c r="AB372" s="1">
        <f t="shared" si="37"/>
        <v>0.99994000000000005</v>
      </c>
      <c r="AD372" t="str">
        <f>IF(W372&lt;0.99,LARGE((N372:R372,U372,V372),2),"0")</f>
        <v>0</v>
      </c>
      <c r="AE372" t="str">
        <f t="shared" si="39"/>
        <v/>
      </c>
      <c r="AH372" t="str">
        <f t="shared" si="34"/>
        <v xml:space="preserve">Based on ADMIXTURE results of 78,187 SNPs, </v>
      </c>
    </row>
    <row r="373" spans="1:34" x14ac:dyDescent="0.4">
      <c r="A373">
        <v>648</v>
      </c>
      <c r="B373" t="s">
        <v>1288</v>
      </c>
      <c r="C373" t="s">
        <v>21</v>
      </c>
      <c r="D373" t="s">
        <v>21</v>
      </c>
      <c r="E373" t="s">
        <v>21</v>
      </c>
      <c r="F373" t="s">
        <v>22</v>
      </c>
      <c r="G373" t="s">
        <v>21</v>
      </c>
      <c r="H373" t="s">
        <v>21</v>
      </c>
      <c r="I373" t="s">
        <v>21</v>
      </c>
      <c r="J373">
        <v>1</v>
      </c>
      <c r="K373">
        <v>0</v>
      </c>
      <c r="L373" t="s">
        <v>23</v>
      </c>
      <c r="M373" t="str">
        <f t="shared" si="35"/>
        <v>&gt;0.74</v>
      </c>
      <c r="N373">
        <v>0</v>
      </c>
      <c r="O373" s="1">
        <v>4.0000000000000002E-4</v>
      </c>
      <c r="P373">
        <v>0</v>
      </c>
      <c r="Q373">
        <v>0</v>
      </c>
      <c r="R373">
        <v>0</v>
      </c>
      <c r="S373">
        <v>0</v>
      </c>
      <c r="T373">
        <v>0.99950000000000006</v>
      </c>
      <c r="U373">
        <v>0</v>
      </c>
      <c r="V373">
        <v>0.99954200000000004</v>
      </c>
      <c r="W373" s="1">
        <f t="shared" si="36"/>
        <v>0.99954200000000004</v>
      </c>
      <c r="X373" t="s">
        <v>1289</v>
      </c>
      <c r="Y373" t="str">
        <f>VLOOKUP(X373,Sheet1!A:B,2,FALSE)</f>
        <v>Quercus macrocarpa Michx.</v>
      </c>
      <c r="Z373" t="s">
        <v>1384</v>
      </c>
      <c r="AB373" s="1">
        <f t="shared" si="37"/>
        <v>0.99954200000000004</v>
      </c>
      <c r="AD373" t="str">
        <f>IF(W373&lt;0.99,LARGE((N373:R373,U373,V373),2),"0")</f>
        <v>0</v>
      </c>
      <c r="AE373" t="str">
        <f t="shared" si="39"/>
        <v/>
      </c>
      <c r="AH373" t="str">
        <f t="shared" si="34"/>
        <v xml:space="preserve">Based on ADMIXTURE results of 78,187 SNPs, </v>
      </c>
    </row>
    <row r="374" spans="1:34" x14ac:dyDescent="0.4">
      <c r="A374">
        <v>649</v>
      </c>
      <c r="B374" t="s">
        <v>1290</v>
      </c>
      <c r="C374" t="s">
        <v>21</v>
      </c>
      <c r="D374" t="s">
        <v>21</v>
      </c>
      <c r="E374" t="s">
        <v>21</v>
      </c>
      <c r="F374" t="s">
        <v>22</v>
      </c>
      <c r="G374" t="s">
        <v>21</v>
      </c>
      <c r="H374" t="s">
        <v>21</v>
      </c>
      <c r="I374" t="s">
        <v>21</v>
      </c>
      <c r="J374">
        <v>1</v>
      </c>
      <c r="K374">
        <v>0</v>
      </c>
      <c r="L374" t="s">
        <v>23</v>
      </c>
      <c r="M374" t="str">
        <f t="shared" si="35"/>
        <v>&gt;0.74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1.17E-2</v>
      </c>
      <c r="T374">
        <v>0.98829999999999996</v>
      </c>
      <c r="U374">
        <v>0</v>
      </c>
      <c r="V374">
        <v>0.99994000000000005</v>
      </c>
      <c r="W374" s="1">
        <f t="shared" si="36"/>
        <v>0.99994000000000005</v>
      </c>
      <c r="X374" t="s">
        <v>1291</v>
      </c>
      <c r="Y374" t="str">
        <f>VLOOKUP(X374,Sheet1!A:B,2,FALSE)</f>
        <v>Quercus macrocarpa Michx.</v>
      </c>
      <c r="Z374" t="s">
        <v>1384</v>
      </c>
      <c r="AB374" s="1">
        <f t="shared" si="37"/>
        <v>0.99994000000000005</v>
      </c>
      <c r="AD374" t="str">
        <f>IF(W374&lt;0.99,LARGE((N374:R374,U374,V374),2),"0")</f>
        <v>0</v>
      </c>
      <c r="AE374" t="str">
        <f t="shared" si="39"/>
        <v/>
      </c>
      <c r="AH374" t="str">
        <f t="shared" si="34"/>
        <v xml:space="preserve">Based on ADMIXTURE results of 78,187 SNPs, </v>
      </c>
    </row>
    <row r="375" spans="1:34" x14ac:dyDescent="0.4">
      <c r="A375">
        <v>650</v>
      </c>
      <c r="B375" t="s">
        <v>1292</v>
      </c>
      <c r="C375" t="s">
        <v>21</v>
      </c>
      <c r="D375" t="s">
        <v>21</v>
      </c>
      <c r="E375" t="s">
        <v>21</v>
      </c>
      <c r="F375" t="s">
        <v>22</v>
      </c>
      <c r="G375" t="s">
        <v>21</v>
      </c>
      <c r="H375" t="s">
        <v>21</v>
      </c>
      <c r="I375" t="s">
        <v>21</v>
      </c>
      <c r="J375">
        <v>1</v>
      </c>
      <c r="K375">
        <v>0</v>
      </c>
      <c r="L375" t="s">
        <v>23</v>
      </c>
      <c r="M375" t="str">
        <f t="shared" si="35"/>
        <v>&gt;0.74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0.99990000000000001</v>
      </c>
      <c r="U375">
        <v>0</v>
      </c>
      <c r="V375">
        <v>0.99994000000000005</v>
      </c>
      <c r="W375" s="1">
        <f t="shared" si="36"/>
        <v>0.99994000000000005</v>
      </c>
      <c r="X375" t="s">
        <v>1293</v>
      </c>
      <c r="Y375" t="str">
        <f>VLOOKUP(X375,Sheet1!A:B,2,FALSE)</f>
        <v>Quercus macrocarpa Michx.</v>
      </c>
      <c r="Z375" t="s">
        <v>1384</v>
      </c>
      <c r="AB375" s="1">
        <f t="shared" si="37"/>
        <v>0.99994000000000005</v>
      </c>
      <c r="AD375" t="str">
        <f>IF(W375&lt;0.99,LARGE((N375:R375,U375,V375),2),"0")</f>
        <v>0</v>
      </c>
      <c r="AE375" t="str">
        <f t="shared" si="39"/>
        <v/>
      </c>
      <c r="AH375" t="str">
        <f t="shared" si="34"/>
        <v xml:space="preserve">Based on ADMIXTURE results of 78,187 SNPs, </v>
      </c>
    </row>
    <row r="376" spans="1:34" x14ac:dyDescent="0.4">
      <c r="A376">
        <v>651</v>
      </c>
      <c r="B376" t="s">
        <v>1294</v>
      </c>
      <c r="C376" t="s">
        <v>21</v>
      </c>
      <c r="D376" t="s">
        <v>21</v>
      </c>
      <c r="E376" t="s">
        <v>21</v>
      </c>
      <c r="F376" t="s">
        <v>22</v>
      </c>
      <c r="G376" t="s">
        <v>21</v>
      </c>
      <c r="H376" t="s">
        <v>21</v>
      </c>
      <c r="I376" t="s">
        <v>21</v>
      </c>
      <c r="J376">
        <v>1</v>
      </c>
      <c r="K376">
        <v>0</v>
      </c>
      <c r="L376" t="s">
        <v>23</v>
      </c>
      <c r="M376" t="str">
        <f t="shared" si="35"/>
        <v>&gt;0.74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0.99990000000000001</v>
      </c>
      <c r="U376">
        <v>0</v>
      </c>
      <c r="V376">
        <v>0.99993600000000005</v>
      </c>
      <c r="W376" s="1">
        <f t="shared" si="36"/>
        <v>0.99993600000000005</v>
      </c>
      <c r="X376" t="s">
        <v>1295</v>
      </c>
      <c r="Y376" t="str">
        <f>VLOOKUP(X376,Sheet1!A:B,2,FALSE)</f>
        <v>Quercus macrocarpa Michx.</v>
      </c>
      <c r="Z376" t="s">
        <v>1384</v>
      </c>
      <c r="AB376" s="1">
        <f t="shared" si="37"/>
        <v>0.99993600000000005</v>
      </c>
      <c r="AD376" t="str">
        <f>IF(W376&lt;0.99,LARGE((N376:R376,U376,V376),2),"0")</f>
        <v>0</v>
      </c>
      <c r="AE376" t="str">
        <f t="shared" si="39"/>
        <v/>
      </c>
      <c r="AH376" t="str">
        <f t="shared" si="34"/>
        <v xml:space="preserve">Based on ADMIXTURE results of 78,187 SNPs, </v>
      </c>
    </row>
    <row r="377" spans="1:34" x14ac:dyDescent="0.4">
      <c r="A377">
        <v>652</v>
      </c>
      <c r="B377" t="s">
        <v>1296</v>
      </c>
      <c r="C377" t="s">
        <v>21</v>
      </c>
      <c r="D377" t="s">
        <v>21</v>
      </c>
      <c r="E377" t="s">
        <v>21</v>
      </c>
      <c r="F377" t="s">
        <v>22</v>
      </c>
      <c r="G377" t="s">
        <v>21</v>
      </c>
      <c r="H377" t="s">
        <v>21</v>
      </c>
      <c r="I377" t="s">
        <v>21</v>
      </c>
      <c r="J377">
        <v>1</v>
      </c>
      <c r="K377">
        <v>0</v>
      </c>
      <c r="L377" t="s">
        <v>23</v>
      </c>
      <c r="M377" t="str">
        <f t="shared" si="35"/>
        <v>&gt;0.74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0.99990000000000001</v>
      </c>
      <c r="U377">
        <v>0</v>
      </c>
      <c r="V377">
        <v>0.99994000000000005</v>
      </c>
      <c r="W377" s="1">
        <f t="shared" si="36"/>
        <v>0.99994000000000005</v>
      </c>
      <c r="X377" t="s">
        <v>1297</v>
      </c>
      <c r="Y377" t="str">
        <f>VLOOKUP(X377,Sheet1!A:B,2,FALSE)</f>
        <v>Quercus macrocarpa Michx.</v>
      </c>
      <c r="Z377" t="s">
        <v>1384</v>
      </c>
      <c r="AB377" s="1">
        <f t="shared" si="37"/>
        <v>0.99994000000000005</v>
      </c>
      <c r="AD377" t="str">
        <f>IF(W377&lt;0.99,LARGE((N377:R377,U377,V377),2),"0")</f>
        <v>0</v>
      </c>
      <c r="AE377" t="str">
        <f t="shared" si="39"/>
        <v/>
      </c>
      <c r="AH377" t="str">
        <f t="shared" si="34"/>
        <v xml:space="preserve">Based on ADMIXTURE results of 78,187 SNPs, </v>
      </c>
    </row>
    <row r="378" spans="1:34" x14ac:dyDescent="0.4">
      <c r="A378">
        <v>653</v>
      </c>
      <c r="B378" t="s">
        <v>1298</v>
      </c>
      <c r="C378" t="s">
        <v>21</v>
      </c>
      <c r="D378" t="s">
        <v>21</v>
      </c>
      <c r="E378" t="s">
        <v>21</v>
      </c>
      <c r="F378" t="s">
        <v>22</v>
      </c>
      <c r="G378" t="s">
        <v>21</v>
      </c>
      <c r="H378" t="s">
        <v>21</v>
      </c>
      <c r="I378" t="s">
        <v>21</v>
      </c>
      <c r="J378">
        <v>1</v>
      </c>
      <c r="K378">
        <v>0</v>
      </c>
      <c r="L378" t="s">
        <v>23</v>
      </c>
      <c r="M378" t="str">
        <f t="shared" si="35"/>
        <v>&gt;0.74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0.99990000000000001</v>
      </c>
      <c r="U378">
        <v>0</v>
      </c>
      <c r="V378">
        <v>0.99993600000000005</v>
      </c>
      <c r="W378" s="1">
        <f t="shared" si="36"/>
        <v>0.99993600000000005</v>
      </c>
      <c r="X378" t="s">
        <v>1299</v>
      </c>
      <c r="Y378" t="str">
        <f>VLOOKUP(X378,Sheet1!A:B,2,FALSE)</f>
        <v>Quercus macrocarpa Michx.</v>
      </c>
      <c r="Z378" t="s">
        <v>1384</v>
      </c>
      <c r="AB378" s="1">
        <f t="shared" si="37"/>
        <v>0.99993600000000005</v>
      </c>
      <c r="AD378" t="str">
        <f>IF(W378&lt;0.99,LARGE((N378:R378,U378,V378),2),"0")</f>
        <v>0</v>
      </c>
      <c r="AE378" t="str">
        <f t="shared" si="39"/>
        <v/>
      </c>
      <c r="AH378" t="str">
        <f t="shared" si="34"/>
        <v xml:space="preserve">Based on ADMIXTURE results of 78,187 SNPs, </v>
      </c>
    </row>
    <row r="379" spans="1:34" x14ac:dyDescent="0.4">
      <c r="A379">
        <v>654</v>
      </c>
      <c r="B379" t="s">
        <v>1300</v>
      </c>
      <c r="C379" t="s">
        <v>21</v>
      </c>
      <c r="D379" t="s">
        <v>21</v>
      </c>
      <c r="E379" t="s">
        <v>21</v>
      </c>
      <c r="F379" t="s">
        <v>22</v>
      </c>
      <c r="G379" t="s">
        <v>21</v>
      </c>
      <c r="H379" t="s">
        <v>21</v>
      </c>
      <c r="I379" t="s">
        <v>21</v>
      </c>
      <c r="J379">
        <v>1</v>
      </c>
      <c r="K379">
        <v>0</v>
      </c>
      <c r="L379" t="s">
        <v>23</v>
      </c>
      <c r="M379" t="str">
        <f t="shared" si="35"/>
        <v>&gt;0.74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2.9100000000000001E-2</v>
      </c>
      <c r="T379">
        <v>0.9708</v>
      </c>
      <c r="U379">
        <v>0</v>
      </c>
      <c r="V379">
        <v>0.99993799999999999</v>
      </c>
      <c r="W379" s="1">
        <f t="shared" si="36"/>
        <v>0.99993799999999999</v>
      </c>
      <c r="X379" t="s">
        <v>1301</v>
      </c>
      <c r="Y379" t="str">
        <f>VLOOKUP(X379,Sheet1!A:B,2,FALSE)</f>
        <v>Quercus macrocarpa Michx.</v>
      </c>
      <c r="Z379" t="s">
        <v>1384</v>
      </c>
      <c r="AB379" s="1">
        <f t="shared" si="37"/>
        <v>0.99993799999999999</v>
      </c>
      <c r="AD379" t="str">
        <f>IF(W379&lt;0.99,LARGE((N379:R379,U379,V379),2),"0")</f>
        <v>0</v>
      </c>
      <c r="AE379" t="str">
        <f t="shared" si="39"/>
        <v/>
      </c>
      <c r="AH379" t="str">
        <f t="shared" ref="AH379:AH442" si="40">_xlfn.CONCAT("Based on ADMIXTURE results of 78,187 SNPs, ",AE379,AC379)</f>
        <v xml:space="preserve">Based on ADMIXTURE results of 78,187 SNPs, </v>
      </c>
    </row>
    <row r="380" spans="1:34" x14ac:dyDescent="0.4">
      <c r="A380">
        <v>64</v>
      </c>
      <c r="B380" t="s">
        <v>118</v>
      </c>
      <c r="C380" t="s">
        <v>21</v>
      </c>
      <c r="D380" t="s">
        <v>21</v>
      </c>
      <c r="E380" t="s">
        <v>21</v>
      </c>
      <c r="F380" t="s">
        <v>22</v>
      </c>
      <c r="G380" t="s">
        <v>21</v>
      </c>
      <c r="H380" t="s">
        <v>21</v>
      </c>
      <c r="I380" t="s">
        <v>21</v>
      </c>
      <c r="J380">
        <v>1</v>
      </c>
      <c r="K380">
        <v>0</v>
      </c>
      <c r="L380" t="s">
        <v>23</v>
      </c>
      <c r="M380" t="str">
        <f t="shared" si="35"/>
        <v>&gt;0.74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0.99990000000000001</v>
      </c>
      <c r="T380">
        <v>0</v>
      </c>
      <c r="U380">
        <v>0</v>
      </c>
      <c r="V380">
        <v>0.99994000000000005</v>
      </c>
      <c r="W380" s="1">
        <f t="shared" si="36"/>
        <v>0.99994000000000005</v>
      </c>
      <c r="X380" t="s">
        <v>119</v>
      </c>
      <c r="Y380" t="str">
        <f>VLOOKUP(X380,Sheet1!A:B,2,FALSE)</f>
        <v>Quercus macrocarpa Michx.</v>
      </c>
      <c r="Z380" t="s">
        <v>1384</v>
      </c>
      <c r="AB380" s="1">
        <f t="shared" si="37"/>
        <v>0.99994000000000005</v>
      </c>
      <c r="AD380" t="str">
        <f>IF(W380&lt;0.99,LARGE((N380:R380,U380,V380),2),"0")</f>
        <v>0</v>
      </c>
      <c r="AE380" t="str">
        <f t="shared" si="39"/>
        <v/>
      </c>
      <c r="AH380" t="str">
        <f t="shared" si="40"/>
        <v xml:space="preserve">Based on ADMIXTURE results of 78,187 SNPs, </v>
      </c>
    </row>
    <row r="381" spans="1:34" x14ac:dyDescent="0.4">
      <c r="A381">
        <v>65</v>
      </c>
      <c r="B381" t="s">
        <v>120</v>
      </c>
      <c r="C381" t="s">
        <v>21</v>
      </c>
      <c r="D381" t="s">
        <v>21</v>
      </c>
      <c r="E381" t="s">
        <v>21</v>
      </c>
      <c r="F381" t="s">
        <v>22</v>
      </c>
      <c r="G381" t="s">
        <v>21</v>
      </c>
      <c r="H381" t="s">
        <v>21</v>
      </c>
      <c r="I381" t="s">
        <v>21</v>
      </c>
      <c r="J381">
        <v>1</v>
      </c>
      <c r="K381">
        <v>0</v>
      </c>
      <c r="L381" t="s">
        <v>23</v>
      </c>
      <c r="M381" t="str">
        <f t="shared" si="35"/>
        <v>&gt;0.74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0.99990000000000001</v>
      </c>
      <c r="T381">
        <v>0</v>
      </c>
      <c r="U381">
        <v>0</v>
      </c>
      <c r="V381">
        <v>0.99993900000000002</v>
      </c>
      <c r="W381" s="1">
        <f t="shared" si="36"/>
        <v>0.99993900000000002</v>
      </c>
      <c r="X381" t="s">
        <v>121</v>
      </c>
      <c r="Y381" t="str">
        <f>VLOOKUP(X381,Sheet1!A:B,2,FALSE)</f>
        <v>Quercus macrocarpa Michx.</v>
      </c>
      <c r="Z381" t="s">
        <v>1384</v>
      </c>
      <c r="AB381" s="1">
        <f t="shared" si="37"/>
        <v>0.99993900000000002</v>
      </c>
      <c r="AD381" t="str">
        <f>IF(W381&lt;0.99,LARGE((N381:R381,U381,V381),2),"0")</f>
        <v>0</v>
      </c>
      <c r="AE381" t="str">
        <f t="shared" si="39"/>
        <v/>
      </c>
      <c r="AH381" t="str">
        <f t="shared" si="40"/>
        <v xml:space="preserve">Based on ADMIXTURE results of 78,187 SNPs, </v>
      </c>
    </row>
    <row r="382" spans="1:34" x14ac:dyDescent="0.4">
      <c r="A382">
        <v>66</v>
      </c>
      <c r="B382" t="s">
        <v>122</v>
      </c>
      <c r="C382" t="s">
        <v>21</v>
      </c>
      <c r="D382" t="s">
        <v>21</v>
      </c>
      <c r="E382" t="s">
        <v>21</v>
      </c>
      <c r="F382" t="s">
        <v>22</v>
      </c>
      <c r="G382" t="s">
        <v>21</v>
      </c>
      <c r="H382" t="s">
        <v>21</v>
      </c>
      <c r="I382" t="s">
        <v>21</v>
      </c>
      <c r="J382">
        <v>1</v>
      </c>
      <c r="K382">
        <v>0</v>
      </c>
      <c r="L382" t="s">
        <v>23</v>
      </c>
      <c r="M382" t="str">
        <f t="shared" si="35"/>
        <v>&gt;0.74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0.99990000000000001</v>
      </c>
      <c r="T382">
        <v>0</v>
      </c>
      <c r="U382">
        <v>0</v>
      </c>
      <c r="V382">
        <v>0.99993600000000005</v>
      </c>
      <c r="W382" s="1">
        <f t="shared" si="36"/>
        <v>0.99993600000000005</v>
      </c>
      <c r="X382" t="s">
        <v>123</v>
      </c>
      <c r="Y382" t="str">
        <f>VLOOKUP(X382,Sheet1!A:B,2,FALSE)</f>
        <v>Quercus macrocarpa Michx.</v>
      </c>
      <c r="Z382" t="s">
        <v>1384</v>
      </c>
      <c r="AB382" s="1">
        <f t="shared" si="37"/>
        <v>0.99993600000000005</v>
      </c>
      <c r="AD382" t="str">
        <f>IF(W382&lt;0.99,LARGE((N382:R382,U382,V382),2),"0")</f>
        <v>0</v>
      </c>
      <c r="AE382" t="str">
        <f t="shared" si="39"/>
        <v/>
      </c>
      <c r="AH382" t="str">
        <f t="shared" si="40"/>
        <v xml:space="preserve">Based on ADMIXTURE results of 78,187 SNPs, </v>
      </c>
    </row>
    <row r="383" spans="1:34" s="3" customFormat="1" x14ac:dyDescent="0.4">
      <c r="A383">
        <v>67</v>
      </c>
      <c r="B383" t="s">
        <v>124</v>
      </c>
      <c r="C383" t="s">
        <v>21</v>
      </c>
      <c r="D383" t="s">
        <v>22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>
        <v>1</v>
      </c>
      <c r="K383">
        <v>0</v>
      </c>
      <c r="L383" t="s">
        <v>23</v>
      </c>
      <c r="M383" t="str">
        <f t="shared" si="35"/>
        <v>&gt;0.74</v>
      </c>
      <c r="N383">
        <v>0</v>
      </c>
      <c r="O383">
        <v>0</v>
      </c>
      <c r="P383">
        <v>0</v>
      </c>
      <c r="Q383">
        <v>0.99990000000000001</v>
      </c>
      <c r="R383">
        <v>0</v>
      </c>
      <c r="S383">
        <v>0</v>
      </c>
      <c r="T383">
        <v>0</v>
      </c>
      <c r="U383">
        <v>0</v>
      </c>
      <c r="V383" s="1">
        <v>2.0000000000000002E-5</v>
      </c>
      <c r="W383" s="1">
        <f t="shared" si="36"/>
        <v>0.99990000000000001</v>
      </c>
      <c r="X383" t="s">
        <v>125</v>
      </c>
      <c r="Y383" t="str">
        <f>VLOOKUP(X383,Sheet1!A:B,2,FALSE)</f>
        <v>Quercus lyrata Walt.</v>
      </c>
      <c r="Z383" t="s">
        <v>1383</v>
      </c>
      <c r="AA383"/>
      <c r="AB383" s="1">
        <f t="shared" si="37"/>
        <v>0.99990000000000001</v>
      </c>
      <c r="AC383"/>
      <c r="AD383" t="str">
        <f>IF(W383&lt;0.99,LARGE((N383:R383,U383,V383),2),"0")</f>
        <v>0</v>
      </c>
      <c r="AE383" t="str">
        <f t="shared" si="39"/>
        <v/>
      </c>
      <c r="AF383"/>
      <c r="AG383"/>
      <c r="AH383" t="str">
        <f t="shared" si="40"/>
        <v xml:space="preserve">Based on ADMIXTURE results of 78,187 SNPs, </v>
      </c>
    </row>
    <row r="384" spans="1:34" x14ac:dyDescent="0.4">
      <c r="A384">
        <v>68</v>
      </c>
      <c r="B384" t="s">
        <v>126</v>
      </c>
      <c r="C384" t="s">
        <v>21</v>
      </c>
      <c r="D384" t="s">
        <v>21</v>
      </c>
      <c r="E384" t="s">
        <v>21</v>
      </c>
      <c r="F384" t="s">
        <v>22</v>
      </c>
      <c r="G384" t="s">
        <v>21</v>
      </c>
      <c r="H384" t="s">
        <v>21</v>
      </c>
      <c r="I384" t="s">
        <v>21</v>
      </c>
      <c r="J384">
        <v>1</v>
      </c>
      <c r="K384">
        <v>0</v>
      </c>
      <c r="L384" t="s">
        <v>23</v>
      </c>
      <c r="M384" t="str">
        <f t="shared" si="35"/>
        <v>&gt;0.74</v>
      </c>
      <c r="N384">
        <v>0</v>
      </c>
      <c r="O384">
        <v>0</v>
      </c>
      <c r="P384">
        <v>0</v>
      </c>
      <c r="Q384">
        <v>3.0999999999999999E-3</v>
      </c>
      <c r="R384">
        <v>0</v>
      </c>
      <c r="S384">
        <v>0.99690000000000001</v>
      </c>
      <c r="T384">
        <v>0</v>
      </c>
      <c r="U384">
        <v>0</v>
      </c>
      <c r="V384">
        <v>0.99689099999999997</v>
      </c>
      <c r="W384" s="1">
        <f t="shared" si="36"/>
        <v>0.99689099999999997</v>
      </c>
      <c r="X384" t="s">
        <v>127</v>
      </c>
      <c r="Y384" t="str">
        <f>VLOOKUP(X384,Sheet1!A:B,2,FALSE)</f>
        <v>Quercus macrocarpa Michx.</v>
      </c>
      <c r="Z384" t="s">
        <v>1384</v>
      </c>
      <c r="AB384" s="1">
        <f t="shared" si="37"/>
        <v>0.99689099999999997</v>
      </c>
      <c r="AD384" t="str">
        <f>IF(W384&lt;0.99,LARGE((N384:R384,U384,V384),2),"0")</f>
        <v>0</v>
      </c>
      <c r="AE384" t="str">
        <f t="shared" si="39"/>
        <v/>
      </c>
      <c r="AH384" t="str">
        <f t="shared" si="40"/>
        <v xml:space="preserve">Based on ADMIXTURE results of 78,187 SNPs, </v>
      </c>
    </row>
    <row r="385" spans="1:34" x14ac:dyDescent="0.4">
      <c r="A385">
        <v>69</v>
      </c>
      <c r="B385" t="s">
        <v>128</v>
      </c>
      <c r="C385" t="s">
        <v>21</v>
      </c>
      <c r="D385" t="s">
        <v>22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>
        <v>1</v>
      </c>
      <c r="K385">
        <v>0</v>
      </c>
      <c r="L385" t="s">
        <v>23</v>
      </c>
      <c r="M385" t="str">
        <f t="shared" si="35"/>
        <v>&gt;0.74</v>
      </c>
      <c r="N385">
        <v>0</v>
      </c>
      <c r="O385">
        <v>0</v>
      </c>
      <c r="P385">
        <v>0</v>
      </c>
      <c r="Q385">
        <v>0.99990000000000001</v>
      </c>
      <c r="R385">
        <v>0</v>
      </c>
      <c r="S385">
        <v>0</v>
      </c>
      <c r="T385">
        <v>0</v>
      </c>
      <c r="U385">
        <v>0</v>
      </c>
      <c r="V385" s="1">
        <v>2.0000000000000002E-5</v>
      </c>
      <c r="W385" s="1">
        <f t="shared" si="36"/>
        <v>0.99990000000000001</v>
      </c>
      <c r="X385" t="s">
        <v>129</v>
      </c>
      <c r="Y385" t="str">
        <f>VLOOKUP(X385,Sheet1!A:B,2,FALSE)</f>
        <v>Quercus lyrata Walt.</v>
      </c>
      <c r="Z385" t="s">
        <v>1383</v>
      </c>
      <c r="AB385" s="1">
        <f t="shared" si="37"/>
        <v>0.99990000000000001</v>
      </c>
      <c r="AD385" t="str">
        <f>IF(W385&lt;0.99,LARGE((N385:R385,U385,V385),2),"0")</f>
        <v>0</v>
      </c>
      <c r="AE385" t="str">
        <f t="shared" si="39"/>
        <v/>
      </c>
      <c r="AH385" t="str">
        <f t="shared" si="40"/>
        <v xml:space="preserve">Based on ADMIXTURE results of 78,187 SNPs, </v>
      </c>
    </row>
    <row r="386" spans="1:34" x14ac:dyDescent="0.4">
      <c r="A386">
        <v>70</v>
      </c>
      <c r="B386" t="s">
        <v>130</v>
      </c>
      <c r="C386" t="s">
        <v>21</v>
      </c>
      <c r="D386" t="s">
        <v>21</v>
      </c>
      <c r="E386" t="s">
        <v>21</v>
      </c>
      <c r="F386" t="s">
        <v>22</v>
      </c>
      <c r="G386" t="s">
        <v>21</v>
      </c>
      <c r="H386" t="s">
        <v>21</v>
      </c>
      <c r="I386" t="s">
        <v>21</v>
      </c>
      <c r="J386">
        <v>1</v>
      </c>
      <c r="K386">
        <v>0</v>
      </c>
      <c r="L386" t="s">
        <v>23</v>
      </c>
      <c r="M386" t="str">
        <f t="shared" ref="M386:M449" si="41">IF(AND(W386&lt;0.58,W386&gt;0.2),"F1",IF(W386&lt;0.74,"BC1?","&gt;0.74"))</f>
        <v>&gt;0.74</v>
      </c>
      <c r="N386">
        <v>0</v>
      </c>
      <c r="O386">
        <v>0</v>
      </c>
      <c r="P386">
        <v>0</v>
      </c>
      <c r="Q386">
        <v>3.8100000000000002E-2</v>
      </c>
      <c r="R386">
        <v>0</v>
      </c>
      <c r="S386">
        <v>0.96179999999999999</v>
      </c>
      <c r="T386">
        <v>0</v>
      </c>
      <c r="U386">
        <v>0</v>
      </c>
      <c r="V386">
        <v>0.96185399999999999</v>
      </c>
      <c r="W386" s="1">
        <f t="shared" ref="W386:W449" si="42">MAX(N386:R386,U386,V386)</f>
        <v>0.96185399999999999</v>
      </c>
      <c r="X386" t="s">
        <v>131</v>
      </c>
      <c r="Y386" t="str">
        <f>VLOOKUP(X386,Sheet1!A:B,2,FALSE)</f>
        <v>Quercus macrocarpa Michx.</v>
      </c>
      <c r="Z386" t="s">
        <v>1384</v>
      </c>
      <c r="AB386" s="1">
        <f t="shared" ref="AB386:AB449" si="43">MAX(N386:R386,U386,V386)</f>
        <v>0.96185399999999999</v>
      </c>
      <c r="AD386">
        <f>IF(W386&lt;0.99,LARGE((N386:R386,U386,V386),2),"0")</f>
        <v>3.8100000000000002E-2</v>
      </c>
      <c r="AE386" t="str">
        <f t="shared" si="39"/>
        <v xml:space="preserve">trace admixed with </v>
      </c>
      <c r="AH386" t="str">
        <f t="shared" si="40"/>
        <v xml:space="preserve">Based on ADMIXTURE results of 78,187 SNPs, trace admixed with </v>
      </c>
    </row>
    <row r="387" spans="1:34" x14ac:dyDescent="0.4">
      <c r="A387">
        <v>71</v>
      </c>
      <c r="B387" t="s">
        <v>132</v>
      </c>
      <c r="C387" t="s">
        <v>21</v>
      </c>
      <c r="D387" t="s">
        <v>21</v>
      </c>
      <c r="E387" t="s">
        <v>21</v>
      </c>
      <c r="F387" t="s">
        <v>22</v>
      </c>
      <c r="G387" t="s">
        <v>21</v>
      </c>
      <c r="H387" t="s">
        <v>21</v>
      </c>
      <c r="I387" t="s">
        <v>21</v>
      </c>
      <c r="J387">
        <v>1</v>
      </c>
      <c r="K387">
        <v>0</v>
      </c>
      <c r="L387" t="s">
        <v>23</v>
      </c>
      <c r="M387" t="str">
        <f t="shared" si="41"/>
        <v>&gt;0.74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0.96319999999999995</v>
      </c>
      <c r="T387">
        <v>3.6700000000000003E-2</v>
      </c>
      <c r="U387">
        <v>0</v>
      </c>
      <c r="V387">
        <v>0.99994000000000005</v>
      </c>
      <c r="W387" s="1">
        <f t="shared" si="42"/>
        <v>0.99994000000000005</v>
      </c>
      <c r="X387" t="s">
        <v>133</v>
      </c>
      <c r="Y387" t="str">
        <f>VLOOKUP(X387,Sheet1!A:B,2,FALSE)</f>
        <v>Quercus macrocarpa Michx.</v>
      </c>
      <c r="Z387" t="s">
        <v>1384</v>
      </c>
      <c r="AB387" s="1">
        <f t="shared" si="43"/>
        <v>0.99994000000000005</v>
      </c>
      <c r="AD387" t="str">
        <f>IF(W387&lt;0.99,LARGE((N387:R387,U387,V387),2),"0")</f>
        <v>0</v>
      </c>
      <c r="AE387" t="str">
        <f t="shared" si="39"/>
        <v/>
      </c>
      <c r="AH387" t="str">
        <f t="shared" si="40"/>
        <v xml:space="preserve">Based on ADMIXTURE results of 78,187 SNPs, </v>
      </c>
    </row>
    <row r="388" spans="1:34" x14ac:dyDescent="0.4">
      <c r="A388">
        <v>72</v>
      </c>
      <c r="B388" t="s">
        <v>134</v>
      </c>
      <c r="C388" t="s">
        <v>21</v>
      </c>
      <c r="D388" t="s">
        <v>21</v>
      </c>
      <c r="E388" t="s">
        <v>21</v>
      </c>
      <c r="F388" t="s">
        <v>21</v>
      </c>
      <c r="G388" t="s">
        <v>22</v>
      </c>
      <c r="H388" t="s">
        <v>21</v>
      </c>
      <c r="I388" t="s">
        <v>21</v>
      </c>
      <c r="J388">
        <v>1</v>
      </c>
      <c r="K388">
        <v>0</v>
      </c>
      <c r="L388" t="s">
        <v>23</v>
      </c>
      <c r="M388" t="str">
        <f t="shared" si="41"/>
        <v>&gt;0.74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0.99990000000000001</v>
      </c>
      <c r="V388" s="1">
        <v>2.0000000000000002E-5</v>
      </c>
      <c r="W388" s="1">
        <f t="shared" si="42"/>
        <v>0.99990000000000001</v>
      </c>
      <c r="X388" t="s">
        <v>135</v>
      </c>
      <c r="Y388" t="str">
        <f>VLOOKUP(X388,Sheet1!A:B,2,FALSE)</f>
        <v>Quercus michauxii Nutt.</v>
      </c>
      <c r="Z388" t="s">
        <v>1389</v>
      </c>
      <c r="AB388" s="1">
        <f t="shared" si="43"/>
        <v>0.99990000000000001</v>
      </c>
      <c r="AD388" t="str">
        <f>IF(W388&lt;0.99,LARGE((N388:R388,U388,V388),2),"0")</f>
        <v>0</v>
      </c>
      <c r="AE388" t="str">
        <f t="shared" si="39"/>
        <v/>
      </c>
      <c r="AH388" t="str">
        <f t="shared" si="40"/>
        <v xml:space="preserve">Based on ADMIXTURE results of 78,187 SNPs, </v>
      </c>
    </row>
    <row r="389" spans="1:34" x14ac:dyDescent="0.4">
      <c r="A389">
        <v>73</v>
      </c>
      <c r="B389" t="s">
        <v>136</v>
      </c>
      <c r="C389" t="s">
        <v>21</v>
      </c>
      <c r="D389" t="s">
        <v>21</v>
      </c>
      <c r="E389" t="s">
        <v>21</v>
      </c>
      <c r="F389" t="s">
        <v>22</v>
      </c>
      <c r="G389" t="s">
        <v>21</v>
      </c>
      <c r="H389" t="s">
        <v>21</v>
      </c>
      <c r="I389" t="s">
        <v>21</v>
      </c>
      <c r="J389">
        <v>1</v>
      </c>
      <c r="K389">
        <v>0</v>
      </c>
      <c r="L389" t="s">
        <v>23</v>
      </c>
      <c r="M389" t="str">
        <f t="shared" si="41"/>
        <v>&gt;0.74</v>
      </c>
      <c r="N389">
        <v>0</v>
      </c>
      <c r="O389">
        <v>0</v>
      </c>
      <c r="P389">
        <v>0</v>
      </c>
      <c r="Q389">
        <v>0.01</v>
      </c>
      <c r="R389">
        <v>0</v>
      </c>
      <c r="S389">
        <v>0.94410000000000005</v>
      </c>
      <c r="T389">
        <v>4.58E-2</v>
      </c>
      <c r="U389">
        <v>0</v>
      </c>
      <c r="V389">
        <v>0.98993100000000001</v>
      </c>
      <c r="W389" s="1">
        <f t="shared" si="42"/>
        <v>0.98993100000000001</v>
      </c>
      <c r="X389" t="s">
        <v>137</v>
      </c>
      <c r="Y389" t="str">
        <f>VLOOKUP(X389,Sheet1!A:B,2,FALSE)</f>
        <v>Quercus macrocarpa Michx.</v>
      </c>
      <c r="Z389" t="s">
        <v>1384</v>
      </c>
      <c r="AB389" s="1">
        <f t="shared" si="43"/>
        <v>0.98993100000000001</v>
      </c>
      <c r="AD389">
        <f>IF(W389&lt;0.99,LARGE((N389:R389,U389,V389),2),"0")</f>
        <v>0.01</v>
      </c>
      <c r="AE389" t="str">
        <f t="shared" si="39"/>
        <v/>
      </c>
      <c r="AH389" t="str">
        <f t="shared" si="40"/>
        <v xml:space="preserve">Based on ADMIXTURE results of 78,187 SNPs, </v>
      </c>
    </row>
    <row r="390" spans="1:34" x14ac:dyDescent="0.4">
      <c r="A390">
        <v>74</v>
      </c>
      <c r="B390" t="s">
        <v>138</v>
      </c>
      <c r="C390" t="s">
        <v>21</v>
      </c>
      <c r="D390" t="s">
        <v>21</v>
      </c>
      <c r="E390" t="s">
        <v>21</v>
      </c>
      <c r="F390" t="s">
        <v>21</v>
      </c>
      <c r="G390" t="s">
        <v>22</v>
      </c>
      <c r="H390" t="s">
        <v>21</v>
      </c>
      <c r="I390" t="s">
        <v>21</v>
      </c>
      <c r="J390">
        <v>1</v>
      </c>
      <c r="K390">
        <v>0</v>
      </c>
      <c r="L390" t="s">
        <v>23</v>
      </c>
      <c r="M390" t="str">
        <f t="shared" si="41"/>
        <v>&gt;0.74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0.99990000000000001</v>
      </c>
      <c r="V390" s="1">
        <v>2.0000000000000002E-5</v>
      </c>
      <c r="W390" s="1">
        <f t="shared" si="42"/>
        <v>0.99990000000000001</v>
      </c>
      <c r="X390" t="s">
        <v>139</v>
      </c>
      <c r="Y390" t="str">
        <f>VLOOKUP(X390,Sheet1!A:B,2,FALSE)</f>
        <v>Quercus michauxii Nutt.</v>
      </c>
      <c r="Z390" t="s">
        <v>1389</v>
      </c>
      <c r="AB390" s="1">
        <f t="shared" si="43"/>
        <v>0.99990000000000001</v>
      </c>
      <c r="AD390" t="str">
        <f>IF(W390&lt;0.99,LARGE((N390:R390,U390,V390),2),"0")</f>
        <v>0</v>
      </c>
      <c r="AE390" t="str">
        <f t="shared" si="39"/>
        <v/>
      </c>
      <c r="AH390" t="str">
        <f t="shared" si="40"/>
        <v xml:space="preserve">Based on ADMIXTURE results of 78,187 SNPs, </v>
      </c>
    </row>
    <row r="391" spans="1:34" x14ac:dyDescent="0.4">
      <c r="A391">
        <v>75</v>
      </c>
      <c r="B391" t="s">
        <v>140</v>
      </c>
      <c r="C391" t="s">
        <v>21</v>
      </c>
      <c r="D391" t="s">
        <v>21</v>
      </c>
      <c r="E391" t="s">
        <v>21</v>
      </c>
      <c r="F391" t="s">
        <v>25</v>
      </c>
      <c r="G391" t="s">
        <v>25</v>
      </c>
      <c r="H391" t="s">
        <v>21</v>
      </c>
      <c r="I391" t="s">
        <v>21</v>
      </c>
      <c r="J391">
        <v>0</v>
      </c>
      <c r="K391">
        <v>2</v>
      </c>
      <c r="L391" t="s">
        <v>26</v>
      </c>
      <c r="M391" t="str">
        <f t="shared" si="41"/>
        <v>&gt;0.74</v>
      </c>
      <c r="N391">
        <v>0</v>
      </c>
      <c r="O391">
        <v>0</v>
      </c>
      <c r="P391">
        <v>5.8299999999999998E-2</v>
      </c>
      <c r="Q391">
        <v>0</v>
      </c>
      <c r="R391">
        <v>0</v>
      </c>
      <c r="S391">
        <v>0.1245</v>
      </c>
      <c r="T391">
        <v>0</v>
      </c>
      <c r="U391">
        <v>0.81720000000000004</v>
      </c>
      <c r="V391">
        <v>0.124475</v>
      </c>
      <c r="W391" s="1">
        <f t="shared" si="42"/>
        <v>0.81720000000000004</v>
      </c>
      <c r="X391" t="s">
        <v>141</v>
      </c>
      <c r="Y391" t="str">
        <f>VLOOKUP(X391,Sheet1!A:B,2,FALSE)</f>
        <v>Quercus michauxii Nutt.</v>
      </c>
      <c r="Z391" t="s">
        <v>1389</v>
      </c>
      <c r="AB391" s="1">
        <f t="shared" si="43"/>
        <v>0.81720000000000004</v>
      </c>
      <c r="AC391" t="s">
        <v>1421</v>
      </c>
      <c r="AD391">
        <f>IF(W391&lt;0.99,LARGE((N391:R391,U391,V391),2),"0")</f>
        <v>0.124475</v>
      </c>
      <c r="AE391" t="str">
        <f>IF(AND(AB391&lt;0.99,AD391&gt;0.1,AB391&gt;0.6),"admixed with ",IF(AND(AB391&lt;0.99,AD391&gt;0.01,AD391&lt;0.4),"trace admixed (Q&lt;0.10) with ",""))</f>
        <v xml:space="preserve">admixed with </v>
      </c>
      <c r="AH391" t="str">
        <f t="shared" si="40"/>
        <v>Based on ADMIXTURE results of 78,187 SNPs, admixed with Quercus macrocarpa</v>
      </c>
    </row>
    <row r="392" spans="1:34" x14ac:dyDescent="0.4">
      <c r="A392">
        <v>76</v>
      </c>
      <c r="B392" t="s">
        <v>142</v>
      </c>
      <c r="C392" t="s">
        <v>21</v>
      </c>
      <c r="D392" t="s">
        <v>21</v>
      </c>
      <c r="E392" t="s">
        <v>21</v>
      </c>
      <c r="F392" t="s">
        <v>22</v>
      </c>
      <c r="G392" t="s">
        <v>21</v>
      </c>
      <c r="H392" t="s">
        <v>21</v>
      </c>
      <c r="I392" t="s">
        <v>21</v>
      </c>
      <c r="J392">
        <v>1</v>
      </c>
      <c r="K392">
        <v>0</v>
      </c>
      <c r="L392" t="s">
        <v>23</v>
      </c>
      <c r="M392" t="str">
        <f t="shared" si="41"/>
        <v>&gt;0.74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0.97399999999999998</v>
      </c>
      <c r="T392">
        <v>2.5899999999999999E-2</v>
      </c>
      <c r="U392">
        <v>0</v>
      </c>
      <c r="V392">
        <v>0.99994000000000005</v>
      </c>
      <c r="W392" s="1">
        <f t="shared" si="42"/>
        <v>0.99994000000000005</v>
      </c>
      <c r="X392" t="s">
        <v>143</v>
      </c>
      <c r="Y392" t="str">
        <f>VLOOKUP(X392,Sheet1!A:B,2,FALSE)</f>
        <v>Quercus macrocarpa Michx.</v>
      </c>
      <c r="Z392" t="s">
        <v>1384</v>
      </c>
      <c r="AB392" s="1">
        <f t="shared" si="43"/>
        <v>0.99994000000000005</v>
      </c>
      <c r="AD392" t="str">
        <f>IF(W392&lt;0.99,LARGE((N392:R392,U392,V392),2),"0")</f>
        <v>0</v>
      </c>
      <c r="AE392" t="str">
        <f>IF(AND(AB392&lt;0.99,AD392&gt;0.1),"admixed with",IF(AND(AB392&lt;0.99,AD392&gt;0.01),"trace admixed with ",""))</f>
        <v/>
      </c>
      <c r="AH392" t="str">
        <f t="shared" si="40"/>
        <v xml:space="preserve">Based on ADMIXTURE results of 78,187 SNPs, </v>
      </c>
    </row>
    <row r="393" spans="1:34" x14ac:dyDescent="0.4">
      <c r="A393">
        <v>77</v>
      </c>
      <c r="B393" t="s">
        <v>144</v>
      </c>
      <c r="C393" t="s">
        <v>21</v>
      </c>
      <c r="D393" t="s">
        <v>22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>
        <v>1</v>
      </c>
      <c r="K393">
        <v>0</v>
      </c>
      <c r="L393" t="s">
        <v>23</v>
      </c>
      <c r="M393" t="str">
        <f t="shared" si="41"/>
        <v>&gt;0.74</v>
      </c>
      <c r="N393">
        <v>0</v>
      </c>
      <c r="O393">
        <v>0</v>
      </c>
      <c r="P393">
        <v>0</v>
      </c>
      <c r="Q393">
        <v>0.99450000000000005</v>
      </c>
      <c r="R393">
        <v>0</v>
      </c>
      <c r="S393">
        <v>5.4999999999999997E-3</v>
      </c>
      <c r="T393">
        <v>0</v>
      </c>
      <c r="U393">
        <v>0</v>
      </c>
      <c r="V393">
        <v>5.4900000000000001E-3</v>
      </c>
      <c r="W393" s="1">
        <f t="shared" si="42"/>
        <v>0.99450000000000005</v>
      </c>
      <c r="X393" t="s">
        <v>145</v>
      </c>
      <c r="Y393" t="str">
        <f>VLOOKUP(X393,Sheet1!A:B,2,FALSE)</f>
        <v>Quercus lyrata Walt.</v>
      </c>
      <c r="Z393" t="s">
        <v>1383</v>
      </c>
      <c r="AB393" s="1">
        <f t="shared" si="43"/>
        <v>0.99450000000000005</v>
      </c>
      <c r="AD393" t="str">
        <f>IF(W393&lt;0.99,LARGE((N393:R393,U393,V393),2),"0")</f>
        <v>0</v>
      </c>
      <c r="AE393" t="str">
        <f>IF(AND(AB393&lt;0.99,AD393&gt;0.1),"admixed with",IF(AND(AB393&lt;0.99,AD393&gt;0.01),"trace admixed with ",""))</f>
        <v/>
      </c>
      <c r="AH393" t="str">
        <f t="shared" si="40"/>
        <v xml:space="preserve">Based on ADMIXTURE results of 78,187 SNPs, </v>
      </c>
    </row>
    <row r="394" spans="1:34" x14ac:dyDescent="0.4">
      <c r="A394">
        <v>78</v>
      </c>
      <c r="B394" t="s">
        <v>146</v>
      </c>
      <c r="C394" t="s">
        <v>21</v>
      </c>
      <c r="D394" t="s">
        <v>21</v>
      </c>
      <c r="E394" t="s">
        <v>21</v>
      </c>
      <c r="F394" t="s">
        <v>25</v>
      </c>
      <c r="G394" t="s">
        <v>25</v>
      </c>
      <c r="H394" t="s">
        <v>21</v>
      </c>
      <c r="I394" t="s">
        <v>21</v>
      </c>
      <c r="J394">
        <v>0</v>
      </c>
      <c r="K394">
        <v>2</v>
      </c>
      <c r="L394" t="s">
        <v>26</v>
      </c>
      <c r="M394" t="str">
        <f t="shared" si="41"/>
        <v>&gt;0.74</v>
      </c>
      <c r="N394">
        <v>0</v>
      </c>
      <c r="O394">
        <v>0</v>
      </c>
      <c r="P394">
        <v>7.1999999999999998E-3</v>
      </c>
      <c r="Q394">
        <v>0</v>
      </c>
      <c r="R394">
        <v>0</v>
      </c>
      <c r="S394">
        <v>0.87180000000000002</v>
      </c>
      <c r="T394">
        <v>0</v>
      </c>
      <c r="U394">
        <v>0.121</v>
      </c>
      <c r="V394">
        <v>0.87180400000000002</v>
      </c>
      <c r="W394" s="1">
        <f t="shared" si="42"/>
        <v>0.87180400000000002</v>
      </c>
      <c r="X394" t="s">
        <v>147</v>
      </c>
      <c r="Y394" t="str">
        <f>VLOOKUP(X394,Sheet1!A:B,2,FALSE)</f>
        <v>Quercus macrocarpa Michx.</v>
      </c>
      <c r="Z394" t="s">
        <v>1384</v>
      </c>
      <c r="AB394" s="1">
        <f t="shared" si="43"/>
        <v>0.87180400000000002</v>
      </c>
      <c r="AC394" t="s">
        <v>1428</v>
      </c>
      <c r="AD394">
        <f>IF(W394&lt;0.99,LARGE((N394:R394,U394,V394),2),"0")</f>
        <v>0.121</v>
      </c>
      <c r="AE394" t="str">
        <f>IF(AND(AB394&lt;0.99,AD394&gt;0.1,AB394&gt;0.6),"admixed with ",IF(AND(AB394&lt;0.99,AD394&gt;0.01,AD394&lt;0.4),"trace admixed (Q&lt;0.10) with ",""))</f>
        <v xml:space="preserve">admixed with </v>
      </c>
      <c r="AH394" t="str">
        <f t="shared" si="40"/>
        <v>Based on ADMIXTURE results of 78,187 SNPs, admixed with Quercus michauxii</v>
      </c>
    </row>
    <row r="395" spans="1:34" x14ac:dyDescent="0.4">
      <c r="A395">
        <v>104</v>
      </c>
      <c r="B395" t="s">
        <v>199</v>
      </c>
      <c r="C395" t="s">
        <v>21</v>
      </c>
      <c r="D395" t="s">
        <v>21</v>
      </c>
      <c r="E395" t="s">
        <v>21</v>
      </c>
      <c r="F395" t="s">
        <v>22</v>
      </c>
      <c r="G395" t="s">
        <v>21</v>
      </c>
      <c r="H395" t="s">
        <v>21</v>
      </c>
      <c r="I395" t="s">
        <v>21</v>
      </c>
      <c r="J395">
        <v>1</v>
      </c>
      <c r="K395">
        <v>0</v>
      </c>
      <c r="L395" t="s">
        <v>23</v>
      </c>
      <c r="M395" t="str">
        <f t="shared" si="41"/>
        <v>&gt;0.74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0.84699999999999998</v>
      </c>
      <c r="T395">
        <v>0.153</v>
      </c>
      <c r="U395">
        <v>0</v>
      </c>
      <c r="V395">
        <v>0.99994000000000005</v>
      </c>
      <c r="W395" s="1">
        <f t="shared" si="42"/>
        <v>0.99994000000000005</v>
      </c>
      <c r="X395" t="s">
        <v>200</v>
      </c>
      <c r="Y395" t="str">
        <f>VLOOKUP(X395,Sheet1!A:B,2,FALSE)</f>
        <v>Quercus macrocarpa Michx.</v>
      </c>
      <c r="Z395" t="s">
        <v>1384</v>
      </c>
      <c r="AB395" s="1">
        <f t="shared" si="43"/>
        <v>0.99994000000000005</v>
      </c>
      <c r="AD395" t="str">
        <f>IF(W395&lt;0.99,LARGE((N395:R395,U395,V395),2),"0")</f>
        <v>0</v>
      </c>
      <c r="AE395" t="str">
        <f t="shared" ref="AE395:AE426" si="44">IF(AND(AB395&lt;0.99,AD395&gt;0.1),"admixed with",IF(AND(AB395&lt;0.99,AD395&gt;0.01),"trace admixed with ",""))</f>
        <v/>
      </c>
      <c r="AH395" t="str">
        <f t="shared" si="40"/>
        <v xml:space="preserve">Based on ADMIXTURE results of 78,187 SNPs, </v>
      </c>
    </row>
    <row r="396" spans="1:34" x14ac:dyDescent="0.4">
      <c r="A396">
        <v>105</v>
      </c>
      <c r="B396" t="s">
        <v>201</v>
      </c>
      <c r="C396" t="s">
        <v>21</v>
      </c>
      <c r="D396" t="s">
        <v>21</v>
      </c>
      <c r="E396" t="s">
        <v>21</v>
      </c>
      <c r="F396" t="s">
        <v>22</v>
      </c>
      <c r="G396" t="s">
        <v>21</v>
      </c>
      <c r="H396" t="s">
        <v>21</v>
      </c>
      <c r="I396" t="s">
        <v>21</v>
      </c>
      <c r="J396">
        <v>1</v>
      </c>
      <c r="K396">
        <v>0</v>
      </c>
      <c r="L396" t="s">
        <v>23</v>
      </c>
      <c r="M396" t="str">
        <f t="shared" si="41"/>
        <v>&gt;0.74</v>
      </c>
      <c r="N396">
        <v>0</v>
      </c>
      <c r="O396">
        <v>0</v>
      </c>
      <c r="P396">
        <v>0</v>
      </c>
      <c r="Q396">
        <v>5.3E-3</v>
      </c>
      <c r="R396">
        <v>0</v>
      </c>
      <c r="S396">
        <v>0.99460000000000004</v>
      </c>
      <c r="T396">
        <v>0</v>
      </c>
      <c r="U396">
        <v>0</v>
      </c>
      <c r="V396">
        <v>0.99463100000000004</v>
      </c>
      <c r="W396" s="1">
        <f t="shared" si="42"/>
        <v>0.99463100000000004</v>
      </c>
      <c r="X396" t="s">
        <v>202</v>
      </c>
      <c r="Y396" t="str">
        <f>VLOOKUP(X396,Sheet1!A:B,2,FALSE)</f>
        <v>Quercus macrocarpa Michx.</v>
      </c>
      <c r="Z396" t="s">
        <v>1384</v>
      </c>
      <c r="AB396" s="1">
        <f t="shared" si="43"/>
        <v>0.99463100000000004</v>
      </c>
      <c r="AD396" t="str">
        <f>IF(W396&lt;0.99,LARGE((N396:R396,U396,V396),2),"0")</f>
        <v>0</v>
      </c>
      <c r="AE396" t="str">
        <f t="shared" si="44"/>
        <v/>
      </c>
      <c r="AH396" t="str">
        <f t="shared" si="40"/>
        <v xml:space="preserve">Based on ADMIXTURE results of 78,187 SNPs, </v>
      </c>
    </row>
    <row r="397" spans="1:34" x14ac:dyDescent="0.4">
      <c r="A397">
        <v>106</v>
      </c>
      <c r="B397" t="s">
        <v>203</v>
      </c>
      <c r="C397" t="s">
        <v>21</v>
      </c>
      <c r="D397" t="s">
        <v>21</v>
      </c>
      <c r="E397" t="s">
        <v>21</v>
      </c>
      <c r="F397" t="s">
        <v>22</v>
      </c>
      <c r="G397" t="s">
        <v>21</v>
      </c>
      <c r="H397" t="s">
        <v>21</v>
      </c>
      <c r="I397" t="s">
        <v>21</v>
      </c>
      <c r="J397">
        <v>1</v>
      </c>
      <c r="K397">
        <v>0</v>
      </c>
      <c r="L397" t="s">
        <v>23</v>
      </c>
      <c r="M397" t="str">
        <f t="shared" si="41"/>
        <v>&gt;0.74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0.94499999999999995</v>
      </c>
      <c r="T397">
        <v>5.4899999999999997E-2</v>
      </c>
      <c r="U397">
        <v>0</v>
      </c>
      <c r="V397">
        <v>0.99993600000000005</v>
      </c>
      <c r="W397" s="1">
        <f t="shared" si="42"/>
        <v>0.99993600000000005</v>
      </c>
      <c r="X397" t="s">
        <v>204</v>
      </c>
      <c r="Y397" t="str">
        <f>VLOOKUP(X397,Sheet1!A:B,2,FALSE)</f>
        <v>Quercus macrocarpa Michx.</v>
      </c>
      <c r="Z397" t="s">
        <v>1384</v>
      </c>
      <c r="AB397" s="1">
        <f t="shared" si="43"/>
        <v>0.99993600000000005</v>
      </c>
      <c r="AD397" t="str">
        <f>IF(W397&lt;0.99,LARGE((N397:R397,U397,V397),2),"0")</f>
        <v>0</v>
      </c>
      <c r="AE397" t="str">
        <f t="shared" si="44"/>
        <v/>
      </c>
      <c r="AH397" t="str">
        <f t="shared" si="40"/>
        <v xml:space="preserve">Based on ADMIXTURE results of 78,187 SNPs, </v>
      </c>
    </row>
    <row r="398" spans="1:34" x14ac:dyDescent="0.4">
      <c r="A398">
        <v>122</v>
      </c>
      <c r="B398" t="s">
        <v>235</v>
      </c>
      <c r="C398" t="s">
        <v>21</v>
      </c>
      <c r="D398" t="s">
        <v>21</v>
      </c>
      <c r="E398" t="s">
        <v>21</v>
      </c>
      <c r="F398" t="s">
        <v>22</v>
      </c>
      <c r="G398" t="s">
        <v>21</v>
      </c>
      <c r="H398" t="s">
        <v>21</v>
      </c>
      <c r="I398" t="s">
        <v>21</v>
      </c>
      <c r="J398">
        <v>1</v>
      </c>
      <c r="K398">
        <v>0</v>
      </c>
      <c r="L398" t="s">
        <v>23</v>
      </c>
      <c r="M398" t="str">
        <f t="shared" si="41"/>
        <v>&gt;0.74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0.87680000000000002</v>
      </c>
      <c r="T398">
        <v>0.1231</v>
      </c>
      <c r="U398">
        <v>0</v>
      </c>
      <c r="V398">
        <v>0.99994000000000005</v>
      </c>
      <c r="W398" s="1">
        <f t="shared" si="42"/>
        <v>0.99994000000000005</v>
      </c>
      <c r="X398" t="s">
        <v>236</v>
      </c>
      <c r="Y398" t="str">
        <f>VLOOKUP(X398,Sheet1!A:B,2,FALSE)</f>
        <v>Quercus macrocarpa Michx.</v>
      </c>
      <c r="Z398" t="s">
        <v>1384</v>
      </c>
      <c r="AB398" s="1">
        <f t="shared" si="43"/>
        <v>0.99994000000000005</v>
      </c>
      <c r="AD398" t="str">
        <f>IF(W398&lt;0.99,LARGE((N398:R398,U398,V398),2),"0")</f>
        <v>0</v>
      </c>
      <c r="AE398" t="str">
        <f t="shared" si="44"/>
        <v/>
      </c>
      <c r="AH398" t="str">
        <f t="shared" si="40"/>
        <v xml:space="preserve">Based on ADMIXTURE results of 78,187 SNPs, </v>
      </c>
    </row>
    <row r="399" spans="1:34" x14ac:dyDescent="0.4">
      <c r="A399">
        <v>123</v>
      </c>
      <c r="B399" t="s">
        <v>237</v>
      </c>
      <c r="C399" t="s">
        <v>22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>
        <v>1</v>
      </c>
      <c r="K399">
        <v>0</v>
      </c>
      <c r="L399" t="s">
        <v>23</v>
      </c>
      <c r="M399" t="str">
        <f t="shared" si="41"/>
        <v>&gt;0.74</v>
      </c>
      <c r="N399">
        <v>0</v>
      </c>
      <c r="O399">
        <v>0</v>
      </c>
      <c r="P399">
        <v>0.99990000000000001</v>
      </c>
      <c r="Q399">
        <v>0</v>
      </c>
      <c r="R399">
        <v>0</v>
      </c>
      <c r="S399">
        <v>0</v>
      </c>
      <c r="T399">
        <v>0</v>
      </c>
      <c r="U399">
        <v>0</v>
      </c>
      <c r="V399" s="1">
        <v>2.0000000000000002E-5</v>
      </c>
      <c r="W399" s="1">
        <f t="shared" si="42"/>
        <v>0.99990000000000001</v>
      </c>
      <c r="X399" t="s">
        <v>238</v>
      </c>
      <c r="Y399" t="str">
        <f>VLOOKUP(X399,Sheet1!A:B,2,FALSE)</f>
        <v>Quercus alba L.</v>
      </c>
      <c r="Z399" t="s">
        <v>1386</v>
      </c>
      <c r="AB399" s="1">
        <f t="shared" si="43"/>
        <v>0.99990000000000001</v>
      </c>
      <c r="AD399" t="str">
        <f>IF(W399&lt;0.99,LARGE((N399:R399,U399,V399),2),"0")</f>
        <v>0</v>
      </c>
      <c r="AE399" t="str">
        <f t="shared" si="44"/>
        <v/>
      </c>
      <c r="AH399" t="str">
        <f t="shared" si="40"/>
        <v xml:space="preserve">Based on ADMIXTURE results of 78,187 SNPs, </v>
      </c>
    </row>
    <row r="400" spans="1:34" x14ac:dyDescent="0.4">
      <c r="A400">
        <v>124</v>
      </c>
      <c r="B400" t="s">
        <v>239</v>
      </c>
      <c r="C400" t="s">
        <v>21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22</v>
      </c>
      <c r="J400">
        <v>1</v>
      </c>
      <c r="K400">
        <v>0</v>
      </c>
      <c r="L400" t="s">
        <v>23</v>
      </c>
      <c r="M400" t="str">
        <f t="shared" si="41"/>
        <v>&gt;0.74</v>
      </c>
      <c r="N400">
        <v>0.99990000000000001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1">
        <v>2.0000000000000002E-5</v>
      </c>
      <c r="W400" s="1">
        <f t="shared" si="42"/>
        <v>0.99990000000000001</v>
      </c>
      <c r="X400" t="s">
        <v>240</v>
      </c>
      <c r="Y400" t="str">
        <f>VLOOKUP(X400,Sheet1!A:B,2,FALSE)</f>
        <v>Quercus stellata Wangenh.</v>
      </c>
      <c r="Z400" t="s">
        <v>1385</v>
      </c>
      <c r="AB400" s="1">
        <f t="shared" si="43"/>
        <v>0.99990000000000001</v>
      </c>
      <c r="AD400" t="str">
        <f>IF(W400&lt;0.99,LARGE((N400:R400,U400,V400),2),"0")</f>
        <v>0</v>
      </c>
      <c r="AE400" t="str">
        <f t="shared" si="44"/>
        <v/>
      </c>
      <c r="AH400" t="str">
        <f t="shared" si="40"/>
        <v xml:space="preserve">Based on ADMIXTURE results of 78,187 SNPs, </v>
      </c>
    </row>
    <row r="401" spans="1:34" x14ac:dyDescent="0.4">
      <c r="A401">
        <v>125</v>
      </c>
      <c r="B401" t="s">
        <v>241</v>
      </c>
      <c r="C401" t="s">
        <v>22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>
        <v>1</v>
      </c>
      <c r="K401">
        <v>0</v>
      </c>
      <c r="L401" t="s">
        <v>23</v>
      </c>
      <c r="M401" t="str">
        <f t="shared" si="41"/>
        <v>&gt;0.74</v>
      </c>
      <c r="N401">
        <v>0</v>
      </c>
      <c r="O401">
        <v>0</v>
      </c>
      <c r="P401">
        <v>0.99990000000000001</v>
      </c>
      <c r="Q401">
        <v>0</v>
      </c>
      <c r="R401">
        <v>0</v>
      </c>
      <c r="S401">
        <v>0</v>
      </c>
      <c r="T401">
        <v>0</v>
      </c>
      <c r="U401">
        <v>0</v>
      </c>
      <c r="V401" s="1">
        <v>2.0000000000000002E-5</v>
      </c>
      <c r="W401" s="1">
        <f t="shared" si="42"/>
        <v>0.99990000000000001</v>
      </c>
      <c r="X401" t="s">
        <v>242</v>
      </c>
      <c r="Y401" t="str">
        <f>VLOOKUP(X401,Sheet1!A:B,2,FALSE)</f>
        <v>Quercus alba L.</v>
      </c>
      <c r="Z401" t="s">
        <v>1386</v>
      </c>
      <c r="AB401" s="1">
        <f t="shared" si="43"/>
        <v>0.99990000000000001</v>
      </c>
      <c r="AD401" t="str">
        <f>IF(W401&lt;0.99,LARGE((N401:R401,U401,V401),2),"0")</f>
        <v>0</v>
      </c>
      <c r="AE401" t="str">
        <f t="shared" si="44"/>
        <v/>
      </c>
      <c r="AH401" t="str">
        <f t="shared" si="40"/>
        <v xml:space="preserve">Based on ADMIXTURE results of 78,187 SNPs, </v>
      </c>
    </row>
    <row r="402" spans="1:34" x14ac:dyDescent="0.4">
      <c r="A402">
        <v>126</v>
      </c>
      <c r="B402" t="s">
        <v>243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22</v>
      </c>
      <c r="J402">
        <v>1</v>
      </c>
      <c r="K402">
        <v>0</v>
      </c>
      <c r="L402" t="s">
        <v>23</v>
      </c>
      <c r="M402" t="str">
        <f t="shared" si="41"/>
        <v>&gt;0.74</v>
      </c>
      <c r="N402">
        <v>0.99990000000000001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s="1">
        <v>2.0000000000000002E-5</v>
      </c>
      <c r="W402" s="1">
        <f t="shared" si="42"/>
        <v>0.99990000000000001</v>
      </c>
      <c r="X402" t="s">
        <v>244</v>
      </c>
      <c r="Y402" t="str">
        <f>VLOOKUP(X402,Sheet1!A:B,2,FALSE)</f>
        <v>Quercus stellata Wangenh.</v>
      </c>
      <c r="Z402" t="s">
        <v>1385</v>
      </c>
      <c r="AB402" s="1">
        <f t="shared" si="43"/>
        <v>0.99990000000000001</v>
      </c>
      <c r="AD402" t="str">
        <f>IF(W402&lt;0.99,LARGE((N402:R402,U402,V402),2),"0")</f>
        <v>0</v>
      </c>
      <c r="AE402" t="str">
        <f t="shared" si="44"/>
        <v/>
      </c>
      <c r="AH402" t="str">
        <f t="shared" si="40"/>
        <v xml:space="preserve">Based on ADMIXTURE results of 78,187 SNPs, </v>
      </c>
    </row>
    <row r="403" spans="1:34" x14ac:dyDescent="0.4">
      <c r="A403">
        <v>127</v>
      </c>
      <c r="B403" t="s">
        <v>245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22</v>
      </c>
      <c r="J403">
        <v>1</v>
      </c>
      <c r="K403">
        <v>0</v>
      </c>
      <c r="L403" t="s">
        <v>23</v>
      </c>
      <c r="M403" t="str">
        <f t="shared" si="41"/>
        <v>&gt;0.74</v>
      </c>
      <c r="N403">
        <v>0.99990000000000001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s="1">
        <v>2.0000000000000002E-5</v>
      </c>
      <c r="W403" s="1">
        <f t="shared" si="42"/>
        <v>0.99990000000000001</v>
      </c>
      <c r="X403" t="s">
        <v>246</v>
      </c>
      <c r="Y403" t="str">
        <f>VLOOKUP(X403,Sheet1!A:B,2,FALSE)</f>
        <v>Quercus stellata Wangenh.</v>
      </c>
      <c r="Z403" t="s">
        <v>1385</v>
      </c>
      <c r="AB403" s="1">
        <f t="shared" si="43"/>
        <v>0.99990000000000001</v>
      </c>
      <c r="AD403" t="str">
        <f>IF(W403&lt;0.99,LARGE((N403:R403,U403,V403),2),"0")</f>
        <v>0</v>
      </c>
      <c r="AE403" t="str">
        <f t="shared" si="44"/>
        <v/>
      </c>
      <c r="AH403" t="str">
        <f t="shared" si="40"/>
        <v xml:space="preserve">Based on ADMIXTURE results of 78,187 SNPs, </v>
      </c>
    </row>
    <row r="404" spans="1:34" x14ac:dyDescent="0.4">
      <c r="A404">
        <v>128</v>
      </c>
      <c r="B404" t="s">
        <v>247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 t="s">
        <v>22</v>
      </c>
      <c r="I404" t="s">
        <v>21</v>
      </c>
      <c r="J404">
        <v>1</v>
      </c>
      <c r="K404">
        <v>0</v>
      </c>
      <c r="L404" t="s">
        <v>23</v>
      </c>
      <c r="M404" t="str">
        <f t="shared" si="41"/>
        <v>&gt;0.74</v>
      </c>
      <c r="N404">
        <v>0</v>
      </c>
      <c r="O404">
        <v>0.99990000000000001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1">
        <v>2.0000000000000002E-5</v>
      </c>
      <c r="W404" s="1">
        <f t="shared" si="42"/>
        <v>0.99990000000000001</v>
      </c>
      <c r="X404" t="s">
        <v>248</v>
      </c>
      <c r="Y404" t="str">
        <f>VLOOKUP(X404,Sheet1!A:B,2,FALSE)</f>
        <v>Quercus muehlenbergii Engelm.</v>
      </c>
      <c r="Z404" t="s">
        <v>1387</v>
      </c>
      <c r="AB404" s="1">
        <f t="shared" si="43"/>
        <v>0.99990000000000001</v>
      </c>
      <c r="AD404" t="str">
        <f>IF(W404&lt;0.99,LARGE((N404:R404,U404,V404),2),"0")</f>
        <v>0</v>
      </c>
      <c r="AE404" t="str">
        <f t="shared" si="44"/>
        <v/>
      </c>
      <c r="AH404" t="str">
        <f t="shared" si="40"/>
        <v xml:space="preserve">Based on ADMIXTURE results of 78,187 SNPs, </v>
      </c>
    </row>
    <row r="405" spans="1:34" x14ac:dyDescent="0.4">
      <c r="A405">
        <v>129</v>
      </c>
      <c r="B405" t="s">
        <v>249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22</v>
      </c>
      <c r="I405" t="s">
        <v>21</v>
      </c>
      <c r="J405">
        <v>1</v>
      </c>
      <c r="K405">
        <v>0</v>
      </c>
      <c r="L405" t="s">
        <v>23</v>
      </c>
      <c r="M405" t="str">
        <f t="shared" si="41"/>
        <v>&gt;0.74</v>
      </c>
      <c r="N405">
        <v>0</v>
      </c>
      <c r="O405">
        <v>0.99990000000000001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1">
        <v>2.3E-5</v>
      </c>
      <c r="W405" s="1">
        <f t="shared" si="42"/>
        <v>0.99990000000000001</v>
      </c>
      <c r="X405" t="s">
        <v>250</v>
      </c>
      <c r="Y405" t="str">
        <f>VLOOKUP(X405,Sheet1!A:B,2,FALSE)</f>
        <v>Quercus muehlenbergii Engelm.</v>
      </c>
      <c r="Z405" t="s">
        <v>1387</v>
      </c>
      <c r="AB405" s="1">
        <f t="shared" si="43"/>
        <v>0.99990000000000001</v>
      </c>
      <c r="AD405" t="str">
        <f>IF(W405&lt;0.99,LARGE((N405:R405,U405,V405),2),"0")</f>
        <v>0</v>
      </c>
      <c r="AE405" t="str">
        <f t="shared" si="44"/>
        <v/>
      </c>
      <c r="AH405" t="str">
        <f t="shared" si="40"/>
        <v xml:space="preserve">Based on ADMIXTURE results of 78,187 SNPs, </v>
      </c>
    </row>
    <row r="406" spans="1:34" x14ac:dyDescent="0.4">
      <c r="A406">
        <v>130</v>
      </c>
      <c r="B406" t="s">
        <v>251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22</v>
      </c>
      <c r="I406" t="s">
        <v>21</v>
      </c>
      <c r="J406">
        <v>1</v>
      </c>
      <c r="K406">
        <v>0</v>
      </c>
      <c r="L406" t="s">
        <v>23</v>
      </c>
      <c r="M406" t="str">
        <f t="shared" si="41"/>
        <v>&gt;0.74</v>
      </c>
      <c r="N406">
        <v>0</v>
      </c>
      <c r="O406">
        <v>0.99990000000000001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1">
        <v>2.0000000000000002E-5</v>
      </c>
      <c r="W406" s="1">
        <f t="shared" si="42"/>
        <v>0.99990000000000001</v>
      </c>
      <c r="X406" t="s">
        <v>252</v>
      </c>
      <c r="Y406" t="str">
        <f>VLOOKUP(X406,Sheet1!A:B,2,FALSE)</f>
        <v>Quercus muehlenbergii Engelm.</v>
      </c>
      <c r="Z406" t="s">
        <v>1387</v>
      </c>
      <c r="AB406" s="1">
        <f t="shared" si="43"/>
        <v>0.99990000000000001</v>
      </c>
      <c r="AD406" t="str">
        <f>IF(W406&lt;0.99,LARGE((N406:R406,U406,V406),2),"0")</f>
        <v>0</v>
      </c>
      <c r="AE406" t="str">
        <f t="shared" si="44"/>
        <v/>
      </c>
      <c r="AH406" t="str">
        <f t="shared" si="40"/>
        <v xml:space="preserve">Based on ADMIXTURE results of 78,187 SNPs, </v>
      </c>
    </row>
    <row r="407" spans="1:34" x14ac:dyDescent="0.4">
      <c r="A407">
        <v>131</v>
      </c>
      <c r="B407" t="s">
        <v>253</v>
      </c>
      <c r="C407" t="s">
        <v>21</v>
      </c>
      <c r="D407" t="s">
        <v>21</v>
      </c>
      <c r="E407" t="s">
        <v>21</v>
      </c>
      <c r="F407" t="s">
        <v>21</v>
      </c>
      <c r="G407" t="s">
        <v>21</v>
      </c>
      <c r="H407" t="s">
        <v>22</v>
      </c>
      <c r="I407" t="s">
        <v>21</v>
      </c>
      <c r="J407">
        <v>1</v>
      </c>
      <c r="K407">
        <v>0</v>
      </c>
      <c r="L407" t="s">
        <v>23</v>
      </c>
      <c r="M407" t="str">
        <f t="shared" si="41"/>
        <v>&gt;0.74</v>
      </c>
      <c r="N407">
        <v>0</v>
      </c>
      <c r="O407">
        <v>0.99990000000000001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s="1">
        <v>2.0000000000000002E-5</v>
      </c>
      <c r="W407" s="1">
        <f t="shared" si="42"/>
        <v>0.99990000000000001</v>
      </c>
      <c r="X407" t="s">
        <v>254</v>
      </c>
      <c r="Y407" t="str">
        <f>VLOOKUP(X407,Sheet1!A:B,2,FALSE)</f>
        <v>Quercus muehlenbergii Engelm.</v>
      </c>
      <c r="Z407" t="s">
        <v>1387</v>
      </c>
      <c r="AB407" s="1">
        <f t="shared" si="43"/>
        <v>0.99990000000000001</v>
      </c>
      <c r="AD407" t="str">
        <f>IF(W407&lt;0.99,LARGE((N407:R407,U407,V407),2),"0")</f>
        <v>0</v>
      </c>
      <c r="AE407" t="str">
        <f t="shared" si="44"/>
        <v/>
      </c>
      <c r="AH407" t="str">
        <f t="shared" si="40"/>
        <v xml:space="preserve">Based on ADMIXTURE results of 78,187 SNPs, </v>
      </c>
    </row>
    <row r="408" spans="1:34" x14ac:dyDescent="0.4">
      <c r="A408">
        <v>132</v>
      </c>
      <c r="B408" t="s">
        <v>255</v>
      </c>
      <c r="C408" t="s">
        <v>22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>
        <v>1</v>
      </c>
      <c r="K408">
        <v>0</v>
      </c>
      <c r="L408" t="s">
        <v>23</v>
      </c>
      <c r="M408" t="str">
        <f t="shared" si="41"/>
        <v>&gt;0.74</v>
      </c>
      <c r="N408">
        <v>0</v>
      </c>
      <c r="O408">
        <v>0</v>
      </c>
      <c r="P408">
        <v>0.99990000000000001</v>
      </c>
      <c r="Q408">
        <v>0</v>
      </c>
      <c r="R408">
        <v>0</v>
      </c>
      <c r="S408">
        <v>0</v>
      </c>
      <c r="T408">
        <v>0</v>
      </c>
      <c r="U408">
        <v>0</v>
      </c>
      <c r="V408" s="1">
        <v>2.0000000000000002E-5</v>
      </c>
      <c r="W408" s="1">
        <f t="shared" si="42"/>
        <v>0.99990000000000001</v>
      </c>
      <c r="X408" t="s">
        <v>256</v>
      </c>
      <c r="Y408" t="str">
        <f>VLOOKUP(X408,Sheet1!A:B,2,FALSE)</f>
        <v>Quercus alba L.</v>
      </c>
      <c r="Z408" t="s">
        <v>1386</v>
      </c>
      <c r="AB408" s="1">
        <f t="shared" si="43"/>
        <v>0.99990000000000001</v>
      </c>
      <c r="AD408" t="str">
        <f>IF(W408&lt;0.99,LARGE((N408:R408,U408,V408),2),"0")</f>
        <v>0</v>
      </c>
      <c r="AE408" t="str">
        <f t="shared" si="44"/>
        <v/>
      </c>
      <c r="AH408" t="str">
        <f t="shared" si="40"/>
        <v xml:space="preserve">Based on ADMIXTURE results of 78,187 SNPs, </v>
      </c>
    </row>
    <row r="409" spans="1:34" x14ac:dyDescent="0.4">
      <c r="A409">
        <v>133</v>
      </c>
      <c r="B409" t="s">
        <v>257</v>
      </c>
      <c r="C409" t="s">
        <v>22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>
        <v>1</v>
      </c>
      <c r="K409">
        <v>0</v>
      </c>
      <c r="L409" t="s">
        <v>23</v>
      </c>
      <c r="M409" t="str">
        <f t="shared" si="41"/>
        <v>&gt;0.74</v>
      </c>
      <c r="N409">
        <v>0</v>
      </c>
      <c r="O409">
        <v>0</v>
      </c>
      <c r="P409">
        <v>0.99990000000000001</v>
      </c>
      <c r="Q409">
        <v>0</v>
      </c>
      <c r="R409">
        <v>0</v>
      </c>
      <c r="S409">
        <v>0</v>
      </c>
      <c r="T409">
        <v>0</v>
      </c>
      <c r="U409">
        <v>0</v>
      </c>
      <c r="V409" s="1">
        <v>2.0000000000000002E-5</v>
      </c>
      <c r="W409" s="1">
        <f t="shared" si="42"/>
        <v>0.99990000000000001</v>
      </c>
      <c r="X409" t="s">
        <v>258</v>
      </c>
      <c r="Y409" t="str">
        <f>VLOOKUP(X409,Sheet1!A:B,2,FALSE)</f>
        <v>Quercus alba L.</v>
      </c>
      <c r="Z409" t="s">
        <v>1386</v>
      </c>
      <c r="AB409" s="1">
        <f t="shared" si="43"/>
        <v>0.99990000000000001</v>
      </c>
      <c r="AD409" t="str">
        <f>IF(W409&lt;0.99,LARGE((N409:R409,U409,V409),2),"0")</f>
        <v>0</v>
      </c>
      <c r="AE409" t="str">
        <f t="shared" si="44"/>
        <v/>
      </c>
      <c r="AH409" t="str">
        <f t="shared" si="40"/>
        <v xml:space="preserve">Based on ADMIXTURE results of 78,187 SNPs, </v>
      </c>
    </row>
    <row r="410" spans="1:34" x14ac:dyDescent="0.4">
      <c r="A410">
        <v>134</v>
      </c>
      <c r="B410" t="s">
        <v>259</v>
      </c>
      <c r="C410" t="s">
        <v>21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22</v>
      </c>
      <c r="J410">
        <v>1</v>
      </c>
      <c r="K410">
        <v>0</v>
      </c>
      <c r="L410" t="s">
        <v>23</v>
      </c>
      <c r="M410" t="str">
        <f t="shared" si="41"/>
        <v>&gt;0.74</v>
      </c>
      <c r="N410">
        <v>0.99990000000000001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s="1">
        <v>2.0000000000000002E-5</v>
      </c>
      <c r="W410" s="1">
        <f t="shared" si="42"/>
        <v>0.99990000000000001</v>
      </c>
      <c r="X410" t="s">
        <v>260</v>
      </c>
      <c r="Y410" t="str">
        <f>VLOOKUP(X410,Sheet1!A:B,2,FALSE)</f>
        <v>Quercus stellata Wangenh.</v>
      </c>
      <c r="Z410" t="s">
        <v>1385</v>
      </c>
      <c r="AB410" s="1">
        <f t="shared" si="43"/>
        <v>0.99990000000000001</v>
      </c>
      <c r="AD410" t="str">
        <f>IF(W410&lt;0.99,LARGE((N410:R410,U410,V410),2),"0")</f>
        <v>0</v>
      </c>
      <c r="AE410" t="str">
        <f t="shared" si="44"/>
        <v/>
      </c>
      <c r="AH410" t="str">
        <f t="shared" si="40"/>
        <v xml:space="preserve">Based on ADMIXTURE results of 78,187 SNPs, </v>
      </c>
    </row>
    <row r="411" spans="1:34" x14ac:dyDescent="0.4">
      <c r="A411">
        <v>135</v>
      </c>
      <c r="B411" t="s">
        <v>261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 t="s">
        <v>22</v>
      </c>
      <c r="I411" t="s">
        <v>21</v>
      </c>
      <c r="J411">
        <v>1</v>
      </c>
      <c r="K411">
        <v>0</v>
      </c>
      <c r="L411" t="s">
        <v>23</v>
      </c>
      <c r="M411" t="str">
        <f t="shared" si="41"/>
        <v>&gt;0.74</v>
      </c>
      <c r="N411">
        <v>0</v>
      </c>
      <c r="O411">
        <v>0.99990000000000001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1">
        <v>2.0000000000000002E-5</v>
      </c>
      <c r="W411" s="1">
        <f t="shared" si="42"/>
        <v>0.99990000000000001</v>
      </c>
      <c r="X411" t="s">
        <v>262</v>
      </c>
      <c r="Y411" t="str">
        <f>VLOOKUP(X411,Sheet1!A:B,2,FALSE)</f>
        <v>Quercus prinoides Willd.</v>
      </c>
      <c r="Z411" t="s">
        <v>1390</v>
      </c>
      <c r="AB411" s="1">
        <f t="shared" si="43"/>
        <v>0.99990000000000001</v>
      </c>
      <c r="AD411" t="str">
        <f>IF(W411&lt;0.99,LARGE((N411:R411,U411,V411),2),"0")</f>
        <v>0</v>
      </c>
      <c r="AE411" t="str">
        <f t="shared" si="44"/>
        <v/>
      </c>
      <c r="AH411" t="str">
        <f t="shared" si="40"/>
        <v xml:space="preserve">Based on ADMIXTURE results of 78,187 SNPs, </v>
      </c>
    </row>
    <row r="412" spans="1:34" x14ac:dyDescent="0.4">
      <c r="A412">
        <v>136</v>
      </c>
      <c r="B412" t="s">
        <v>263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22</v>
      </c>
      <c r="I412" t="s">
        <v>21</v>
      </c>
      <c r="J412">
        <v>1</v>
      </c>
      <c r="K412">
        <v>0</v>
      </c>
      <c r="L412" t="s">
        <v>23</v>
      </c>
      <c r="M412" t="str">
        <f t="shared" si="41"/>
        <v>&gt;0.74</v>
      </c>
      <c r="N412">
        <v>0</v>
      </c>
      <c r="O412">
        <v>0.99990000000000001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1">
        <v>2.0000000000000002E-5</v>
      </c>
      <c r="W412" s="1">
        <f t="shared" si="42"/>
        <v>0.99990000000000001</v>
      </c>
      <c r="X412" t="s">
        <v>264</v>
      </c>
      <c r="Y412" t="str">
        <f>VLOOKUP(X412,Sheet1!A:B,2,FALSE)</f>
        <v>Quercus prinoides Willd.</v>
      </c>
      <c r="Z412" t="s">
        <v>1390</v>
      </c>
      <c r="AB412" s="1">
        <f t="shared" si="43"/>
        <v>0.99990000000000001</v>
      </c>
      <c r="AD412" t="str">
        <f>IF(W412&lt;0.99,LARGE((N412:R412,U412,V412),2),"0")</f>
        <v>0</v>
      </c>
      <c r="AE412" t="str">
        <f t="shared" si="44"/>
        <v/>
      </c>
      <c r="AH412" t="str">
        <f t="shared" si="40"/>
        <v xml:space="preserve">Based on ADMIXTURE results of 78,187 SNPs, </v>
      </c>
    </row>
    <row r="413" spans="1:34" x14ac:dyDescent="0.4">
      <c r="A413">
        <v>137</v>
      </c>
      <c r="B413" t="s">
        <v>265</v>
      </c>
      <c r="C413" t="s">
        <v>21</v>
      </c>
      <c r="D413" t="s">
        <v>21</v>
      </c>
      <c r="E413" t="s">
        <v>21</v>
      </c>
      <c r="F413" t="s">
        <v>21</v>
      </c>
      <c r="G413" t="s">
        <v>21</v>
      </c>
      <c r="H413" t="s">
        <v>21</v>
      </c>
      <c r="I413" t="s">
        <v>22</v>
      </c>
      <c r="J413">
        <v>1</v>
      </c>
      <c r="K413">
        <v>0</v>
      </c>
      <c r="L413" t="s">
        <v>23</v>
      </c>
      <c r="M413" t="str">
        <f t="shared" si="41"/>
        <v>&gt;0.74</v>
      </c>
      <c r="N413">
        <v>0.99990000000000001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1">
        <v>2.0000000000000002E-5</v>
      </c>
      <c r="W413" s="1">
        <f t="shared" si="42"/>
        <v>0.99990000000000001</v>
      </c>
      <c r="X413" t="s">
        <v>266</v>
      </c>
      <c r="Y413" t="str">
        <f>VLOOKUP(X413,Sheet1!A:B,2,FALSE)</f>
        <v>Quercus stellata Wangenh.</v>
      </c>
      <c r="Z413" t="s">
        <v>1385</v>
      </c>
      <c r="AB413" s="1">
        <f t="shared" si="43"/>
        <v>0.99990000000000001</v>
      </c>
      <c r="AD413" t="str">
        <f>IF(W413&lt;0.99,LARGE((N413:R413,U413,V413),2),"0")</f>
        <v>0</v>
      </c>
      <c r="AE413" t="str">
        <f t="shared" si="44"/>
        <v/>
      </c>
      <c r="AH413" t="str">
        <f t="shared" si="40"/>
        <v xml:space="preserve">Based on ADMIXTURE results of 78,187 SNPs, </v>
      </c>
    </row>
    <row r="414" spans="1:34" x14ac:dyDescent="0.4">
      <c r="A414">
        <v>138</v>
      </c>
      <c r="B414" t="s">
        <v>267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22</v>
      </c>
      <c r="I414" t="s">
        <v>21</v>
      </c>
      <c r="J414">
        <v>1</v>
      </c>
      <c r="K414">
        <v>0</v>
      </c>
      <c r="L414" t="s">
        <v>23</v>
      </c>
      <c r="M414" t="str">
        <f t="shared" si="41"/>
        <v>&gt;0.74</v>
      </c>
      <c r="N414">
        <v>0</v>
      </c>
      <c r="O414">
        <v>0.99990000000000001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1">
        <v>2.0000000000000002E-5</v>
      </c>
      <c r="W414" s="1">
        <f t="shared" si="42"/>
        <v>0.99990000000000001</v>
      </c>
      <c r="X414" t="s">
        <v>268</v>
      </c>
      <c r="Y414" t="str">
        <f>VLOOKUP(X414,Sheet1!A:B,2,FALSE)</f>
        <v>Quercus prinoides Willd.</v>
      </c>
      <c r="Z414" t="s">
        <v>1390</v>
      </c>
      <c r="AB414" s="1">
        <f t="shared" si="43"/>
        <v>0.99990000000000001</v>
      </c>
      <c r="AD414" t="str">
        <f>IF(W414&lt;0.99,LARGE((N414:R414,U414,V414),2),"0")</f>
        <v>0</v>
      </c>
      <c r="AE414" t="str">
        <f t="shared" si="44"/>
        <v/>
      </c>
      <c r="AH414" t="str">
        <f t="shared" si="40"/>
        <v xml:space="preserve">Based on ADMIXTURE results of 78,187 SNPs, </v>
      </c>
    </row>
    <row r="415" spans="1:34" x14ac:dyDescent="0.4">
      <c r="A415">
        <v>139</v>
      </c>
      <c r="B415" t="s">
        <v>269</v>
      </c>
      <c r="C415" t="s">
        <v>21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22</v>
      </c>
      <c r="J415">
        <v>1</v>
      </c>
      <c r="K415">
        <v>0</v>
      </c>
      <c r="L415" t="s">
        <v>23</v>
      </c>
      <c r="M415" t="str">
        <f t="shared" si="41"/>
        <v>&gt;0.74</v>
      </c>
      <c r="N415">
        <v>0.99990000000000001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1">
        <v>2.0000000000000002E-5</v>
      </c>
      <c r="W415" s="1">
        <f t="shared" si="42"/>
        <v>0.99990000000000001</v>
      </c>
      <c r="X415" t="s">
        <v>270</v>
      </c>
      <c r="Y415" t="str">
        <f>VLOOKUP(X415,Sheet1!A:B,2,FALSE)</f>
        <v>Quercus stellata Wangenh.</v>
      </c>
      <c r="Z415" t="s">
        <v>1385</v>
      </c>
      <c r="AB415" s="1">
        <f t="shared" si="43"/>
        <v>0.99990000000000001</v>
      </c>
      <c r="AD415" t="str">
        <f>IF(W415&lt;0.99,LARGE((N415:R415,U415,V415),2),"0")</f>
        <v>0</v>
      </c>
      <c r="AE415" t="str">
        <f t="shared" si="44"/>
        <v/>
      </c>
      <c r="AH415" t="str">
        <f t="shared" si="40"/>
        <v xml:space="preserve">Based on ADMIXTURE results of 78,187 SNPs, </v>
      </c>
    </row>
    <row r="416" spans="1:34" x14ac:dyDescent="0.4">
      <c r="A416">
        <v>140</v>
      </c>
      <c r="B416" t="s">
        <v>271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 t="s">
        <v>22</v>
      </c>
      <c r="I416" t="s">
        <v>21</v>
      </c>
      <c r="J416">
        <v>1</v>
      </c>
      <c r="K416">
        <v>0</v>
      </c>
      <c r="L416" t="s">
        <v>23</v>
      </c>
      <c r="M416" t="str">
        <f t="shared" si="41"/>
        <v>&gt;0.74</v>
      </c>
      <c r="N416">
        <v>0</v>
      </c>
      <c r="O416">
        <v>0.99570000000000003</v>
      </c>
      <c r="P416">
        <v>4.3E-3</v>
      </c>
      <c r="Q416">
        <v>0</v>
      </c>
      <c r="R416">
        <v>0</v>
      </c>
      <c r="S416">
        <v>0</v>
      </c>
      <c r="T416">
        <v>0</v>
      </c>
      <c r="U416">
        <v>0</v>
      </c>
      <c r="V416" s="1">
        <v>2.0000000000000002E-5</v>
      </c>
      <c r="W416" s="1">
        <f t="shared" si="42"/>
        <v>0.99570000000000003</v>
      </c>
      <c r="X416" t="s">
        <v>272</v>
      </c>
      <c r="Y416" t="str">
        <f>VLOOKUP(X416,Sheet1!A:B,2,FALSE)</f>
        <v>Quercus prinoides Willd.</v>
      </c>
      <c r="Z416" t="s">
        <v>1390</v>
      </c>
      <c r="AB416" s="1">
        <f t="shared" si="43"/>
        <v>0.99570000000000003</v>
      </c>
      <c r="AD416" t="str">
        <f>IF(W416&lt;0.99,LARGE((N416:R416,U416,V416),2),"0")</f>
        <v>0</v>
      </c>
      <c r="AE416" t="str">
        <f t="shared" si="44"/>
        <v/>
      </c>
      <c r="AH416" t="str">
        <f t="shared" si="40"/>
        <v xml:space="preserve">Based on ADMIXTURE results of 78,187 SNPs, </v>
      </c>
    </row>
    <row r="417" spans="1:34" x14ac:dyDescent="0.4">
      <c r="A417">
        <v>21</v>
      </c>
      <c r="B417" t="s">
        <v>32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22</v>
      </c>
      <c r="J417">
        <v>1</v>
      </c>
      <c r="K417">
        <v>0</v>
      </c>
      <c r="L417" t="s">
        <v>23</v>
      </c>
      <c r="M417" t="str">
        <f t="shared" si="41"/>
        <v>&gt;0.74</v>
      </c>
      <c r="N417">
        <v>0.99990000000000001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1">
        <v>2.0000000000000002E-5</v>
      </c>
      <c r="W417" s="1">
        <f t="shared" si="42"/>
        <v>0.99990000000000001</v>
      </c>
      <c r="X417" t="s">
        <v>33</v>
      </c>
      <c r="Y417" t="str">
        <f>VLOOKUP(X417,Sheet1!A:B,2,FALSE)</f>
        <v>Quercus stellata Wangenh.</v>
      </c>
      <c r="Z417" t="s">
        <v>1385</v>
      </c>
      <c r="AB417" s="1">
        <f t="shared" si="43"/>
        <v>0.99990000000000001</v>
      </c>
      <c r="AD417" t="str">
        <f>IF(W417&lt;0.99,LARGE((N417:R417,U417,V417),2),"0")</f>
        <v>0</v>
      </c>
      <c r="AE417" t="str">
        <f t="shared" si="44"/>
        <v/>
      </c>
      <c r="AH417" t="str">
        <f t="shared" si="40"/>
        <v xml:space="preserve">Based on ADMIXTURE results of 78,187 SNPs, </v>
      </c>
    </row>
    <row r="418" spans="1:34" x14ac:dyDescent="0.4">
      <c r="A418">
        <v>22</v>
      </c>
      <c r="B418" t="s">
        <v>34</v>
      </c>
      <c r="C418" t="s">
        <v>21</v>
      </c>
      <c r="D418" t="s">
        <v>21</v>
      </c>
      <c r="E418" t="s">
        <v>21</v>
      </c>
      <c r="F418" t="s">
        <v>22</v>
      </c>
      <c r="G418" t="s">
        <v>21</v>
      </c>
      <c r="H418" t="s">
        <v>21</v>
      </c>
      <c r="I418" t="s">
        <v>21</v>
      </c>
      <c r="J418">
        <v>1</v>
      </c>
      <c r="K418">
        <v>0</v>
      </c>
      <c r="L418" t="s">
        <v>23</v>
      </c>
      <c r="M418" t="str">
        <f t="shared" si="41"/>
        <v>&gt;0.74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0.91059999999999997</v>
      </c>
      <c r="T418">
        <v>8.9300000000000004E-2</v>
      </c>
      <c r="U418">
        <v>0</v>
      </c>
      <c r="V418">
        <v>0.99994000000000005</v>
      </c>
      <c r="W418" s="1">
        <f t="shared" si="42"/>
        <v>0.99994000000000005</v>
      </c>
      <c r="X418" t="s">
        <v>35</v>
      </c>
      <c r="Y418" t="str">
        <f>VLOOKUP(X418,Sheet1!A:B,2,FALSE)</f>
        <v>Quercus macrocarpa Michx.</v>
      </c>
      <c r="Z418" t="s">
        <v>1384</v>
      </c>
      <c r="AB418" s="1">
        <f t="shared" si="43"/>
        <v>0.99994000000000005</v>
      </c>
      <c r="AD418" t="str">
        <f>IF(W418&lt;0.99,LARGE((N418:R418,U418,V418),2),"0")</f>
        <v>0</v>
      </c>
      <c r="AE418" t="str">
        <f t="shared" si="44"/>
        <v/>
      </c>
      <c r="AH418" t="str">
        <f t="shared" si="40"/>
        <v xml:space="preserve">Based on ADMIXTURE results of 78,187 SNPs, </v>
      </c>
    </row>
    <row r="419" spans="1:34" x14ac:dyDescent="0.4">
      <c r="A419">
        <v>23</v>
      </c>
      <c r="B419" t="s">
        <v>36</v>
      </c>
      <c r="C419" t="s">
        <v>21</v>
      </c>
      <c r="D419" t="s">
        <v>21</v>
      </c>
      <c r="E419" t="s">
        <v>21</v>
      </c>
      <c r="F419" t="s">
        <v>22</v>
      </c>
      <c r="G419" t="s">
        <v>21</v>
      </c>
      <c r="H419" t="s">
        <v>21</v>
      </c>
      <c r="I419" t="s">
        <v>21</v>
      </c>
      <c r="J419">
        <v>1</v>
      </c>
      <c r="K419">
        <v>0</v>
      </c>
      <c r="L419" t="s">
        <v>23</v>
      </c>
      <c r="M419" t="str">
        <f t="shared" si="41"/>
        <v>&gt;0.74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0.83079999999999998</v>
      </c>
      <c r="T419">
        <v>0.16919999999999999</v>
      </c>
      <c r="U419">
        <v>0</v>
      </c>
      <c r="V419">
        <v>0.99994000000000005</v>
      </c>
      <c r="W419" s="1">
        <f t="shared" si="42"/>
        <v>0.99994000000000005</v>
      </c>
      <c r="X419" t="s">
        <v>37</v>
      </c>
      <c r="Y419" t="str">
        <f>VLOOKUP(X419,Sheet1!A:B,2,FALSE)</f>
        <v>Quercus macrocarpa Michx.</v>
      </c>
      <c r="Z419" t="s">
        <v>1384</v>
      </c>
      <c r="AB419" s="1">
        <f t="shared" si="43"/>
        <v>0.99994000000000005</v>
      </c>
      <c r="AD419" t="str">
        <f>IF(W419&lt;0.99,LARGE((N419:R419,U419,V419),2),"0")</f>
        <v>0</v>
      </c>
      <c r="AE419" t="str">
        <f t="shared" si="44"/>
        <v/>
      </c>
      <c r="AH419" t="str">
        <f t="shared" si="40"/>
        <v xml:space="preserve">Based on ADMIXTURE results of 78,187 SNPs, </v>
      </c>
    </row>
    <row r="420" spans="1:34" x14ac:dyDescent="0.4">
      <c r="A420">
        <v>24</v>
      </c>
      <c r="B420" t="s">
        <v>38</v>
      </c>
      <c r="C420" t="s">
        <v>21</v>
      </c>
      <c r="D420" t="s">
        <v>21</v>
      </c>
      <c r="E420" t="s">
        <v>21</v>
      </c>
      <c r="F420" t="s">
        <v>22</v>
      </c>
      <c r="G420" t="s">
        <v>21</v>
      </c>
      <c r="H420" t="s">
        <v>21</v>
      </c>
      <c r="I420" t="s">
        <v>21</v>
      </c>
      <c r="J420">
        <v>1</v>
      </c>
      <c r="K420">
        <v>0</v>
      </c>
      <c r="L420" t="s">
        <v>23</v>
      </c>
      <c r="M420" t="str">
        <f t="shared" si="41"/>
        <v>&gt;0.74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0.95469999999999999</v>
      </c>
      <c r="T420">
        <v>4.5199999999999997E-2</v>
      </c>
      <c r="U420">
        <v>0</v>
      </c>
      <c r="V420">
        <v>0.99994000000000005</v>
      </c>
      <c r="W420" s="1">
        <f t="shared" si="42"/>
        <v>0.99994000000000005</v>
      </c>
      <c r="X420" t="s">
        <v>39</v>
      </c>
      <c r="Y420" t="str">
        <f>VLOOKUP(X420,Sheet1!A:B,2,FALSE)</f>
        <v>Quercus macrocarpa Michx.</v>
      </c>
      <c r="Z420" t="s">
        <v>1384</v>
      </c>
      <c r="AB420" s="1">
        <f t="shared" si="43"/>
        <v>0.99994000000000005</v>
      </c>
      <c r="AD420" t="str">
        <f>IF(W420&lt;0.99,LARGE((N420:R420,U420,V420),2),"0")</f>
        <v>0</v>
      </c>
      <c r="AE420" t="str">
        <f t="shared" si="44"/>
        <v/>
      </c>
      <c r="AH420" t="str">
        <f t="shared" si="40"/>
        <v xml:space="preserve">Based on ADMIXTURE results of 78,187 SNPs, </v>
      </c>
    </row>
    <row r="421" spans="1:34" x14ac:dyDescent="0.4">
      <c r="A421">
        <v>25</v>
      </c>
      <c r="B421" t="s">
        <v>40</v>
      </c>
      <c r="C421" t="s">
        <v>21</v>
      </c>
      <c r="D421" t="s">
        <v>21</v>
      </c>
      <c r="E421" t="s">
        <v>21</v>
      </c>
      <c r="F421" t="s">
        <v>22</v>
      </c>
      <c r="G421" t="s">
        <v>21</v>
      </c>
      <c r="H421" t="s">
        <v>21</v>
      </c>
      <c r="I421" t="s">
        <v>21</v>
      </c>
      <c r="J421">
        <v>1</v>
      </c>
      <c r="K421">
        <v>0</v>
      </c>
      <c r="L421" t="s">
        <v>23</v>
      </c>
      <c r="M421" t="str">
        <f t="shared" si="41"/>
        <v>&gt;0.74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0.94740000000000002</v>
      </c>
      <c r="T421">
        <v>5.2600000000000001E-2</v>
      </c>
      <c r="U421">
        <v>0</v>
      </c>
      <c r="V421">
        <v>0.99994000000000005</v>
      </c>
      <c r="W421" s="1">
        <f t="shared" si="42"/>
        <v>0.99994000000000005</v>
      </c>
      <c r="X421" t="s">
        <v>41</v>
      </c>
      <c r="Y421" t="str">
        <f>VLOOKUP(X421,Sheet1!A:B,2,FALSE)</f>
        <v>Quercus macrocarpa Michx.</v>
      </c>
      <c r="Z421" t="s">
        <v>1384</v>
      </c>
      <c r="AB421" s="1">
        <f t="shared" si="43"/>
        <v>0.99994000000000005</v>
      </c>
      <c r="AD421" t="str">
        <f>IF(W421&lt;0.99,LARGE((N421:R421,U421,V421),2),"0")</f>
        <v>0</v>
      </c>
      <c r="AE421" t="str">
        <f t="shared" si="44"/>
        <v/>
      </c>
      <c r="AH421" t="str">
        <f t="shared" si="40"/>
        <v xml:space="preserve">Based on ADMIXTURE results of 78,187 SNPs, </v>
      </c>
    </row>
    <row r="422" spans="1:34" x14ac:dyDescent="0.4">
      <c r="A422">
        <v>26</v>
      </c>
      <c r="B422" t="s">
        <v>42</v>
      </c>
      <c r="C422" t="s">
        <v>21</v>
      </c>
      <c r="D422" t="s">
        <v>21</v>
      </c>
      <c r="E422" t="s">
        <v>21</v>
      </c>
      <c r="F422" t="s">
        <v>22</v>
      </c>
      <c r="G422" t="s">
        <v>21</v>
      </c>
      <c r="H422" t="s">
        <v>21</v>
      </c>
      <c r="I422" t="s">
        <v>21</v>
      </c>
      <c r="J422">
        <v>1</v>
      </c>
      <c r="K422">
        <v>0</v>
      </c>
      <c r="L422" t="s">
        <v>23</v>
      </c>
      <c r="M422" t="str">
        <f t="shared" si="41"/>
        <v>&gt;0.74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0.99990000000000001</v>
      </c>
      <c r="T422">
        <v>0</v>
      </c>
      <c r="U422">
        <v>0</v>
      </c>
      <c r="V422">
        <v>0.99994000000000005</v>
      </c>
      <c r="W422" s="1">
        <f t="shared" si="42"/>
        <v>0.99994000000000005</v>
      </c>
      <c r="X422" t="s">
        <v>43</v>
      </c>
      <c r="Y422" t="str">
        <f>VLOOKUP(X422,Sheet1!A:B,2,FALSE)</f>
        <v>Quercus macrocarpa Michx.</v>
      </c>
      <c r="Z422" t="s">
        <v>1384</v>
      </c>
      <c r="AB422" s="1">
        <f t="shared" si="43"/>
        <v>0.99994000000000005</v>
      </c>
      <c r="AD422" t="str">
        <f>IF(W422&lt;0.99,LARGE((N422:R422,U422,V422),2),"0")</f>
        <v>0</v>
      </c>
      <c r="AE422" t="str">
        <f t="shared" si="44"/>
        <v/>
      </c>
      <c r="AH422" t="str">
        <f t="shared" si="40"/>
        <v xml:space="preserve">Based on ADMIXTURE results of 78,187 SNPs, </v>
      </c>
    </row>
    <row r="423" spans="1:34" x14ac:dyDescent="0.4">
      <c r="A423">
        <v>27</v>
      </c>
      <c r="B423" t="s">
        <v>44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22</v>
      </c>
      <c r="I423" t="s">
        <v>21</v>
      </c>
      <c r="J423">
        <v>1</v>
      </c>
      <c r="K423">
        <v>0</v>
      </c>
      <c r="L423" t="s">
        <v>23</v>
      </c>
      <c r="M423" t="str">
        <f t="shared" si="41"/>
        <v>&gt;0.74</v>
      </c>
      <c r="N423">
        <v>0</v>
      </c>
      <c r="O423">
        <v>0.99990000000000001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1">
        <v>2.0000000000000002E-5</v>
      </c>
      <c r="W423" s="1">
        <f t="shared" si="42"/>
        <v>0.99990000000000001</v>
      </c>
      <c r="X423" t="s">
        <v>45</v>
      </c>
      <c r="Y423" t="str">
        <f>VLOOKUP(X423,Sheet1!A:B,2,FALSE)</f>
        <v>Quercus muehlenbergii Engelm.</v>
      </c>
      <c r="Z423" t="s">
        <v>1387</v>
      </c>
      <c r="AB423" s="1">
        <f t="shared" si="43"/>
        <v>0.99990000000000001</v>
      </c>
      <c r="AD423" t="str">
        <f>IF(W423&lt;0.99,LARGE((N423:R423,U423,V423),2),"0")</f>
        <v>0</v>
      </c>
      <c r="AE423" t="str">
        <f t="shared" si="44"/>
        <v/>
      </c>
      <c r="AH423" t="str">
        <f t="shared" si="40"/>
        <v xml:space="preserve">Based on ADMIXTURE results of 78,187 SNPs, </v>
      </c>
    </row>
    <row r="424" spans="1:34" x14ac:dyDescent="0.4">
      <c r="A424">
        <v>28</v>
      </c>
      <c r="B424" t="s">
        <v>46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 t="s">
        <v>22</v>
      </c>
      <c r="I424" t="s">
        <v>21</v>
      </c>
      <c r="J424">
        <v>1</v>
      </c>
      <c r="K424">
        <v>0</v>
      </c>
      <c r="L424" t="s">
        <v>23</v>
      </c>
      <c r="M424" t="str">
        <f t="shared" si="41"/>
        <v>&gt;0.74</v>
      </c>
      <c r="N424">
        <v>0</v>
      </c>
      <c r="O424">
        <v>0.99990000000000001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s="1">
        <v>2.0000000000000002E-5</v>
      </c>
      <c r="W424" s="1">
        <f t="shared" si="42"/>
        <v>0.99990000000000001</v>
      </c>
      <c r="X424" t="s">
        <v>47</v>
      </c>
      <c r="Y424" t="str">
        <f>VLOOKUP(X424,Sheet1!A:B,2,FALSE)</f>
        <v>Quercus muehlenbergii Engelm.</v>
      </c>
      <c r="Z424" t="s">
        <v>1387</v>
      </c>
      <c r="AB424" s="1">
        <f t="shared" si="43"/>
        <v>0.99990000000000001</v>
      </c>
      <c r="AD424" t="str">
        <f>IF(W424&lt;0.99,LARGE((N424:R424,U424,V424),2),"0")</f>
        <v>0</v>
      </c>
      <c r="AE424" t="str">
        <f t="shared" si="44"/>
        <v/>
      </c>
      <c r="AH424" t="str">
        <f t="shared" si="40"/>
        <v xml:space="preserve">Based on ADMIXTURE results of 78,187 SNPs, </v>
      </c>
    </row>
    <row r="425" spans="1:34" x14ac:dyDescent="0.4">
      <c r="A425">
        <v>29</v>
      </c>
      <c r="B425" t="s">
        <v>48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22</v>
      </c>
      <c r="I425" t="s">
        <v>21</v>
      </c>
      <c r="J425">
        <v>1</v>
      </c>
      <c r="K425">
        <v>0</v>
      </c>
      <c r="L425" t="s">
        <v>23</v>
      </c>
      <c r="M425" t="str">
        <f t="shared" si="41"/>
        <v>&gt;0.74</v>
      </c>
      <c r="N425">
        <v>0</v>
      </c>
      <c r="O425">
        <v>0.99990000000000001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1">
        <v>2.0000000000000002E-5</v>
      </c>
      <c r="W425" s="1">
        <f t="shared" si="42"/>
        <v>0.99990000000000001</v>
      </c>
      <c r="X425" t="s">
        <v>49</v>
      </c>
      <c r="Y425" t="str">
        <f>VLOOKUP(X425,Sheet1!A:B,2,FALSE)</f>
        <v>Quercus muehlenbergii Engelm.</v>
      </c>
      <c r="Z425" t="s">
        <v>1387</v>
      </c>
      <c r="AB425" s="1">
        <f t="shared" si="43"/>
        <v>0.99990000000000001</v>
      </c>
      <c r="AD425" t="str">
        <f>IF(W425&lt;0.99,LARGE((N425:R425,U425,V425),2),"0")</f>
        <v>0</v>
      </c>
      <c r="AE425" t="str">
        <f t="shared" si="44"/>
        <v/>
      </c>
      <c r="AH425" t="str">
        <f t="shared" si="40"/>
        <v xml:space="preserve">Based on ADMIXTURE results of 78,187 SNPs, </v>
      </c>
    </row>
    <row r="426" spans="1:34" x14ac:dyDescent="0.4">
      <c r="A426">
        <v>43</v>
      </c>
      <c r="B426" t="s">
        <v>76</v>
      </c>
      <c r="C426" t="s">
        <v>21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22</v>
      </c>
      <c r="J426">
        <v>1</v>
      </c>
      <c r="K426">
        <v>0</v>
      </c>
      <c r="L426" t="s">
        <v>23</v>
      </c>
      <c r="M426" t="str">
        <f t="shared" si="41"/>
        <v>&gt;0.74</v>
      </c>
      <c r="N426">
        <v>0.99990000000000001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1">
        <v>2.0000000000000002E-5</v>
      </c>
      <c r="W426" s="1">
        <f t="shared" si="42"/>
        <v>0.99990000000000001</v>
      </c>
      <c r="X426" t="s">
        <v>77</v>
      </c>
      <c r="Y426" t="str">
        <f>VLOOKUP(X426,Sheet1!A:B,2,FALSE)</f>
        <v>Quercus stellata Wangenh.</v>
      </c>
      <c r="Z426" t="s">
        <v>1385</v>
      </c>
      <c r="AB426" s="1">
        <f t="shared" si="43"/>
        <v>0.99990000000000001</v>
      </c>
      <c r="AD426" t="str">
        <f>IF(W426&lt;0.99,LARGE((N426:R426,U426,V426),2),"0")</f>
        <v>0</v>
      </c>
      <c r="AE426" t="str">
        <f t="shared" si="44"/>
        <v/>
      </c>
      <c r="AH426" t="str">
        <f t="shared" si="40"/>
        <v xml:space="preserve">Based on ADMIXTURE results of 78,187 SNPs, </v>
      </c>
    </row>
    <row r="427" spans="1:34" x14ac:dyDescent="0.4">
      <c r="A427">
        <v>44</v>
      </c>
      <c r="B427" t="s">
        <v>78</v>
      </c>
      <c r="C427" t="s">
        <v>22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>
        <v>1</v>
      </c>
      <c r="K427">
        <v>0</v>
      </c>
      <c r="L427" t="s">
        <v>23</v>
      </c>
      <c r="M427" t="str">
        <f t="shared" si="41"/>
        <v>&gt;0.74</v>
      </c>
      <c r="N427">
        <v>0</v>
      </c>
      <c r="O427">
        <v>0</v>
      </c>
      <c r="P427">
        <v>0.99990000000000001</v>
      </c>
      <c r="Q427">
        <v>0</v>
      </c>
      <c r="R427">
        <v>0</v>
      </c>
      <c r="S427">
        <v>0</v>
      </c>
      <c r="T427">
        <v>0</v>
      </c>
      <c r="U427">
        <v>0</v>
      </c>
      <c r="V427" s="1">
        <v>2.0000000000000002E-5</v>
      </c>
      <c r="W427" s="1">
        <f t="shared" si="42"/>
        <v>0.99990000000000001</v>
      </c>
      <c r="X427" t="s">
        <v>79</v>
      </c>
      <c r="Y427" t="str">
        <f>VLOOKUP(X427,Sheet1!A:B,2,FALSE)</f>
        <v>Quercus alba L.</v>
      </c>
      <c r="Z427" t="s">
        <v>1386</v>
      </c>
      <c r="AB427" s="1">
        <f t="shared" si="43"/>
        <v>0.99990000000000001</v>
      </c>
      <c r="AD427" t="str">
        <f>IF(W427&lt;0.99,LARGE((N427:R427,U427,V427),2),"0")</f>
        <v>0</v>
      </c>
      <c r="AE427" t="str">
        <f t="shared" ref="AE427:AE458" si="45">IF(AND(AB427&lt;0.99,AD427&gt;0.1),"admixed with",IF(AND(AB427&lt;0.99,AD427&gt;0.01),"trace admixed with ",""))</f>
        <v/>
      </c>
      <c r="AH427" t="str">
        <f t="shared" si="40"/>
        <v xml:space="preserve">Based on ADMIXTURE results of 78,187 SNPs, </v>
      </c>
    </row>
    <row r="428" spans="1:34" x14ac:dyDescent="0.4">
      <c r="A428">
        <v>45</v>
      </c>
      <c r="B428" t="s">
        <v>80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22</v>
      </c>
      <c r="I428" t="s">
        <v>21</v>
      </c>
      <c r="J428">
        <v>1</v>
      </c>
      <c r="K428">
        <v>0</v>
      </c>
      <c r="L428" t="s">
        <v>23</v>
      </c>
      <c r="M428" t="str">
        <f t="shared" si="41"/>
        <v>&gt;0.74</v>
      </c>
      <c r="N428">
        <v>0</v>
      </c>
      <c r="O428">
        <v>0.99990000000000001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s="1">
        <v>2.0000000000000002E-5</v>
      </c>
      <c r="W428" s="1">
        <f t="shared" si="42"/>
        <v>0.99990000000000001</v>
      </c>
      <c r="X428" t="s">
        <v>81</v>
      </c>
      <c r="Y428" t="str">
        <f>VLOOKUP(X428,Sheet1!A:B,2,FALSE)</f>
        <v>Quercus muehlenbergii Engelm.</v>
      </c>
      <c r="Z428" t="s">
        <v>1387</v>
      </c>
      <c r="AB428" s="1">
        <f t="shared" si="43"/>
        <v>0.99990000000000001</v>
      </c>
      <c r="AD428" t="str">
        <f>IF(W428&lt;0.99,LARGE((N428:R428,U428,V428),2),"0")</f>
        <v>0</v>
      </c>
      <c r="AE428" t="str">
        <f t="shared" si="45"/>
        <v/>
      </c>
      <c r="AH428" t="str">
        <f t="shared" si="40"/>
        <v xml:space="preserve">Based on ADMIXTURE results of 78,187 SNPs, </v>
      </c>
    </row>
    <row r="429" spans="1:34" x14ac:dyDescent="0.4">
      <c r="A429">
        <v>46</v>
      </c>
      <c r="B429" t="s">
        <v>82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22</v>
      </c>
      <c r="I429" t="s">
        <v>21</v>
      </c>
      <c r="J429">
        <v>1</v>
      </c>
      <c r="K429">
        <v>0</v>
      </c>
      <c r="L429" t="s">
        <v>23</v>
      </c>
      <c r="M429" t="str">
        <f t="shared" si="41"/>
        <v>&gt;0.74</v>
      </c>
      <c r="N429">
        <v>0</v>
      </c>
      <c r="O429">
        <v>0.99990000000000001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s="1">
        <v>2.0000000000000002E-5</v>
      </c>
      <c r="W429" s="1">
        <f t="shared" si="42"/>
        <v>0.99990000000000001</v>
      </c>
      <c r="X429" t="s">
        <v>83</v>
      </c>
      <c r="Y429" t="str">
        <f>VLOOKUP(X429,Sheet1!A:B,2,FALSE)</f>
        <v>Quercus muehlenbergii Engelm.</v>
      </c>
      <c r="Z429" t="s">
        <v>1387</v>
      </c>
      <c r="AB429" s="1">
        <f t="shared" si="43"/>
        <v>0.99990000000000001</v>
      </c>
      <c r="AD429" t="str">
        <f>IF(W429&lt;0.99,LARGE((N429:R429,U429,V429),2),"0")</f>
        <v>0</v>
      </c>
      <c r="AE429" t="str">
        <f t="shared" si="45"/>
        <v/>
      </c>
      <c r="AH429" t="str">
        <f t="shared" si="40"/>
        <v xml:space="preserve">Based on ADMIXTURE results of 78,187 SNPs, </v>
      </c>
    </row>
    <row r="430" spans="1:34" x14ac:dyDescent="0.4">
      <c r="A430">
        <v>47</v>
      </c>
      <c r="B430" t="s">
        <v>84</v>
      </c>
      <c r="C430" t="s">
        <v>22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>
        <v>1</v>
      </c>
      <c r="K430">
        <v>0</v>
      </c>
      <c r="L430" t="s">
        <v>23</v>
      </c>
      <c r="M430" t="str">
        <f t="shared" si="41"/>
        <v>&gt;0.74</v>
      </c>
      <c r="N430">
        <v>0</v>
      </c>
      <c r="O430">
        <v>0</v>
      </c>
      <c r="P430">
        <v>0.99990000000000001</v>
      </c>
      <c r="Q430">
        <v>0</v>
      </c>
      <c r="R430">
        <v>0</v>
      </c>
      <c r="S430">
        <v>0</v>
      </c>
      <c r="T430">
        <v>0</v>
      </c>
      <c r="U430">
        <v>0</v>
      </c>
      <c r="V430" s="1">
        <v>2.0000000000000002E-5</v>
      </c>
      <c r="W430" s="1">
        <f t="shared" si="42"/>
        <v>0.99990000000000001</v>
      </c>
      <c r="X430" t="s">
        <v>85</v>
      </c>
      <c r="Y430" t="str">
        <f>VLOOKUP(X430,Sheet1!A:B,2,FALSE)</f>
        <v>Quercus alba L.</v>
      </c>
      <c r="Z430" t="s">
        <v>1386</v>
      </c>
      <c r="AB430" s="1">
        <f t="shared" si="43"/>
        <v>0.99990000000000001</v>
      </c>
      <c r="AD430" t="str">
        <f>IF(W430&lt;0.99,LARGE((N430:R430,U430,V430),2),"0")</f>
        <v>0</v>
      </c>
      <c r="AE430" t="str">
        <f t="shared" si="45"/>
        <v/>
      </c>
      <c r="AH430" t="str">
        <f t="shared" si="40"/>
        <v xml:space="preserve">Based on ADMIXTURE results of 78,187 SNPs, </v>
      </c>
    </row>
    <row r="431" spans="1:34" x14ac:dyDescent="0.4">
      <c r="A431">
        <v>48</v>
      </c>
      <c r="B431" t="s">
        <v>86</v>
      </c>
      <c r="C431" t="s">
        <v>21</v>
      </c>
      <c r="D431" t="s">
        <v>21</v>
      </c>
      <c r="E431" t="s">
        <v>21</v>
      </c>
      <c r="F431" t="s">
        <v>21</v>
      </c>
      <c r="G431" t="s">
        <v>21</v>
      </c>
      <c r="H431" t="s">
        <v>21</v>
      </c>
      <c r="I431" t="s">
        <v>22</v>
      </c>
      <c r="J431">
        <v>1</v>
      </c>
      <c r="K431">
        <v>0</v>
      </c>
      <c r="L431" t="s">
        <v>23</v>
      </c>
      <c r="M431" t="str">
        <f t="shared" si="41"/>
        <v>&gt;0.74</v>
      </c>
      <c r="N431">
        <v>0.99990000000000001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s="1">
        <v>2.0000000000000002E-5</v>
      </c>
      <c r="W431" s="1">
        <f t="shared" si="42"/>
        <v>0.99990000000000001</v>
      </c>
      <c r="X431" t="s">
        <v>87</v>
      </c>
      <c r="Y431" t="str">
        <f>VLOOKUP(X431,Sheet1!A:B,2,FALSE)</f>
        <v>Quercus stellata Wangenh.</v>
      </c>
      <c r="Z431" t="s">
        <v>1385</v>
      </c>
      <c r="AB431" s="1">
        <f t="shared" si="43"/>
        <v>0.99990000000000001</v>
      </c>
      <c r="AD431" t="str">
        <f>IF(W431&lt;0.99,LARGE((N431:R431,U431,V431),2),"0")</f>
        <v>0</v>
      </c>
      <c r="AE431" t="str">
        <f t="shared" si="45"/>
        <v/>
      </c>
      <c r="AH431" t="str">
        <f t="shared" si="40"/>
        <v xml:space="preserve">Based on ADMIXTURE results of 78,187 SNPs, </v>
      </c>
    </row>
    <row r="432" spans="1:34" x14ac:dyDescent="0.4">
      <c r="A432">
        <v>49</v>
      </c>
      <c r="B432" t="s">
        <v>88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22</v>
      </c>
      <c r="J432">
        <v>1</v>
      </c>
      <c r="K432">
        <v>0</v>
      </c>
      <c r="L432" t="s">
        <v>23</v>
      </c>
      <c r="M432" t="str">
        <f t="shared" si="41"/>
        <v>&gt;0.74</v>
      </c>
      <c r="N432">
        <v>0.99990000000000001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1">
        <v>2.0000000000000002E-5</v>
      </c>
      <c r="W432" s="1">
        <f t="shared" si="42"/>
        <v>0.99990000000000001</v>
      </c>
      <c r="X432" t="s">
        <v>89</v>
      </c>
      <c r="Y432" t="str">
        <f>VLOOKUP(X432,Sheet1!A:B,2,FALSE)</f>
        <v>Quercus stellata Wangenh.</v>
      </c>
      <c r="Z432" t="s">
        <v>1385</v>
      </c>
      <c r="AB432" s="1">
        <f t="shared" si="43"/>
        <v>0.99990000000000001</v>
      </c>
      <c r="AD432" t="str">
        <f>IF(W432&lt;0.99,LARGE((N432:R432,U432,V432),2),"0")</f>
        <v>0</v>
      </c>
      <c r="AE432" t="str">
        <f t="shared" si="45"/>
        <v/>
      </c>
      <c r="AH432" t="str">
        <f t="shared" si="40"/>
        <v xml:space="preserve">Based on ADMIXTURE results of 78,187 SNPs, </v>
      </c>
    </row>
    <row r="433" spans="1:34" x14ac:dyDescent="0.4">
      <c r="A433">
        <v>50</v>
      </c>
      <c r="B433" t="s">
        <v>90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22</v>
      </c>
      <c r="J433">
        <v>1</v>
      </c>
      <c r="K433">
        <v>0</v>
      </c>
      <c r="L433" t="s">
        <v>23</v>
      </c>
      <c r="M433" t="str">
        <f t="shared" si="41"/>
        <v>&gt;0.74</v>
      </c>
      <c r="N433">
        <v>0.99990000000000001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s="1">
        <v>2.0000000000000002E-5</v>
      </c>
      <c r="W433" s="1">
        <f t="shared" si="42"/>
        <v>0.99990000000000001</v>
      </c>
      <c r="X433" t="s">
        <v>91</v>
      </c>
      <c r="Y433" t="str">
        <f>VLOOKUP(X433,Sheet1!A:B,2,FALSE)</f>
        <v>Quercus stellata Wangenh.</v>
      </c>
      <c r="Z433" t="s">
        <v>1385</v>
      </c>
      <c r="AB433" s="1">
        <f t="shared" si="43"/>
        <v>0.99990000000000001</v>
      </c>
      <c r="AD433" t="str">
        <f>IF(W433&lt;0.99,LARGE((N433:R433,U433,V433),2),"0")</f>
        <v>0</v>
      </c>
      <c r="AE433" t="str">
        <f t="shared" si="45"/>
        <v/>
      </c>
      <c r="AH433" t="str">
        <f t="shared" si="40"/>
        <v xml:space="preserve">Based on ADMIXTURE results of 78,187 SNPs, </v>
      </c>
    </row>
    <row r="434" spans="1:34" x14ac:dyDescent="0.4">
      <c r="A434">
        <v>51</v>
      </c>
      <c r="B434" t="s">
        <v>92</v>
      </c>
      <c r="C434" t="s">
        <v>22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>
        <v>1</v>
      </c>
      <c r="K434">
        <v>0</v>
      </c>
      <c r="L434" t="s">
        <v>23</v>
      </c>
      <c r="M434" t="str">
        <f t="shared" si="41"/>
        <v>&gt;0.74</v>
      </c>
      <c r="N434">
        <v>0</v>
      </c>
      <c r="O434">
        <v>0</v>
      </c>
      <c r="P434">
        <v>0.99990000000000001</v>
      </c>
      <c r="Q434">
        <v>0</v>
      </c>
      <c r="R434">
        <v>0</v>
      </c>
      <c r="S434">
        <v>0</v>
      </c>
      <c r="T434">
        <v>0</v>
      </c>
      <c r="U434">
        <v>0</v>
      </c>
      <c r="V434" s="1">
        <v>2.0000000000000002E-5</v>
      </c>
      <c r="W434" s="1">
        <f t="shared" si="42"/>
        <v>0.99990000000000001</v>
      </c>
      <c r="X434" t="s">
        <v>93</v>
      </c>
      <c r="Y434" t="str">
        <f>VLOOKUP(X434,Sheet1!A:B,2,FALSE)</f>
        <v>Quercus alba L.</v>
      </c>
      <c r="Z434" t="s">
        <v>1386</v>
      </c>
      <c r="AB434" s="1">
        <f t="shared" si="43"/>
        <v>0.99990000000000001</v>
      </c>
      <c r="AD434" t="str">
        <f>IF(W434&lt;0.99,LARGE((N434:R434,U434,V434),2),"0")</f>
        <v>0</v>
      </c>
      <c r="AE434" t="str">
        <f t="shared" si="45"/>
        <v/>
      </c>
      <c r="AH434" t="str">
        <f t="shared" si="40"/>
        <v xml:space="preserve">Based on ADMIXTURE results of 78,187 SNPs, </v>
      </c>
    </row>
    <row r="435" spans="1:34" x14ac:dyDescent="0.4">
      <c r="A435">
        <v>52</v>
      </c>
      <c r="B435" t="s">
        <v>94</v>
      </c>
      <c r="C435" t="s">
        <v>22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>
        <v>1</v>
      </c>
      <c r="K435">
        <v>0</v>
      </c>
      <c r="L435" t="s">
        <v>23</v>
      </c>
      <c r="M435" t="str">
        <f t="shared" si="41"/>
        <v>&gt;0.74</v>
      </c>
      <c r="N435">
        <v>0</v>
      </c>
      <c r="O435">
        <v>0</v>
      </c>
      <c r="P435">
        <v>0.99990000000000001</v>
      </c>
      <c r="Q435">
        <v>0</v>
      </c>
      <c r="R435">
        <v>0</v>
      </c>
      <c r="S435">
        <v>0</v>
      </c>
      <c r="T435">
        <v>0</v>
      </c>
      <c r="U435">
        <v>0</v>
      </c>
      <c r="V435" s="1">
        <v>2.0000000000000002E-5</v>
      </c>
      <c r="W435" s="1">
        <f t="shared" si="42"/>
        <v>0.99990000000000001</v>
      </c>
      <c r="X435" t="s">
        <v>95</v>
      </c>
      <c r="Y435" t="str">
        <f>VLOOKUP(X435,Sheet1!A:B,2,FALSE)</f>
        <v>Quercus alba L.</v>
      </c>
      <c r="Z435" t="s">
        <v>1386</v>
      </c>
      <c r="AB435" s="1">
        <f t="shared" si="43"/>
        <v>0.99990000000000001</v>
      </c>
      <c r="AD435" t="str">
        <f>IF(W435&lt;0.99,LARGE((N435:R435,U435,V435),2),"0")</f>
        <v>0</v>
      </c>
      <c r="AE435" t="str">
        <f t="shared" si="45"/>
        <v/>
      </c>
      <c r="AH435" t="str">
        <f t="shared" si="40"/>
        <v xml:space="preserve">Based on ADMIXTURE results of 78,187 SNPs, </v>
      </c>
    </row>
    <row r="436" spans="1:34" x14ac:dyDescent="0.4">
      <c r="A436">
        <v>53</v>
      </c>
      <c r="B436" t="s">
        <v>96</v>
      </c>
      <c r="C436" t="s">
        <v>22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>
        <v>1</v>
      </c>
      <c r="K436">
        <v>0</v>
      </c>
      <c r="L436" t="s">
        <v>23</v>
      </c>
      <c r="M436" t="str">
        <f t="shared" si="41"/>
        <v>&gt;0.74</v>
      </c>
      <c r="N436">
        <v>0</v>
      </c>
      <c r="O436">
        <v>0</v>
      </c>
      <c r="P436">
        <v>0.99990000000000001</v>
      </c>
      <c r="Q436">
        <v>0</v>
      </c>
      <c r="R436">
        <v>0</v>
      </c>
      <c r="S436">
        <v>0</v>
      </c>
      <c r="T436">
        <v>0</v>
      </c>
      <c r="U436">
        <v>0</v>
      </c>
      <c r="V436" s="1">
        <v>2.0000000000000002E-5</v>
      </c>
      <c r="W436" s="1">
        <f t="shared" si="42"/>
        <v>0.99990000000000001</v>
      </c>
      <c r="X436" t="s">
        <v>97</v>
      </c>
      <c r="Y436" t="str">
        <f>VLOOKUP(X436,Sheet1!A:B,2,FALSE)</f>
        <v>Quercus alba L.</v>
      </c>
      <c r="Z436" t="s">
        <v>1386</v>
      </c>
      <c r="AB436" s="1">
        <f t="shared" si="43"/>
        <v>0.99990000000000001</v>
      </c>
      <c r="AD436" t="str">
        <f>IF(W436&lt;0.99,LARGE((N436:R436,U436,V436),2),"0")</f>
        <v>0</v>
      </c>
      <c r="AE436" t="str">
        <f t="shared" si="45"/>
        <v/>
      </c>
      <c r="AH436" t="str">
        <f t="shared" si="40"/>
        <v xml:space="preserve">Based on ADMIXTURE results of 78,187 SNPs, </v>
      </c>
    </row>
    <row r="437" spans="1:34" x14ac:dyDescent="0.4">
      <c r="A437">
        <v>107</v>
      </c>
      <c r="B437" t="s">
        <v>205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 t="s">
        <v>21</v>
      </c>
      <c r="I437" t="s">
        <v>22</v>
      </c>
      <c r="J437">
        <v>1</v>
      </c>
      <c r="K437">
        <v>0</v>
      </c>
      <c r="L437" t="s">
        <v>23</v>
      </c>
      <c r="M437" t="str">
        <f t="shared" si="41"/>
        <v>&gt;0.74</v>
      </c>
      <c r="N437">
        <v>0.99990000000000001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1">
        <v>2.0000000000000002E-5</v>
      </c>
      <c r="W437" s="1">
        <f t="shared" si="42"/>
        <v>0.99990000000000001</v>
      </c>
      <c r="X437" t="s">
        <v>206</v>
      </c>
      <c r="Y437" t="str">
        <f>VLOOKUP(X437,Sheet1!A:B,2,FALSE)</f>
        <v>Quercus stellata Wangenh.</v>
      </c>
      <c r="Z437" t="s">
        <v>1385</v>
      </c>
      <c r="AB437" s="1">
        <f t="shared" si="43"/>
        <v>0.99990000000000001</v>
      </c>
      <c r="AD437" t="str">
        <f>IF(W437&lt;0.99,LARGE((N437:R437,U437,V437),2),"0")</f>
        <v>0</v>
      </c>
      <c r="AE437" t="str">
        <f t="shared" si="45"/>
        <v/>
      </c>
      <c r="AH437" t="str">
        <f t="shared" si="40"/>
        <v xml:space="preserve">Based on ADMIXTURE results of 78,187 SNPs, </v>
      </c>
    </row>
    <row r="438" spans="1:34" x14ac:dyDescent="0.4">
      <c r="A438">
        <v>108</v>
      </c>
      <c r="B438" t="s">
        <v>207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22</v>
      </c>
      <c r="I438" t="s">
        <v>21</v>
      </c>
      <c r="J438">
        <v>1</v>
      </c>
      <c r="K438">
        <v>0</v>
      </c>
      <c r="L438" t="s">
        <v>23</v>
      </c>
      <c r="M438" t="str">
        <f t="shared" si="41"/>
        <v>&gt;0.74</v>
      </c>
      <c r="N438">
        <v>0</v>
      </c>
      <c r="O438">
        <v>0.99990000000000001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1">
        <v>2.0000000000000002E-5</v>
      </c>
      <c r="W438" s="1">
        <f t="shared" si="42"/>
        <v>0.99990000000000001</v>
      </c>
      <c r="X438" t="s">
        <v>208</v>
      </c>
      <c r="Y438" t="str">
        <f>VLOOKUP(X438,Sheet1!A:B,2,FALSE)</f>
        <v>Quercus muehlenbergii Engelm.</v>
      </c>
      <c r="Z438" t="s">
        <v>1387</v>
      </c>
      <c r="AB438" s="1">
        <f t="shared" si="43"/>
        <v>0.99990000000000001</v>
      </c>
      <c r="AD438" t="str">
        <f>IF(W438&lt;0.99,LARGE((N438:R438,U438,V438),2),"0")</f>
        <v>0</v>
      </c>
      <c r="AE438" t="str">
        <f t="shared" si="45"/>
        <v/>
      </c>
      <c r="AH438" t="str">
        <f t="shared" si="40"/>
        <v xml:space="preserve">Based on ADMIXTURE results of 78,187 SNPs, </v>
      </c>
    </row>
    <row r="439" spans="1:34" x14ac:dyDescent="0.4">
      <c r="A439">
        <v>109</v>
      </c>
      <c r="B439" t="s">
        <v>209</v>
      </c>
      <c r="C439" t="s">
        <v>22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>
        <v>1</v>
      </c>
      <c r="K439">
        <v>0</v>
      </c>
      <c r="L439" t="s">
        <v>23</v>
      </c>
      <c r="M439" t="str">
        <f t="shared" si="41"/>
        <v>&gt;0.74</v>
      </c>
      <c r="N439">
        <v>0</v>
      </c>
      <c r="O439">
        <v>0</v>
      </c>
      <c r="P439">
        <v>0.99990000000000001</v>
      </c>
      <c r="Q439">
        <v>0</v>
      </c>
      <c r="R439">
        <v>0</v>
      </c>
      <c r="S439">
        <v>0</v>
      </c>
      <c r="T439">
        <v>0</v>
      </c>
      <c r="U439">
        <v>0</v>
      </c>
      <c r="V439" s="1">
        <v>2.0000000000000002E-5</v>
      </c>
      <c r="W439" s="1">
        <f t="shared" si="42"/>
        <v>0.99990000000000001</v>
      </c>
      <c r="X439" t="s">
        <v>210</v>
      </c>
      <c r="Y439" t="str">
        <f>VLOOKUP(X439,Sheet1!A:B,2,FALSE)</f>
        <v>Quercus alba L.</v>
      </c>
      <c r="Z439" t="s">
        <v>1386</v>
      </c>
      <c r="AB439" s="1">
        <f t="shared" si="43"/>
        <v>0.99990000000000001</v>
      </c>
      <c r="AD439" t="str">
        <f>IF(W439&lt;0.99,LARGE((N439:R439,U439,V439),2),"0")</f>
        <v>0</v>
      </c>
      <c r="AE439" t="str">
        <f t="shared" si="45"/>
        <v/>
      </c>
      <c r="AH439" t="str">
        <f t="shared" si="40"/>
        <v xml:space="preserve">Based on ADMIXTURE results of 78,187 SNPs, </v>
      </c>
    </row>
    <row r="440" spans="1:34" x14ac:dyDescent="0.4">
      <c r="A440">
        <v>110</v>
      </c>
      <c r="B440" t="s">
        <v>211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22</v>
      </c>
      <c r="I440" t="s">
        <v>21</v>
      </c>
      <c r="J440">
        <v>1</v>
      </c>
      <c r="K440">
        <v>0</v>
      </c>
      <c r="L440" t="s">
        <v>23</v>
      </c>
      <c r="M440" t="str">
        <f t="shared" si="41"/>
        <v>&gt;0.74</v>
      </c>
      <c r="N440">
        <v>0</v>
      </c>
      <c r="O440">
        <v>0.98619999999999997</v>
      </c>
      <c r="P440">
        <v>3.8999999999999998E-3</v>
      </c>
      <c r="Q440">
        <v>0</v>
      </c>
      <c r="R440">
        <v>0</v>
      </c>
      <c r="S440">
        <v>9.7999999999999997E-3</v>
      </c>
      <c r="T440">
        <v>0</v>
      </c>
      <c r="U440">
        <v>0</v>
      </c>
      <c r="V440">
        <v>9.8469999999999999E-3</v>
      </c>
      <c r="W440" s="1">
        <f t="shared" si="42"/>
        <v>0.98619999999999997</v>
      </c>
      <c r="X440" t="s">
        <v>212</v>
      </c>
      <c r="Y440" t="str">
        <f>VLOOKUP(X440,Sheet1!A:B,2,FALSE)</f>
        <v>Quercus muehlenbergii Engelm.</v>
      </c>
      <c r="Z440" t="s">
        <v>1387</v>
      </c>
      <c r="AB440" s="1">
        <f t="shared" si="43"/>
        <v>0.98619999999999997</v>
      </c>
      <c r="AD440">
        <f>IF(W440&lt;0.99,LARGE((N440:R440,U440,V440),2),"0")</f>
        <v>9.8469999999999999E-3</v>
      </c>
      <c r="AE440" t="str">
        <f t="shared" si="45"/>
        <v/>
      </c>
      <c r="AH440" t="str">
        <f t="shared" si="40"/>
        <v xml:space="preserve">Based on ADMIXTURE results of 78,187 SNPs, </v>
      </c>
    </row>
    <row r="441" spans="1:34" x14ac:dyDescent="0.4">
      <c r="A441">
        <v>111</v>
      </c>
      <c r="B441" t="s">
        <v>213</v>
      </c>
      <c r="C441" t="s">
        <v>22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>
        <v>1</v>
      </c>
      <c r="K441">
        <v>0</v>
      </c>
      <c r="L441" t="s">
        <v>23</v>
      </c>
      <c r="M441" t="str">
        <f t="shared" si="41"/>
        <v>&gt;0.74</v>
      </c>
      <c r="N441">
        <v>0</v>
      </c>
      <c r="O441">
        <v>0</v>
      </c>
      <c r="P441">
        <v>0.99990000000000001</v>
      </c>
      <c r="Q441">
        <v>0</v>
      </c>
      <c r="R441">
        <v>0</v>
      </c>
      <c r="S441">
        <v>0</v>
      </c>
      <c r="T441">
        <v>0</v>
      </c>
      <c r="U441">
        <v>0</v>
      </c>
      <c r="V441" s="1">
        <v>2.0000000000000002E-5</v>
      </c>
      <c r="W441" s="1">
        <f t="shared" si="42"/>
        <v>0.99990000000000001</v>
      </c>
      <c r="X441" t="s">
        <v>214</v>
      </c>
      <c r="Y441" t="str">
        <f>VLOOKUP(X441,Sheet1!A:B,2,FALSE)</f>
        <v>Quercus alba L.</v>
      </c>
      <c r="Z441" t="s">
        <v>1386</v>
      </c>
      <c r="AB441" s="1">
        <f t="shared" si="43"/>
        <v>0.99990000000000001</v>
      </c>
      <c r="AD441" t="str">
        <f>IF(W441&lt;0.99,LARGE((N441:R441,U441,V441),2),"0")</f>
        <v>0</v>
      </c>
      <c r="AE441" t="str">
        <f t="shared" si="45"/>
        <v/>
      </c>
      <c r="AH441" t="str">
        <f t="shared" si="40"/>
        <v xml:space="preserve">Based on ADMIXTURE results of 78,187 SNPs, </v>
      </c>
    </row>
    <row r="442" spans="1:34" x14ac:dyDescent="0.4">
      <c r="A442">
        <v>112</v>
      </c>
      <c r="B442" t="s">
        <v>215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 t="s">
        <v>21</v>
      </c>
      <c r="I442" t="s">
        <v>22</v>
      </c>
      <c r="J442">
        <v>1</v>
      </c>
      <c r="K442">
        <v>0</v>
      </c>
      <c r="L442" t="s">
        <v>23</v>
      </c>
      <c r="M442" t="str">
        <f t="shared" si="41"/>
        <v>&gt;0.74</v>
      </c>
      <c r="N442">
        <v>0.99990000000000001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s="1">
        <v>2.0000000000000002E-5</v>
      </c>
      <c r="W442" s="1">
        <f t="shared" si="42"/>
        <v>0.99990000000000001</v>
      </c>
      <c r="X442" t="s">
        <v>216</v>
      </c>
      <c r="Y442" t="str">
        <f>VLOOKUP(X442,Sheet1!A:B,2,FALSE)</f>
        <v>Quercus stellata Wangenh.</v>
      </c>
      <c r="Z442" t="s">
        <v>1385</v>
      </c>
      <c r="AB442" s="1">
        <f t="shared" si="43"/>
        <v>0.99990000000000001</v>
      </c>
      <c r="AD442" t="str">
        <f>IF(W442&lt;0.99,LARGE((N442:R442,U442,V442),2),"0")</f>
        <v>0</v>
      </c>
      <c r="AE442" t="str">
        <f t="shared" si="45"/>
        <v/>
      </c>
      <c r="AH442" t="str">
        <f t="shared" si="40"/>
        <v xml:space="preserve">Based on ADMIXTURE results of 78,187 SNPs, </v>
      </c>
    </row>
    <row r="443" spans="1:34" x14ac:dyDescent="0.4">
      <c r="A443">
        <v>113</v>
      </c>
      <c r="B443" t="s">
        <v>217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 t="s">
        <v>22</v>
      </c>
      <c r="I443" t="s">
        <v>21</v>
      </c>
      <c r="J443">
        <v>1</v>
      </c>
      <c r="K443">
        <v>0</v>
      </c>
      <c r="L443" t="s">
        <v>23</v>
      </c>
      <c r="M443" t="str">
        <f t="shared" si="41"/>
        <v>&gt;0.74</v>
      </c>
      <c r="N443">
        <v>0</v>
      </c>
      <c r="O443">
        <v>0.99990000000000001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1">
        <v>2.0000000000000002E-5</v>
      </c>
      <c r="W443" s="1">
        <f t="shared" si="42"/>
        <v>0.99990000000000001</v>
      </c>
      <c r="X443" t="s">
        <v>218</v>
      </c>
      <c r="Y443" t="str">
        <f>VLOOKUP(X443,Sheet1!A:B,2,FALSE)</f>
        <v>Quercus muehlenbergii Engelm.</v>
      </c>
      <c r="Z443" t="s">
        <v>1387</v>
      </c>
      <c r="AB443" s="1">
        <f t="shared" si="43"/>
        <v>0.99990000000000001</v>
      </c>
      <c r="AD443" t="str">
        <f>IF(W443&lt;0.99,LARGE((N443:R443,U443,V443),2),"0")</f>
        <v>0</v>
      </c>
      <c r="AE443" t="str">
        <f t="shared" si="45"/>
        <v/>
      </c>
      <c r="AH443" t="str">
        <f t="shared" ref="AH443:AH506" si="46">_xlfn.CONCAT("Based on ADMIXTURE results of 78,187 SNPs, ",AE443,AC443)</f>
        <v xml:space="preserve">Based on ADMIXTURE results of 78,187 SNPs, </v>
      </c>
    </row>
    <row r="444" spans="1:34" x14ac:dyDescent="0.4">
      <c r="A444">
        <v>114</v>
      </c>
      <c r="B444" t="s">
        <v>219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 t="s">
        <v>22</v>
      </c>
      <c r="I444" t="s">
        <v>21</v>
      </c>
      <c r="J444">
        <v>1</v>
      </c>
      <c r="K444">
        <v>0</v>
      </c>
      <c r="L444" t="s">
        <v>23</v>
      </c>
      <c r="M444" t="str">
        <f t="shared" si="41"/>
        <v>&gt;0.74</v>
      </c>
      <c r="N444">
        <v>0</v>
      </c>
      <c r="O444">
        <v>0.99990000000000001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1">
        <v>2.0000000000000002E-5</v>
      </c>
      <c r="W444" s="1">
        <f t="shared" si="42"/>
        <v>0.99990000000000001</v>
      </c>
      <c r="X444" t="s">
        <v>220</v>
      </c>
      <c r="Y444" t="str">
        <f>VLOOKUP(X444,Sheet1!A:B,2,FALSE)</f>
        <v>Quercus muehlenbergii Engelm.</v>
      </c>
      <c r="Z444" t="s">
        <v>1387</v>
      </c>
      <c r="AB444" s="1">
        <f t="shared" si="43"/>
        <v>0.99990000000000001</v>
      </c>
      <c r="AD444" t="str">
        <f>IF(W444&lt;0.99,LARGE((N444:R444,U444,V444),2),"0")</f>
        <v>0</v>
      </c>
      <c r="AE444" t="str">
        <f t="shared" si="45"/>
        <v/>
      </c>
      <c r="AH444" t="str">
        <f t="shared" si="46"/>
        <v xml:space="preserve">Based on ADMIXTURE results of 78,187 SNPs, </v>
      </c>
    </row>
    <row r="445" spans="1:34" x14ac:dyDescent="0.4">
      <c r="A445">
        <v>115</v>
      </c>
      <c r="B445" t="s">
        <v>221</v>
      </c>
      <c r="C445" t="s">
        <v>21</v>
      </c>
      <c r="D445" t="s">
        <v>21</v>
      </c>
      <c r="E445" t="s">
        <v>21</v>
      </c>
      <c r="F445" t="s">
        <v>21</v>
      </c>
      <c r="G445" t="s">
        <v>21</v>
      </c>
      <c r="H445" t="s">
        <v>21</v>
      </c>
      <c r="I445" t="s">
        <v>22</v>
      </c>
      <c r="J445">
        <v>1</v>
      </c>
      <c r="K445">
        <v>0</v>
      </c>
      <c r="L445" t="s">
        <v>23</v>
      </c>
      <c r="M445" t="str">
        <f t="shared" si="41"/>
        <v>&gt;0.74</v>
      </c>
      <c r="N445">
        <v>0.99990000000000001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1">
        <v>2.0000000000000002E-5</v>
      </c>
      <c r="W445" s="1">
        <f t="shared" si="42"/>
        <v>0.99990000000000001</v>
      </c>
      <c r="X445" t="s">
        <v>222</v>
      </c>
      <c r="Y445" t="str">
        <f>VLOOKUP(X445,Sheet1!A:B,2,FALSE)</f>
        <v>Quercus stellata Wangenh.</v>
      </c>
      <c r="Z445" t="s">
        <v>1385</v>
      </c>
      <c r="AB445" s="1">
        <f t="shared" si="43"/>
        <v>0.99990000000000001</v>
      </c>
      <c r="AD445" t="str">
        <f>IF(W445&lt;0.99,LARGE((N445:R445,U445,V445),2),"0")</f>
        <v>0</v>
      </c>
      <c r="AE445" t="str">
        <f t="shared" si="45"/>
        <v/>
      </c>
      <c r="AH445" t="str">
        <f t="shared" si="46"/>
        <v xml:space="preserve">Based on ADMIXTURE results of 78,187 SNPs, </v>
      </c>
    </row>
    <row r="446" spans="1:34" x14ac:dyDescent="0.4">
      <c r="A446">
        <v>116</v>
      </c>
      <c r="B446" t="s">
        <v>223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21</v>
      </c>
      <c r="I446" t="s">
        <v>22</v>
      </c>
      <c r="J446">
        <v>1</v>
      </c>
      <c r="K446">
        <v>0</v>
      </c>
      <c r="L446" t="s">
        <v>23</v>
      </c>
      <c r="M446" t="str">
        <f t="shared" si="41"/>
        <v>&gt;0.74</v>
      </c>
      <c r="N446">
        <v>0.99990000000000001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s="1">
        <v>2.0000000000000002E-5</v>
      </c>
      <c r="W446" s="1">
        <f t="shared" si="42"/>
        <v>0.99990000000000001</v>
      </c>
      <c r="X446" t="s">
        <v>224</v>
      </c>
      <c r="Y446" t="str">
        <f>VLOOKUP(X446,Sheet1!A:B,2,FALSE)</f>
        <v>Quercus stellata Wangenh.</v>
      </c>
      <c r="Z446" t="s">
        <v>1385</v>
      </c>
      <c r="AB446" s="1">
        <f t="shared" si="43"/>
        <v>0.99990000000000001</v>
      </c>
      <c r="AD446" t="str">
        <f>IF(W446&lt;0.99,LARGE((N446:R446,U446,V446),2),"0")</f>
        <v>0</v>
      </c>
      <c r="AE446" t="str">
        <f t="shared" si="45"/>
        <v/>
      </c>
      <c r="AH446" t="str">
        <f t="shared" si="46"/>
        <v xml:space="preserve">Based on ADMIXTURE results of 78,187 SNPs, </v>
      </c>
    </row>
    <row r="447" spans="1:34" x14ac:dyDescent="0.4">
      <c r="A447">
        <v>117</v>
      </c>
      <c r="B447" t="s">
        <v>225</v>
      </c>
      <c r="C447" t="s">
        <v>21</v>
      </c>
      <c r="D447" t="s">
        <v>21</v>
      </c>
      <c r="E447" t="s">
        <v>21</v>
      </c>
      <c r="F447" t="s">
        <v>21</v>
      </c>
      <c r="G447" t="s">
        <v>21</v>
      </c>
      <c r="H447" t="s">
        <v>22</v>
      </c>
      <c r="I447" t="s">
        <v>21</v>
      </c>
      <c r="J447">
        <v>1</v>
      </c>
      <c r="K447">
        <v>0</v>
      </c>
      <c r="L447" t="s">
        <v>23</v>
      </c>
      <c r="M447" t="str">
        <f t="shared" si="41"/>
        <v>&gt;0.74</v>
      </c>
      <c r="N447">
        <v>0</v>
      </c>
      <c r="O447">
        <v>0.99990000000000001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1">
        <v>2.0000000000000002E-5</v>
      </c>
      <c r="W447" s="1">
        <f t="shared" si="42"/>
        <v>0.99990000000000001</v>
      </c>
      <c r="X447" t="s">
        <v>226</v>
      </c>
      <c r="Y447" t="str">
        <f>VLOOKUP(X447,Sheet1!A:B,2,FALSE)</f>
        <v>Quercus muehlenbergii Engelm.</v>
      </c>
      <c r="Z447" t="s">
        <v>1387</v>
      </c>
      <c r="AB447" s="1">
        <f t="shared" si="43"/>
        <v>0.99990000000000001</v>
      </c>
      <c r="AD447" t="str">
        <f>IF(W447&lt;0.99,LARGE((N447:R447,U447,V447),2),"0")</f>
        <v>0</v>
      </c>
      <c r="AE447" t="str">
        <f t="shared" si="45"/>
        <v/>
      </c>
      <c r="AH447" t="str">
        <f t="shared" si="46"/>
        <v xml:space="preserve">Based on ADMIXTURE results of 78,187 SNPs, </v>
      </c>
    </row>
    <row r="448" spans="1:34" x14ac:dyDescent="0.4">
      <c r="A448">
        <v>118</v>
      </c>
      <c r="B448" t="s">
        <v>227</v>
      </c>
      <c r="C448" t="s">
        <v>22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>
        <v>1</v>
      </c>
      <c r="K448">
        <v>0</v>
      </c>
      <c r="L448" t="s">
        <v>23</v>
      </c>
      <c r="M448" t="str">
        <f t="shared" si="41"/>
        <v>&gt;0.74</v>
      </c>
      <c r="N448">
        <v>0</v>
      </c>
      <c r="O448">
        <v>0</v>
      </c>
      <c r="P448">
        <v>0.99990000000000001</v>
      </c>
      <c r="Q448">
        <v>0</v>
      </c>
      <c r="R448">
        <v>0</v>
      </c>
      <c r="S448">
        <v>0</v>
      </c>
      <c r="T448">
        <v>0</v>
      </c>
      <c r="U448">
        <v>0</v>
      </c>
      <c r="V448" s="1">
        <v>2.0000000000000002E-5</v>
      </c>
      <c r="W448" s="1">
        <f t="shared" si="42"/>
        <v>0.99990000000000001</v>
      </c>
      <c r="X448" t="s">
        <v>228</v>
      </c>
      <c r="Y448" t="str">
        <f>VLOOKUP(X448,Sheet1!A:B,2,FALSE)</f>
        <v>Quercus alba L.</v>
      </c>
      <c r="Z448" t="s">
        <v>1386</v>
      </c>
      <c r="AB448" s="1">
        <f t="shared" si="43"/>
        <v>0.99990000000000001</v>
      </c>
      <c r="AD448" t="str">
        <f>IF(W448&lt;0.99,LARGE((N448:R448,U448,V448),2),"0")</f>
        <v>0</v>
      </c>
      <c r="AE448" t="str">
        <f t="shared" si="45"/>
        <v/>
      </c>
      <c r="AH448" t="str">
        <f t="shared" si="46"/>
        <v xml:space="preserve">Based on ADMIXTURE results of 78,187 SNPs, </v>
      </c>
    </row>
    <row r="449" spans="1:34" x14ac:dyDescent="0.4">
      <c r="A449">
        <v>119</v>
      </c>
      <c r="B449" t="s">
        <v>229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 t="s">
        <v>21</v>
      </c>
      <c r="I449" t="s">
        <v>22</v>
      </c>
      <c r="J449">
        <v>1</v>
      </c>
      <c r="K449">
        <v>0</v>
      </c>
      <c r="L449" t="s">
        <v>23</v>
      </c>
      <c r="M449" t="str">
        <f t="shared" si="41"/>
        <v>&gt;0.74</v>
      </c>
      <c r="N449">
        <v>0.99990000000000001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1">
        <v>2.0000000000000002E-5</v>
      </c>
      <c r="W449" s="1">
        <f t="shared" si="42"/>
        <v>0.99990000000000001</v>
      </c>
      <c r="X449" t="s">
        <v>230</v>
      </c>
      <c r="Y449" t="str">
        <f>VLOOKUP(X449,Sheet1!A:B,2,FALSE)</f>
        <v>Quercus stellata Wangenh.</v>
      </c>
      <c r="Z449" t="s">
        <v>1385</v>
      </c>
      <c r="AB449" s="1">
        <f t="shared" si="43"/>
        <v>0.99990000000000001</v>
      </c>
      <c r="AD449" t="str">
        <f>IF(W449&lt;0.99,LARGE((N449:R449,U449,V449),2),"0")</f>
        <v>0</v>
      </c>
      <c r="AE449" t="str">
        <f t="shared" si="45"/>
        <v/>
      </c>
      <c r="AH449" t="str">
        <f t="shared" si="46"/>
        <v xml:space="preserve">Based on ADMIXTURE results of 78,187 SNPs, </v>
      </c>
    </row>
    <row r="450" spans="1:34" x14ac:dyDescent="0.4">
      <c r="A450">
        <v>120</v>
      </c>
      <c r="B450" t="s">
        <v>231</v>
      </c>
      <c r="C450" t="s">
        <v>22</v>
      </c>
      <c r="D450" t="s">
        <v>21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>
        <v>1</v>
      </c>
      <c r="K450">
        <v>0</v>
      </c>
      <c r="L450" t="s">
        <v>23</v>
      </c>
      <c r="M450" t="str">
        <f t="shared" ref="M450:M513" si="47">IF(AND(W450&lt;0.58,W450&gt;0.2),"F1",IF(W450&lt;0.74,"BC1?","&gt;0.74"))</f>
        <v>&gt;0.74</v>
      </c>
      <c r="N450">
        <v>0</v>
      </c>
      <c r="O450">
        <v>0</v>
      </c>
      <c r="P450">
        <v>0.99990000000000001</v>
      </c>
      <c r="Q450">
        <v>0</v>
      </c>
      <c r="R450">
        <v>0</v>
      </c>
      <c r="S450">
        <v>0</v>
      </c>
      <c r="T450">
        <v>0</v>
      </c>
      <c r="U450">
        <v>0</v>
      </c>
      <c r="V450" s="1">
        <v>2.0000000000000002E-5</v>
      </c>
      <c r="W450" s="1">
        <f t="shared" ref="W450:W513" si="48">MAX(N450:R450,U450,V450)</f>
        <v>0.99990000000000001</v>
      </c>
      <c r="X450" t="s">
        <v>232</v>
      </c>
      <c r="Y450" t="str">
        <f>VLOOKUP(X450,Sheet1!A:B,2,FALSE)</f>
        <v>Quercus alba L.</v>
      </c>
      <c r="Z450" t="s">
        <v>1386</v>
      </c>
      <c r="AB450" s="1">
        <f t="shared" ref="AB450:AB513" si="49">MAX(N450:R450,U450,V450)</f>
        <v>0.99990000000000001</v>
      </c>
      <c r="AD450" t="str">
        <f>IF(W450&lt;0.99,LARGE((N450:R450,U450,V450),2),"0")</f>
        <v>0</v>
      </c>
      <c r="AE450" t="str">
        <f t="shared" si="45"/>
        <v/>
      </c>
      <c r="AH450" t="str">
        <f t="shared" si="46"/>
        <v xml:space="preserve">Based on ADMIXTURE results of 78,187 SNPs, </v>
      </c>
    </row>
    <row r="451" spans="1:34" x14ac:dyDescent="0.4">
      <c r="A451">
        <v>121</v>
      </c>
      <c r="B451" t="s">
        <v>233</v>
      </c>
      <c r="C451" t="s">
        <v>22</v>
      </c>
      <c r="D451" t="s">
        <v>21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>
        <v>1</v>
      </c>
      <c r="K451">
        <v>0</v>
      </c>
      <c r="L451" t="s">
        <v>23</v>
      </c>
      <c r="M451" t="str">
        <f t="shared" si="47"/>
        <v>&gt;0.74</v>
      </c>
      <c r="N451">
        <v>0</v>
      </c>
      <c r="O451">
        <v>0</v>
      </c>
      <c r="P451">
        <v>0.99990000000000001</v>
      </c>
      <c r="Q451">
        <v>0</v>
      </c>
      <c r="R451">
        <v>0</v>
      </c>
      <c r="S451">
        <v>0</v>
      </c>
      <c r="T451">
        <v>0</v>
      </c>
      <c r="U451">
        <v>0</v>
      </c>
      <c r="V451" s="1">
        <v>2.0000000000000002E-5</v>
      </c>
      <c r="W451" s="1">
        <f t="shared" si="48"/>
        <v>0.99990000000000001</v>
      </c>
      <c r="X451" t="s">
        <v>234</v>
      </c>
      <c r="Y451" t="str">
        <f>VLOOKUP(X451,Sheet1!A:B,2,FALSE)</f>
        <v>Quercus alba L.</v>
      </c>
      <c r="Z451" t="s">
        <v>1386</v>
      </c>
      <c r="AB451" s="1">
        <f t="shared" si="49"/>
        <v>0.99990000000000001</v>
      </c>
      <c r="AD451" t="str">
        <f>IF(W451&lt;0.99,LARGE((N451:R451,U451,V451),2),"0")</f>
        <v>0</v>
      </c>
      <c r="AE451" t="str">
        <f t="shared" si="45"/>
        <v/>
      </c>
      <c r="AH451" t="str">
        <f t="shared" si="46"/>
        <v xml:space="preserve">Based on ADMIXTURE results of 78,187 SNPs, </v>
      </c>
    </row>
    <row r="452" spans="1:34" x14ac:dyDescent="0.4">
      <c r="A452">
        <v>608</v>
      </c>
      <c r="B452" t="s">
        <v>1208</v>
      </c>
      <c r="C452" t="s">
        <v>21</v>
      </c>
      <c r="D452" t="s">
        <v>21</v>
      </c>
      <c r="E452" t="s">
        <v>21</v>
      </c>
      <c r="F452" t="s">
        <v>22</v>
      </c>
      <c r="G452" t="s">
        <v>21</v>
      </c>
      <c r="H452" t="s">
        <v>21</v>
      </c>
      <c r="I452" t="s">
        <v>21</v>
      </c>
      <c r="J452">
        <v>1</v>
      </c>
      <c r="K452">
        <v>0</v>
      </c>
      <c r="L452" t="s">
        <v>23</v>
      </c>
      <c r="M452" t="str">
        <f t="shared" si="47"/>
        <v>&gt;0.74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0.94040000000000001</v>
      </c>
      <c r="T452">
        <v>5.9499999999999997E-2</v>
      </c>
      <c r="U452">
        <v>0</v>
      </c>
      <c r="V452">
        <v>0.99994000000000005</v>
      </c>
      <c r="W452" s="1">
        <f t="shared" si="48"/>
        <v>0.99994000000000005</v>
      </c>
      <c r="X452" t="s">
        <v>1209</v>
      </c>
      <c r="Y452" t="str">
        <f>VLOOKUP(X452,Sheet1!A:B,2,FALSE)</f>
        <v>Quercus macrocarpa Michx.</v>
      </c>
      <c r="Z452" t="s">
        <v>1384</v>
      </c>
      <c r="AB452" s="1">
        <f t="shared" si="49"/>
        <v>0.99994000000000005</v>
      </c>
      <c r="AD452" t="str">
        <f>IF(W452&lt;0.99,LARGE((N452:R452,U452,V452),2),"0")</f>
        <v>0</v>
      </c>
      <c r="AE452" t="str">
        <f t="shared" si="45"/>
        <v/>
      </c>
      <c r="AH452" t="str">
        <f t="shared" si="46"/>
        <v xml:space="preserve">Based on ADMIXTURE results of 78,187 SNPs, </v>
      </c>
    </row>
    <row r="453" spans="1:34" x14ac:dyDescent="0.4">
      <c r="A453">
        <v>609</v>
      </c>
      <c r="B453" t="s">
        <v>1210</v>
      </c>
      <c r="C453" t="s">
        <v>21</v>
      </c>
      <c r="D453" t="s">
        <v>21</v>
      </c>
      <c r="E453" t="s">
        <v>21</v>
      </c>
      <c r="F453" t="s">
        <v>22</v>
      </c>
      <c r="G453" t="s">
        <v>21</v>
      </c>
      <c r="H453" t="s">
        <v>21</v>
      </c>
      <c r="I453" t="s">
        <v>21</v>
      </c>
      <c r="J453">
        <v>1</v>
      </c>
      <c r="K453">
        <v>0</v>
      </c>
      <c r="L453" t="s">
        <v>23</v>
      </c>
      <c r="M453" t="str">
        <f t="shared" si="47"/>
        <v>&gt;0.74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0.99990000000000001</v>
      </c>
      <c r="T453">
        <v>0</v>
      </c>
      <c r="U453">
        <v>0</v>
      </c>
      <c r="V453">
        <v>0.99994000000000005</v>
      </c>
      <c r="W453" s="1">
        <f t="shared" si="48"/>
        <v>0.99994000000000005</v>
      </c>
      <c r="X453" t="s">
        <v>1211</v>
      </c>
      <c r="Y453" t="str">
        <f>VLOOKUP(X453,Sheet1!A:B,2,FALSE)</f>
        <v>Quercus macrocarpa Michx.</v>
      </c>
      <c r="Z453" t="s">
        <v>1384</v>
      </c>
      <c r="AB453" s="1">
        <f t="shared" si="49"/>
        <v>0.99994000000000005</v>
      </c>
      <c r="AD453" t="str">
        <f>IF(W453&lt;0.99,LARGE((N453:R453,U453,V453),2),"0")</f>
        <v>0</v>
      </c>
      <c r="AE453" t="str">
        <f t="shared" si="45"/>
        <v/>
      </c>
      <c r="AH453" t="str">
        <f t="shared" si="46"/>
        <v xml:space="preserve">Based on ADMIXTURE results of 78,187 SNPs, </v>
      </c>
    </row>
    <row r="454" spans="1:34" x14ac:dyDescent="0.4">
      <c r="A454">
        <v>610</v>
      </c>
      <c r="B454" t="s">
        <v>1212</v>
      </c>
      <c r="C454" t="s">
        <v>21</v>
      </c>
      <c r="D454" t="s">
        <v>21</v>
      </c>
      <c r="E454" t="s">
        <v>21</v>
      </c>
      <c r="F454" t="s">
        <v>22</v>
      </c>
      <c r="G454" t="s">
        <v>21</v>
      </c>
      <c r="H454" t="s">
        <v>21</v>
      </c>
      <c r="I454" t="s">
        <v>21</v>
      </c>
      <c r="J454">
        <v>1</v>
      </c>
      <c r="K454">
        <v>0</v>
      </c>
      <c r="L454" t="s">
        <v>23</v>
      </c>
      <c r="M454" t="str">
        <f t="shared" si="47"/>
        <v>&gt;0.74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0.99990000000000001</v>
      </c>
      <c r="T454">
        <v>0</v>
      </c>
      <c r="U454">
        <v>0</v>
      </c>
      <c r="V454">
        <v>0.99993500000000002</v>
      </c>
      <c r="W454" s="1">
        <f t="shared" si="48"/>
        <v>0.99993500000000002</v>
      </c>
      <c r="X454" t="s">
        <v>1213</v>
      </c>
      <c r="Y454" t="str">
        <f>VLOOKUP(X454,Sheet1!A:B,2,FALSE)</f>
        <v>Quercus macrocarpa Michx.</v>
      </c>
      <c r="Z454" t="s">
        <v>1384</v>
      </c>
      <c r="AB454" s="1">
        <f t="shared" si="49"/>
        <v>0.99993500000000002</v>
      </c>
      <c r="AD454" t="str">
        <f>IF(W454&lt;0.99,LARGE((N454:R454,U454,V454),2),"0")</f>
        <v>0</v>
      </c>
      <c r="AE454" t="str">
        <f t="shared" si="45"/>
        <v/>
      </c>
      <c r="AH454" t="str">
        <f t="shared" si="46"/>
        <v xml:space="preserve">Based on ADMIXTURE results of 78,187 SNPs, </v>
      </c>
    </row>
    <row r="455" spans="1:34" x14ac:dyDescent="0.4">
      <c r="A455">
        <v>611</v>
      </c>
      <c r="B455" t="s">
        <v>1214</v>
      </c>
      <c r="C455" t="s">
        <v>21</v>
      </c>
      <c r="D455" t="s">
        <v>21</v>
      </c>
      <c r="E455" t="s">
        <v>21</v>
      </c>
      <c r="F455" t="s">
        <v>22</v>
      </c>
      <c r="G455" t="s">
        <v>21</v>
      </c>
      <c r="H455" t="s">
        <v>21</v>
      </c>
      <c r="I455" t="s">
        <v>21</v>
      </c>
      <c r="J455">
        <v>1</v>
      </c>
      <c r="K455">
        <v>0</v>
      </c>
      <c r="L455" t="s">
        <v>23</v>
      </c>
      <c r="M455" t="str">
        <f t="shared" si="47"/>
        <v>&gt;0.74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0.91879999999999995</v>
      </c>
      <c r="T455">
        <v>8.1199999999999994E-2</v>
      </c>
      <c r="U455">
        <v>0</v>
      </c>
      <c r="V455">
        <v>0.99994000000000005</v>
      </c>
      <c r="W455" s="1">
        <f t="shared" si="48"/>
        <v>0.99994000000000005</v>
      </c>
      <c r="X455" t="s">
        <v>1215</v>
      </c>
      <c r="Y455" t="str">
        <f>VLOOKUP(X455,Sheet1!A:B,2,FALSE)</f>
        <v>Quercus macrocarpa Michx.</v>
      </c>
      <c r="Z455" t="s">
        <v>1384</v>
      </c>
      <c r="AB455" s="1">
        <f t="shared" si="49"/>
        <v>0.99994000000000005</v>
      </c>
      <c r="AD455" t="str">
        <f>IF(W455&lt;0.99,LARGE((N455:R455,U455,V455),2),"0")</f>
        <v>0</v>
      </c>
      <c r="AE455" t="str">
        <f t="shared" si="45"/>
        <v/>
      </c>
      <c r="AH455" t="str">
        <f t="shared" si="46"/>
        <v xml:space="preserve">Based on ADMIXTURE results of 78,187 SNPs, </v>
      </c>
    </row>
    <row r="456" spans="1:34" x14ac:dyDescent="0.4">
      <c r="A456">
        <v>612</v>
      </c>
      <c r="B456" t="s">
        <v>1216</v>
      </c>
      <c r="C456" t="s">
        <v>21</v>
      </c>
      <c r="D456" t="s">
        <v>21</v>
      </c>
      <c r="E456" t="s">
        <v>21</v>
      </c>
      <c r="F456" t="s">
        <v>22</v>
      </c>
      <c r="G456" t="s">
        <v>21</v>
      </c>
      <c r="H456" t="s">
        <v>21</v>
      </c>
      <c r="I456" t="s">
        <v>21</v>
      </c>
      <c r="J456">
        <v>1</v>
      </c>
      <c r="K456">
        <v>0</v>
      </c>
      <c r="L456" t="s">
        <v>23</v>
      </c>
      <c r="M456" t="str">
        <f t="shared" si="47"/>
        <v>&gt;0.74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0.9819</v>
      </c>
      <c r="T456">
        <v>1.7999999999999999E-2</v>
      </c>
      <c r="U456">
        <v>0</v>
      </c>
      <c r="V456">
        <v>0.99994000000000005</v>
      </c>
      <c r="W456" s="1">
        <f t="shared" si="48"/>
        <v>0.99994000000000005</v>
      </c>
      <c r="X456" t="s">
        <v>1217</v>
      </c>
      <c r="Y456" t="str">
        <f>VLOOKUP(X456,Sheet1!A:B,2,FALSE)</f>
        <v>Quercus macrocarpa Michx.</v>
      </c>
      <c r="Z456" t="s">
        <v>1384</v>
      </c>
      <c r="AB456" s="1">
        <f t="shared" si="49"/>
        <v>0.99994000000000005</v>
      </c>
      <c r="AD456" t="str">
        <f>IF(W456&lt;0.99,LARGE((N456:R456,U456,V456),2),"0")</f>
        <v>0</v>
      </c>
      <c r="AE456" t="str">
        <f t="shared" si="45"/>
        <v/>
      </c>
      <c r="AH456" t="str">
        <f t="shared" si="46"/>
        <v xml:space="preserve">Based on ADMIXTURE results of 78,187 SNPs, </v>
      </c>
    </row>
    <row r="457" spans="1:34" x14ac:dyDescent="0.4">
      <c r="A457">
        <v>613</v>
      </c>
      <c r="B457" t="s">
        <v>1218</v>
      </c>
      <c r="C457" t="s">
        <v>21</v>
      </c>
      <c r="D457" t="s">
        <v>21</v>
      </c>
      <c r="E457" t="s">
        <v>21</v>
      </c>
      <c r="F457" t="s">
        <v>22</v>
      </c>
      <c r="G457" t="s">
        <v>21</v>
      </c>
      <c r="H457" t="s">
        <v>21</v>
      </c>
      <c r="I457" t="s">
        <v>21</v>
      </c>
      <c r="J457">
        <v>1</v>
      </c>
      <c r="K457">
        <v>0</v>
      </c>
      <c r="L457" t="s">
        <v>23</v>
      </c>
      <c r="M457" t="str">
        <f t="shared" si="47"/>
        <v>&gt;0.74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0.99950000000000006</v>
      </c>
      <c r="T457" s="1">
        <v>4.0000000000000002E-4</v>
      </c>
      <c r="U457">
        <v>0</v>
      </c>
      <c r="V457">
        <v>0.99994000000000005</v>
      </c>
      <c r="W457" s="1">
        <f t="shared" si="48"/>
        <v>0.99994000000000005</v>
      </c>
      <c r="X457" t="s">
        <v>1219</v>
      </c>
      <c r="Y457" t="str">
        <f>VLOOKUP(X457,Sheet1!A:B,2,FALSE)</f>
        <v>Quercus macrocarpa Michx.</v>
      </c>
      <c r="Z457" t="s">
        <v>1384</v>
      </c>
      <c r="AB457" s="1">
        <f t="shared" si="49"/>
        <v>0.99994000000000005</v>
      </c>
      <c r="AD457" t="str">
        <f>IF(W457&lt;0.99,LARGE((N457:R457,U457,V457),2),"0")</f>
        <v>0</v>
      </c>
      <c r="AE457" t="str">
        <f t="shared" si="45"/>
        <v/>
      </c>
      <c r="AH457" t="str">
        <f t="shared" si="46"/>
        <v xml:space="preserve">Based on ADMIXTURE results of 78,187 SNPs, </v>
      </c>
    </row>
    <row r="458" spans="1:34" x14ac:dyDescent="0.4">
      <c r="A458">
        <v>398</v>
      </c>
      <c r="B458" t="s">
        <v>787</v>
      </c>
      <c r="C458" t="s">
        <v>22</v>
      </c>
      <c r="D458" t="s">
        <v>21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>
        <v>1</v>
      </c>
      <c r="K458">
        <v>0</v>
      </c>
      <c r="L458" t="s">
        <v>23</v>
      </c>
      <c r="M458" t="str">
        <f t="shared" si="47"/>
        <v>&gt;0.74</v>
      </c>
      <c r="N458">
        <v>0</v>
      </c>
      <c r="O458">
        <v>0</v>
      </c>
      <c r="P458">
        <v>0.99990000000000001</v>
      </c>
      <c r="Q458">
        <v>0</v>
      </c>
      <c r="R458">
        <v>0</v>
      </c>
      <c r="S458">
        <v>0</v>
      </c>
      <c r="T458">
        <v>0</v>
      </c>
      <c r="U458">
        <v>0</v>
      </c>
      <c r="V458" s="1">
        <v>2.0000000000000002E-5</v>
      </c>
      <c r="W458" s="1">
        <f t="shared" si="48"/>
        <v>0.99990000000000001</v>
      </c>
      <c r="X458" t="s">
        <v>788</v>
      </c>
      <c r="Y458" t="str">
        <f>VLOOKUP(X458,Sheet1!A:B,2,FALSE)</f>
        <v>Quercus alba L.</v>
      </c>
      <c r="Z458" t="s">
        <v>1386</v>
      </c>
      <c r="AB458" s="1">
        <f t="shared" si="49"/>
        <v>0.99990000000000001</v>
      </c>
      <c r="AD458" t="str">
        <f>IF(W458&lt;0.99,LARGE((N458:R458,U458,V458),2),"0")</f>
        <v>0</v>
      </c>
      <c r="AE458" t="str">
        <f t="shared" si="45"/>
        <v/>
      </c>
      <c r="AH458" t="str">
        <f t="shared" si="46"/>
        <v xml:space="preserve">Based on ADMIXTURE results of 78,187 SNPs, </v>
      </c>
    </row>
    <row r="459" spans="1:34" x14ac:dyDescent="0.4">
      <c r="A459">
        <v>397</v>
      </c>
      <c r="B459" t="s">
        <v>785</v>
      </c>
      <c r="C459" t="s">
        <v>21</v>
      </c>
      <c r="D459" t="s">
        <v>21</v>
      </c>
      <c r="E459" t="s">
        <v>21</v>
      </c>
      <c r="F459" t="s">
        <v>25</v>
      </c>
      <c r="G459" t="s">
        <v>21</v>
      </c>
      <c r="H459" t="s">
        <v>25</v>
      </c>
      <c r="I459" t="s">
        <v>21</v>
      </c>
      <c r="J459">
        <v>0</v>
      </c>
      <c r="K459">
        <v>2</v>
      </c>
      <c r="L459" t="s">
        <v>26</v>
      </c>
      <c r="M459" t="str">
        <f t="shared" si="47"/>
        <v>&gt;0.74</v>
      </c>
      <c r="N459">
        <v>0</v>
      </c>
      <c r="O459">
        <v>0.90980000000000005</v>
      </c>
      <c r="P459">
        <v>2.1399999999999999E-2</v>
      </c>
      <c r="Q459">
        <v>0</v>
      </c>
      <c r="R459">
        <v>0</v>
      </c>
      <c r="S459">
        <v>3.3099999999999997E-2</v>
      </c>
      <c r="T459">
        <v>3.56E-2</v>
      </c>
      <c r="U459">
        <v>0</v>
      </c>
      <c r="V459">
        <v>6.8681000000000006E-2</v>
      </c>
      <c r="W459" s="1">
        <f t="shared" si="48"/>
        <v>0.90980000000000005</v>
      </c>
      <c r="X459" t="s">
        <v>786</v>
      </c>
      <c r="Y459" t="str">
        <f>VLOOKUP(X459,Sheet1!A:B,2,FALSE)</f>
        <v>Quercus prinoides Willd.</v>
      </c>
      <c r="Z459" t="s">
        <v>1390</v>
      </c>
      <c r="AB459" s="1">
        <f t="shared" si="49"/>
        <v>0.90980000000000005</v>
      </c>
      <c r="AC459" t="s">
        <v>1421</v>
      </c>
      <c r="AD459">
        <f>IF(W459&lt;0.99,LARGE((N459:R459,U459,V459),2),"0")</f>
        <v>6.8681000000000006E-2</v>
      </c>
      <c r="AE459" t="str">
        <f>IF(AND(AB459&lt;0.99,AD459&gt;0.1,AB459&gt;0.6),"admixed with ",IF(AND(AB459&lt;0.99,AD459&gt;0.01,AD459&lt;0.4),"trace admixed (Q&lt;0.10) with ",""))</f>
        <v xml:space="preserve">trace admixed (Q&lt;0.10) with </v>
      </c>
      <c r="AH459" t="str">
        <f t="shared" si="46"/>
        <v>Based on ADMIXTURE results of 78,187 SNPs, trace admixed (Q&lt;0.10) with Quercus macrocarpa</v>
      </c>
    </row>
    <row r="460" spans="1:34" x14ac:dyDescent="0.4">
      <c r="A460">
        <v>399</v>
      </c>
      <c r="B460" t="s">
        <v>789</v>
      </c>
      <c r="C460" t="s">
        <v>21</v>
      </c>
      <c r="D460" t="s">
        <v>21</v>
      </c>
      <c r="E460" t="s">
        <v>21</v>
      </c>
      <c r="F460" t="s">
        <v>25</v>
      </c>
      <c r="G460" t="s">
        <v>21</v>
      </c>
      <c r="H460" t="s">
        <v>25</v>
      </c>
      <c r="I460" t="s">
        <v>21</v>
      </c>
      <c r="J460">
        <v>0</v>
      </c>
      <c r="K460">
        <v>2</v>
      </c>
      <c r="L460" t="s">
        <v>26</v>
      </c>
      <c r="M460" t="str">
        <f t="shared" si="47"/>
        <v>&gt;0.74</v>
      </c>
      <c r="N460">
        <v>0</v>
      </c>
      <c r="O460">
        <v>0.92869999999999997</v>
      </c>
      <c r="P460">
        <v>2.0400000000000001E-2</v>
      </c>
      <c r="Q460">
        <v>0</v>
      </c>
      <c r="R460">
        <v>0</v>
      </c>
      <c r="S460">
        <v>4.4699999999999997E-2</v>
      </c>
      <c r="T460">
        <v>6.1000000000000004E-3</v>
      </c>
      <c r="U460">
        <v>0</v>
      </c>
      <c r="V460">
        <v>5.0791000000000003E-2</v>
      </c>
      <c r="W460" s="1">
        <f t="shared" si="48"/>
        <v>0.92869999999999997</v>
      </c>
      <c r="X460" t="s">
        <v>790</v>
      </c>
      <c r="Y460" t="str">
        <f>VLOOKUP(X460,Sheet1!A:B,2,FALSE)</f>
        <v>Quercus prinoides Willd.</v>
      </c>
      <c r="Z460" t="s">
        <v>1390</v>
      </c>
      <c r="AB460" s="1">
        <f t="shared" si="49"/>
        <v>0.92869999999999997</v>
      </c>
      <c r="AC460" t="s">
        <v>1421</v>
      </c>
      <c r="AD460">
        <f>IF(W460&lt;0.99,LARGE((N460:R460,U460,V460),2),"0")</f>
        <v>5.0791000000000003E-2</v>
      </c>
      <c r="AE460" t="str">
        <f>IF(AND(AB460&lt;0.99,AD460&gt;0.1,AB460&gt;0.6),"admixed with ",IF(AND(AB460&lt;0.99,AD460&gt;0.01,AD460&lt;0.4),"trace admixed (Q&lt;0.10) with ",""))</f>
        <v xml:space="preserve">trace admixed (Q&lt;0.10) with </v>
      </c>
      <c r="AH460" t="str">
        <f t="shared" si="46"/>
        <v>Based on ADMIXTURE results of 78,187 SNPs, trace admixed (Q&lt;0.10) with Quercus macrocarpa</v>
      </c>
    </row>
    <row r="461" spans="1:34" x14ac:dyDescent="0.4">
      <c r="A461">
        <v>400</v>
      </c>
      <c r="B461" t="s">
        <v>791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22</v>
      </c>
      <c r="I461" t="s">
        <v>21</v>
      </c>
      <c r="J461">
        <v>1</v>
      </c>
      <c r="K461">
        <v>0</v>
      </c>
      <c r="L461" t="s">
        <v>23</v>
      </c>
      <c r="M461" t="str">
        <f t="shared" si="47"/>
        <v>&gt;0.74</v>
      </c>
      <c r="N461">
        <v>0</v>
      </c>
      <c r="O461">
        <v>0.97340000000000004</v>
      </c>
      <c r="P461">
        <v>0</v>
      </c>
      <c r="Q461">
        <v>0</v>
      </c>
      <c r="R461">
        <v>0</v>
      </c>
      <c r="S461">
        <v>1E-3</v>
      </c>
      <c r="T461">
        <v>2.5499999999999998E-2</v>
      </c>
      <c r="U461">
        <v>0</v>
      </c>
      <c r="V461">
        <v>2.6523999999999999E-2</v>
      </c>
      <c r="W461" s="1">
        <f t="shared" si="48"/>
        <v>0.97340000000000004</v>
      </c>
      <c r="X461" t="s">
        <v>792</v>
      </c>
      <c r="Y461" t="str">
        <f>VLOOKUP(X461,Sheet1!A:B,2,FALSE)</f>
        <v>Quercus prinoides Willd.</v>
      </c>
      <c r="Z461" t="s">
        <v>1390</v>
      </c>
      <c r="AB461" s="1">
        <f t="shared" si="49"/>
        <v>0.97340000000000004</v>
      </c>
      <c r="AD461">
        <f>IF(W461&lt;0.99,LARGE((N461:R461,U461,V461),2),"0")</f>
        <v>2.6523999999999999E-2</v>
      </c>
      <c r="AE461" t="str">
        <f>IF(AND(AB461&lt;0.99,AD461&gt;0.1),"admixed with",IF(AND(AB461&lt;0.99,AD461&gt;0.01),"trace admixed with ",""))</f>
        <v xml:space="preserve">trace admixed with </v>
      </c>
      <c r="AH461" t="str">
        <f t="shared" si="46"/>
        <v xml:space="preserve">Based on ADMIXTURE results of 78,187 SNPs, trace admixed with </v>
      </c>
    </row>
    <row r="462" spans="1:34" x14ac:dyDescent="0.4">
      <c r="A462">
        <v>401</v>
      </c>
      <c r="B462" t="s">
        <v>793</v>
      </c>
      <c r="C462" t="s">
        <v>21</v>
      </c>
      <c r="D462" t="s">
        <v>21</v>
      </c>
      <c r="E462" t="s">
        <v>21</v>
      </c>
      <c r="F462" t="s">
        <v>25</v>
      </c>
      <c r="G462" t="s">
        <v>21</v>
      </c>
      <c r="H462" t="s">
        <v>25</v>
      </c>
      <c r="I462" t="s">
        <v>21</v>
      </c>
      <c r="J462">
        <v>0</v>
      </c>
      <c r="K462">
        <v>2</v>
      </c>
      <c r="L462" t="s">
        <v>26</v>
      </c>
      <c r="M462" t="str">
        <f t="shared" si="47"/>
        <v>&gt;0.74</v>
      </c>
      <c r="N462">
        <v>0</v>
      </c>
      <c r="O462">
        <v>0.89890000000000003</v>
      </c>
      <c r="P462">
        <v>2.76E-2</v>
      </c>
      <c r="Q462">
        <v>0</v>
      </c>
      <c r="R462">
        <v>0</v>
      </c>
      <c r="S462">
        <v>6.13E-2</v>
      </c>
      <c r="T462">
        <v>1.21E-2</v>
      </c>
      <c r="U462">
        <v>0</v>
      </c>
      <c r="V462">
        <v>7.3413000000000006E-2</v>
      </c>
      <c r="W462" s="1">
        <f t="shared" si="48"/>
        <v>0.89890000000000003</v>
      </c>
      <c r="X462" t="s">
        <v>794</v>
      </c>
      <c r="Y462" t="str">
        <f>VLOOKUP(X462,Sheet1!A:B,2,FALSE)</f>
        <v>Quercus prinoides Willd.</v>
      </c>
      <c r="Z462" t="s">
        <v>1390</v>
      </c>
      <c r="AB462" s="1">
        <f t="shared" si="49"/>
        <v>0.89890000000000003</v>
      </c>
      <c r="AC462" t="s">
        <v>1421</v>
      </c>
      <c r="AD462">
        <f>IF(W462&lt;0.99,LARGE((N462:R462,U462,V462),2),"0")</f>
        <v>7.3413000000000006E-2</v>
      </c>
      <c r="AE462" t="str">
        <f>IF(AND(AB462&lt;0.99,AD462&gt;0.1,AB462&gt;0.6),"admixed with ",IF(AND(AB462&lt;0.99,AD462&gt;0.01,AD462&lt;0.4),"trace admixed (Q&lt;0.10) with ",""))</f>
        <v xml:space="preserve">trace admixed (Q&lt;0.10) with </v>
      </c>
      <c r="AH462" t="str">
        <f t="shared" si="46"/>
        <v>Based on ADMIXTURE results of 78,187 SNPs, trace admixed (Q&lt;0.10) with Quercus macrocarpa</v>
      </c>
    </row>
    <row r="463" spans="1:34" x14ac:dyDescent="0.4">
      <c r="A463">
        <v>402</v>
      </c>
      <c r="B463" t="s">
        <v>795</v>
      </c>
      <c r="C463" t="s">
        <v>22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>
        <v>1</v>
      </c>
      <c r="K463">
        <v>0</v>
      </c>
      <c r="L463" t="s">
        <v>23</v>
      </c>
      <c r="M463" t="str">
        <f t="shared" si="47"/>
        <v>&gt;0.74</v>
      </c>
      <c r="N463">
        <v>0</v>
      </c>
      <c r="O463">
        <v>0</v>
      </c>
      <c r="P463">
        <v>0.99990000000000001</v>
      </c>
      <c r="Q463">
        <v>0</v>
      </c>
      <c r="R463">
        <v>0</v>
      </c>
      <c r="S463">
        <v>0</v>
      </c>
      <c r="T463">
        <v>0</v>
      </c>
      <c r="U463">
        <v>0</v>
      </c>
      <c r="V463" s="1">
        <v>2.0000000000000002E-5</v>
      </c>
      <c r="W463" s="1">
        <f t="shared" si="48"/>
        <v>0.99990000000000001</v>
      </c>
      <c r="X463" t="s">
        <v>796</v>
      </c>
      <c r="Y463" t="str">
        <f>VLOOKUP(X463,Sheet1!A:B,2,FALSE)</f>
        <v>Quercus alba L.</v>
      </c>
      <c r="Z463" t="s">
        <v>1386</v>
      </c>
      <c r="AB463" s="1">
        <f t="shared" si="49"/>
        <v>0.99990000000000001</v>
      </c>
      <c r="AD463" t="str">
        <f>IF(W463&lt;0.99,LARGE((N463:R463,U463,V463),2),"0")</f>
        <v>0</v>
      </c>
      <c r="AE463" t="str">
        <f>IF(AND(AB463&lt;0.99,AD463&gt;0.1),"admixed with",IF(AND(AB463&lt;0.99,AD463&gt;0.01),"trace admixed with ",""))</f>
        <v/>
      </c>
      <c r="AH463" t="str">
        <f t="shared" si="46"/>
        <v xml:space="preserve">Based on ADMIXTURE results of 78,187 SNPs, </v>
      </c>
    </row>
    <row r="464" spans="1:34" x14ac:dyDescent="0.4">
      <c r="A464">
        <v>403</v>
      </c>
      <c r="B464" t="s">
        <v>797</v>
      </c>
      <c r="C464" t="s">
        <v>22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>
        <v>1</v>
      </c>
      <c r="K464">
        <v>0</v>
      </c>
      <c r="L464" t="s">
        <v>23</v>
      </c>
      <c r="M464" t="str">
        <f t="shared" si="47"/>
        <v>&gt;0.74</v>
      </c>
      <c r="N464">
        <v>0</v>
      </c>
      <c r="O464">
        <v>0</v>
      </c>
      <c r="P464">
        <v>0.99990000000000001</v>
      </c>
      <c r="Q464">
        <v>0</v>
      </c>
      <c r="R464">
        <v>0</v>
      </c>
      <c r="S464">
        <v>0</v>
      </c>
      <c r="T464">
        <v>0</v>
      </c>
      <c r="U464">
        <v>0</v>
      </c>
      <c r="V464" s="1">
        <v>2.0000000000000002E-5</v>
      </c>
      <c r="W464" s="1">
        <f t="shared" si="48"/>
        <v>0.99990000000000001</v>
      </c>
      <c r="X464" t="s">
        <v>798</v>
      </c>
      <c r="Y464" t="str">
        <f>VLOOKUP(X464,Sheet1!A:B,2,FALSE)</f>
        <v>Quercus alba L.</v>
      </c>
      <c r="Z464" t="s">
        <v>1386</v>
      </c>
      <c r="AB464" s="1">
        <f t="shared" si="49"/>
        <v>0.99990000000000001</v>
      </c>
      <c r="AD464" t="str">
        <f>IF(W464&lt;0.99,LARGE((N464:R464,U464,V464),2),"0")</f>
        <v>0</v>
      </c>
      <c r="AE464" t="str">
        <f>IF(AND(AB464&lt;0.99,AD464&gt;0.1),"admixed with",IF(AND(AB464&lt;0.99,AD464&gt;0.01),"trace admixed with ",""))</f>
        <v/>
      </c>
      <c r="AH464" t="str">
        <f t="shared" si="46"/>
        <v xml:space="preserve">Based on ADMIXTURE results of 78,187 SNPs, </v>
      </c>
    </row>
    <row r="465" spans="1:34" x14ac:dyDescent="0.4">
      <c r="A465">
        <v>404</v>
      </c>
      <c r="B465" t="s">
        <v>799</v>
      </c>
      <c r="C465" t="s">
        <v>22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>
        <v>1</v>
      </c>
      <c r="K465">
        <v>0</v>
      </c>
      <c r="L465" t="s">
        <v>23</v>
      </c>
      <c r="M465" t="str">
        <f t="shared" si="47"/>
        <v>&gt;0.74</v>
      </c>
      <c r="N465">
        <v>0</v>
      </c>
      <c r="O465">
        <v>0</v>
      </c>
      <c r="P465">
        <v>0.99990000000000001</v>
      </c>
      <c r="Q465">
        <v>0</v>
      </c>
      <c r="R465">
        <v>0</v>
      </c>
      <c r="S465">
        <v>0</v>
      </c>
      <c r="T465">
        <v>0</v>
      </c>
      <c r="U465">
        <v>0</v>
      </c>
      <c r="V465" s="1">
        <v>2.0000000000000002E-5</v>
      </c>
      <c r="W465" s="1">
        <f t="shared" si="48"/>
        <v>0.99990000000000001</v>
      </c>
      <c r="X465" t="s">
        <v>800</v>
      </c>
      <c r="Y465" t="str">
        <f>VLOOKUP(X465,Sheet1!A:B,2,FALSE)</f>
        <v>Quercus alba L.</v>
      </c>
      <c r="Z465" t="s">
        <v>1386</v>
      </c>
      <c r="AB465" s="1">
        <f t="shared" si="49"/>
        <v>0.99990000000000001</v>
      </c>
      <c r="AD465" t="str">
        <f>IF(W465&lt;0.99,LARGE((N465:R465,U465,V465),2),"0")</f>
        <v>0</v>
      </c>
      <c r="AE465" t="str">
        <f>IF(AND(AB465&lt;0.99,AD465&gt;0.1),"admixed with",IF(AND(AB465&lt;0.99,AD465&gt;0.01),"trace admixed with ",""))</f>
        <v/>
      </c>
      <c r="AH465" t="str">
        <f t="shared" si="46"/>
        <v xml:space="preserve">Based on ADMIXTURE results of 78,187 SNPs, </v>
      </c>
    </row>
    <row r="466" spans="1:34" x14ac:dyDescent="0.4">
      <c r="A466">
        <v>405</v>
      </c>
      <c r="B466" t="s">
        <v>801</v>
      </c>
      <c r="C466" t="s">
        <v>25</v>
      </c>
      <c r="D466" t="s">
        <v>21</v>
      </c>
      <c r="E466" t="s">
        <v>21</v>
      </c>
      <c r="F466" t="s">
        <v>25</v>
      </c>
      <c r="G466" t="s">
        <v>21</v>
      </c>
      <c r="H466" t="s">
        <v>25</v>
      </c>
      <c r="I466" t="s">
        <v>21</v>
      </c>
      <c r="J466">
        <v>0</v>
      </c>
      <c r="K466">
        <v>3</v>
      </c>
      <c r="L466" t="s">
        <v>26</v>
      </c>
      <c r="M466" t="str">
        <f t="shared" si="47"/>
        <v>&gt;0.74</v>
      </c>
      <c r="N466">
        <v>0</v>
      </c>
      <c r="O466">
        <v>0.91139999999999999</v>
      </c>
      <c r="P466">
        <v>3.9199999999999999E-2</v>
      </c>
      <c r="Q466">
        <v>0</v>
      </c>
      <c r="R466">
        <v>0</v>
      </c>
      <c r="S466">
        <v>6.8999999999999999E-3</v>
      </c>
      <c r="T466">
        <v>4.2500000000000003E-2</v>
      </c>
      <c r="U466">
        <v>0</v>
      </c>
      <c r="V466">
        <v>4.9382000000000002E-2</v>
      </c>
      <c r="W466" s="1">
        <f t="shared" si="48"/>
        <v>0.91139999999999999</v>
      </c>
      <c r="X466" t="s">
        <v>802</v>
      </c>
      <c r="Y466" t="str">
        <f>VLOOKUP(X466,Sheet1!A:B,2,FALSE)</f>
        <v>Quercus prinoides Willd.</v>
      </c>
      <c r="Z466" t="s">
        <v>1390</v>
      </c>
      <c r="AB466" s="1">
        <f t="shared" si="49"/>
        <v>0.91139999999999999</v>
      </c>
      <c r="AC466" t="s">
        <v>1421</v>
      </c>
      <c r="AD466">
        <f>IF(W466&lt;0.99,LARGE((N466:R466,U466,V466),2),"0")</f>
        <v>4.9382000000000002E-2</v>
      </c>
      <c r="AE466" t="str">
        <f>IF(AND(AB466&lt;0.99,AD466&gt;0.1,AB466&gt;0.6),"admixed with ",IF(AND(AB466&lt;0.99,AD466&gt;0.01,AD466&lt;0.4),"trace admixed (Q&lt;0.10) with ",""))</f>
        <v xml:space="preserve">trace admixed (Q&lt;0.10) with </v>
      </c>
      <c r="AH466" t="str">
        <f t="shared" si="46"/>
        <v>Based on ADMIXTURE results of 78,187 SNPs, trace admixed (Q&lt;0.10) with Quercus macrocarpa</v>
      </c>
    </row>
    <row r="467" spans="1:34" x14ac:dyDescent="0.4">
      <c r="A467">
        <v>348</v>
      </c>
      <c r="B467" t="s">
        <v>687</v>
      </c>
      <c r="C467" t="s">
        <v>21</v>
      </c>
      <c r="D467" t="s">
        <v>25</v>
      </c>
      <c r="E467" t="s">
        <v>21</v>
      </c>
      <c r="F467" t="s">
        <v>25</v>
      </c>
      <c r="G467" t="s">
        <v>21</v>
      </c>
      <c r="H467" t="s">
        <v>21</v>
      </c>
      <c r="I467" t="s">
        <v>21</v>
      </c>
      <c r="J467">
        <v>0</v>
      </c>
      <c r="K467">
        <v>2</v>
      </c>
      <c r="L467" t="s">
        <v>26</v>
      </c>
      <c r="M467" t="str">
        <f t="shared" si="47"/>
        <v>BC1?</v>
      </c>
      <c r="N467">
        <v>0</v>
      </c>
      <c r="O467">
        <v>0</v>
      </c>
      <c r="P467">
        <v>0</v>
      </c>
      <c r="Q467">
        <v>0.69450000000000001</v>
      </c>
      <c r="R467">
        <v>0</v>
      </c>
      <c r="S467">
        <v>6.6100000000000006E-2</v>
      </c>
      <c r="T467">
        <v>0.2394</v>
      </c>
      <c r="U467">
        <v>0</v>
      </c>
      <c r="V467">
        <v>0.30547299999999999</v>
      </c>
      <c r="W467" s="1">
        <f t="shared" si="48"/>
        <v>0.69450000000000001</v>
      </c>
      <c r="X467" t="s">
        <v>688</v>
      </c>
      <c r="Y467" t="str">
        <f>VLOOKUP(X467,Sheet1!A:B,2,FALSE)</f>
        <v>Quercus macrocarpa Michx.</v>
      </c>
      <c r="Z467" s="4" t="s">
        <v>1388</v>
      </c>
      <c r="AB467" s="1">
        <f t="shared" si="49"/>
        <v>0.69450000000000001</v>
      </c>
      <c r="AC467" t="s">
        <v>1421</v>
      </c>
      <c r="AD467">
        <f>IF(W467&lt;0.99,LARGE((N467:R467,U467,V467),2),"0")</f>
        <v>0.30547299999999999</v>
      </c>
      <c r="AE467" t="str">
        <f>IF(AND(AB467&lt;0.99,AD467&gt;0.1,AB467&gt;0.6),"admixed with ",IF(AND(AB467&lt;0.99,AD467&gt;0.01,AD467&lt;0.4),"trace admixed (Q&lt;0.10) with ",""))</f>
        <v xml:space="preserve">admixed with </v>
      </c>
      <c r="AH467" t="str">
        <f t="shared" si="46"/>
        <v>Based on ADMIXTURE results of 78,187 SNPs, admixed with Quercus macrocarpa</v>
      </c>
    </row>
    <row r="468" spans="1:34" x14ac:dyDescent="0.4">
      <c r="A468">
        <v>349</v>
      </c>
      <c r="B468" t="s">
        <v>689</v>
      </c>
      <c r="C468" t="s">
        <v>21</v>
      </c>
      <c r="D468" t="s">
        <v>25</v>
      </c>
      <c r="E468" t="s">
        <v>21</v>
      </c>
      <c r="F468" t="s">
        <v>25</v>
      </c>
      <c r="G468" t="s">
        <v>21</v>
      </c>
      <c r="H468" t="s">
        <v>21</v>
      </c>
      <c r="I468" t="s">
        <v>21</v>
      </c>
      <c r="J468">
        <v>0</v>
      </c>
      <c r="K468">
        <v>2</v>
      </c>
      <c r="L468" t="s">
        <v>26</v>
      </c>
      <c r="M468" t="str">
        <f t="shared" si="47"/>
        <v>&gt;0.74</v>
      </c>
      <c r="N468">
        <v>0</v>
      </c>
      <c r="O468">
        <v>0</v>
      </c>
      <c r="P468">
        <v>0</v>
      </c>
      <c r="Q468">
        <v>8.8999999999999996E-2</v>
      </c>
      <c r="R468">
        <v>0</v>
      </c>
      <c r="S468">
        <v>0.19589999999999999</v>
      </c>
      <c r="T468">
        <v>0.71509999999999996</v>
      </c>
      <c r="U468">
        <v>0</v>
      </c>
      <c r="V468">
        <v>0.91098199999999996</v>
      </c>
      <c r="W468" s="1">
        <f t="shared" si="48"/>
        <v>0.91098199999999996</v>
      </c>
      <c r="X468" t="s">
        <v>690</v>
      </c>
      <c r="Y468" t="str">
        <f>VLOOKUP(X468,Sheet1!A:B,2,FALSE)</f>
        <v>Quercus macrocarpa Michx.</v>
      </c>
      <c r="Z468" t="s">
        <v>1384</v>
      </c>
      <c r="AB468" s="1">
        <f t="shared" si="49"/>
        <v>0.91098199999999996</v>
      </c>
      <c r="AC468" t="s">
        <v>1431</v>
      </c>
      <c r="AD468">
        <f>IF(W468&lt;0.99,LARGE((N468:R468,U468,V468),2),"0")</f>
        <v>8.8999999999999996E-2</v>
      </c>
      <c r="AE468" t="str">
        <f>IF(AND(AB468&lt;0.99,AD468&gt;0.1,AB468&gt;0.6),"admixed with ",IF(AND(AB468&lt;0.99,AD468&gt;0.01,AD468&lt;0.4),"trace admixed (Q&lt;0.10) with ",""))</f>
        <v xml:space="preserve">trace admixed (Q&lt;0.10) with </v>
      </c>
      <c r="AH468" t="str">
        <f t="shared" si="46"/>
        <v>Based on ADMIXTURE results of 78,187 SNPs, trace admixed (Q&lt;0.10) with Quercus bicolor</v>
      </c>
    </row>
    <row r="469" spans="1:34" x14ac:dyDescent="0.4">
      <c r="A469">
        <v>350</v>
      </c>
      <c r="B469" t="s">
        <v>691</v>
      </c>
      <c r="C469" t="s">
        <v>21</v>
      </c>
      <c r="D469" t="s">
        <v>25</v>
      </c>
      <c r="E469" t="s">
        <v>21</v>
      </c>
      <c r="F469" t="s">
        <v>22</v>
      </c>
      <c r="G469" t="s">
        <v>21</v>
      </c>
      <c r="H469" t="s">
        <v>21</v>
      </c>
      <c r="I469" t="s">
        <v>21</v>
      </c>
      <c r="J469">
        <v>1</v>
      </c>
      <c r="K469">
        <v>1</v>
      </c>
      <c r="L469" t="s">
        <v>193</v>
      </c>
      <c r="M469" t="str">
        <f t="shared" si="47"/>
        <v>&gt;0.74</v>
      </c>
      <c r="N469">
        <v>0</v>
      </c>
      <c r="O469">
        <v>0</v>
      </c>
      <c r="P469">
        <v>0</v>
      </c>
      <c r="Q469">
        <v>2.5499999999999998E-2</v>
      </c>
      <c r="R469">
        <v>0</v>
      </c>
      <c r="S469">
        <v>0.27050000000000002</v>
      </c>
      <c r="T469">
        <v>0.70389999999999997</v>
      </c>
      <c r="U469">
        <v>0</v>
      </c>
      <c r="V469">
        <v>0.97442300000000004</v>
      </c>
      <c r="W469" s="1">
        <f t="shared" si="48"/>
        <v>0.97442300000000004</v>
      </c>
      <c r="X469" t="s">
        <v>692</v>
      </c>
      <c r="Y469" t="str">
        <f>VLOOKUP(X469,Sheet1!A:B,2,FALSE)</f>
        <v>Quercus macrocarpa Michx.</v>
      </c>
      <c r="Z469" t="s">
        <v>1384</v>
      </c>
      <c r="AB469" s="1">
        <f t="shared" si="49"/>
        <v>0.97442300000000004</v>
      </c>
      <c r="AC469" t="s">
        <v>1431</v>
      </c>
      <c r="AD469">
        <f>IF(W469&lt;0.99,LARGE((N469:R469,U469,V469),2),"0")</f>
        <v>2.5499999999999998E-2</v>
      </c>
      <c r="AE469" t="str">
        <f>IF(AND(AB469&lt;0.99,AD469&gt;0.1,AB469&gt;0.6),"admixed with ",IF(AND(AB469&lt;0.99,AD469&gt;0.01,AD469&lt;0.4),"may be trace admixed with ",""))</f>
        <v xml:space="preserve">may be trace admixed with </v>
      </c>
      <c r="AH469" t="str">
        <f t="shared" si="46"/>
        <v>Based on ADMIXTURE results of 78,187 SNPs, may be trace admixed with Quercus bicolor</v>
      </c>
    </row>
    <row r="470" spans="1:34" x14ac:dyDescent="0.4">
      <c r="A470">
        <v>351</v>
      </c>
      <c r="B470" t="s">
        <v>693</v>
      </c>
      <c r="C470" t="s">
        <v>21</v>
      </c>
      <c r="D470" t="s">
        <v>25</v>
      </c>
      <c r="E470" t="s">
        <v>21</v>
      </c>
      <c r="F470" t="s">
        <v>25</v>
      </c>
      <c r="G470" t="s">
        <v>21</v>
      </c>
      <c r="H470" t="s">
        <v>21</v>
      </c>
      <c r="I470" t="s">
        <v>21</v>
      </c>
      <c r="J470">
        <v>0</v>
      </c>
      <c r="K470">
        <v>2</v>
      </c>
      <c r="L470" t="s">
        <v>26</v>
      </c>
      <c r="M470" t="str">
        <f t="shared" si="47"/>
        <v>F1</v>
      </c>
      <c r="N470">
        <v>0</v>
      </c>
      <c r="O470">
        <v>0</v>
      </c>
      <c r="P470">
        <v>0</v>
      </c>
      <c r="Q470">
        <v>0.51759999999999995</v>
      </c>
      <c r="R470">
        <v>0</v>
      </c>
      <c r="S470">
        <v>0.1007</v>
      </c>
      <c r="T470">
        <v>0.38159999999999999</v>
      </c>
      <c r="U470">
        <v>0</v>
      </c>
      <c r="V470">
        <v>0.48230600000000001</v>
      </c>
      <c r="W470" s="1">
        <f t="shared" si="48"/>
        <v>0.51759999999999995</v>
      </c>
      <c r="X470" s="2" t="s">
        <v>694</v>
      </c>
      <c r="Y470" t="str">
        <f>VLOOKUP(X470,Sheet1!A:B,2,FALSE)</f>
        <v>Quercus macrocarpa Michx.</v>
      </c>
      <c r="Z470" t="s">
        <v>1423</v>
      </c>
      <c r="AB470" s="1">
        <f t="shared" si="49"/>
        <v>0.51759999999999995</v>
      </c>
      <c r="AD470">
        <f>IF(W470&lt;0.99,LARGE((N470:R470,U470,V470),2),"0")</f>
        <v>0.48230600000000001</v>
      </c>
      <c r="AE470" t="str">
        <f>IF(AND(AB470&lt;0.99,AD470&gt;0.1,AB470&gt;0.6),"admixed with",IF(AND(AB470&lt;0.99,AD470&gt;0.01,AD470&lt;0.4),"trace admixed with ",""))</f>
        <v/>
      </c>
      <c r="AH470" t="str">
        <f t="shared" si="46"/>
        <v xml:space="preserve">Based on ADMIXTURE results of 78,187 SNPs, </v>
      </c>
    </row>
    <row r="471" spans="1:34" x14ac:dyDescent="0.4">
      <c r="A471">
        <v>352</v>
      </c>
      <c r="B471" t="s">
        <v>695</v>
      </c>
      <c r="C471" t="s">
        <v>22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>
        <v>1</v>
      </c>
      <c r="K471">
        <v>0</v>
      </c>
      <c r="L471" t="s">
        <v>23</v>
      </c>
      <c r="M471" t="str">
        <f t="shared" si="47"/>
        <v>&gt;0.74</v>
      </c>
      <c r="N471">
        <v>0</v>
      </c>
      <c r="O471">
        <v>0</v>
      </c>
      <c r="P471">
        <v>0.99990000000000001</v>
      </c>
      <c r="Q471">
        <v>0</v>
      </c>
      <c r="R471">
        <v>0</v>
      </c>
      <c r="S471">
        <v>0</v>
      </c>
      <c r="T471">
        <v>0</v>
      </c>
      <c r="U471">
        <v>0</v>
      </c>
      <c r="V471" s="1">
        <v>2.0000000000000002E-5</v>
      </c>
      <c r="W471" s="1">
        <f t="shared" si="48"/>
        <v>0.99990000000000001</v>
      </c>
      <c r="X471" t="s">
        <v>696</v>
      </c>
      <c r="Y471" t="str">
        <f>VLOOKUP(X471,Sheet1!A:B,2,FALSE)</f>
        <v>Quercus alba L.</v>
      </c>
      <c r="Z471" t="s">
        <v>1386</v>
      </c>
      <c r="AB471" s="1">
        <f t="shared" si="49"/>
        <v>0.99990000000000001</v>
      </c>
      <c r="AD471" t="str">
        <f>IF(W471&lt;0.99,LARGE((N471:R471,U471,V471),2),"0")</f>
        <v>0</v>
      </c>
      <c r="AE471" t="str">
        <f>IF(AND(AB471&lt;0.99,AD471&gt;0.1),"admixed with",IF(AND(AB471&lt;0.99,AD471&gt;0.01),"trace admixed with ",""))</f>
        <v/>
      </c>
      <c r="AH471" t="str">
        <f t="shared" si="46"/>
        <v xml:space="preserve">Based on ADMIXTURE results of 78,187 SNPs, </v>
      </c>
    </row>
    <row r="472" spans="1:34" x14ac:dyDescent="0.4">
      <c r="A472" s="3">
        <v>353</v>
      </c>
      <c r="B472" s="3" t="s">
        <v>697</v>
      </c>
      <c r="C472" s="3" t="s">
        <v>25</v>
      </c>
      <c r="D472" s="3" t="s">
        <v>25</v>
      </c>
      <c r="E472" s="3" t="s">
        <v>21</v>
      </c>
      <c r="F472" s="3" t="s">
        <v>21</v>
      </c>
      <c r="G472" s="3" t="s">
        <v>21</v>
      </c>
      <c r="H472" s="3" t="s">
        <v>21</v>
      </c>
      <c r="I472" s="3" t="s">
        <v>21</v>
      </c>
      <c r="J472" s="3">
        <v>0</v>
      </c>
      <c r="K472" s="3">
        <v>2</v>
      </c>
      <c r="L472" s="3" t="s">
        <v>26</v>
      </c>
      <c r="M472" s="3" t="str">
        <f t="shared" si="47"/>
        <v>BC1?</v>
      </c>
      <c r="N472" s="3">
        <v>0</v>
      </c>
      <c r="O472" s="3">
        <v>0</v>
      </c>
      <c r="P472" s="3">
        <v>0.25800000000000001</v>
      </c>
      <c r="Q472" s="3">
        <v>0.70589999999999997</v>
      </c>
      <c r="R472" s="3">
        <v>0</v>
      </c>
      <c r="S472" s="3">
        <v>0</v>
      </c>
      <c r="T472" s="3">
        <v>3.61E-2</v>
      </c>
      <c r="U472" s="3">
        <v>0</v>
      </c>
      <c r="V472" s="3">
        <v>3.6104999999999998E-2</v>
      </c>
      <c r="W472" s="5">
        <f t="shared" si="48"/>
        <v>0.70589999999999997</v>
      </c>
      <c r="X472" s="3" t="s">
        <v>698</v>
      </c>
      <c r="Y472" s="3" t="str">
        <f>VLOOKUP(X472,Sheet1!A:B,2,FALSE)</f>
        <v>Quercus bicolor Willd.</v>
      </c>
      <c r="Z472" s="3" t="s">
        <v>1388</v>
      </c>
      <c r="AA472" s="3"/>
      <c r="AB472" s="5">
        <f t="shared" si="49"/>
        <v>0.70589999999999997</v>
      </c>
      <c r="AC472" s="3" t="s">
        <v>1430</v>
      </c>
      <c r="AD472" s="3">
        <f>IF(W472&lt;0.99,LARGE((N472:R472,U472,V472),2),"0")</f>
        <v>0.25800000000000001</v>
      </c>
      <c r="AE472" t="str">
        <f>IF(AND(AB472&lt;0.99,AD472&gt;0.1,AB472&gt;0.6),"admixed with ",IF(AND(AB472&lt;0.99,AD472&gt;0.01,AD472&lt;0.4),"trace admixed (Q&lt;0.10) with ",""))</f>
        <v xml:space="preserve">admixed with </v>
      </c>
      <c r="AF472" s="3"/>
      <c r="AG472" s="3"/>
      <c r="AH472" s="3" t="str">
        <f t="shared" si="46"/>
        <v>Based on ADMIXTURE results of 78,187 SNPs, admixed with Quercus alba</v>
      </c>
    </row>
    <row r="473" spans="1:34" x14ac:dyDescent="0.4">
      <c r="A473">
        <v>354</v>
      </c>
      <c r="B473" t="s">
        <v>699</v>
      </c>
      <c r="C473" t="s">
        <v>22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>
        <v>1</v>
      </c>
      <c r="K473">
        <v>0</v>
      </c>
      <c r="L473" t="s">
        <v>23</v>
      </c>
      <c r="M473" t="str">
        <f t="shared" si="47"/>
        <v>&gt;0.74</v>
      </c>
      <c r="N473">
        <v>0</v>
      </c>
      <c r="O473">
        <v>0</v>
      </c>
      <c r="P473">
        <v>0.99990000000000001</v>
      </c>
      <c r="Q473">
        <v>0</v>
      </c>
      <c r="R473">
        <v>0</v>
      </c>
      <c r="S473">
        <v>0</v>
      </c>
      <c r="T473">
        <v>0</v>
      </c>
      <c r="U473">
        <v>0</v>
      </c>
      <c r="V473" s="1">
        <v>2.0000000000000002E-5</v>
      </c>
      <c r="W473" s="1">
        <f t="shared" si="48"/>
        <v>0.99990000000000001</v>
      </c>
      <c r="X473" t="s">
        <v>700</v>
      </c>
      <c r="Y473" t="str">
        <f>VLOOKUP(X473,Sheet1!A:B,2,FALSE)</f>
        <v>Quercus alba L.</v>
      </c>
      <c r="Z473" t="s">
        <v>1386</v>
      </c>
      <c r="AB473" s="1">
        <f t="shared" si="49"/>
        <v>0.99990000000000001</v>
      </c>
      <c r="AD473" t="str">
        <f>IF(W473&lt;0.99,LARGE((N473:R473,U473,V473),2),"0")</f>
        <v>0</v>
      </c>
      <c r="AE473" t="str">
        <f>IF(AND(AB473&lt;0.99,AD473&gt;0.1),"admixed with",IF(AND(AB473&lt;0.99,AD473&gt;0.01),"trace admixed with ",""))</f>
        <v/>
      </c>
      <c r="AH473" t="str">
        <f t="shared" si="46"/>
        <v xml:space="preserve">Based on ADMIXTURE results of 78,187 SNPs, </v>
      </c>
    </row>
    <row r="474" spans="1:34" x14ac:dyDescent="0.4">
      <c r="A474">
        <v>355</v>
      </c>
      <c r="B474" t="s">
        <v>701</v>
      </c>
      <c r="C474" t="s">
        <v>22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>
        <v>1</v>
      </c>
      <c r="K474">
        <v>0</v>
      </c>
      <c r="L474" t="s">
        <v>23</v>
      </c>
      <c r="M474" t="str">
        <f t="shared" si="47"/>
        <v>&gt;0.74</v>
      </c>
      <c r="N474">
        <v>0</v>
      </c>
      <c r="O474">
        <v>0</v>
      </c>
      <c r="P474">
        <v>0.97670000000000001</v>
      </c>
      <c r="Q474">
        <v>0</v>
      </c>
      <c r="R474">
        <v>0</v>
      </c>
      <c r="S474">
        <v>0</v>
      </c>
      <c r="T474">
        <v>2.3199999999999998E-2</v>
      </c>
      <c r="U474">
        <v>0</v>
      </c>
      <c r="V474">
        <v>2.3231000000000002E-2</v>
      </c>
      <c r="W474" s="1">
        <f t="shared" si="48"/>
        <v>0.97670000000000001</v>
      </c>
      <c r="X474" t="s">
        <v>702</v>
      </c>
      <c r="Y474" t="str">
        <f>VLOOKUP(X474,Sheet1!A:B,2,FALSE)</f>
        <v>Quercus alba L.</v>
      </c>
      <c r="Z474" t="s">
        <v>1386</v>
      </c>
      <c r="AB474" s="1">
        <f t="shared" si="49"/>
        <v>0.97670000000000001</v>
      </c>
      <c r="AD474">
        <f>IF(W474&lt;0.99,LARGE((N474:R474,U474,V474),2),"0")</f>
        <v>2.3231000000000002E-2</v>
      </c>
      <c r="AE474" t="str">
        <f>IF(AND(AB474&lt;0.99,AD474&gt;0.1),"admixed with",IF(AND(AB474&lt;0.99,AD474&gt;0.01),"trace admixed with ",""))</f>
        <v xml:space="preserve">trace admixed with </v>
      </c>
      <c r="AH474" t="str">
        <f t="shared" si="46"/>
        <v xml:space="preserve">Based on ADMIXTURE results of 78,187 SNPs, trace admixed with </v>
      </c>
    </row>
    <row r="475" spans="1:34" x14ac:dyDescent="0.4">
      <c r="A475">
        <v>356</v>
      </c>
      <c r="B475" t="s">
        <v>703</v>
      </c>
      <c r="C475" t="s">
        <v>21</v>
      </c>
      <c r="D475" t="s">
        <v>25</v>
      </c>
      <c r="E475" t="s">
        <v>21</v>
      </c>
      <c r="F475" t="s">
        <v>25</v>
      </c>
      <c r="G475" t="s">
        <v>21</v>
      </c>
      <c r="H475" t="s">
        <v>21</v>
      </c>
      <c r="I475" t="s">
        <v>21</v>
      </c>
      <c r="J475">
        <v>0</v>
      </c>
      <c r="K475">
        <v>2</v>
      </c>
      <c r="L475" t="s">
        <v>26</v>
      </c>
      <c r="M475" t="str">
        <f t="shared" si="47"/>
        <v>&gt;0.74</v>
      </c>
      <c r="N475">
        <v>0</v>
      </c>
      <c r="O475">
        <v>0</v>
      </c>
      <c r="P475">
        <v>0</v>
      </c>
      <c r="Q475">
        <v>0.77410000000000001</v>
      </c>
      <c r="R475">
        <v>0</v>
      </c>
      <c r="S475">
        <v>2.07E-2</v>
      </c>
      <c r="T475">
        <v>0.20519999999999999</v>
      </c>
      <c r="U475">
        <v>0</v>
      </c>
      <c r="V475">
        <v>0.225856</v>
      </c>
      <c r="W475" s="1">
        <f t="shared" si="48"/>
        <v>0.77410000000000001</v>
      </c>
      <c r="X475" t="s">
        <v>704</v>
      </c>
      <c r="Y475" t="str">
        <f>VLOOKUP(X475,Sheet1!A:B,2,FALSE)</f>
        <v>Quercus bicolor Willd.</v>
      </c>
      <c r="Z475" t="s">
        <v>1388</v>
      </c>
      <c r="AB475" s="1">
        <f t="shared" si="49"/>
        <v>0.77410000000000001</v>
      </c>
      <c r="AC475" t="s">
        <v>1421</v>
      </c>
      <c r="AD475">
        <f>IF(W475&lt;0.99,LARGE((N475:R475,U475,V475),2),"0")</f>
        <v>0.225856</v>
      </c>
      <c r="AE475" t="str">
        <f>IF(AND(AB475&lt;0.99,AD475&gt;0.1,AB475&gt;0.6),"admixed with ",IF(AND(AB475&lt;0.99,AD475&gt;0.01,AD475&lt;0.4),"trace admixed (Q&lt;0.10) with ",""))</f>
        <v xml:space="preserve">admixed with </v>
      </c>
      <c r="AH475" t="str">
        <f t="shared" si="46"/>
        <v>Based on ADMIXTURE results of 78,187 SNPs, admixed with Quercus macrocarpa</v>
      </c>
    </row>
    <row r="476" spans="1:34" x14ac:dyDescent="0.4">
      <c r="A476">
        <v>357</v>
      </c>
      <c r="B476" t="s">
        <v>705</v>
      </c>
      <c r="C476" t="s">
        <v>21</v>
      </c>
      <c r="D476" t="s">
        <v>25</v>
      </c>
      <c r="E476" t="s">
        <v>21</v>
      </c>
      <c r="F476" t="s">
        <v>25</v>
      </c>
      <c r="G476" t="s">
        <v>21</v>
      </c>
      <c r="H476" t="s">
        <v>21</v>
      </c>
      <c r="I476" t="s">
        <v>21</v>
      </c>
      <c r="J476">
        <v>0</v>
      </c>
      <c r="K476">
        <v>2</v>
      </c>
      <c r="L476" t="s">
        <v>26</v>
      </c>
      <c r="M476" t="str">
        <f t="shared" si="47"/>
        <v>F1</v>
      </c>
      <c r="N476">
        <v>0</v>
      </c>
      <c r="O476">
        <v>0</v>
      </c>
      <c r="P476">
        <v>0</v>
      </c>
      <c r="Q476">
        <v>0.48680000000000001</v>
      </c>
      <c r="R476">
        <v>0</v>
      </c>
      <c r="S476">
        <v>6.0299999999999999E-2</v>
      </c>
      <c r="T476">
        <v>0.45279999999999998</v>
      </c>
      <c r="U476">
        <v>0</v>
      </c>
      <c r="V476">
        <v>0.51313200000000003</v>
      </c>
      <c r="W476" s="1">
        <f t="shared" si="48"/>
        <v>0.51313200000000003</v>
      </c>
      <c r="X476" s="2" t="s">
        <v>706</v>
      </c>
      <c r="Y476" t="str">
        <f>VLOOKUP(X476,Sheet1!A:B,2,FALSE)</f>
        <v>Quercus macrocarpa Michx.</v>
      </c>
      <c r="Z476" t="s">
        <v>1423</v>
      </c>
      <c r="AB476" s="1">
        <f t="shared" si="49"/>
        <v>0.51313200000000003</v>
      </c>
      <c r="AD476">
        <f>IF(W476&lt;0.99,LARGE((N476:R476,U476,V476),2),"0")</f>
        <v>0.48680000000000001</v>
      </c>
      <c r="AE476" t="str">
        <f>IF(AND(AB476&lt;0.99,AD476&gt;0.1,AB476&gt;0.6),"admixed with",IF(AND(AB476&lt;0.99,AD476&gt;0.01,AD476&lt;0.4),"trace admixed with ",""))</f>
        <v/>
      </c>
      <c r="AH476" t="str">
        <f t="shared" si="46"/>
        <v xml:space="preserve">Based on ADMIXTURE results of 78,187 SNPs, </v>
      </c>
    </row>
    <row r="477" spans="1:34" x14ac:dyDescent="0.4">
      <c r="A477">
        <v>358</v>
      </c>
      <c r="B477" t="s">
        <v>707</v>
      </c>
      <c r="C477" t="s">
        <v>21</v>
      </c>
      <c r="D477" t="s">
        <v>22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>
        <v>1</v>
      </c>
      <c r="K477">
        <v>0</v>
      </c>
      <c r="L477" t="s">
        <v>23</v>
      </c>
      <c r="M477" t="str">
        <f t="shared" si="47"/>
        <v>&gt;0.74</v>
      </c>
      <c r="N477">
        <v>0</v>
      </c>
      <c r="O477">
        <v>0</v>
      </c>
      <c r="P477">
        <v>0</v>
      </c>
      <c r="Q477">
        <v>0.97240000000000004</v>
      </c>
      <c r="R477">
        <v>0</v>
      </c>
      <c r="S477">
        <v>0</v>
      </c>
      <c r="T477">
        <v>2.76E-2</v>
      </c>
      <c r="U477">
        <v>0</v>
      </c>
      <c r="V477">
        <v>2.7581000000000001E-2</v>
      </c>
      <c r="W477" s="1">
        <f t="shared" si="48"/>
        <v>0.97240000000000004</v>
      </c>
      <c r="X477" t="s">
        <v>708</v>
      </c>
      <c r="Y477" t="str">
        <f>VLOOKUP(X477,Sheet1!A:B,2,FALSE)</f>
        <v>Quercus bicolor Willd.</v>
      </c>
      <c r="Z477" t="s">
        <v>1388</v>
      </c>
      <c r="AB477" s="1">
        <f t="shared" si="49"/>
        <v>0.97240000000000004</v>
      </c>
      <c r="AD477">
        <f>IF(W477&lt;0.99,LARGE((N477:R477,U477,V477),2),"0")</f>
        <v>2.7581000000000001E-2</v>
      </c>
      <c r="AE477" t="str">
        <f>IF(AND(AB477&lt;0.99,AD477&gt;0.1),"admixed with",IF(AND(AB477&lt;0.99,AD477&gt;0.01),"trace admixed with ",""))</f>
        <v xml:space="preserve">trace admixed with </v>
      </c>
      <c r="AH477" t="str">
        <f t="shared" si="46"/>
        <v xml:space="preserve">Based on ADMIXTURE results of 78,187 SNPs, trace admixed with </v>
      </c>
    </row>
    <row r="478" spans="1:34" x14ac:dyDescent="0.4">
      <c r="A478">
        <v>359</v>
      </c>
      <c r="B478" t="s">
        <v>709</v>
      </c>
      <c r="C478" t="s">
        <v>25</v>
      </c>
      <c r="D478" t="s">
        <v>21</v>
      </c>
      <c r="E478" t="s">
        <v>21</v>
      </c>
      <c r="F478" t="s">
        <v>25</v>
      </c>
      <c r="G478" t="s">
        <v>21</v>
      </c>
      <c r="H478" t="s">
        <v>21</v>
      </c>
      <c r="I478" t="s">
        <v>21</v>
      </c>
      <c r="J478">
        <v>0</v>
      </c>
      <c r="K478">
        <v>2</v>
      </c>
      <c r="L478" t="s">
        <v>26</v>
      </c>
      <c r="M478" t="str">
        <f t="shared" si="47"/>
        <v>F1</v>
      </c>
      <c r="N478">
        <v>0</v>
      </c>
      <c r="O478">
        <v>0</v>
      </c>
      <c r="P478">
        <v>0.52390000000000003</v>
      </c>
      <c r="Q478">
        <v>9.7000000000000003E-3</v>
      </c>
      <c r="R478">
        <v>0</v>
      </c>
      <c r="S478">
        <v>2.0799999999999999E-2</v>
      </c>
      <c r="T478">
        <v>0.4456</v>
      </c>
      <c r="U478">
        <v>0</v>
      </c>
      <c r="V478">
        <v>0.46632499999999999</v>
      </c>
      <c r="W478" s="1">
        <f t="shared" si="48"/>
        <v>0.52390000000000003</v>
      </c>
      <c r="X478" s="2" t="s">
        <v>710</v>
      </c>
      <c r="Y478" t="str">
        <f>VLOOKUP(X478,Sheet1!A:B,2,FALSE)</f>
        <v>Quercus alba L.</v>
      </c>
      <c r="Z478" t="s">
        <v>1426</v>
      </c>
      <c r="AB478" s="1">
        <f t="shared" si="49"/>
        <v>0.52390000000000003</v>
      </c>
      <c r="AD478">
        <f>IF(W478&lt;0.99,LARGE((N478:R478,U478,V478),2),"0")</f>
        <v>0.46632499999999999</v>
      </c>
      <c r="AE478" t="str">
        <f>IF(AND(AB478&lt;0.99,AD478&gt;0.1,AB478&gt;0.6),"admixed with",IF(AND(AB478&lt;0.99,AD478&gt;0.01,AD478&lt;0.4),"trace admixed with ",""))</f>
        <v/>
      </c>
      <c r="AH478" t="str">
        <f t="shared" si="46"/>
        <v xml:space="preserve">Based on ADMIXTURE results of 78,187 SNPs, </v>
      </c>
    </row>
    <row r="479" spans="1:34" x14ac:dyDescent="0.4">
      <c r="A479">
        <v>360</v>
      </c>
      <c r="B479" t="s">
        <v>711</v>
      </c>
      <c r="C479" t="s">
        <v>21</v>
      </c>
      <c r="D479" t="s">
        <v>22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>
        <v>1</v>
      </c>
      <c r="K479">
        <v>0</v>
      </c>
      <c r="L479" t="s">
        <v>23</v>
      </c>
      <c r="M479" t="str">
        <f t="shared" si="47"/>
        <v>&gt;0.74</v>
      </c>
      <c r="N479">
        <v>0</v>
      </c>
      <c r="O479">
        <v>0</v>
      </c>
      <c r="P479">
        <v>0</v>
      </c>
      <c r="Q479">
        <v>0.9627</v>
      </c>
      <c r="R479">
        <v>0</v>
      </c>
      <c r="S479">
        <v>0</v>
      </c>
      <c r="T479">
        <v>3.7199999999999997E-2</v>
      </c>
      <c r="U479">
        <v>0</v>
      </c>
      <c r="V479">
        <v>3.7215999999999999E-2</v>
      </c>
      <c r="W479" s="1">
        <f t="shared" si="48"/>
        <v>0.9627</v>
      </c>
      <c r="X479" t="s">
        <v>712</v>
      </c>
      <c r="Y479" t="str">
        <f>VLOOKUP(X479,Sheet1!A:B,2,FALSE)</f>
        <v>Quercus bicolor Willd.</v>
      </c>
      <c r="Z479" t="s">
        <v>1388</v>
      </c>
      <c r="AB479" s="1">
        <f t="shared" si="49"/>
        <v>0.9627</v>
      </c>
      <c r="AD479">
        <f>IF(W479&lt;0.99,LARGE((N479:R479,U479,V479),2),"0")</f>
        <v>3.7215999999999999E-2</v>
      </c>
      <c r="AE479" t="str">
        <f>IF(AND(AB479&lt;0.99,AD479&gt;0.1),"admixed with",IF(AND(AB479&lt;0.99,AD479&gt;0.01),"trace admixed with ",""))</f>
        <v xml:space="preserve">trace admixed with </v>
      </c>
      <c r="AH479" t="str">
        <f t="shared" si="46"/>
        <v xml:space="preserve">Based on ADMIXTURE results of 78,187 SNPs, trace admixed with </v>
      </c>
    </row>
    <row r="480" spans="1:34" x14ac:dyDescent="0.4">
      <c r="A480">
        <v>361</v>
      </c>
      <c r="B480" t="s">
        <v>713</v>
      </c>
      <c r="C480" t="s">
        <v>21</v>
      </c>
      <c r="D480" t="s">
        <v>22</v>
      </c>
      <c r="E480" t="s">
        <v>21</v>
      </c>
      <c r="F480" t="s">
        <v>25</v>
      </c>
      <c r="G480" t="s">
        <v>21</v>
      </c>
      <c r="H480" t="s">
        <v>21</v>
      </c>
      <c r="I480" t="s">
        <v>21</v>
      </c>
      <c r="J480">
        <v>1</v>
      </c>
      <c r="K480">
        <v>1</v>
      </c>
      <c r="L480" t="s">
        <v>193</v>
      </c>
      <c r="M480" t="str">
        <f t="shared" si="47"/>
        <v>&gt;0.74</v>
      </c>
      <c r="N480">
        <v>0</v>
      </c>
      <c r="O480">
        <v>0</v>
      </c>
      <c r="P480">
        <v>0</v>
      </c>
      <c r="Q480">
        <v>0.93079999999999996</v>
      </c>
      <c r="R480">
        <v>0</v>
      </c>
      <c r="S480">
        <v>0</v>
      </c>
      <c r="T480">
        <v>6.9099999999999995E-2</v>
      </c>
      <c r="U480">
        <v>0</v>
      </c>
      <c r="V480">
        <v>6.9101999999999997E-2</v>
      </c>
      <c r="W480" s="1">
        <f t="shared" si="48"/>
        <v>0.93079999999999996</v>
      </c>
      <c r="X480" t="s">
        <v>714</v>
      </c>
      <c r="Y480" t="str">
        <f>VLOOKUP(X480,Sheet1!A:B,2,FALSE)</f>
        <v>Quercus bicolor Willd.</v>
      </c>
      <c r="Z480" t="s">
        <v>1388</v>
      </c>
      <c r="AB480" s="1">
        <f t="shared" si="49"/>
        <v>0.93079999999999996</v>
      </c>
      <c r="AC480" t="s">
        <v>1421</v>
      </c>
      <c r="AD480">
        <f>IF(W480&lt;0.99,LARGE((N480:R480,U480,V480),2),"0")</f>
        <v>6.9101999999999997E-2</v>
      </c>
      <c r="AE480" t="str">
        <f>IF(AND(AB480&lt;0.99,AD480&gt;0.1,AB480&gt;0.6),"admixed with ",IF(AND(AB480&lt;0.99,AD480&gt;0.01,AD480&lt;0.4),"may be trace admixed with ",""))</f>
        <v xml:space="preserve">may be trace admixed with </v>
      </c>
      <c r="AH480" t="str">
        <f t="shared" si="46"/>
        <v>Based on ADMIXTURE results of 78,187 SNPs, may be trace admixed with Quercus macrocarpa</v>
      </c>
    </row>
    <row r="481" spans="1:34" x14ac:dyDescent="0.4">
      <c r="A481">
        <v>391</v>
      </c>
      <c r="B481" t="s">
        <v>773</v>
      </c>
      <c r="C481" t="s">
        <v>21</v>
      </c>
      <c r="D481" t="s">
        <v>21</v>
      </c>
      <c r="E481" t="s">
        <v>21</v>
      </c>
      <c r="F481" t="s">
        <v>21</v>
      </c>
      <c r="G481" t="s">
        <v>22</v>
      </c>
      <c r="H481" t="s">
        <v>21</v>
      </c>
      <c r="I481" t="s">
        <v>21</v>
      </c>
      <c r="J481">
        <v>1</v>
      </c>
      <c r="K481">
        <v>0</v>
      </c>
      <c r="L481" t="s">
        <v>23</v>
      </c>
      <c r="M481" t="str">
        <f t="shared" si="47"/>
        <v>&gt;0.74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0.99990000000000001</v>
      </c>
      <c r="V481" s="1">
        <v>2.0000000000000002E-5</v>
      </c>
      <c r="W481" s="1">
        <f t="shared" si="48"/>
        <v>0.99990000000000001</v>
      </c>
      <c r="X481" t="s">
        <v>774</v>
      </c>
      <c r="Y481" t="str">
        <f>VLOOKUP(X481,Sheet1!A:B,2,FALSE)</f>
        <v>Quercus montana Willd.</v>
      </c>
      <c r="Z481" t="s">
        <v>1408</v>
      </c>
      <c r="AB481" s="1">
        <f t="shared" si="49"/>
        <v>0.99990000000000001</v>
      </c>
      <c r="AD481" t="str">
        <f>IF(W481&lt;0.99,LARGE((N481:R481,U481,V481),2),"0")</f>
        <v>0</v>
      </c>
      <c r="AE481" t="str">
        <f t="shared" ref="AE481:AE490" si="50">IF(AND(AB481&lt;0.99,AD481&gt;0.1),"admixed with",IF(AND(AB481&lt;0.99,AD481&gt;0.01),"trace admixed with ",""))</f>
        <v/>
      </c>
      <c r="AH481" t="str">
        <f t="shared" si="46"/>
        <v xml:space="preserve">Based on ADMIXTURE results of 78,187 SNPs, </v>
      </c>
    </row>
    <row r="482" spans="1:34" x14ac:dyDescent="0.4">
      <c r="A482">
        <v>392</v>
      </c>
      <c r="B482" t="s">
        <v>775</v>
      </c>
      <c r="C482" t="s">
        <v>22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>
        <v>1</v>
      </c>
      <c r="K482">
        <v>0</v>
      </c>
      <c r="L482" t="s">
        <v>23</v>
      </c>
      <c r="M482" t="str">
        <f t="shared" si="47"/>
        <v>&gt;0.74</v>
      </c>
      <c r="N482">
        <v>0</v>
      </c>
      <c r="O482">
        <v>0</v>
      </c>
      <c r="P482">
        <v>0.99990000000000001</v>
      </c>
      <c r="Q482">
        <v>0</v>
      </c>
      <c r="R482">
        <v>0</v>
      </c>
      <c r="S482">
        <v>0</v>
      </c>
      <c r="T482">
        <v>0</v>
      </c>
      <c r="U482">
        <v>0</v>
      </c>
      <c r="V482" s="1">
        <v>2.0000000000000002E-5</v>
      </c>
      <c r="W482" s="1">
        <f t="shared" si="48"/>
        <v>0.99990000000000001</v>
      </c>
      <c r="X482" t="s">
        <v>776</v>
      </c>
      <c r="Y482" t="str">
        <f>VLOOKUP(X482,Sheet1!A:B,2,FALSE)</f>
        <v>Quercus alba L.</v>
      </c>
      <c r="Z482" t="s">
        <v>1386</v>
      </c>
      <c r="AB482" s="1">
        <f t="shared" si="49"/>
        <v>0.99990000000000001</v>
      </c>
      <c r="AD482" t="str">
        <f>IF(W482&lt;0.99,LARGE((N482:R482,U482,V482),2),"0")</f>
        <v>0</v>
      </c>
      <c r="AE482" t="str">
        <f t="shared" si="50"/>
        <v/>
      </c>
      <c r="AH482" t="str">
        <f t="shared" si="46"/>
        <v xml:space="preserve">Based on ADMIXTURE results of 78,187 SNPs, </v>
      </c>
    </row>
    <row r="483" spans="1:34" x14ac:dyDescent="0.4">
      <c r="A483">
        <v>393</v>
      </c>
      <c r="B483" t="s">
        <v>777</v>
      </c>
      <c r="C483" t="s">
        <v>21</v>
      </c>
      <c r="D483" t="s">
        <v>21</v>
      </c>
      <c r="E483" t="s">
        <v>21</v>
      </c>
      <c r="F483" t="s">
        <v>21</v>
      </c>
      <c r="G483" t="s">
        <v>22</v>
      </c>
      <c r="H483" t="s">
        <v>21</v>
      </c>
      <c r="I483" t="s">
        <v>21</v>
      </c>
      <c r="J483">
        <v>1</v>
      </c>
      <c r="K483">
        <v>0</v>
      </c>
      <c r="L483" t="s">
        <v>23</v>
      </c>
      <c r="M483" t="str">
        <f t="shared" si="47"/>
        <v>&gt;0.74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0.99990000000000001</v>
      </c>
      <c r="V483" s="1">
        <v>2.0000000000000002E-5</v>
      </c>
      <c r="W483" s="1">
        <f t="shared" si="48"/>
        <v>0.99990000000000001</v>
      </c>
      <c r="X483" t="s">
        <v>778</v>
      </c>
      <c r="Y483" t="str">
        <f>VLOOKUP(X483,Sheet1!A:B,2,FALSE)</f>
        <v>Quercus montana Willd.</v>
      </c>
      <c r="Z483" t="s">
        <v>1408</v>
      </c>
      <c r="AB483" s="1">
        <f t="shared" si="49"/>
        <v>0.99990000000000001</v>
      </c>
      <c r="AD483" t="str">
        <f>IF(W483&lt;0.99,LARGE((N483:R483,U483,V483),2),"0")</f>
        <v>0</v>
      </c>
      <c r="AE483" t="str">
        <f t="shared" si="50"/>
        <v/>
      </c>
      <c r="AH483" t="str">
        <f t="shared" si="46"/>
        <v xml:space="preserve">Based on ADMIXTURE results of 78,187 SNPs, </v>
      </c>
    </row>
    <row r="484" spans="1:34" x14ac:dyDescent="0.4">
      <c r="A484">
        <v>394</v>
      </c>
      <c r="B484" t="s">
        <v>779</v>
      </c>
      <c r="C484" t="s">
        <v>21</v>
      </c>
      <c r="D484" t="s">
        <v>21</v>
      </c>
      <c r="E484" t="s">
        <v>21</v>
      </c>
      <c r="F484" t="s">
        <v>21</v>
      </c>
      <c r="G484" t="s">
        <v>22</v>
      </c>
      <c r="H484" t="s">
        <v>21</v>
      </c>
      <c r="I484" t="s">
        <v>21</v>
      </c>
      <c r="J484">
        <v>1</v>
      </c>
      <c r="K484">
        <v>0</v>
      </c>
      <c r="L484" t="s">
        <v>23</v>
      </c>
      <c r="M484" t="str">
        <f t="shared" si="47"/>
        <v>&gt;0.74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0.99990000000000001</v>
      </c>
      <c r="V484" s="1">
        <v>2.0000000000000002E-5</v>
      </c>
      <c r="W484" s="1">
        <f t="shared" si="48"/>
        <v>0.99990000000000001</v>
      </c>
      <c r="X484" t="s">
        <v>780</v>
      </c>
      <c r="Y484" t="str">
        <f>VLOOKUP(X484,Sheet1!A:B,2,FALSE)</f>
        <v>Quercus montana Willd.</v>
      </c>
      <c r="Z484" t="s">
        <v>1408</v>
      </c>
      <c r="AB484" s="1">
        <f t="shared" si="49"/>
        <v>0.99990000000000001</v>
      </c>
      <c r="AD484" t="str">
        <f>IF(W484&lt;0.99,LARGE((N484:R484,U484,V484),2),"0")</f>
        <v>0</v>
      </c>
      <c r="AE484" t="str">
        <f t="shared" si="50"/>
        <v/>
      </c>
      <c r="AH484" t="str">
        <f t="shared" si="46"/>
        <v xml:space="preserve">Based on ADMIXTURE results of 78,187 SNPs, </v>
      </c>
    </row>
    <row r="485" spans="1:34" x14ac:dyDescent="0.4">
      <c r="A485">
        <v>395</v>
      </c>
      <c r="B485" t="s">
        <v>781</v>
      </c>
      <c r="C485" t="s">
        <v>21</v>
      </c>
      <c r="D485" t="s">
        <v>21</v>
      </c>
      <c r="E485" t="s">
        <v>21</v>
      </c>
      <c r="F485" t="s">
        <v>21</v>
      </c>
      <c r="G485" t="s">
        <v>22</v>
      </c>
      <c r="H485" t="s">
        <v>21</v>
      </c>
      <c r="I485" t="s">
        <v>21</v>
      </c>
      <c r="J485">
        <v>1</v>
      </c>
      <c r="K485">
        <v>0</v>
      </c>
      <c r="L485" t="s">
        <v>23</v>
      </c>
      <c r="M485" t="str">
        <f t="shared" si="47"/>
        <v>&gt;0.74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0.99990000000000001</v>
      </c>
      <c r="V485" s="1">
        <v>2.0000000000000002E-5</v>
      </c>
      <c r="W485" s="1">
        <f t="shared" si="48"/>
        <v>0.99990000000000001</v>
      </c>
      <c r="X485" t="s">
        <v>782</v>
      </c>
      <c r="Y485" t="str">
        <f>VLOOKUP(X485,Sheet1!A:B,2,FALSE)</f>
        <v>Quercus montana Willd.</v>
      </c>
      <c r="Z485" t="s">
        <v>1408</v>
      </c>
      <c r="AB485" s="1">
        <f t="shared" si="49"/>
        <v>0.99990000000000001</v>
      </c>
      <c r="AD485" t="str">
        <f>IF(W485&lt;0.99,LARGE((N485:R485,U485,V485),2),"0")</f>
        <v>0</v>
      </c>
      <c r="AE485" t="str">
        <f t="shared" si="50"/>
        <v/>
      </c>
      <c r="AH485" t="str">
        <f t="shared" si="46"/>
        <v xml:space="preserve">Based on ADMIXTURE results of 78,187 SNPs, </v>
      </c>
    </row>
    <row r="486" spans="1:34" x14ac:dyDescent="0.4">
      <c r="A486">
        <v>396</v>
      </c>
      <c r="B486" t="s">
        <v>783</v>
      </c>
      <c r="C486" t="s">
        <v>21</v>
      </c>
      <c r="D486" t="s">
        <v>21</v>
      </c>
      <c r="E486" t="s">
        <v>21</v>
      </c>
      <c r="F486" t="s">
        <v>21</v>
      </c>
      <c r="G486" t="s">
        <v>22</v>
      </c>
      <c r="H486" t="s">
        <v>21</v>
      </c>
      <c r="I486" t="s">
        <v>21</v>
      </c>
      <c r="J486">
        <v>1</v>
      </c>
      <c r="K486">
        <v>0</v>
      </c>
      <c r="L486" t="s">
        <v>23</v>
      </c>
      <c r="M486" t="str">
        <f t="shared" si="47"/>
        <v>&gt;0.74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0.99990000000000001</v>
      </c>
      <c r="V486" s="1">
        <v>2.0000000000000002E-5</v>
      </c>
      <c r="W486" s="1">
        <f t="shared" si="48"/>
        <v>0.99990000000000001</v>
      </c>
      <c r="X486" t="s">
        <v>784</v>
      </c>
      <c r="Y486" t="str">
        <f>VLOOKUP(X486,Sheet1!A:B,2,FALSE)</f>
        <v>Quercus montana Willd.</v>
      </c>
      <c r="Z486" t="s">
        <v>1408</v>
      </c>
      <c r="AB486" s="1">
        <f t="shared" si="49"/>
        <v>0.99990000000000001</v>
      </c>
      <c r="AD486" t="str">
        <f>IF(W486&lt;0.99,LARGE((N486:R486,U486,V486),2),"0")</f>
        <v>0</v>
      </c>
      <c r="AE486" t="str">
        <f t="shared" si="50"/>
        <v/>
      </c>
      <c r="AH486" t="str">
        <f t="shared" si="46"/>
        <v xml:space="preserve">Based on ADMIXTURE results of 78,187 SNPs, </v>
      </c>
    </row>
    <row r="487" spans="1:34" x14ac:dyDescent="0.4">
      <c r="A487">
        <v>406</v>
      </c>
      <c r="B487" t="s">
        <v>803</v>
      </c>
      <c r="C487" t="s">
        <v>22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>
        <v>1</v>
      </c>
      <c r="K487">
        <v>0</v>
      </c>
      <c r="L487" t="s">
        <v>23</v>
      </c>
      <c r="M487" t="str">
        <f t="shared" si="47"/>
        <v>&gt;0.74</v>
      </c>
      <c r="N487">
        <v>0</v>
      </c>
      <c r="O487">
        <v>0</v>
      </c>
      <c r="P487">
        <v>0.99990000000000001</v>
      </c>
      <c r="Q487">
        <v>0</v>
      </c>
      <c r="R487">
        <v>0</v>
      </c>
      <c r="S487">
        <v>0</v>
      </c>
      <c r="T487">
        <v>0</v>
      </c>
      <c r="U487">
        <v>0</v>
      </c>
      <c r="V487" s="1">
        <v>2.1999999999999999E-5</v>
      </c>
      <c r="W487" s="1">
        <f t="shared" si="48"/>
        <v>0.99990000000000001</v>
      </c>
      <c r="X487" t="s">
        <v>804</v>
      </c>
      <c r="Y487" t="str">
        <f>VLOOKUP(X487,Sheet1!A:B,2,FALSE)</f>
        <v>Quercus alba L.</v>
      </c>
      <c r="Z487" t="s">
        <v>1386</v>
      </c>
      <c r="AB487" s="1">
        <f t="shared" si="49"/>
        <v>0.99990000000000001</v>
      </c>
      <c r="AD487" t="str">
        <f>IF(W487&lt;0.99,LARGE((N487:R487,U487,V487),2),"0")</f>
        <v>0</v>
      </c>
      <c r="AE487" t="str">
        <f t="shared" si="50"/>
        <v/>
      </c>
      <c r="AH487" t="str">
        <f t="shared" si="46"/>
        <v xml:space="preserve">Based on ADMIXTURE results of 78,187 SNPs, </v>
      </c>
    </row>
    <row r="488" spans="1:34" x14ac:dyDescent="0.4">
      <c r="A488">
        <v>372</v>
      </c>
      <c r="B488" t="s">
        <v>735</v>
      </c>
      <c r="C488" t="s">
        <v>21</v>
      </c>
      <c r="D488" t="s">
        <v>21</v>
      </c>
      <c r="E488" t="s">
        <v>21</v>
      </c>
      <c r="F488" t="s">
        <v>22</v>
      </c>
      <c r="G488" t="s">
        <v>21</v>
      </c>
      <c r="H488" t="s">
        <v>21</v>
      </c>
      <c r="I488" t="s">
        <v>21</v>
      </c>
      <c r="J488">
        <v>1</v>
      </c>
      <c r="K488">
        <v>0</v>
      </c>
      <c r="L488" t="s">
        <v>23</v>
      </c>
      <c r="M488" t="str">
        <f t="shared" si="47"/>
        <v>&gt;0.74</v>
      </c>
      <c r="N488">
        <v>0</v>
      </c>
      <c r="O488">
        <v>0</v>
      </c>
      <c r="P488">
        <v>0</v>
      </c>
      <c r="Q488">
        <v>1.1299999999999999E-2</v>
      </c>
      <c r="R488">
        <v>0</v>
      </c>
      <c r="S488">
        <v>0</v>
      </c>
      <c r="T488">
        <v>0.98860000000000003</v>
      </c>
      <c r="U488">
        <v>0</v>
      </c>
      <c r="V488">
        <v>0.98865800000000004</v>
      </c>
      <c r="W488" s="1">
        <f t="shared" si="48"/>
        <v>0.98865800000000004</v>
      </c>
      <c r="X488" t="s">
        <v>736</v>
      </c>
      <c r="Y488" t="str">
        <f>VLOOKUP(X488,Sheet1!A:B,2,FALSE)</f>
        <v>Quercus macrocarpa Michx.</v>
      </c>
      <c r="Z488" t="s">
        <v>1384</v>
      </c>
      <c r="AB488" s="1">
        <f t="shared" si="49"/>
        <v>0.98865800000000004</v>
      </c>
      <c r="AD488">
        <f>IF(W488&lt;0.99,LARGE((N488:R488,U488,V488),2),"0")</f>
        <v>1.1299999999999999E-2</v>
      </c>
      <c r="AE488" t="str">
        <f t="shared" si="50"/>
        <v xml:space="preserve">trace admixed with </v>
      </c>
      <c r="AH488" t="str">
        <f t="shared" si="46"/>
        <v xml:space="preserve">Based on ADMIXTURE results of 78,187 SNPs, trace admixed with </v>
      </c>
    </row>
    <row r="489" spans="1:34" x14ac:dyDescent="0.4">
      <c r="A489">
        <v>373</v>
      </c>
      <c r="B489" t="s">
        <v>737</v>
      </c>
      <c r="C489" t="s">
        <v>21</v>
      </c>
      <c r="D489" t="s">
        <v>21</v>
      </c>
      <c r="E489" t="s">
        <v>21</v>
      </c>
      <c r="F489" t="s">
        <v>22</v>
      </c>
      <c r="G489" t="s">
        <v>21</v>
      </c>
      <c r="H489" t="s">
        <v>21</v>
      </c>
      <c r="I489" t="s">
        <v>21</v>
      </c>
      <c r="J489">
        <v>1</v>
      </c>
      <c r="K489">
        <v>0</v>
      </c>
      <c r="L489" t="s">
        <v>23</v>
      </c>
      <c r="M489" t="str">
        <f t="shared" si="47"/>
        <v>&gt;0.74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3.9100000000000003E-2</v>
      </c>
      <c r="T489">
        <v>0.96089999999999998</v>
      </c>
      <c r="U489">
        <v>0</v>
      </c>
      <c r="V489">
        <v>0.99993900000000002</v>
      </c>
      <c r="W489" s="1">
        <f t="shared" si="48"/>
        <v>0.99993900000000002</v>
      </c>
      <c r="X489" t="s">
        <v>738</v>
      </c>
      <c r="Y489" t="str">
        <f>VLOOKUP(X489,Sheet1!A:B,2,FALSE)</f>
        <v>Quercus macrocarpa Michx.</v>
      </c>
      <c r="Z489" t="s">
        <v>1384</v>
      </c>
      <c r="AB489" s="1">
        <f t="shared" si="49"/>
        <v>0.99993900000000002</v>
      </c>
      <c r="AD489" t="str">
        <f>IF(W489&lt;0.99,LARGE((N489:R489,U489,V489),2),"0")</f>
        <v>0</v>
      </c>
      <c r="AE489" t="str">
        <f t="shared" si="50"/>
        <v/>
      </c>
      <c r="AH489" t="str">
        <f t="shared" si="46"/>
        <v xml:space="preserve">Based on ADMIXTURE results of 78,187 SNPs, </v>
      </c>
    </row>
    <row r="490" spans="1:34" x14ac:dyDescent="0.4">
      <c r="A490">
        <v>374</v>
      </c>
      <c r="B490" t="s">
        <v>739</v>
      </c>
      <c r="C490" t="s">
        <v>21</v>
      </c>
      <c r="D490" t="s">
        <v>21</v>
      </c>
      <c r="E490" t="s">
        <v>21</v>
      </c>
      <c r="F490" t="s">
        <v>22</v>
      </c>
      <c r="G490" t="s">
        <v>21</v>
      </c>
      <c r="H490" t="s">
        <v>21</v>
      </c>
      <c r="I490" t="s">
        <v>21</v>
      </c>
      <c r="J490">
        <v>1</v>
      </c>
      <c r="K490">
        <v>0</v>
      </c>
      <c r="L490" t="s">
        <v>23</v>
      </c>
      <c r="M490" t="str">
        <f t="shared" si="47"/>
        <v>&gt;0.74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0.99990000000000001</v>
      </c>
      <c r="U490">
        <v>0</v>
      </c>
      <c r="V490">
        <v>0.99993799999999999</v>
      </c>
      <c r="W490" s="1">
        <f t="shared" si="48"/>
        <v>0.99993799999999999</v>
      </c>
      <c r="X490" t="s">
        <v>740</v>
      </c>
      <c r="Y490" t="str">
        <f>VLOOKUP(X490,Sheet1!A:B,2,FALSE)</f>
        <v>Quercus macrocarpa Michx.</v>
      </c>
      <c r="Z490" t="s">
        <v>1384</v>
      </c>
      <c r="AB490" s="1">
        <f t="shared" si="49"/>
        <v>0.99993799999999999</v>
      </c>
      <c r="AD490" t="str">
        <f>IF(W490&lt;0.99,LARGE((N490:R490,U490,V490),2),"0")</f>
        <v>0</v>
      </c>
      <c r="AE490" t="str">
        <f t="shared" si="50"/>
        <v/>
      </c>
      <c r="AH490" t="str">
        <f t="shared" si="46"/>
        <v xml:space="preserve">Based on ADMIXTURE results of 78,187 SNPs, </v>
      </c>
    </row>
    <row r="491" spans="1:34" x14ac:dyDescent="0.4">
      <c r="A491">
        <v>375</v>
      </c>
      <c r="B491" t="s">
        <v>741</v>
      </c>
      <c r="C491" t="s">
        <v>21</v>
      </c>
      <c r="D491" t="s">
        <v>25</v>
      </c>
      <c r="E491" t="s">
        <v>21</v>
      </c>
      <c r="F491" t="s">
        <v>22</v>
      </c>
      <c r="G491" t="s">
        <v>21</v>
      </c>
      <c r="H491" t="s">
        <v>21</v>
      </c>
      <c r="I491" t="s">
        <v>21</v>
      </c>
      <c r="J491">
        <v>1</v>
      </c>
      <c r="K491">
        <v>1</v>
      </c>
      <c r="L491" t="s">
        <v>193</v>
      </c>
      <c r="M491" t="str">
        <f t="shared" si="47"/>
        <v>&gt;0.74</v>
      </c>
      <c r="N491">
        <v>0</v>
      </c>
      <c r="O491">
        <v>0</v>
      </c>
      <c r="P491">
        <v>0</v>
      </c>
      <c r="Q491">
        <v>3.2199999999999999E-2</v>
      </c>
      <c r="R491">
        <v>0</v>
      </c>
      <c r="S491">
        <v>4.7600000000000003E-2</v>
      </c>
      <c r="T491">
        <v>0.92020000000000002</v>
      </c>
      <c r="U491">
        <v>0</v>
      </c>
      <c r="V491">
        <v>0.96773699999999996</v>
      </c>
      <c r="W491" s="1">
        <f t="shared" si="48"/>
        <v>0.96773699999999996</v>
      </c>
      <c r="X491" t="s">
        <v>742</v>
      </c>
      <c r="Y491" t="str">
        <f>VLOOKUP(X491,Sheet1!A:B,2,FALSE)</f>
        <v>Quercus macrocarpa Michx.</v>
      </c>
      <c r="Z491" t="s">
        <v>1384</v>
      </c>
      <c r="AB491" s="1">
        <f t="shared" si="49"/>
        <v>0.96773699999999996</v>
      </c>
      <c r="AC491" t="s">
        <v>1431</v>
      </c>
      <c r="AD491">
        <f>IF(W491&lt;0.99,LARGE((N491:R491,U491,V491),2),"0")</f>
        <v>3.2199999999999999E-2</v>
      </c>
      <c r="AE491" t="str">
        <f>IF(AND(AB491&lt;0.99,AD491&gt;0.1,AB491&gt;0.6),"admixed with ",IF(AND(AB491&lt;0.99,AD491&gt;0.01,AD491&lt;0.4),"may be trace admixed with ",""))</f>
        <v xml:space="preserve">may be trace admixed with </v>
      </c>
      <c r="AH491" t="str">
        <f t="shared" si="46"/>
        <v>Based on ADMIXTURE results of 78,187 SNPs, may be trace admixed with Quercus bicolor</v>
      </c>
    </row>
    <row r="492" spans="1:34" x14ac:dyDescent="0.4">
      <c r="A492">
        <v>376</v>
      </c>
      <c r="B492" t="s">
        <v>743</v>
      </c>
      <c r="C492" t="s">
        <v>22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>
        <v>1</v>
      </c>
      <c r="K492">
        <v>0</v>
      </c>
      <c r="L492" t="s">
        <v>23</v>
      </c>
      <c r="M492" t="str">
        <f t="shared" si="47"/>
        <v>&gt;0.74</v>
      </c>
      <c r="N492">
        <v>0</v>
      </c>
      <c r="O492">
        <v>0</v>
      </c>
      <c r="P492">
        <v>0.97650000000000003</v>
      </c>
      <c r="Q492">
        <v>0</v>
      </c>
      <c r="R492">
        <v>0</v>
      </c>
      <c r="S492">
        <v>0</v>
      </c>
      <c r="T492">
        <v>2.35E-2</v>
      </c>
      <c r="U492">
        <v>0</v>
      </c>
      <c r="V492">
        <v>2.3496E-2</v>
      </c>
      <c r="W492" s="1">
        <f t="shared" si="48"/>
        <v>0.97650000000000003</v>
      </c>
      <c r="X492" t="s">
        <v>744</v>
      </c>
      <c r="Y492" t="str">
        <f>VLOOKUP(X492,Sheet1!A:B,2,FALSE)</f>
        <v>Quercus alba L.</v>
      </c>
      <c r="Z492" t="s">
        <v>1386</v>
      </c>
      <c r="AB492" s="1">
        <f t="shared" si="49"/>
        <v>0.97650000000000003</v>
      </c>
      <c r="AD492">
        <f>IF(W492&lt;0.99,LARGE((N492:R492,U492,V492),2),"0")</f>
        <v>2.3496E-2</v>
      </c>
      <c r="AE492" t="str">
        <f>IF(AND(AB492&lt;0.99,AD492&gt;0.1),"admixed with",IF(AND(AB492&lt;0.99,AD492&gt;0.01),"trace admixed with ",""))</f>
        <v xml:space="preserve">trace admixed with </v>
      </c>
      <c r="AH492" t="str">
        <f t="shared" si="46"/>
        <v xml:space="preserve">Based on ADMIXTURE results of 78,187 SNPs, trace admixed with </v>
      </c>
    </row>
    <row r="493" spans="1:34" x14ac:dyDescent="0.4">
      <c r="A493">
        <v>377</v>
      </c>
      <c r="B493" t="s">
        <v>745</v>
      </c>
      <c r="C493" t="s">
        <v>21</v>
      </c>
      <c r="D493" t="s">
        <v>25</v>
      </c>
      <c r="E493" t="s">
        <v>21</v>
      </c>
      <c r="F493" t="s">
        <v>25</v>
      </c>
      <c r="G493" t="s">
        <v>21</v>
      </c>
      <c r="H493" t="s">
        <v>21</v>
      </c>
      <c r="I493" t="s">
        <v>21</v>
      </c>
      <c r="J493">
        <v>0</v>
      </c>
      <c r="K493">
        <v>2</v>
      </c>
      <c r="L493" t="s">
        <v>26</v>
      </c>
      <c r="M493" t="str">
        <f t="shared" si="47"/>
        <v>&gt;0.74</v>
      </c>
      <c r="N493">
        <v>0</v>
      </c>
      <c r="O493">
        <v>0</v>
      </c>
      <c r="P493">
        <v>0</v>
      </c>
      <c r="Q493">
        <v>8.0199999999999994E-2</v>
      </c>
      <c r="R493">
        <v>0</v>
      </c>
      <c r="S493">
        <v>5.2999999999999999E-2</v>
      </c>
      <c r="T493">
        <v>0.86680000000000001</v>
      </c>
      <c r="U493">
        <v>0</v>
      </c>
      <c r="V493">
        <v>0.91976999999999998</v>
      </c>
      <c r="W493" s="1">
        <f t="shared" si="48"/>
        <v>0.91976999999999998</v>
      </c>
      <c r="X493" t="s">
        <v>746</v>
      </c>
      <c r="Y493" t="str">
        <f>VLOOKUP(X493,Sheet1!A:B,2,FALSE)</f>
        <v>Quercus macrocarpa Michx.</v>
      </c>
      <c r="Z493" t="s">
        <v>1384</v>
      </c>
      <c r="AB493" s="1">
        <f t="shared" si="49"/>
        <v>0.91976999999999998</v>
      </c>
      <c r="AC493" t="s">
        <v>1431</v>
      </c>
      <c r="AD493">
        <f>IF(W493&lt;0.99,LARGE((N493:R493,U493,V493),2),"0")</f>
        <v>8.0199999999999994E-2</v>
      </c>
      <c r="AE493" t="str">
        <f>IF(AND(AB493&lt;0.99,AD493&gt;0.1,AB493&gt;0.6),"admixed with ",IF(AND(AB493&lt;0.99,AD493&gt;0.01,AD493&lt;0.4),"trace admixed (Q&lt;0.10) with ",""))</f>
        <v xml:space="preserve">trace admixed (Q&lt;0.10) with </v>
      </c>
      <c r="AH493" t="str">
        <f t="shared" si="46"/>
        <v>Based on ADMIXTURE results of 78,187 SNPs, trace admixed (Q&lt;0.10) with Quercus bicolor</v>
      </c>
    </row>
    <row r="494" spans="1:34" x14ac:dyDescent="0.4">
      <c r="A494">
        <v>378</v>
      </c>
      <c r="B494" t="s">
        <v>747</v>
      </c>
      <c r="C494" t="s">
        <v>25</v>
      </c>
      <c r="D494" t="s">
        <v>21</v>
      </c>
      <c r="E494" t="s">
        <v>21</v>
      </c>
      <c r="F494" t="s">
        <v>25</v>
      </c>
      <c r="G494" t="s">
        <v>21</v>
      </c>
      <c r="H494" t="s">
        <v>21</v>
      </c>
      <c r="I494" t="s">
        <v>21</v>
      </c>
      <c r="J494">
        <v>0</v>
      </c>
      <c r="K494">
        <v>2</v>
      </c>
      <c r="L494" t="s">
        <v>26</v>
      </c>
      <c r="M494" t="str">
        <f t="shared" si="47"/>
        <v>F1</v>
      </c>
      <c r="N494">
        <v>0</v>
      </c>
      <c r="O494">
        <v>0</v>
      </c>
      <c r="P494">
        <v>0.49249999999999999</v>
      </c>
      <c r="Q494">
        <v>7.3000000000000001E-3</v>
      </c>
      <c r="R494">
        <v>0</v>
      </c>
      <c r="S494">
        <v>0</v>
      </c>
      <c r="T494">
        <v>0.50019999999999998</v>
      </c>
      <c r="U494">
        <v>0</v>
      </c>
      <c r="V494">
        <v>0.50021000000000004</v>
      </c>
      <c r="W494" s="1">
        <f t="shared" si="48"/>
        <v>0.50021000000000004</v>
      </c>
      <c r="X494" s="2" t="s">
        <v>748</v>
      </c>
      <c r="Y494" t="str">
        <f>VLOOKUP(X494,Sheet1!A:B,2,FALSE)</f>
        <v>Quercus alba L.</v>
      </c>
      <c r="Z494" t="s">
        <v>1426</v>
      </c>
      <c r="AB494" s="1">
        <f t="shared" si="49"/>
        <v>0.50021000000000004</v>
      </c>
      <c r="AD494">
        <f>IF(W494&lt;0.99,LARGE((N494:R494,U494,V494),2),"0")</f>
        <v>0.49249999999999999</v>
      </c>
      <c r="AE494" t="str">
        <f>IF(AND(AB494&lt;0.99,AD494&gt;0.1,AB494&gt;0.6),"admixed with",IF(AND(AB494&lt;0.99,AD494&gt;0.01,AD494&lt;0.4),"trace admixed with ",""))</f>
        <v/>
      </c>
      <c r="AH494" t="str">
        <f t="shared" si="46"/>
        <v xml:space="preserve">Based on ADMIXTURE results of 78,187 SNPs, </v>
      </c>
    </row>
    <row r="495" spans="1:34" x14ac:dyDescent="0.4">
      <c r="A495">
        <v>379</v>
      </c>
      <c r="B495" t="s">
        <v>749</v>
      </c>
      <c r="C495" t="s">
        <v>25</v>
      </c>
      <c r="D495" t="s">
        <v>21</v>
      </c>
      <c r="E495" t="s">
        <v>21</v>
      </c>
      <c r="F495" t="s">
        <v>25</v>
      </c>
      <c r="G495" t="s">
        <v>21</v>
      </c>
      <c r="H495" t="s">
        <v>21</v>
      </c>
      <c r="I495" t="s">
        <v>21</v>
      </c>
      <c r="J495">
        <v>0</v>
      </c>
      <c r="K495">
        <v>2</v>
      </c>
      <c r="L495" t="s">
        <v>26</v>
      </c>
      <c r="M495" t="str">
        <f t="shared" si="47"/>
        <v>&gt;0.74</v>
      </c>
      <c r="N495">
        <v>0</v>
      </c>
      <c r="O495">
        <v>0</v>
      </c>
      <c r="P495">
        <v>0.879</v>
      </c>
      <c r="Q495">
        <v>0</v>
      </c>
      <c r="R495">
        <v>0</v>
      </c>
      <c r="S495">
        <v>0</v>
      </c>
      <c r="T495">
        <v>0.12089999999999999</v>
      </c>
      <c r="U495">
        <v>0</v>
      </c>
      <c r="V495">
        <v>0.120957</v>
      </c>
      <c r="W495" s="1">
        <f t="shared" si="48"/>
        <v>0.879</v>
      </c>
      <c r="X495" t="s">
        <v>750</v>
      </c>
      <c r="Y495" t="str">
        <f>VLOOKUP(X495,Sheet1!A:B,2,FALSE)</f>
        <v>Quercus alba L.</v>
      </c>
      <c r="Z495" t="s">
        <v>1386</v>
      </c>
      <c r="AB495" s="1">
        <f t="shared" si="49"/>
        <v>0.879</v>
      </c>
      <c r="AC495" t="s">
        <v>1421</v>
      </c>
      <c r="AD495">
        <f>IF(W495&lt;0.99,LARGE((N495:R495,U495,V495),2),"0")</f>
        <v>0.120957</v>
      </c>
      <c r="AE495" t="str">
        <f>IF(AND(AB495&lt;0.99,AD495&gt;0.1,AB495&gt;0.6),"admixed with ",IF(AND(AB495&lt;0.99,AD495&gt;0.01,AD495&lt;0.4),"trace admixed (Q&lt;0.10) with ",""))</f>
        <v xml:space="preserve">admixed with </v>
      </c>
      <c r="AH495" t="str">
        <f t="shared" si="46"/>
        <v>Based on ADMIXTURE results of 78,187 SNPs, admixed with Quercus macrocarpa</v>
      </c>
    </row>
    <row r="496" spans="1:34" x14ac:dyDescent="0.4">
      <c r="A496">
        <v>380</v>
      </c>
      <c r="B496" t="s">
        <v>751</v>
      </c>
      <c r="C496" t="s">
        <v>22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>
        <v>1</v>
      </c>
      <c r="K496">
        <v>0</v>
      </c>
      <c r="L496" t="s">
        <v>23</v>
      </c>
      <c r="M496" t="str">
        <f t="shared" si="47"/>
        <v>&gt;0.74</v>
      </c>
      <c r="N496">
        <v>0</v>
      </c>
      <c r="O496">
        <v>0</v>
      </c>
      <c r="P496">
        <v>0.99360000000000004</v>
      </c>
      <c r="Q496">
        <v>0</v>
      </c>
      <c r="R496">
        <v>0</v>
      </c>
      <c r="S496">
        <v>6.3E-3</v>
      </c>
      <c r="T496">
        <v>0</v>
      </c>
      <c r="U496">
        <v>0</v>
      </c>
      <c r="V496">
        <v>6.3470000000000002E-3</v>
      </c>
      <c r="W496" s="1">
        <f t="shared" si="48"/>
        <v>0.99360000000000004</v>
      </c>
      <c r="X496" t="s">
        <v>752</v>
      </c>
      <c r="Y496" t="str">
        <f>VLOOKUP(X496,Sheet1!A:B,2,FALSE)</f>
        <v>Quercus alba L.</v>
      </c>
      <c r="Z496" t="s">
        <v>1386</v>
      </c>
      <c r="AB496" s="1">
        <f t="shared" si="49"/>
        <v>0.99360000000000004</v>
      </c>
      <c r="AD496" t="str">
        <f>IF(W496&lt;0.99,LARGE((N496:R496,U496,V496),2),"0")</f>
        <v>0</v>
      </c>
      <c r="AE496" t="str">
        <f t="shared" ref="AE496:AE503" si="51">IF(AND(AB496&lt;0.99,AD496&gt;0.1),"admixed with",IF(AND(AB496&lt;0.99,AD496&gt;0.01),"trace admixed with ",""))</f>
        <v/>
      </c>
      <c r="AH496" t="str">
        <f t="shared" si="46"/>
        <v xml:space="preserve">Based on ADMIXTURE results of 78,187 SNPs, </v>
      </c>
    </row>
    <row r="497" spans="1:34" x14ac:dyDescent="0.4">
      <c r="A497">
        <v>381</v>
      </c>
      <c r="B497" t="s">
        <v>753</v>
      </c>
      <c r="C497" t="s">
        <v>22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>
        <v>1</v>
      </c>
      <c r="K497">
        <v>0</v>
      </c>
      <c r="L497" t="s">
        <v>23</v>
      </c>
      <c r="M497" t="str">
        <f t="shared" si="47"/>
        <v>&gt;0.74</v>
      </c>
      <c r="N497">
        <v>0</v>
      </c>
      <c r="O497">
        <v>0</v>
      </c>
      <c r="P497">
        <v>0.99990000000000001</v>
      </c>
      <c r="Q497">
        <v>0</v>
      </c>
      <c r="R497">
        <v>0</v>
      </c>
      <c r="S497">
        <v>0</v>
      </c>
      <c r="T497">
        <v>0</v>
      </c>
      <c r="U497">
        <v>0</v>
      </c>
      <c r="V497" s="1">
        <v>2.1999999999999999E-5</v>
      </c>
      <c r="W497" s="1">
        <f t="shared" si="48"/>
        <v>0.99990000000000001</v>
      </c>
      <c r="X497" t="s">
        <v>754</v>
      </c>
      <c r="Y497" t="str">
        <f>VLOOKUP(X497,Sheet1!A:B,2,FALSE)</f>
        <v>Quercus alba L.</v>
      </c>
      <c r="Z497" t="s">
        <v>1386</v>
      </c>
      <c r="AB497" s="1">
        <f t="shared" si="49"/>
        <v>0.99990000000000001</v>
      </c>
      <c r="AD497" t="str">
        <f>IF(W497&lt;0.99,LARGE((N497:R497,U497,V497),2),"0")</f>
        <v>0</v>
      </c>
      <c r="AE497" t="str">
        <f t="shared" si="51"/>
        <v/>
      </c>
      <c r="AH497" t="str">
        <f t="shared" si="46"/>
        <v xml:space="preserve">Based on ADMIXTURE results of 78,187 SNPs, </v>
      </c>
    </row>
    <row r="498" spans="1:34" x14ac:dyDescent="0.4">
      <c r="A498">
        <v>362</v>
      </c>
      <c r="B498" t="s">
        <v>715</v>
      </c>
      <c r="C498" t="s">
        <v>22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>
        <v>1</v>
      </c>
      <c r="K498">
        <v>0</v>
      </c>
      <c r="L498" t="s">
        <v>23</v>
      </c>
      <c r="M498" t="str">
        <f t="shared" si="47"/>
        <v>&gt;0.74</v>
      </c>
      <c r="N498">
        <v>0</v>
      </c>
      <c r="O498">
        <v>0</v>
      </c>
      <c r="P498">
        <v>0.99990000000000001</v>
      </c>
      <c r="Q498">
        <v>0</v>
      </c>
      <c r="R498">
        <v>0</v>
      </c>
      <c r="S498">
        <v>0</v>
      </c>
      <c r="T498">
        <v>0</v>
      </c>
      <c r="U498">
        <v>0</v>
      </c>
      <c r="V498" s="1">
        <v>2.0000000000000002E-5</v>
      </c>
      <c r="W498" s="1">
        <f t="shared" si="48"/>
        <v>0.99990000000000001</v>
      </c>
      <c r="X498" t="s">
        <v>716</v>
      </c>
      <c r="Y498" t="str">
        <f>VLOOKUP(X498,Sheet1!A:B,2,FALSE)</f>
        <v>Quercus alba L.</v>
      </c>
      <c r="Z498" t="s">
        <v>1386</v>
      </c>
      <c r="AB498" s="1">
        <f t="shared" si="49"/>
        <v>0.99990000000000001</v>
      </c>
      <c r="AD498" t="str">
        <f>IF(W498&lt;0.99,LARGE((N498:R498,U498,V498),2),"0")</f>
        <v>0</v>
      </c>
      <c r="AE498" t="str">
        <f t="shared" si="51"/>
        <v/>
      </c>
      <c r="AH498" t="str">
        <f t="shared" si="46"/>
        <v xml:space="preserve">Based on ADMIXTURE results of 78,187 SNPs, </v>
      </c>
    </row>
    <row r="499" spans="1:34" x14ac:dyDescent="0.4">
      <c r="A499">
        <v>363</v>
      </c>
      <c r="B499" t="s">
        <v>717</v>
      </c>
      <c r="C499" t="s">
        <v>22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>
        <v>1</v>
      </c>
      <c r="K499">
        <v>0</v>
      </c>
      <c r="L499" t="s">
        <v>23</v>
      </c>
      <c r="M499" t="str">
        <f t="shared" si="47"/>
        <v>&gt;0.74</v>
      </c>
      <c r="N499">
        <v>0</v>
      </c>
      <c r="O499">
        <v>0</v>
      </c>
      <c r="P499">
        <v>0.99990000000000001</v>
      </c>
      <c r="Q499">
        <v>0</v>
      </c>
      <c r="R499">
        <v>0</v>
      </c>
      <c r="S499">
        <v>0</v>
      </c>
      <c r="T499">
        <v>0</v>
      </c>
      <c r="U499">
        <v>0</v>
      </c>
      <c r="V499" s="1">
        <v>2.0000000000000002E-5</v>
      </c>
      <c r="W499" s="1">
        <f t="shared" si="48"/>
        <v>0.99990000000000001</v>
      </c>
      <c r="X499" t="s">
        <v>718</v>
      </c>
      <c r="Y499" t="str">
        <f>VLOOKUP(X499,Sheet1!A:B,2,FALSE)</f>
        <v>Quercus alba L.</v>
      </c>
      <c r="Z499" t="s">
        <v>1386</v>
      </c>
      <c r="AB499" s="1">
        <f t="shared" si="49"/>
        <v>0.99990000000000001</v>
      </c>
      <c r="AD499" t="str">
        <f>IF(W499&lt;0.99,LARGE((N499:R499,U499,V499),2),"0")</f>
        <v>0</v>
      </c>
      <c r="AE499" t="str">
        <f t="shared" si="51"/>
        <v/>
      </c>
      <c r="AH499" t="str">
        <f t="shared" si="46"/>
        <v xml:space="preserve">Based on ADMIXTURE results of 78,187 SNPs, </v>
      </c>
    </row>
    <row r="500" spans="1:34" x14ac:dyDescent="0.4">
      <c r="A500">
        <v>364</v>
      </c>
      <c r="B500" t="s">
        <v>719</v>
      </c>
      <c r="C500" t="s">
        <v>22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>
        <v>1</v>
      </c>
      <c r="K500">
        <v>0</v>
      </c>
      <c r="L500" t="s">
        <v>23</v>
      </c>
      <c r="M500" t="str">
        <f t="shared" si="47"/>
        <v>&gt;0.74</v>
      </c>
      <c r="N500">
        <v>0</v>
      </c>
      <c r="O500">
        <v>0</v>
      </c>
      <c r="P500">
        <v>0.99990000000000001</v>
      </c>
      <c r="Q500">
        <v>0</v>
      </c>
      <c r="R500">
        <v>0</v>
      </c>
      <c r="S500">
        <v>0</v>
      </c>
      <c r="T500">
        <v>0</v>
      </c>
      <c r="U500">
        <v>0</v>
      </c>
      <c r="V500" s="1">
        <v>2.0000000000000002E-5</v>
      </c>
      <c r="W500" s="1">
        <f t="shared" si="48"/>
        <v>0.99990000000000001</v>
      </c>
      <c r="X500" t="s">
        <v>720</v>
      </c>
      <c r="Y500" t="str">
        <f>VLOOKUP(X500,Sheet1!A:B,2,FALSE)</f>
        <v>Quercus alba L.</v>
      </c>
      <c r="Z500" t="s">
        <v>1386</v>
      </c>
      <c r="AB500" s="1">
        <f t="shared" si="49"/>
        <v>0.99990000000000001</v>
      </c>
      <c r="AD500" t="str">
        <f>IF(W500&lt;0.99,LARGE((N500:R500,U500,V500),2),"0")</f>
        <v>0</v>
      </c>
      <c r="AE500" t="str">
        <f t="shared" si="51"/>
        <v/>
      </c>
      <c r="AH500" t="str">
        <f t="shared" si="46"/>
        <v xml:space="preserve">Based on ADMIXTURE results of 78,187 SNPs, </v>
      </c>
    </row>
    <row r="501" spans="1:34" x14ac:dyDescent="0.4">
      <c r="A501">
        <v>365</v>
      </c>
      <c r="B501" t="s">
        <v>721</v>
      </c>
      <c r="C501" t="s">
        <v>22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>
        <v>1</v>
      </c>
      <c r="K501">
        <v>0</v>
      </c>
      <c r="L501" t="s">
        <v>23</v>
      </c>
      <c r="M501" t="str">
        <f t="shared" si="47"/>
        <v>&gt;0.74</v>
      </c>
      <c r="N501">
        <v>0</v>
      </c>
      <c r="O501">
        <v>0</v>
      </c>
      <c r="P501">
        <v>0.99050000000000005</v>
      </c>
      <c r="Q501">
        <v>0</v>
      </c>
      <c r="R501">
        <v>0</v>
      </c>
      <c r="S501">
        <v>0</v>
      </c>
      <c r="T501">
        <v>9.4000000000000004E-3</v>
      </c>
      <c r="U501">
        <v>0</v>
      </c>
      <c r="V501">
        <v>9.4269999999999996E-3</v>
      </c>
      <c r="W501" s="1">
        <f t="shared" si="48"/>
        <v>0.99050000000000005</v>
      </c>
      <c r="X501" t="s">
        <v>722</v>
      </c>
      <c r="Y501" t="str">
        <f>VLOOKUP(X501,Sheet1!A:B,2,FALSE)</f>
        <v>Quercus alba L.</v>
      </c>
      <c r="Z501" t="s">
        <v>1386</v>
      </c>
      <c r="AB501" s="1">
        <f t="shared" si="49"/>
        <v>0.99050000000000005</v>
      </c>
      <c r="AD501" t="str">
        <f>IF(W501&lt;0.99,LARGE((N501:R501,U501,V501),2),"0")</f>
        <v>0</v>
      </c>
      <c r="AE501" t="str">
        <f t="shared" si="51"/>
        <v/>
      </c>
      <c r="AH501" t="str">
        <f t="shared" si="46"/>
        <v xml:space="preserve">Based on ADMIXTURE results of 78,187 SNPs, </v>
      </c>
    </row>
    <row r="502" spans="1:34" x14ac:dyDescent="0.4">
      <c r="A502">
        <v>366</v>
      </c>
      <c r="B502" t="s">
        <v>723</v>
      </c>
      <c r="C502" t="s">
        <v>22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>
        <v>1</v>
      </c>
      <c r="K502">
        <v>0</v>
      </c>
      <c r="L502" t="s">
        <v>23</v>
      </c>
      <c r="M502" t="str">
        <f t="shared" si="47"/>
        <v>&gt;0.74</v>
      </c>
      <c r="N502">
        <v>0</v>
      </c>
      <c r="O502">
        <v>0</v>
      </c>
      <c r="P502">
        <v>0.99990000000000001</v>
      </c>
      <c r="Q502">
        <v>0</v>
      </c>
      <c r="R502">
        <v>0</v>
      </c>
      <c r="S502">
        <v>0</v>
      </c>
      <c r="T502">
        <v>0</v>
      </c>
      <c r="U502">
        <v>0</v>
      </c>
      <c r="V502" s="1">
        <v>2.0000000000000002E-5</v>
      </c>
      <c r="W502" s="1">
        <f t="shared" si="48"/>
        <v>0.99990000000000001</v>
      </c>
      <c r="X502" t="s">
        <v>724</v>
      </c>
      <c r="Y502" t="str">
        <f>VLOOKUP(X502,Sheet1!A:B,2,FALSE)</f>
        <v>Quercus alba L.</v>
      </c>
      <c r="Z502" t="s">
        <v>1386</v>
      </c>
      <c r="AB502" s="1">
        <f t="shared" si="49"/>
        <v>0.99990000000000001</v>
      </c>
      <c r="AD502" t="str">
        <f>IF(W502&lt;0.99,LARGE((N502:R502,U502,V502),2),"0")</f>
        <v>0</v>
      </c>
      <c r="AE502" t="str">
        <f t="shared" si="51"/>
        <v/>
      </c>
      <c r="AH502" t="str">
        <f t="shared" si="46"/>
        <v xml:space="preserve">Based on ADMIXTURE results of 78,187 SNPs, </v>
      </c>
    </row>
    <row r="503" spans="1:34" x14ac:dyDescent="0.4">
      <c r="A503">
        <v>367</v>
      </c>
      <c r="B503" t="s">
        <v>725</v>
      </c>
      <c r="C503" t="s">
        <v>21</v>
      </c>
      <c r="D503" t="s">
        <v>21</v>
      </c>
      <c r="E503" t="s">
        <v>21</v>
      </c>
      <c r="F503" t="s">
        <v>22</v>
      </c>
      <c r="G503" t="s">
        <v>21</v>
      </c>
      <c r="H503" t="s">
        <v>21</v>
      </c>
      <c r="I503" t="s">
        <v>21</v>
      </c>
      <c r="J503">
        <v>1</v>
      </c>
      <c r="K503">
        <v>0</v>
      </c>
      <c r="L503" t="s">
        <v>23</v>
      </c>
      <c r="M503" t="str">
        <f t="shared" si="47"/>
        <v>&gt;0.74</v>
      </c>
      <c r="N503">
        <v>0</v>
      </c>
      <c r="O503">
        <v>5.5999999999999999E-3</v>
      </c>
      <c r="P503">
        <v>0</v>
      </c>
      <c r="Q503">
        <v>6.7999999999999996E-3</v>
      </c>
      <c r="R503">
        <v>0</v>
      </c>
      <c r="S503">
        <v>0.10440000000000001</v>
      </c>
      <c r="T503">
        <v>0.88319999999999999</v>
      </c>
      <c r="U503">
        <v>0</v>
      </c>
      <c r="V503">
        <v>0.98759799999999998</v>
      </c>
      <c r="W503" s="1">
        <f t="shared" si="48"/>
        <v>0.98759799999999998</v>
      </c>
      <c r="X503" t="s">
        <v>726</v>
      </c>
      <c r="Y503" t="str">
        <f>VLOOKUP(X503,Sheet1!A:B,2,FALSE)</f>
        <v>Quercus macrocarpa Michx.</v>
      </c>
      <c r="Z503" t="s">
        <v>1384</v>
      </c>
      <c r="AB503" s="1">
        <f t="shared" si="49"/>
        <v>0.98759799999999998</v>
      </c>
      <c r="AD503">
        <f>IF(W503&lt;0.99,LARGE((N503:R503,U503,V503),2),"0")</f>
        <v>6.7999999999999996E-3</v>
      </c>
      <c r="AE503" t="str">
        <f t="shared" si="51"/>
        <v/>
      </c>
      <c r="AH503" t="str">
        <f t="shared" si="46"/>
        <v xml:space="preserve">Based on ADMIXTURE results of 78,187 SNPs, </v>
      </c>
    </row>
    <row r="504" spans="1:34" x14ac:dyDescent="0.4">
      <c r="A504" s="3">
        <v>368</v>
      </c>
      <c r="B504" s="3" t="s">
        <v>727</v>
      </c>
      <c r="C504" s="3" t="s">
        <v>21</v>
      </c>
      <c r="D504" s="3" t="s">
        <v>25</v>
      </c>
      <c r="E504" s="3" t="s">
        <v>21</v>
      </c>
      <c r="F504" s="3" t="s">
        <v>25</v>
      </c>
      <c r="G504" s="3" t="s">
        <v>21</v>
      </c>
      <c r="H504" s="3" t="s">
        <v>25</v>
      </c>
      <c r="I504" s="3" t="s">
        <v>21</v>
      </c>
      <c r="J504" s="3">
        <v>0</v>
      </c>
      <c r="K504" s="3">
        <v>3</v>
      </c>
      <c r="L504" s="3" t="s">
        <v>26</v>
      </c>
      <c r="M504" s="3" t="str">
        <f t="shared" si="47"/>
        <v>BC1?</v>
      </c>
      <c r="N504" s="3">
        <v>0</v>
      </c>
      <c r="O504" s="3">
        <v>0.19020000000000001</v>
      </c>
      <c r="P504" s="3">
        <v>0</v>
      </c>
      <c r="Q504" s="3">
        <v>0.1235</v>
      </c>
      <c r="R504" s="3">
        <v>0</v>
      </c>
      <c r="S504" s="3">
        <v>9.4E-2</v>
      </c>
      <c r="T504" s="3">
        <v>0.59219999999999995</v>
      </c>
      <c r="U504" s="3">
        <v>0</v>
      </c>
      <c r="V504" s="3">
        <v>0.68628400000000001</v>
      </c>
      <c r="W504" s="5">
        <f t="shared" si="48"/>
        <v>0.68628400000000001</v>
      </c>
      <c r="X504" s="3" t="s">
        <v>728</v>
      </c>
      <c r="Y504" s="3" t="str">
        <f>VLOOKUP(X504,Sheet1!A:B,2,FALSE)</f>
        <v>Quercus macrocarpa Michx.</v>
      </c>
      <c r="Z504" s="3" t="s">
        <v>1384</v>
      </c>
      <c r="AA504" s="3"/>
      <c r="AB504" s="5">
        <f t="shared" si="49"/>
        <v>0.68628400000000001</v>
      </c>
      <c r="AC504" s="3" t="s">
        <v>1433</v>
      </c>
      <c r="AD504" s="3">
        <f>IF(W504&lt;0.99,LARGE((N504:R504,U504,V504),2),"0")</f>
        <v>0.19020000000000001</v>
      </c>
      <c r="AE504" t="str">
        <f>IF(AND(AB504&lt;0.99,AD504&gt;0.1,AB504&gt;0.6),"admixed with ",IF(AND(AB504&lt;0.99,AD504&gt;0.01,AD504&lt;0.4),"trace admixed (Q&lt;0.10) with ",""))</f>
        <v xml:space="preserve">admixed with </v>
      </c>
      <c r="AF504" s="3" t="s">
        <v>1431</v>
      </c>
      <c r="AG504" s="3">
        <f>IF(W504&lt;0.99,LARGE((O504:R504,U504,V504),3),"0")</f>
        <v>0.1235</v>
      </c>
      <c r="AH504" s="3" t="str">
        <f t="shared" si="46"/>
        <v>Based on ADMIXTURE results of 78,187 SNPs, admixed with Quercus muehlenbergii</v>
      </c>
    </row>
    <row r="505" spans="1:34" x14ac:dyDescent="0.4">
      <c r="A505">
        <v>369</v>
      </c>
      <c r="B505" t="s">
        <v>729</v>
      </c>
      <c r="C505" t="s">
        <v>21</v>
      </c>
      <c r="D505" t="s">
        <v>25</v>
      </c>
      <c r="E505" t="s">
        <v>21</v>
      </c>
      <c r="F505" t="s">
        <v>25</v>
      </c>
      <c r="G505" t="s">
        <v>21</v>
      </c>
      <c r="H505" t="s">
        <v>21</v>
      </c>
      <c r="I505" t="s">
        <v>21</v>
      </c>
      <c r="J505">
        <v>0</v>
      </c>
      <c r="K505">
        <v>2</v>
      </c>
      <c r="L505" t="s">
        <v>26</v>
      </c>
      <c r="M505" t="str">
        <f t="shared" si="47"/>
        <v>&gt;0.74</v>
      </c>
      <c r="N505">
        <v>0</v>
      </c>
      <c r="O505">
        <v>0</v>
      </c>
      <c r="P505">
        <v>0</v>
      </c>
      <c r="Q505">
        <v>0.80100000000000005</v>
      </c>
      <c r="R505">
        <v>0</v>
      </c>
      <c r="S505">
        <v>0</v>
      </c>
      <c r="T505">
        <v>0.19889999999999999</v>
      </c>
      <c r="U505">
        <v>0</v>
      </c>
      <c r="V505">
        <v>0.19895599999999999</v>
      </c>
      <c r="W505" s="1">
        <f t="shared" si="48"/>
        <v>0.80100000000000005</v>
      </c>
      <c r="X505" t="s">
        <v>730</v>
      </c>
      <c r="Y505" t="str">
        <f>VLOOKUP(X505,Sheet1!A:B,2,FALSE)</f>
        <v>Quercus macrocarpa Michx.</v>
      </c>
      <c r="Z505" s="4" t="s">
        <v>1388</v>
      </c>
      <c r="AB505" s="1">
        <f t="shared" si="49"/>
        <v>0.80100000000000005</v>
      </c>
      <c r="AC505" t="s">
        <v>1421</v>
      </c>
      <c r="AD505">
        <f>IF(W505&lt;0.99,LARGE((N505:R505,U505,V505),2),"0")</f>
        <v>0.19895599999999999</v>
      </c>
      <c r="AE505" t="str">
        <f>IF(AND(AB505&lt;0.99,AD505&gt;0.1,AB505&gt;0.6),"admixed with ",IF(AND(AB505&lt;0.99,AD505&gt;0.01,AD505&lt;0.4),"trace admixed (Q&lt;0.10) with ",""))</f>
        <v xml:space="preserve">admixed with </v>
      </c>
      <c r="AH505" t="str">
        <f t="shared" si="46"/>
        <v>Based on ADMIXTURE results of 78,187 SNPs, admixed with Quercus macrocarpa</v>
      </c>
    </row>
    <row r="506" spans="1:34" x14ac:dyDescent="0.4">
      <c r="A506">
        <v>370</v>
      </c>
      <c r="B506" t="s">
        <v>731</v>
      </c>
      <c r="C506" t="s">
        <v>21</v>
      </c>
      <c r="D506" t="s">
        <v>21</v>
      </c>
      <c r="E506" t="s">
        <v>21</v>
      </c>
      <c r="F506" t="s">
        <v>22</v>
      </c>
      <c r="G506" t="s">
        <v>21</v>
      </c>
      <c r="H506" t="s">
        <v>21</v>
      </c>
      <c r="I506" t="s">
        <v>21</v>
      </c>
      <c r="J506">
        <v>1</v>
      </c>
      <c r="K506">
        <v>0</v>
      </c>
      <c r="L506" t="s">
        <v>23</v>
      </c>
      <c r="M506" t="str">
        <f t="shared" si="47"/>
        <v>&gt;0.74</v>
      </c>
      <c r="N506">
        <v>0</v>
      </c>
      <c r="O506">
        <v>0</v>
      </c>
      <c r="P506">
        <v>0</v>
      </c>
      <c r="Q506">
        <v>3.6600000000000001E-2</v>
      </c>
      <c r="R506">
        <v>0</v>
      </c>
      <c r="S506">
        <v>0.1454</v>
      </c>
      <c r="T506">
        <v>0.81789999999999996</v>
      </c>
      <c r="U506">
        <v>0</v>
      </c>
      <c r="V506">
        <v>0.96331800000000001</v>
      </c>
      <c r="W506" s="1">
        <f t="shared" si="48"/>
        <v>0.96331800000000001</v>
      </c>
      <c r="X506" t="s">
        <v>732</v>
      </c>
      <c r="Y506" t="str">
        <f>VLOOKUP(X506,Sheet1!A:B,2,FALSE)</f>
        <v>Quercus macrocarpa Michx.</v>
      </c>
      <c r="Z506" t="s">
        <v>1384</v>
      </c>
      <c r="AB506" s="1">
        <f t="shared" si="49"/>
        <v>0.96331800000000001</v>
      </c>
      <c r="AD506">
        <f>IF(W506&lt;0.99,LARGE((N506:R506,U506,V506),2),"0")</f>
        <v>3.6600000000000001E-2</v>
      </c>
      <c r="AE506" t="str">
        <f t="shared" ref="AE506:AE525" si="52">IF(AND(AB506&lt;0.99,AD506&gt;0.1),"admixed with",IF(AND(AB506&lt;0.99,AD506&gt;0.01),"trace admixed with ",""))</f>
        <v xml:space="preserve">trace admixed with </v>
      </c>
      <c r="AH506" t="str">
        <f t="shared" si="46"/>
        <v xml:space="preserve">Based on ADMIXTURE results of 78,187 SNPs, trace admixed with </v>
      </c>
    </row>
    <row r="507" spans="1:34" x14ac:dyDescent="0.4">
      <c r="A507">
        <v>371</v>
      </c>
      <c r="B507" t="s">
        <v>733</v>
      </c>
      <c r="C507" t="s">
        <v>21</v>
      </c>
      <c r="D507" t="s">
        <v>21</v>
      </c>
      <c r="E507" t="s">
        <v>21</v>
      </c>
      <c r="F507" t="s">
        <v>22</v>
      </c>
      <c r="G507" t="s">
        <v>21</v>
      </c>
      <c r="H507" t="s">
        <v>21</v>
      </c>
      <c r="I507" t="s">
        <v>21</v>
      </c>
      <c r="J507">
        <v>1</v>
      </c>
      <c r="K507">
        <v>0</v>
      </c>
      <c r="L507" t="s">
        <v>23</v>
      </c>
      <c r="M507" t="str">
        <f t="shared" si="47"/>
        <v>&gt;0.74</v>
      </c>
      <c r="N507">
        <v>0</v>
      </c>
      <c r="O507">
        <v>0</v>
      </c>
      <c r="P507">
        <v>0</v>
      </c>
      <c r="Q507">
        <v>2.4500000000000001E-2</v>
      </c>
      <c r="R507">
        <v>2.3E-3</v>
      </c>
      <c r="S507">
        <v>0.21249999999999999</v>
      </c>
      <c r="T507">
        <v>0.76070000000000004</v>
      </c>
      <c r="U507">
        <v>0</v>
      </c>
      <c r="V507">
        <v>0.97314800000000001</v>
      </c>
      <c r="W507" s="1">
        <f t="shared" si="48"/>
        <v>0.97314800000000001</v>
      </c>
      <c r="X507" t="s">
        <v>734</v>
      </c>
      <c r="Y507" t="str">
        <f>VLOOKUP(X507,Sheet1!A:B,2,FALSE)</f>
        <v>Quercus macrocarpa Michx.</v>
      </c>
      <c r="Z507" t="s">
        <v>1384</v>
      </c>
      <c r="AB507" s="1">
        <f t="shared" si="49"/>
        <v>0.97314800000000001</v>
      </c>
      <c r="AD507">
        <f>IF(W507&lt;0.99,LARGE((N507:R507,U507,V507),2),"0")</f>
        <v>2.4500000000000001E-2</v>
      </c>
      <c r="AE507" t="str">
        <f t="shared" si="52"/>
        <v xml:space="preserve">trace admixed with </v>
      </c>
      <c r="AH507" t="str">
        <f t="shared" ref="AH507:AH570" si="53">_xlfn.CONCAT("Based on ADMIXTURE results of 78,187 SNPs, ",AE507,AC507)</f>
        <v xml:space="preserve">Based on ADMIXTURE results of 78,187 SNPs, trace admixed with </v>
      </c>
    </row>
    <row r="508" spans="1:34" x14ac:dyDescent="0.4">
      <c r="A508">
        <v>271</v>
      </c>
      <c r="B508" t="s">
        <v>533</v>
      </c>
      <c r="C508" t="s">
        <v>21</v>
      </c>
      <c r="D508" t="s">
        <v>22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>
        <v>1</v>
      </c>
      <c r="K508">
        <v>0</v>
      </c>
      <c r="L508" t="s">
        <v>23</v>
      </c>
      <c r="M508" t="str">
        <f t="shared" si="47"/>
        <v>&gt;0.74</v>
      </c>
      <c r="N508">
        <v>0</v>
      </c>
      <c r="O508">
        <v>0</v>
      </c>
      <c r="P508">
        <v>0</v>
      </c>
      <c r="Q508">
        <v>0.99990000000000001</v>
      </c>
      <c r="R508">
        <v>0</v>
      </c>
      <c r="S508">
        <v>0</v>
      </c>
      <c r="T508">
        <v>0</v>
      </c>
      <c r="U508">
        <v>0</v>
      </c>
      <c r="V508" s="1">
        <v>2.0000000000000002E-5</v>
      </c>
      <c r="W508" s="1">
        <f t="shared" si="48"/>
        <v>0.99990000000000001</v>
      </c>
      <c r="X508" t="s">
        <v>534</v>
      </c>
      <c r="Y508" t="str">
        <f>VLOOKUP(X508,Sheet1!A:B,2,FALSE)</f>
        <v>Quercus bicolor Willd.</v>
      </c>
      <c r="Z508" t="s">
        <v>1388</v>
      </c>
      <c r="AB508" s="1">
        <f t="shared" si="49"/>
        <v>0.99990000000000001</v>
      </c>
      <c r="AD508" t="str">
        <f>IF(W508&lt;0.99,LARGE((N508:R508,U508,V508),2),"0")</f>
        <v>0</v>
      </c>
      <c r="AE508" t="str">
        <f t="shared" si="52"/>
        <v/>
      </c>
      <c r="AH508" t="str">
        <f t="shared" si="53"/>
        <v xml:space="preserve">Based on ADMIXTURE results of 78,187 SNPs, </v>
      </c>
    </row>
    <row r="509" spans="1:34" x14ac:dyDescent="0.4">
      <c r="A509">
        <v>272</v>
      </c>
      <c r="B509" t="s">
        <v>535</v>
      </c>
      <c r="C509" t="s">
        <v>21</v>
      </c>
      <c r="D509" t="s">
        <v>22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>
        <v>1</v>
      </c>
      <c r="K509">
        <v>0</v>
      </c>
      <c r="L509" t="s">
        <v>23</v>
      </c>
      <c r="M509" t="str">
        <f t="shared" si="47"/>
        <v>&gt;0.74</v>
      </c>
      <c r="N509">
        <v>0</v>
      </c>
      <c r="O509">
        <v>0</v>
      </c>
      <c r="P509">
        <v>0</v>
      </c>
      <c r="Q509">
        <v>0.99990000000000001</v>
      </c>
      <c r="R509">
        <v>0</v>
      </c>
      <c r="S509">
        <v>0</v>
      </c>
      <c r="T509">
        <v>0</v>
      </c>
      <c r="U509">
        <v>0</v>
      </c>
      <c r="V509" s="1">
        <v>2.0000000000000002E-5</v>
      </c>
      <c r="W509" s="1">
        <f t="shared" si="48"/>
        <v>0.99990000000000001</v>
      </c>
      <c r="X509" t="s">
        <v>536</v>
      </c>
      <c r="Y509" t="str">
        <f>VLOOKUP(X509,Sheet1!A:B,2,FALSE)</f>
        <v>Quercus bicolor Willd.</v>
      </c>
      <c r="Z509" t="s">
        <v>1388</v>
      </c>
      <c r="AB509" s="1">
        <f t="shared" si="49"/>
        <v>0.99990000000000001</v>
      </c>
      <c r="AD509" t="str">
        <f>IF(W509&lt;0.99,LARGE((N509:R509,U509,V509),2),"0")</f>
        <v>0</v>
      </c>
      <c r="AE509" t="str">
        <f t="shared" si="52"/>
        <v/>
      </c>
      <c r="AH509" t="str">
        <f t="shared" si="53"/>
        <v xml:space="preserve">Based on ADMIXTURE results of 78,187 SNPs, </v>
      </c>
    </row>
    <row r="510" spans="1:34" x14ac:dyDescent="0.4">
      <c r="A510">
        <v>273</v>
      </c>
      <c r="B510" t="s">
        <v>537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22</v>
      </c>
      <c r="I510" t="s">
        <v>21</v>
      </c>
      <c r="J510">
        <v>1</v>
      </c>
      <c r="K510">
        <v>0</v>
      </c>
      <c r="L510" t="s">
        <v>23</v>
      </c>
      <c r="M510" t="str">
        <f t="shared" si="47"/>
        <v>&gt;0.74</v>
      </c>
      <c r="N510">
        <v>0</v>
      </c>
      <c r="O510">
        <v>0.99360000000000004</v>
      </c>
      <c r="P510">
        <v>0</v>
      </c>
      <c r="Q510">
        <v>0</v>
      </c>
      <c r="R510">
        <v>0</v>
      </c>
      <c r="S510">
        <v>0</v>
      </c>
      <c r="T510">
        <v>6.3E-3</v>
      </c>
      <c r="U510">
        <v>0</v>
      </c>
      <c r="V510">
        <v>6.3119999999999999E-3</v>
      </c>
      <c r="W510" s="1">
        <f t="shared" si="48"/>
        <v>0.99360000000000004</v>
      </c>
      <c r="X510" t="s">
        <v>538</v>
      </c>
      <c r="Y510" t="str">
        <f>VLOOKUP(X510,Sheet1!A:B,2,FALSE)</f>
        <v>Quercus muehlenbergii Engelm.</v>
      </c>
      <c r="Z510" t="s">
        <v>1387</v>
      </c>
      <c r="AB510" s="1">
        <f t="shared" si="49"/>
        <v>0.99360000000000004</v>
      </c>
      <c r="AD510" t="str">
        <f>IF(W510&lt;0.99,LARGE((N510:R510,U510,V510),2),"0")</f>
        <v>0</v>
      </c>
      <c r="AE510" t="str">
        <f t="shared" si="52"/>
        <v/>
      </c>
      <c r="AH510" t="str">
        <f t="shared" si="53"/>
        <v xml:space="preserve">Based on ADMIXTURE results of 78,187 SNPs, </v>
      </c>
    </row>
    <row r="511" spans="1:34" x14ac:dyDescent="0.4">
      <c r="A511">
        <v>274</v>
      </c>
      <c r="B511" t="s">
        <v>539</v>
      </c>
      <c r="C511" t="s">
        <v>21</v>
      </c>
      <c r="D511" t="s">
        <v>21</v>
      </c>
      <c r="E511" t="s">
        <v>21</v>
      </c>
      <c r="F511" t="s">
        <v>22</v>
      </c>
      <c r="G511" t="s">
        <v>21</v>
      </c>
      <c r="H511" t="s">
        <v>21</v>
      </c>
      <c r="I511" t="s">
        <v>21</v>
      </c>
      <c r="J511">
        <v>1</v>
      </c>
      <c r="K511">
        <v>0</v>
      </c>
      <c r="L511" t="s">
        <v>23</v>
      </c>
      <c r="M511" t="str">
        <f t="shared" si="47"/>
        <v>&gt;0.74</v>
      </c>
      <c r="N511">
        <v>0</v>
      </c>
      <c r="O511">
        <v>0</v>
      </c>
      <c r="P511">
        <v>0</v>
      </c>
      <c r="Q511">
        <v>1.4999999999999999E-2</v>
      </c>
      <c r="R511">
        <v>0</v>
      </c>
      <c r="S511">
        <v>0.44550000000000001</v>
      </c>
      <c r="T511">
        <v>0.53949999999999998</v>
      </c>
      <c r="U511">
        <v>0</v>
      </c>
      <c r="V511">
        <v>0.984985</v>
      </c>
      <c r="W511" s="1">
        <f t="shared" si="48"/>
        <v>0.984985</v>
      </c>
      <c r="X511" t="s">
        <v>540</v>
      </c>
      <c r="Y511" t="str">
        <f>VLOOKUP(X511,Sheet1!A:B,2,FALSE)</f>
        <v>Quercus macrocarpa Michx.</v>
      </c>
      <c r="Z511" t="s">
        <v>1384</v>
      </c>
      <c r="AB511" s="1">
        <f t="shared" si="49"/>
        <v>0.984985</v>
      </c>
      <c r="AD511">
        <f>IF(W511&lt;0.99,LARGE((N511:R511,U511,V511),2),"0")</f>
        <v>1.4999999999999999E-2</v>
      </c>
      <c r="AE511" t="str">
        <f t="shared" si="52"/>
        <v xml:space="preserve">trace admixed with </v>
      </c>
      <c r="AH511" t="str">
        <f t="shared" si="53"/>
        <v xml:space="preserve">Based on ADMIXTURE results of 78,187 SNPs, trace admixed with </v>
      </c>
    </row>
    <row r="512" spans="1:34" x14ac:dyDescent="0.4">
      <c r="A512">
        <v>275</v>
      </c>
      <c r="B512" t="s">
        <v>541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22</v>
      </c>
      <c r="I512" t="s">
        <v>21</v>
      </c>
      <c r="J512">
        <v>1</v>
      </c>
      <c r="K512">
        <v>0</v>
      </c>
      <c r="L512" t="s">
        <v>23</v>
      </c>
      <c r="M512" t="str">
        <f t="shared" si="47"/>
        <v>&gt;0.74</v>
      </c>
      <c r="N512">
        <v>0</v>
      </c>
      <c r="O512">
        <v>0.99990000000000001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1">
        <v>2.0999999999999999E-5</v>
      </c>
      <c r="W512" s="1">
        <f t="shared" si="48"/>
        <v>0.99990000000000001</v>
      </c>
      <c r="X512" t="s">
        <v>542</v>
      </c>
      <c r="Y512" t="str">
        <f>VLOOKUP(X512,Sheet1!A:B,2,FALSE)</f>
        <v>Quercus muehlenbergii Engelm.</v>
      </c>
      <c r="Z512" t="s">
        <v>1387</v>
      </c>
      <c r="AB512" s="1">
        <f t="shared" si="49"/>
        <v>0.99990000000000001</v>
      </c>
      <c r="AD512" t="str">
        <f>IF(W512&lt;0.99,LARGE((N512:R512,U512,V512),2),"0")</f>
        <v>0</v>
      </c>
      <c r="AE512" t="str">
        <f t="shared" si="52"/>
        <v/>
      </c>
      <c r="AH512" t="str">
        <f t="shared" si="53"/>
        <v xml:space="preserve">Based on ADMIXTURE results of 78,187 SNPs, </v>
      </c>
    </row>
    <row r="513" spans="1:34" x14ac:dyDescent="0.4">
      <c r="A513">
        <v>276</v>
      </c>
      <c r="B513" t="s">
        <v>543</v>
      </c>
      <c r="C513" t="s">
        <v>21</v>
      </c>
      <c r="D513" t="s">
        <v>21</v>
      </c>
      <c r="E513" t="s">
        <v>21</v>
      </c>
      <c r="F513" t="s">
        <v>22</v>
      </c>
      <c r="G513" t="s">
        <v>21</v>
      </c>
      <c r="H513" t="s">
        <v>21</v>
      </c>
      <c r="I513" t="s">
        <v>21</v>
      </c>
      <c r="J513">
        <v>1</v>
      </c>
      <c r="K513">
        <v>0</v>
      </c>
      <c r="L513" t="s">
        <v>23</v>
      </c>
      <c r="M513" t="str">
        <f t="shared" si="47"/>
        <v>&gt;0.74</v>
      </c>
      <c r="N513">
        <v>0</v>
      </c>
      <c r="O513">
        <v>0</v>
      </c>
      <c r="P513">
        <v>0</v>
      </c>
      <c r="Q513">
        <v>1.4500000000000001E-2</v>
      </c>
      <c r="R513">
        <v>0</v>
      </c>
      <c r="S513">
        <v>0.4294</v>
      </c>
      <c r="T513">
        <v>0.55610000000000004</v>
      </c>
      <c r="U513">
        <v>0</v>
      </c>
      <c r="V513">
        <v>0.98547799999999997</v>
      </c>
      <c r="W513" s="1">
        <f t="shared" si="48"/>
        <v>0.98547799999999997</v>
      </c>
      <c r="X513" t="s">
        <v>544</v>
      </c>
      <c r="Y513" t="str">
        <f>VLOOKUP(X513,Sheet1!A:B,2,FALSE)</f>
        <v>Quercus macrocarpa Michx.</v>
      </c>
      <c r="Z513" t="s">
        <v>1384</v>
      </c>
      <c r="AB513" s="1">
        <f t="shared" si="49"/>
        <v>0.98547799999999997</v>
      </c>
      <c r="AD513">
        <f>IF(W513&lt;0.99,LARGE((N513:R513,U513,V513),2),"0")</f>
        <v>1.4500000000000001E-2</v>
      </c>
      <c r="AE513" t="str">
        <f t="shared" si="52"/>
        <v xml:space="preserve">trace admixed with </v>
      </c>
      <c r="AH513" t="str">
        <f t="shared" si="53"/>
        <v xml:space="preserve">Based on ADMIXTURE results of 78,187 SNPs, trace admixed with </v>
      </c>
    </row>
    <row r="514" spans="1:34" x14ac:dyDescent="0.4">
      <c r="A514">
        <v>277</v>
      </c>
      <c r="B514" t="s">
        <v>545</v>
      </c>
      <c r="C514" t="s">
        <v>22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>
        <v>1</v>
      </c>
      <c r="K514">
        <v>0</v>
      </c>
      <c r="L514" t="s">
        <v>23</v>
      </c>
      <c r="M514" t="str">
        <f t="shared" ref="M514:M577" si="54">IF(AND(W514&lt;0.58,W514&gt;0.2),"F1",IF(W514&lt;0.74,"BC1?","&gt;0.74"))</f>
        <v>&gt;0.74</v>
      </c>
      <c r="N514">
        <v>0</v>
      </c>
      <c r="O514">
        <v>0</v>
      </c>
      <c r="P514">
        <v>0.97729999999999995</v>
      </c>
      <c r="Q514">
        <v>0</v>
      </c>
      <c r="R514">
        <v>0</v>
      </c>
      <c r="S514">
        <v>0</v>
      </c>
      <c r="T514">
        <v>2.2700000000000001E-2</v>
      </c>
      <c r="U514">
        <v>0</v>
      </c>
      <c r="V514">
        <v>2.2682999999999998E-2</v>
      </c>
      <c r="W514" s="1">
        <f t="shared" ref="W514:W577" si="55">MAX(N514:R514,U514,V514)</f>
        <v>0.97729999999999995</v>
      </c>
      <c r="X514" t="s">
        <v>546</v>
      </c>
      <c r="Y514" t="str">
        <f>VLOOKUP(X514,Sheet1!A:B,2,FALSE)</f>
        <v>Quercus alba L.</v>
      </c>
      <c r="Z514" t="s">
        <v>1386</v>
      </c>
      <c r="AB514" s="1">
        <f t="shared" ref="AB514:AB577" si="56">MAX(N514:R514,U514,V514)</f>
        <v>0.97729999999999995</v>
      </c>
      <c r="AD514">
        <f>IF(W514&lt;0.99,LARGE((N514:R514,U514,V514),2),"0")</f>
        <v>2.2682999999999998E-2</v>
      </c>
      <c r="AE514" t="str">
        <f t="shared" si="52"/>
        <v xml:space="preserve">trace admixed with </v>
      </c>
      <c r="AH514" t="str">
        <f t="shared" si="53"/>
        <v xml:space="preserve">Based on ADMIXTURE results of 78,187 SNPs, trace admixed with </v>
      </c>
    </row>
    <row r="515" spans="1:34" x14ac:dyDescent="0.4">
      <c r="A515">
        <v>278</v>
      </c>
      <c r="B515" t="s">
        <v>547</v>
      </c>
      <c r="C515" t="s">
        <v>21</v>
      </c>
      <c r="D515" t="s">
        <v>21</v>
      </c>
      <c r="E515" t="s">
        <v>21</v>
      </c>
      <c r="F515" t="s">
        <v>22</v>
      </c>
      <c r="G515" t="s">
        <v>21</v>
      </c>
      <c r="H515" t="s">
        <v>21</v>
      </c>
      <c r="I515" t="s">
        <v>21</v>
      </c>
      <c r="J515">
        <v>1</v>
      </c>
      <c r="K515">
        <v>0</v>
      </c>
      <c r="L515" t="s">
        <v>23</v>
      </c>
      <c r="M515" t="str">
        <f t="shared" si="54"/>
        <v>&gt;0.74</v>
      </c>
      <c r="N515">
        <v>0</v>
      </c>
      <c r="O515">
        <v>0</v>
      </c>
      <c r="P515">
        <v>2.5999999999999999E-3</v>
      </c>
      <c r="Q515">
        <v>0</v>
      </c>
      <c r="R515">
        <v>0</v>
      </c>
      <c r="S515">
        <v>0.29520000000000002</v>
      </c>
      <c r="T515">
        <v>0.70220000000000005</v>
      </c>
      <c r="U515">
        <v>0</v>
      </c>
      <c r="V515">
        <v>0.99737299999999995</v>
      </c>
      <c r="W515" s="1">
        <f t="shared" si="55"/>
        <v>0.99737299999999995</v>
      </c>
      <c r="X515" t="s">
        <v>548</v>
      </c>
      <c r="Y515" t="str">
        <f>VLOOKUP(X515,Sheet1!A:B,2,FALSE)</f>
        <v>Quercus macrocarpa Michx.</v>
      </c>
      <c r="Z515" t="s">
        <v>1384</v>
      </c>
      <c r="AB515" s="1">
        <f t="shared" si="56"/>
        <v>0.99737299999999995</v>
      </c>
      <c r="AD515" t="str">
        <f>IF(W515&lt;0.99,LARGE((N515:R515,U515,V515),2),"0")</f>
        <v>0</v>
      </c>
      <c r="AE515" t="str">
        <f t="shared" si="52"/>
        <v/>
      </c>
      <c r="AH515" t="str">
        <f t="shared" si="53"/>
        <v xml:space="preserve">Based on ADMIXTURE results of 78,187 SNPs, </v>
      </c>
    </row>
    <row r="516" spans="1:34" x14ac:dyDescent="0.4">
      <c r="A516">
        <v>279</v>
      </c>
      <c r="B516" t="s">
        <v>549</v>
      </c>
      <c r="C516" t="s">
        <v>22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>
        <v>1</v>
      </c>
      <c r="K516">
        <v>0</v>
      </c>
      <c r="L516" t="s">
        <v>23</v>
      </c>
      <c r="M516" t="str">
        <f t="shared" si="54"/>
        <v>&gt;0.74</v>
      </c>
      <c r="N516">
        <v>0</v>
      </c>
      <c r="O516">
        <v>5.7999999999999996E-3</v>
      </c>
      <c r="P516">
        <v>0.99409999999999998</v>
      </c>
      <c r="Q516">
        <v>0</v>
      </c>
      <c r="R516">
        <v>0</v>
      </c>
      <c r="S516">
        <v>0</v>
      </c>
      <c r="T516">
        <v>0</v>
      </c>
      <c r="U516">
        <v>0</v>
      </c>
      <c r="V516" s="1">
        <v>2.0000000000000002E-5</v>
      </c>
      <c r="W516" s="1">
        <f t="shared" si="55"/>
        <v>0.99409999999999998</v>
      </c>
      <c r="X516" t="s">
        <v>550</v>
      </c>
      <c r="Y516" t="str">
        <f>VLOOKUP(X516,Sheet1!A:B,2,FALSE)</f>
        <v>Quercus alba L.</v>
      </c>
      <c r="Z516" t="s">
        <v>1386</v>
      </c>
      <c r="AB516" s="1">
        <f t="shared" si="56"/>
        <v>0.99409999999999998</v>
      </c>
      <c r="AD516" t="str">
        <f>IF(W516&lt;0.99,LARGE((N516:R516,U516,V516),2),"0")</f>
        <v>0</v>
      </c>
      <c r="AE516" t="str">
        <f t="shared" si="52"/>
        <v/>
      </c>
      <c r="AH516" t="str">
        <f t="shared" si="53"/>
        <v xml:space="preserve">Based on ADMIXTURE results of 78,187 SNPs, </v>
      </c>
    </row>
    <row r="517" spans="1:34" x14ac:dyDescent="0.4">
      <c r="A517">
        <v>280</v>
      </c>
      <c r="B517" t="s">
        <v>551</v>
      </c>
      <c r="C517" t="s">
        <v>21</v>
      </c>
      <c r="D517" t="s">
        <v>21</v>
      </c>
      <c r="E517" t="s">
        <v>21</v>
      </c>
      <c r="F517" t="s">
        <v>22</v>
      </c>
      <c r="G517" t="s">
        <v>21</v>
      </c>
      <c r="H517" t="s">
        <v>21</v>
      </c>
      <c r="I517" t="s">
        <v>21</v>
      </c>
      <c r="J517">
        <v>1</v>
      </c>
      <c r="K517">
        <v>0</v>
      </c>
      <c r="L517" t="s">
        <v>23</v>
      </c>
      <c r="M517" t="str">
        <f t="shared" si="54"/>
        <v>&gt;0.74</v>
      </c>
      <c r="N517">
        <v>0</v>
      </c>
      <c r="O517">
        <v>0</v>
      </c>
      <c r="P517">
        <v>0</v>
      </c>
      <c r="Q517">
        <v>5.5999999999999999E-3</v>
      </c>
      <c r="R517">
        <v>0</v>
      </c>
      <c r="S517">
        <v>0.20730000000000001</v>
      </c>
      <c r="T517">
        <v>0.78710000000000002</v>
      </c>
      <c r="U517">
        <v>0</v>
      </c>
      <c r="V517">
        <v>0.99436199999999997</v>
      </c>
      <c r="W517" s="1">
        <f t="shared" si="55"/>
        <v>0.99436199999999997</v>
      </c>
      <c r="X517" t="s">
        <v>552</v>
      </c>
      <c r="Y517" t="str">
        <f>VLOOKUP(X517,Sheet1!A:B,2,FALSE)</f>
        <v>Quercus macrocarpa Michx.</v>
      </c>
      <c r="Z517" t="s">
        <v>1384</v>
      </c>
      <c r="AB517" s="1">
        <f t="shared" si="56"/>
        <v>0.99436199999999997</v>
      </c>
      <c r="AD517" t="str">
        <f>IF(W517&lt;0.99,LARGE((N517:R517,U517,V517),2),"0")</f>
        <v>0</v>
      </c>
      <c r="AE517" t="str">
        <f t="shared" si="52"/>
        <v/>
      </c>
      <c r="AH517" t="str">
        <f t="shared" si="53"/>
        <v xml:space="preserve">Based on ADMIXTURE results of 78,187 SNPs, </v>
      </c>
    </row>
    <row r="518" spans="1:34" x14ac:dyDescent="0.4">
      <c r="A518">
        <v>281</v>
      </c>
      <c r="B518" t="s">
        <v>553</v>
      </c>
      <c r="C518" t="s">
        <v>21</v>
      </c>
      <c r="D518" t="s">
        <v>21</v>
      </c>
      <c r="E518" t="s">
        <v>21</v>
      </c>
      <c r="F518" t="s">
        <v>22</v>
      </c>
      <c r="G518" t="s">
        <v>21</v>
      </c>
      <c r="H518" t="s">
        <v>21</v>
      </c>
      <c r="I518" t="s">
        <v>21</v>
      </c>
      <c r="J518">
        <v>1</v>
      </c>
      <c r="K518">
        <v>0</v>
      </c>
      <c r="L518" t="s">
        <v>23</v>
      </c>
      <c r="M518" t="str">
        <f t="shared" si="54"/>
        <v>&gt;0.74</v>
      </c>
      <c r="N518">
        <v>0</v>
      </c>
      <c r="O518" s="1">
        <v>4.0000000000000002E-4</v>
      </c>
      <c r="P518">
        <v>6.4000000000000003E-3</v>
      </c>
      <c r="Q518">
        <v>0</v>
      </c>
      <c r="R518">
        <v>0</v>
      </c>
      <c r="S518">
        <v>0.32279999999999998</v>
      </c>
      <c r="T518">
        <v>0.6704</v>
      </c>
      <c r="U518">
        <v>0</v>
      </c>
      <c r="V518">
        <v>0.99321000000000004</v>
      </c>
      <c r="W518" s="1">
        <f t="shared" si="55"/>
        <v>0.99321000000000004</v>
      </c>
      <c r="X518" t="s">
        <v>554</v>
      </c>
      <c r="Y518" t="str">
        <f>VLOOKUP(X518,Sheet1!A:B,2,FALSE)</f>
        <v>Quercus macrocarpa Michx.</v>
      </c>
      <c r="Z518" t="s">
        <v>1384</v>
      </c>
      <c r="AB518" s="1">
        <f t="shared" si="56"/>
        <v>0.99321000000000004</v>
      </c>
      <c r="AD518" t="str">
        <f>IF(W518&lt;0.99,LARGE((N518:R518,U518,V518),2),"0")</f>
        <v>0</v>
      </c>
      <c r="AE518" t="str">
        <f t="shared" si="52"/>
        <v/>
      </c>
      <c r="AH518" t="str">
        <f t="shared" si="53"/>
        <v xml:space="preserve">Based on ADMIXTURE results of 78,187 SNPs, </v>
      </c>
    </row>
    <row r="519" spans="1:34" x14ac:dyDescent="0.4">
      <c r="A519">
        <v>282</v>
      </c>
      <c r="B519" t="s">
        <v>555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22</v>
      </c>
      <c r="I519" t="s">
        <v>21</v>
      </c>
      <c r="J519">
        <v>1</v>
      </c>
      <c r="K519">
        <v>0</v>
      </c>
      <c r="L519" t="s">
        <v>23</v>
      </c>
      <c r="M519" t="str">
        <f t="shared" si="54"/>
        <v>&gt;0.74</v>
      </c>
      <c r="N519">
        <v>0</v>
      </c>
      <c r="O519">
        <v>0.99990000000000001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s="1">
        <v>2.1999999999999999E-5</v>
      </c>
      <c r="W519" s="1">
        <f t="shared" si="55"/>
        <v>0.99990000000000001</v>
      </c>
      <c r="X519" t="s">
        <v>556</v>
      </c>
      <c r="Y519" t="str">
        <f>VLOOKUP(X519,Sheet1!A:B,2,FALSE)</f>
        <v>Quercus muehlenbergii Engelm.</v>
      </c>
      <c r="Z519" t="s">
        <v>1387</v>
      </c>
      <c r="AB519" s="1">
        <f t="shared" si="56"/>
        <v>0.99990000000000001</v>
      </c>
      <c r="AD519" t="str">
        <f>IF(W519&lt;0.99,LARGE((N519:R519,U519,V519),2),"0")</f>
        <v>0</v>
      </c>
      <c r="AE519" t="str">
        <f t="shared" si="52"/>
        <v/>
      </c>
      <c r="AH519" t="str">
        <f t="shared" si="53"/>
        <v xml:space="preserve">Based on ADMIXTURE results of 78,187 SNPs, </v>
      </c>
    </row>
    <row r="520" spans="1:34" x14ac:dyDescent="0.4">
      <c r="A520">
        <v>283</v>
      </c>
      <c r="B520" t="s">
        <v>557</v>
      </c>
      <c r="C520" t="s">
        <v>22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>
        <v>1</v>
      </c>
      <c r="K520">
        <v>0</v>
      </c>
      <c r="L520" t="s">
        <v>23</v>
      </c>
      <c r="M520" t="str">
        <f t="shared" si="54"/>
        <v>&gt;0.74</v>
      </c>
      <c r="N520">
        <v>0</v>
      </c>
      <c r="O520">
        <v>0</v>
      </c>
      <c r="P520">
        <v>0.98919999999999997</v>
      </c>
      <c r="Q520">
        <v>0</v>
      </c>
      <c r="R520">
        <v>0</v>
      </c>
      <c r="S520">
        <v>0</v>
      </c>
      <c r="T520">
        <v>0</v>
      </c>
      <c r="U520">
        <v>1.0699999999999999E-2</v>
      </c>
      <c r="V520" s="1">
        <v>2.0000000000000002E-5</v>
      </c>
      <c r="W520" s="1">
        <f t="shared" si="55"/>
        <v>0.98919999999999997</v>
      </c>
      <c r="X520" t="s">
        <v>558</v>
      </c>
      <c r="Y520" t="str">
        <f>VLOOKUP(X520,Sheet1!A:B,2,FALSE)</f>
        <v>Quercus alba L.</v>
      </c>
      <c r="Z520" t="s">
        <v>1386</v>
      </c>
      <c r="AB520" s="1">
        <f t="shared" si="56"/>
        <v>0.98919999999999997</v>
      </c>
      <c r="AD520">
        <f>IF(W520&lt;0.99,LARGE((N520:R520,U520,V520),2),"0")</f>
        <v>1.0699999999999999E-2</v>
      </c>
      <c r="AE520" t="str">
        <f t="shared" si="52"/>
        <v xml:space="preserve">trace admixed with </v>
      </c>
      <c r="AH520" t="str">
        <f t="shared" si="53"/>
        <v xml:space="preserve">Based on ADMIXTURE results of 78,187 SNPs, trace admixed with </v>
      </c>
    </row>
    <row r="521" spans="1:34" x14ac:dyDescent="0.4">
      <c r="A521">
        <v>284</v>
      </c>
      <c r="B521" t="s">
        <v>559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22</v>
      </c>
      <c r="I521" t="s">
        <v>21</v>
      </c>
      <c r="J521">
        <v>1</v>
      </c>
      <c r="K521">
        <v>0</v>
      </c>
      <c r="L521" t="s">
        <v>23</v>
      </c>
      <c r="M521" t="str">
        <f t="shared" si="54"/>
        <v>&gt;0.74</v>
      </c>
      <c r="N521">
        <v>0</v>
      </c>
      <c r="O521">
        <v>0.99990000000000001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1">
        <v>2.0000000000000002E-5</v>
      </c>
      <c r="W521" s="1">
        <f t="shared" si="55"/>
        <v>0.99990000000000001</v>
      </c>
      <c r="X521" t="s">
        <v>560</v>
      </c>
      <c r="Y521" t="str">
        <f>VLOOKUP(X521,Sheet1!A:B,2,FALSE)</f>
        <v>Quercus muehlenbergii Engelm.</v>
      </c>
      <c r="Z521" t="s">
        <v>1387</v>
      </c>
      <c r="AB521" s="1">
        <f t="shared" si="56"/>
        <v>0.99990000000000001</v>
      </c>
      <c r="AD521" t="str">
        <f>IF(W521&lt;0.99,LARGE((N521:R521,U521,V521),2),"0")</f>
        <v>0</v>
      </c>
      <c r="AE521" t="str">
        <f t="shared" si="52"/>
        <v/>
      </c>
      <c r="AH521" t="str">
        <f t="shared" si="53"/>
        <v xml:space="preserve">Based on ADMIXTURE results of 78,187 SNPs, </v>
      </c>
    </row>
    <row r="522" spans="1:34" x14ac:dyDescent="0.4">
      <c r="A522">
        <v>285</v>
      </c>
      <c r="B522" t="s">
        <v>561</v>
      </c>
      <c r="C522" t="s">
        <v>22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>
        <v>1</v>
      </c>
      <c r="K522">
        <v>0</v>
      </c>
      <c r="L522" t="s">
        <v>23</v>
      </c>
      <c r="M522" t="str">
        <f t="shared" si="54"/>
        <v>&gt;0.74</v>
      </c>
      <c r="N522">
        <v>0</v>
      </c>
      <c r="O522">
        <v>0</v>
      </c>
      <c r="P522">
        <v>0.99990000000000001</v>
      </c>
      <c r="Q522">
        <v>0</v>
      </c>
      <c r="R522">
        <v>0</v>
      </c>
      <c r="S522">
        <v>0</v>
      </c>
      <c r="T522">
        <v>0</v>
      </c>
      <c r="U522">
        <v>0</v>
      </c>
      <c r="V522" s="1">
        <v>2.0000000000000002E-5</v>
      </c>
      <c r="W522" s="1">
        <f t="shared" si="55"/>
        <v>0.99990000000000001</v>
      </c>
      <c r="X522" t="s">
        <v>562</v>
      </c>
      <c r="Y522" t="str">
        <f>VLOOKUP(X522,Sheet1!A:B,2,FALSE)</f>
        <v>Quercus alba L.</v>
      </c>
      <c r="Z522" t="s">
        <v>1386</v>
      </c>
      <c r="AB522" s="1">
        <f t="shared" si="56"/>
        <v>0.99990000000000001</v>
      </c>
      <c r="AD522" t="str">
        <f>IF(W522&lt;0.99,LARGE((N522:R522,U522,V522),2),"0")</f>
        <v>0</v>
      </c>
      <c r="AE522" t="str">
        <f t="shared" si="52"/>
        <v/>
      </c>
      <c r="AH522" t="str">
        <f t="shared" si="53"/>
        <v xml:space="preserve">Based on ADMIXTURE results of 78,187 SNPs, </v>
      </c>
    </row>
    <row r="523" spans="1:34" x14ac:dyDescent="0.4">
      <c r="A523">
        <v>535</v>
      </c>
      <c r="B523" t="s">
        <v>1061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22</v>
      </c>
      <c r="I523" t="s">
        <v>21</v>
      </c>
      <c r="J523">
        <v>1</v>
      </c>
      <c r="K523">
        <v>0</v>
      </c>
      <c r="L523" t="s">
        <v>23</v>
      </c>
      <c r="M523" t="str">
        <f t="shared" si="54"/>
        <v>&gt;0.74</v>
      </c>
      <c r="N523">
        <v>0</v>
      </c>
      <c r="O523">
        <v>0.99990000000000001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s="1">
        <v>2.0000000000000002E-5</v>
      </c>
      <c r="W523" s="1">
        <f t="shared" si="55"/>
        <v>0.99990000000000001</v>
      </c>
      <c r="X523" t="s">
        <v>1062</v>
      </c>
      <c r="Y523" t="str">
        <f>VLOOKUP(X523,Sheet1!A:B,2,FALSE)</f>
        <v>Quercus muehlenbergii Engelm.</v>
      </c>
      <c r="Z523" t="s">
        <v>1387</v>
      </c>
      <c r="AB523" s="1">
        <f t="shared" si="56"/>
        <v>0.99990000000000001</v>
      </c>
      <c r="AD523" t="str">
        <f>IF(W523&lt;0.99,LARGE((N523:R523,U523,V523),2),"0")</f>
        <v>0</v>
      </c>
      <c r="AE523" t="str">
        <f t="shared" si="52"/>
        <v/>
      </c>
      <c r="AH523" t="str">
        <f t="shared" si="53"/>
        <v xml:space="preserve">Based on ADMIXTURE results of 78,187 SNPs, </v>
      </c>
    </row>
    <row r="524" spans="1:34" x14ac:dyDescent="0.4">
      <c r="A524">
        <v>536</v>
      </c>
      <c r="B524" t="s">
        <v>1063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22</v>
      </c>
      <c r="I524" t="s">
        <v>21</v>
      </c>
      <c r="J524">
        <v>1</v>
      </c>
      <c r="K524">
        <v>0</v>
      </c>
      <c r="L524" t="s">
        <v>23</v>
      </c>
      <c r="M524" t="str">
        <f t="shared" si="54"/>
        <v>&gt;0.74</v>
      </c>
      <c r="N524">
        <v>0</v>
      </c>
      <c r="O524">
        <v>0.99990000000000001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s="1">
        <v>2.0000000000000002E-5</v>
      </c>
      <c r="W524" s="1">
        <f t="shared" si="55"/>
        <v>0.99990000000000001</v>
      </c>
      <c r="X524" t="s">
        <v>1064</v>
      </c>
      <c r="Y524" t="str">
        <f>VLOOKUP(X524,Sheet1!A:B,2,FALSE)</f>
        <v>Quercus muehlenbergii Engelm.</v>
      </c>
      <c r="Z524" t="s">
        <v>1387</v>
      </c>
      <c r="AB524" s="1">
        <f t="shared" si="56"/>
        <v>0.99990000000000001</v>
      </c>
      <c r="AD524" t="str">
        <f>IF(W524&lt;0.99,LARGE((N524:R524,U524,V524),2),"0")</f>
        <v>0</v>
      </c>
      <c r="AE524" t="str">
        <f t="shared" si="52"/>
        <v/>
      </c>
      <c r="AH524" t="str">
        <f t="shared" si="53"/>
        <v xml:space="preserve">Based on ADMIXTURE results of 78,187 SNPs, </v>
      </c>
    </row>
    <row r="525" spans="1:34" x14ac:dyDescent="0.4">
      <c r="A525">
        <v>537</v>
      </c>
      <c r="B525" t="s">
        <v>1065</v>
      </c>
      <c r="C525" t="s">
        <v>22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>
        <v>1</v>
      </c>
      <c r="K525">
        <v>0</v>
      </c>
      <c r="L525" t="s">
        <v>23</v>
      </c>
      <c r="M525" t="str">
        <f t="shared" si="54"/>
        <v>&gt;0.74</v>
      </c>
      <c r="N525">
        <v>0</v>
      </c>
      <c r="O525">
        <v>0</v>
      </c>
      <c r="P525">
        <v>0.99990000000000001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 s="1">
        <v>2.0000000000000002E-5</v>
      </c>
      <c r="W525" s="1">
        <f t="shared" si="55"/>
        <v>0.99990000000000001</v>
      </c>
      <c r="X525" t="s">
        <v>1066</v>
      </c>
      <c r="Y525" t="str">
        <f>VLOOKUP(X525,Sheet1!A:B,2,FALSE)</f>
        <v>Quercus alba L.</v>
      </c>
      <c r="Z525" t="s">
        <v>1386</v>
      </c>
      <c r="AB525" s="1">
        <f t="shared" si="56"/>
        <v>0.99990000000000001</v>
      </c>
      <c r="AD525" t="str">
        <f>IF(W525&lt;0.99,LARGE((N525:R525,U525,V525),2),"0")</f>
        <v>0</v>
      </c>
      <c r="AE525" t="str">
        <f t="shared" si="52"/>
        <v/>
      </c>
      <c r="AH525" t="str">
        <f t="shared" si="53"/>
        <v xml:space="preserve">Based on ADMIXTURE results of 78,187 SNPs, </v>
      </c>
    </row>
    <row r="526" spans="1:34" x14ac:dyDescent="0.4">
      <c r="A526">
        <v>538</v>
      </c>
      <c r="B526" t="s">
        <v>1067</v>
      </c>
      <c r="C526" t="s">
        <v>25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>
        <v>0</v>
      </c>
      <c r="K526">
        <v>1</v>
      </c>
      <c r="L526" t="s">
        <v>1068</v>
      </c>
      <c r="M526" t="str">
        <f t="shared" si="54"/>
        <v>&gt;0.74</v>
      </c>
      <c r="N526">
        <v>1.7500000000000002E-2</v>
      </c>
      <c r="O526">
        <v>0</v>
      </c>
      <c r="P526">
        <v>0.96619999999999995</v>
      </c>
      <c r="Q526">
        <v>0</v>
      </c>
      <c r="R526">
        <v>1.6299999999999999E-2</v>
      </c>
      <c r="S526">
        <v>0</v>
      </c>
      <c r="T526">
        <v>0</v>
      </c>
      <c r="U526">
        <v>0</v>
      </c>
      <c r="V526" s="1">
        <v>2.0000000000000002E-5</v>
      </c>
      <c r="W526" s="1">
        <f t="shared" si="55"/>
        <v>0.96619999999999995</v>
      </c>
      <c r="X526" t="s">
        <v>1069</v>
      </c>
      <c r="Y526" t="str">
        <f>VLOOKUP(X526,Sheet1!A:B,2,FALSE)</f>
        <v>Quercus alba L.</v>
      </c>
      <c r="Z526" t="s">
        <v>1386</v>
      </c>
      <c r="AB526" s="1">
        <f t="shared" si="56"/>
        <v>0.96619999999999995</v>
      </c>
      <c r="AC526" t="s">
        <v>1429</v>
      </c>
      <c r="AD526">
        <f>IF(W526&lt;0.99,LARGE((N526:R526,U526,V526),2),"0")</f>
        <v>1.7500000000000002E-2</v>
      </c>
      <c r="AE526" t="str">
        <f>IF(AND(AB526&lt;0.99,AD526&gt;0.1,AB526&gt;0.6),"admixed with ",IF(AND(AB526&lt;0.99,AD526&gt;0.01,AD526&lt;0.4),"trace admixed with ",""))</f>
        <v xml:space="preserve">trace admixed with </v>
      </c>
      <c r="AH526" t="str">
        <f t="shared" si="53"/>
        <v>Based on ADMIXTURE results of 78,187 SNPs, trace admixed with other oaks</v>
      </c>
    </row>
    <row r="527" spans="1:34" x14ac:dyDescent="0.4">
      <c r="A527">
        <v>539</v>
      </c>
      <c r="B527" t="s">
        <v>1070</v>
      </c>
      <c r="C527" t="s">
        <v>21</v>
      </c>
      <c r="D527" t="s">
        <v>21</v>
      </c>
      <c r="E527" t="s">
        <v>21</v>
      </c>
      <c r="F527" t="s">
        <v>21</v>
      </c>
      <c r="G527" t="s">
        <v>22</v>
      </c>
      <c r="H527" t="s">
        <v>21</v>
      </c>
      <c r="I527" t="s">
        <v>21</v>
      </c>
      <c r="J527">
        <v>1</v>
      </c>
      <c r="K527">
        <v>0</v>
      </c>
      <c r="L527" t="s">
        <v>23</v>
      </c>
      <c r="M527" t="str">
        <f t="shared" si="54"/>
        <v>&gt;0.74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0.99990000000000001</v>
      </c>
      <c r="V527" s="1">
        <v>2.0000000000000002E-5</v>
      </c>
      <c r="W527" s="1">
        <f t="shared" si="55"/>
        <v>0.99990000000000001</v>
      </c>
      <c r="X527" t="s">
        <v>1071</v>
      </c>
      <c r="Y527" t="str">
        <f>VLOOKUP(X527,Sheet1!A:B,2,FALSE)</f>
        <v>Quercus montana Willd.</v>
      </c>
      <c r="Z527" t="s">
        <v>1408</v>
      </c>
      <c r="AB527" s="1">
        <f t="shared" si="56"/>
        <v>0.99990000000000001</v>
      </c>
      <c r="AD527" t="str">
        <f>IF(W527&lt;0.99,LARGE((N527:R527,U527,V527),2),"0")</f>
        <v>0</v>
      </c>
      <c r="AE527" t="str">
        <f t="shared" ref="AE527:AE556" si="57">IF(AND(AB527&lt;0.99,AD527&gt;0.1),"admixed with",IF(AND(AB527&lt;0.99,AD527&gt;0.01),"trace admixed with ",""))</f>
        <v/>
      </c>
      <c r="AH527" t="str">
        <f t="shared" si="53"/>
        <v xml:space="preserve">Based on ADMIXTURE results of 78,187 SNPs, </v>
      </c>
    </row>
    <row r="528" spans="1:34" x14ac:dyDescent="0.4">
      <c r="A528">
        <v>540</v>
      </c>
      <c r="B528" t="s">
        <v>1072</v>
      </c>
      <c r="C528" t="s">
        <v>21</v>
      </c>
      <c r="D528" t="s">
        <v>21</v>
      </c>
      <c r="E528" t="s">
        <v>21</v>
      </c>
      <c r="F528" t="s">
        <v>21</v>
      </c>
      <c r="G528" t="s">
        <v>22</v>
      </c>
      <c r="H528" t="s">
        <v>21</v>
      </c>
      <c r="I528" t="s">
        <v>21</v>
      </c>
      <c r="J528">
        <v>1</v>
      </c>
      <c r="K528">
        <v>0</v>
      </c>
      <c r="L528" t="s">
        <v>23</v>
      </c>
      <c r="M528" t="str">
        <f t="shared" si="54"/>
        <v>&gt;0.74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0.99990000000000001</v>
      </c>
      <c r="V528" s="1">
        <v>2.0000000000000002E-5</v>
      </c>
      <c r="W528" s="1">
        <f t="shared" si="55"/>
        <v>0.99990000000000001</v>
      </c>
      <c r="X528" t="s">
        <v>1073</v>
      </c>
      <c r="Y528" t="str">
        <f>VLOOKUP(X528,Sheet1!A:B,2,FALSE)</f>
        <v>Quercus montana Willd.</v>
      </c>
      <c r="Z528" t="s">
        <v>1408</v>
      </c>
      <c r="AB528" s="1">
        <f t="shared" si="56"/>
        <v>0.99990000000000001</v>
      </c>
      <c r="AD528" t="str">
        <f>IF(W528&lt;0.99,LARGE((N528:R528,U528,V528),2),"0")</f>
        <v>0</v>
      </c>
      <c r="AE528" t="str">
        <f t="shared" si="57"/>
        <v/>
      </c>
      <c r="AH528" t="str">
        <f t="shared" si="53"/>
        <v xml:space="preserve">Based on ADMIXTURE results of 78,187 SNPs, </v>
      </c>
    </row>
    <row r="529" spans="1:34" x14ac:dyDescent="0.4">
      <c r="A529">
        <v>541</v>
      </c>
      <c r="B529" t="s">
        <v>1074</v>
      </c>
      <c r="C529" t="s">
        <v>21</v>
      </c>
      <c r="D529" t="s">
        <v>21</v>
      </c>
      <c r="E529" t="s">
        <v>21</v>
      </c>
      <c r="F529" t="s">
        <v>21</v>
      </c>
      <c r="G529" t="s">
        <v>22</v>
      </c>
      <c r="H529" t="s">
        <v>21</v>
      </c>
      <c r="I529" t="s">
        <v>21</v>
      </c>
      <c r="J529">
        <v>1</v>
      </c>
      <c r="K529">
        <v>0</v>
      </c>
      <c r="L529" t="s">
        <v>23</v>
      </c>
      <c r="M529" t="str">
        <f t="shared" si="54"/>
        <v>&gt;0.74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0.99990000000000001</v>
      </c>
      <c r="V529" s="1">
        <v>2.0000000000000002E-5</v>
      </c>
      <c r="W529" s="1">
        <f t="shared" si="55"/>
        <v>0.99990000000000001</v>
      </c>
      <c r="X529" t="s">
        <v>1075</v>
      </c>
      <c r="Y529" t="str">
        <f>VLOOKUP(X529,Sheet1!A:B,2,FALSE)</f>
        <v>Quercus montana Willd.</v>
      </c>
      <c r="Z529" t="s">
        <v>1408</v>
      </c>
      <c r="AB529" s="1">
        <f t="shared" si="56"/>
        <v>0.99990000000000001</v>
      </c>
      <c r="AD529" t="str">
        <f>IF(W529&lt;0.99,LARGE((N529:R529,U529,V529),2),"0")</f>
        <v>0</v>
      </c>
      <c r="AE529" t="str">
        <f t="shared" si="57"/>
        <v/>
      </c>
      <c r="AH529" t="str">
        <f t="shared" si="53"/>
        <v xml:space="preserve">Based on ADMIXTURE results of 78,187 SNPs, </v>
      </c>
    </row>
    <row r="530" spans="1:34" x14ac:dyDescent="0.4">
      <c r="A530">
        <v>655</v>
      </c>
      <c r="B530" t="s">
        <v>1302</v>
      </c>
      <c r="C530" t="s">
        <v>21</v>
      </c>
      <c r="D530" t="s">
        <v>21</v>
      </c>
      <c r="E530" t="s">
        <v>21</v>
      </c>
      <c r="F530" t="s">
        <v>22</v>
      </c>
      <c r="G530" t="s">
        <v>21</v>
      </c>
      <c r="H530" t="s">
        <v>21</v>
      </c>
      <c r="I530" t="s">
        <v>21</v>
      </c>
      <c r="J530">
        <v>1</v>
      </c>
      <c r="K530">
        <v>0</v>
      </c>
      <c r="L530" t="s">
        <v>23</v>
      </c>
      <c r="M530" t="str">
        <f t="shared" si="54"/>
        <v>&gt;0.74</v>
      </c>
      <c r="N530">
        <v>0</v>
      </c>
      <c r="O530">
        <v>7.0000000000000001E-3</v>
      </c>
      <c r="P530">
        <v>0</v>
      </c>
      <c r="Q530">
        <v>1.6299999999999999E-2</v>
      </c>
      <c r="R530">
        <v>0</v>
      </c>
      <c r="S530">
        <v>0.26100000000000001</v>
      </c>
      <c r="T530">
        <v>0.71560000000000001</v>
      </c>
      <c r="U530">
        <v>0</v>
      </c>
      <c r="V530">
        <v>0.97667099999999996</v>
      </c>
      <c r="W530" s="1">
        <f t="shared" si="55"/>
        <v>0.97667099999999996</v>
      </c>
      <c r="X530" t="s">
        <v>1303</v>
      </c>
      <c r="Y530" t="str">
        <f>VLOOKUP(X530,Sheet1!A:B,2,FALSE)</f>
        <v>Quercus macrocarpa Michx.</v>
      </c>
      <c r="Z530" t="s">
        <v>1384</v>
      </c>
      <c r="AB530" s="1">
        <f t="shared" si="56"/>
        <v>0.97667099999999996</v>
      </c>
      <c r="AD530">
        <f>IF(W530&lt;0.99,LARGE((N530:R530,U530,V530),2),"0")</f>
        <v>1.6299999999999999E-2</v>
      </c>
      <c r="AE530" t="str">
        <f t="shared" si="57"/>
        <v xml:space="preserve">trace admixed with </v>
      </c>
      <c r="AH530" t="str">
        <f t="shared" si="53"/>
        <v xml:space="preserve">Based on ADMIXTURE results of 78,187 SNPs, trace admixed with </v>
      </c>
    </row>
    <row r="531" spans="1:34" x14ac:dyDescent="0.4">
      <c r="A531">
        <v>656</v>
      </c>
      <c r="B531" t="s">
        <v>1304</v>
      </c>
      <c r="C531" t="s">
        <v>21</v>
      </c>
      <c r="D531" t="s">
        <v>21</v>
      </c>
      <c r="E531" t="s">
        <v>21</v>
      </c>
      <c r="F531" t="s">
        <v>22</v>
      </c>
      <c r="G531" t="s">
        <v>21</v>
      </c>
      <c r="H531" t="s">
        <v>21</v>
      </c>
      <c r="I531" t="s">
        <v>21</v>
      </c>
      <c r="J531">
        <v>1</v>
      </c>
      <c r="K531">
        <v>0</v>
      </c>
      <c r="L531" t="s">
        <v>23</v>
      </c>
      <c r="M531" t="str">
        <f t="shared" si="54"/>
        <v>&gt;0.74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0.42309999999999998</v>
      </c>
      <c r="T531">
        <v>0.57679999999999998</v>
      </c>
      <c r="U531">
        <v>0</v>
      </c>
      <c r="V531">
        <v>0.99994000000000005</v>
      </c>
      <c r="W531" s="1">
        <f t="shared" si="55"/>
        <v>0.99994000000000005</v>
      </c>
      <c r="X531" t="s">
        <v>1305</v>
      </c>
      <c r="Y531" t="str">
        <f>VLOOKUP(X531,Sheet1!A:B,2,FALSE)</f>
        <v>Quercus macrocarpa Michx.</v>
      </c>
      <c r="Z531" t="s">
        <v>1384</v>
      </c>
      <c r="AB531" s="1">
        <f t="shared" si="56"/>
        <v>0.99994000000000005</v>
      </c>
      <c r="AD531" t="str">
        <f>IF(W531&lt;0.99,LARGE((N531:R531,U531,V531),2),"0")</f>
        <v>0</v>
      </c>
      <c r="AE531" t="str">
        <f t="shared" si="57"/>
        <v/>
      </c>
      <c r="AH531" t="str">
        <f t="shared" si="53"/>
        <v xml:space="preserve">Based on ADMIXTURE results of 78,187 SNPs, </v>
      </c>
    </row>
    <row r="532" spans="1:34" x14ac:dyDescent="0.4">
      <c r="A532">
        <v>657</v>
      </c>
      <c r="B532" t="s">
        <v>1306</v>
      </c>
      <c r="C532" t="s">
        <v>21</v>
      </c>
      <c r="D532" t="s">
        <v>21</v>
      </c>
      <c r="E532" t="s">
        <v>21</v>
      </c>
      <c r="F532" t="s">
        <v>22</v>
      </c>
      <c r="G532" t="s">
        <v>21</v>
      </c>
      <c r="H532" t="s">
        <v>21</v>
      </c>
      <c r="I532" t="s">
        <v>21</v>
      </c>
      <c r="J532">
        <v>1</v>
      </c>
      <c r="K532">
        <v>0</v>
      </c>
      <c r="L532" t="s">
        <v>23</v>
      </c>
      <c r="M532" t="str">
        <f t="shared" si="54"/>
        <v>&gt;0.74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0.2777</v>
      </c>
      <c r="T532">
        <v>0.72230000000000005</v>
      </c>
      <c r="U532">
        <v>0</v>
      </c>
      <c r="V532">
        <v>0.99994000000000005</v>
      </c>
      <c r="W532" s="1">
        <f t="shared" si="55"/>
        <v>0.99994000000000005</v>
      </c>
      <c r="X532" t="s">
        <v>1307</v>
      </c>
      <c r="Y532" t="str">
        <f>VLOOKUP(X532,Sheet1!A:B,2,FALSE)</f>
        <v>Quercus macrocarpa Michx.</v>
      </c>
      <c r="Z532" t="s">
        <v>1384</v>
      </c>
      <c r="AB532" s="1">
        <f t="shared" si="56"/>
        <v>0.99994000000000005</v>
      </c>
      <c r="AD532" t="str">
        <f>IF(W532&lt;0.99,LARGE((N532:R532,U532,V532),2),"0")</f>
        <v>0</v>
      </c>
      <c r="AE532" t="str">
        <f t="shared" si="57"/>
        <v/>
      </c>
      <c r="AH532" t="str">
        <f t="shared" si="53"/>
        <v xml:space="preserve">Based on ADMIXTURE results of 78,187 SNPs, </v>
      </c>
    </row>
    <row r="533" spans="1:34" x14ac:dyDescent="0.4">
      <c r="A533">
        <v>658</v>
      </c>
      <c r="B533" t="s">
        <v>1308</v>
      </c>
      <c r="C533" t="s">
        <v>21</v>
      </c>
      <c r="D533" t="s">
        <v>21</v>
      </c>
      <c r="E533" t="s">
        <v>21</v>
      </c>
      <c r="F533" t="s">
        <v>22</v>
      </c>
      <c r="G533" t="s">
        <v>21</v>
      </c>
      <c r="H533" t="s">
        <v>21</v>
      </c>
      <c r="I533" t="s">
        <v>21</v>
      </c>
      <c r="J533">
        <v>1</v>
      </c>
      <c r="K533">
        <v>0</v>
      </c>
      <c r="L533" t="s">
        <v>23</v>
      </c>
      <c r="M533" t="str">
        <f t="shared" si="54"/>
        <v>&gt;0.74</v>
      </c>
      <c r="N533">
        <v>0</v>
      </c>
      <c r="O533">
        <v>0</v>
      </c>
      <c r="P533" s="1">
        <v>2.9999999999999997E-4</v>
      </c>
      <c r="Q533">
        <v>0</v>
      </c>
      <c r="R533">
        <v>0</v>
      </c>
      <c r="S533">
        <v>0.35220000000000001</v>
      </c>
      <c r="T533">
        <v>0.64749999999999996</v>
      </c>
      <c r="U533">
        <v>0</v>
      </c>
      <c r="V533">
        <v>0.99967200000000001</v>
      </c>
      <c r="W533" s="1">
        <f t="shared" si="55"/>
        <v>0.99967200000000001</v>
      </c>
      <c r="X533" t="s">
        <v>1309</v>
      </c>
      <c r="Y533" t="str">
        <f>VLOOKUP(X533,Sheet1!A:B,2,FALSE)</f>
        <v>Quercus macrocarpa Michx.</v>
      </c>
      <c r="Z533" t="s">
        <v>1384</v>
      </c>
      <c r="AB533" s="1">
        <f t="shared" si="56"/>
        <v>0.99967200000000001</v>
      </c>
      <c r="AD533" t="str">
        <f>IF(W533&lt;0.99,LARGE((N533:R533,U533,V533),2),"0")</f>
        <v>0</v>
      </c>
      <c r="AE533" t="str">
        <f t="shared" si="57"/>
        <v/>
      </c>
      <c r="AH533" t="str">
        <f t="shared" si="53"/>
        <v xml:space="preserve">Based on ADMIXTURE results of 78,187 SNPs, </v>
      </c>
    </row>
    <row r="534" spans="1:34" x14ac:dyDescent="0.4">
      <c r="A534">
        <v>659</v>
      </c>
      <c r="B534" t="s">
        <v>1310</v>
      </c>
      <c r="C534" t="s">
        <v>21</v>
      </c>
      <c r="D534" t="s">
        <v>21</v>
      </c>
      <c r="E534" t="s">
        <v>21</v>
      </c>
      <c r="F534" t="s">
        <v>22</v>
      </c>
      <c r="G534" t="s">
        <v>21</v>
      </c>
      <c r="H534" t="s">
        <v>21</v>
      </c>
      <c r="I534" t="s">
        <v>21</v>
      </c>
      <c r="J534">
        <v>1</v>
      </c>
      <c r="K534">
        <v>0</v>
      </c>
      <c r="L534" t="s">
        <v>23</v>
      </c>
      <c r="M534" t="str">
        <f t="shared" si="54"/>
        <v>&gt;0.74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0.35339999999999999</v>
      </c>
      <c r="T534">
        <v>0.64649999999999996</v>
      </c>
      <c r="U534">
        <v>0</v>
      </c>
      <c r="V534">
        <v>0.99994000000000005</v>
      </c>
      <c r="W534" s="1">
        <f t="shared" si="55"/>
        <v>0.99994000000000005</v>
      </c>
      <c r="X534" t="s">
        <v>1311</v>
      </c>
      <c r="Y534" t="str">
        <f>VLOOKUP(X534,Sheet1!A:B,2,FALSE)</f>
        <v>Quercus macrocarpa Michx.</v>
      </c>
      <c r="Z534" t="s">
        <v>1384</v>
      </c>
      <c r="AB534" s="1">
        <f t="shared" si="56"/>
        <v>0.99994000000000005</v>
      </c>
      <c r="AD534" t="str">
        <f>IF(W534&lt;0.99,LARGE((N534:R534,U534,V534),2),"0")</f>
        <v>0</v>
      </c>
      <c r="AE534" t="str">
        <f t="shared" si="57"/>
        <v/>
      </c>
      <c r="AH534" t="str">
        <f t="shared" si="53"/>
        <v xml:space="preserve">Based on ADMIXTURE results of 78,187 SNPs, </v>
      </c>
    </row>
    <row r="535" spans="1:34" x14ac:dyDescent="0.4">
      <c r="A535">
        <v>660</v>
      </c>
      <c r="B535" t="s">
        <v>1312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22</v>
      </c>
      <c r="J535">
        <v>1</v>
      </c>
      <c r="K535">
        <v>0</v>
      </c>
      <c r="L535" t="s">
        <v>23</v>
      </c>
      <c r="M535" t="str">
        <f t="shared" si="54"/>
        <v>&gt;0.74</v>
      </c>
      <c r="N535">
        <v>0.98160000000000003</v>
      </c>
      <c r="O535">
        <v>0</v>
      </c>
      <c r="P535">
        <v>4.0000000000000001E-3</v>
      </c>
      <c r="Q535">
        <v>0</v>
      </c>
      <c r="R535">
        <v>0</v>
      </c>
      <c r="S535">
        <v>0</v>
      </c>
      <c r="T535">
        <v>1.44E-2</v>
      </c>
      <c r="U535">
        <v>0</v>
      </c>
      <c r="V535">
        <v>1.4414E-2</v>
      </c>
      <c r="W535" s="1">
        <f t="shared" si="55"/>
        <v>0.98160000000000003</v>
      </c>
      <c r="X535" t="s">
        <v>1313</v>
      </c>
      <c r="Y535" t="str">
        <f>VLOOKUP(X535,Sheet1!A:B,2,FALSE)</f>
        <v>Quercus stellata Wangenh.</v>
      </c>
      <c r="Z535" t="s">
        <v>1385</v>
      </c>
      <c r="AB535" s="1">
        <f t="shared" si="56"/>
        <v>0.98160000000000003</v>
      </c>
      <c r="AD535">
        <f>IF(W535&lt;0.99,LARGE((N535:R535,U535,V535),2),"0")</f>
        <v>1.4414E-2</v>
      </c>
      <c r="AE535" t="str">
        <f t="shared" si="57"/>
        <v xml:space="preserve">trace admixed with </v>
      </c>
      <c r="AH535" t="str">
        <f t="shared" si="53"/>
        <v xml:space="preserve">Based on ADMIXTURE results of 78,187 SNPs, trace admixed with </v>
      </c>
    </row>
    <row r="536" spans="1:34" x14ac:dyDescent="0.4">
      <c r="A536">
        <v>661</v>
      </c>
      <c r="B536" t="s">
        <v>1314</v>
      </c>
      <c r="C536" t="s">
        <v>21</v>
      </c>
      <c r="D536" t="s">
        <v>21</v>
      </c>
      <c r="E536" t="s">
        <v>21</v>
      </c>
      <c r="F536" t="s">
        <v>22</v>
      </c>
      <c r="G536" t="s">
        <v>21</v>
      </c>
      <c r="H536" t="s">
        <v>21</v>
      </c>
      <c r="I536" t="s">
        <v>21</v>
      </c>
      <c r="J536">
        <v>1</v>
      </c>
      <c r="K536">
        <v>0</v>
      </c>
      <c r="L536" t="s">
        <v>23</v>
      </c>
      <c r="M536" t="str">
        <f t="shared" si="54"/>
        <v>&gt;0.74</v>
      </c>
      <c r="N536">
        <v>0</v>
      </c>
      <c r="O536">
        <v>5.3E-3</v>
      </c>
      <c r="P536">
        <v>2.5000000000000001E-3</v>
      </c>
      <c r="Q536">
        <v>7.0000000000000001E-3</v>
      </c>
      <c r="R536">
        <v>0</v>
      </c>
      <c r="S536">
        <v>0.4461</v>
      </c>
      <c r="T536">
        <v>0.53910000000000002</v>
      </c>
      <c r="U536">
        <v>0</v>
      </c>
      <c r="V536">
        <v>0.98516800000000004</v>
      </c>
      <c r="W536" s="1">
        <f t="shared" si="55"/>
        <v>0.98516800000000004</v>
      </c>
      <c r="X536" t="s">
        <v>1315</v>
      </c>
      <c r="Y536" t="str">
        <f>VLOOKUP(X536,Sheet1!A:B,2,FALSE)</f>
        <v>Quercus macrocarpa Michx.</v>
      </c>
      <c r="Z536" t="s">
        <v>1384</v>
      </c>
      <c r="AB536" s="1">
        <f t="shared" si="56"/>
        <v>0.98516800000000004</v>
      </c>
      <c r="AD536">
        <f>IF(W536&lt;0.99,LARGE((N536:R536,U536,V536),2),"0")</f>
        <v>7.0000000000000001E-3</v>
      </c>
      <c r="AE536" t="str">
        <f t="shared" si="57"/>
        <v/>
      </c>
      <c r="AH536" t="str">
        <f t="shared" si="53"/>
        <v xml:space="preserve">Based on ADMIXTURE results of 78,187 SNPs, </v>
      </c>
    </row>
    <row r="537" spans="1:34" x14ac:dyDescent="0.4">
      <c r="A537">
        <v>662</v>
      </c>
      <c r="B537" t="s">
        <v>1316</v>
      </c>
      <c r="C537" t="s">
        <v>21</v>
      </c>
      <c r="D537" t="s">
        <v>21</v>
      </c>
      <c r="E537" t="s">
        <v>21</v>
      </c>
      <c r="F537" t="s">
        <v>22</v>
      </c>
      <c r="G537" t="s">
        <v>21</v>
      </c>
      <c r="H537" t="s">
        <v>21</v>
      </c>
      <c r="I537" t="s">
        <v>21</v>
      </c>
      <c r="J537">
        <v>1</v>
      </c>
      <c r="K537">
        <v>0</v>
      </c>
      <c r="L537" t="s">
        <v>23</v>
      </c>
      <c r="M537" t="str">
        <f t="shared" si="54"/>
        <v>&gt;0.74</v>
      </c>
      <c r="N537">
        <v>0</v>
      </c>
      <c r="O537">
        <v>0</v>
      </c>
      <c r="P537">
        <v>0</v>
      </c>
      <c r="Q537">
        <v>7.4000000000000003E-3</v>
      </c>
      <c r="R537">
        <v>0</v>
      </c>
      <c r="S537">
        <v>0.30880000000000002</v>
      </c>
      <c r="T537">
        <v>0.68379999999999996</v>
      </c>
      <c r="U537">
        <v>0</v>
      </c>
      <c r="V537">
        <v>0.99251699999999998</v>
      </c>
      <c r="W537" s="1">
        <f t="shared" si="55"/>
        <v>0.99251699999999998</v>
      </c>
      <c r="X537" t="s">
        <v>1317</v>
      </c>
      <c r="Y537" t="str">
        <f>VLOOKUP(X537,Sheet1!A:B,2,FALSE)</f>
        <v>Quercus macrocarpa Michx.</v>
      </c>
      <c r="Z537" t="s">
        <v>1384</v>
      </c>
      <c r="AB537" s="1">
        <f t="shared" si="56"/>
        <v>0.99251699999999998</v>
      </c>
      <c r="AD537" t="str">
        <f>IF(W537&lt;0.99,LARGE((N537:R537,U537,V537),2),"0")</f>
        <v>0</v>
      </c>
      <c r="AE537" t="str">
        <f t="shared" si="57"/>
        <v/>
      </c>
      <c r="AH537" t="str">
        <f t="shared" si="53"/>
        <v xml:space="preserve">Based on ADMIXTURE results of 78,187 SNPs, </v>
      </c>
    </row>
    <row r="538" spans="1:34" x14ac:dyDescent="0.4">
      <c r="A538">
        <v>663</v>
      </c>
      <c r="B538" t="s">
        <v>1318</v>
      </c>
      <c r="C538" t="s">
        <v>21</v>
      </c>
      <c r="D538" t="s">
        <v>21</v>
      </c>
      <c r="E538" t="s">
        <v>21</v>
      </c>
      <c r="F538" t="s">
        <v>22</v>
      </c>
      <c r="G538" t="s">
        <v>21</v>
      </c>
      <c r="H538" t="s">
        <v>21</v>
      </c>
      <c r="I538" t="s">
        <v>21</v>
      </c>
      <c r="J538">
        <v>1</v>
      </c>
      <c r="K538">
        <v>0</v>
      </c>
      <c r="L538" t="s">
        <v>23</v>
      </c>
      <c r="M538" t="str">
        <f t="shared" si="54"/>
        <v>&gt;0.74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0.33360000000000001</v>
      </c>
      <c r="T538">
        <v>0.66639999999999999</v>
      </c>
      <c r="U538">
        <v>0</v>
      </c>
      <c r="V538">
        <v>0.99994000000000005</v>
      </c>
      <c r="W538" s="1">
        <f t="shared" si="55"/>
        <v>0.99994000000000005</v>
      </c>
      <c r="X538" t="s">
        <v>1319</v>
      </c>
      <c r="Y538" t="str">
        <f>VLOOKUP(X538,Sheet1!A:B,2,FALSE)</f>
        <v>Quercus macrocarpa Michx.</v>
      </c>
      <c r="Z538" t="s">
        <v>1384</v>
      </c>
      <c r="AB538" s="1">
        <f t="shared" si="56"/>
        <v>0.99994000000000005</v>
      </c>
      <c r="AD538" t="str">
        <f>IF(W538&lt;0.99,LARGE((N538:R538,U538,V538),2),"0")</f>
        <v>0</v>
      </c>
      <c r="AE538" t="str">
        <f t="shared" si="57"/>
        <v/>
      </c>
      <c r="AH538" t="str">
        <f t="shared" si="53"/>
        <v xml:space="preserve">Based on ADMIXTURE results of 78,187 SNPs, </v>
      </c>
    </row>
    <row r="539" spans="1:34" x14ac:dyDescent="0.4">
      <c r="A539">
        <v>664</v>
      </c>
      <c r="B539" t="s">
        <v>1320</v>
      </c>
      <c r="C539" t="s">
        <v>21</v>
      </c>
      <c r="D539" t="s">
        <v>21</v>
      </c>
      <c r="E539" t="s">
        <v>21</v>
      </c>
      <c r="F539" t="s">
        <v>22</v>
      </c>
      <c r="G539" t="s">
        <v>21</v>
      </c>
      <c r="H539" t="s">
        <v>21</v>
      </c>
      <c r="I539" t="s">
        <v>21</v>
      </c>
      <c r="J539">
        <v>1</v>
      </c>
      <c r="K539">
        <v>0</v>
      </c>
      <c r="L539" t="s">
        <v>23</v>
      </c>
      <c r="M539" t="str">
        <f t="shared" si="54"/>
        <v>&gt;0.74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0.46010000000000001</v>
      </c>
      <c r="T539">
        <v>0.53979999999999995</v>
      </c>
      <c r="U539">
        <v>0</v>
      </c>
      <c r="V539">
        <v>0.99994000000000005</v>
      </c>
      <c r="W539" s="1">
        <f t="shared" si="55"/>
        <v>0.99994000000000005</v>
      </c>
      <c r="X539" t="s">
        <v>1321</v>
      </c>
      <c r="Y539" t="str">
        <f>VLOOKUP(X539,Sheet1!A:B,2,FALSE)</f>
        <v>Quercus macrocarpa Michx.</v>
      </c>
      <c r="Z539" t="s">
        <v>1384</v>
      </c>
      <c r="AB539" s="1">
        <f t="shared" si="56"/>
        <v>0.99994000000000005</v>
      </c>
      <c r="AD539" t="str">
        <f>IF(W539&lt;0.99,LARGE((N539:R539,U539,V539),2),"0")</f>
        <v>0</v>
      </c>
      <c r="AE539" t="str">
        <f t="shared" si="57"/>
        <v/>
      </c>
      <c r="AH539" t="str">
        <f t="shared" si="53"/>
        <v xml:space="preserve">Based on ADMIXTURE results of 78,187 SNPs, </v>
      </c>
    </row>
    <row r="540" spans="1:34" x14ac:dyDescent="0.4">
      <c r="A540">
        <v>665</v>
      </c>
      <c r="B540" t="s">
        <v>1322</v>
      </c>
      <c r="C540" t="s">
        <v>21</v>
      </c>
      <c r="D540" t="s">
        <v>21</v>
      </c>
      <c r="E540" t="s">
        <v>21</v>
      </c>
      <c r="F540" t="s">
        <v>22</v>
      </c>
      <c r="G540" t="s">
        <v>21</v>
      </c>
      <c r="H540" t="s">
        <v>21</v>
      </c>
      <c r="I540" t="s">
        <v>21</v>
      </c>
      <c r="J540">
        <v>1</v>
      </c>
      <c r="K540">
        <v>0</v>
      </c>
      <c r="L540" t="s">
        <v>23</v>
      </c>
      <c r="M540" t="str">
        <f t="shared" si="54"/>
        <v>&gt;0.74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0.27739999999999998</v>
      </c>
      <c r="T540">
        <v>0.72250000000000003</v>
      </c>
      <c r="U540">
        <v>0</v>
      </c>
      <c r="V540">
        <v>0.99994000000000005</v>
      </c>
      <c r="W540" s="1">
        <f t="shared" si="55"/>
        <v>0.99994000000000005</v>
      </c>
      <c r="X540" t="s">
        <v>1323</v>
      </c>
      <c r="Y540" t="str">
        <f>VLOOKUP(X540,Sheet1!A:B,2,FALSE)</f>
        <v>Quercus macrocarpa Michx.</v>
      </c>
      <c r="Z540" t="s">
        <v>1384</v>
      </c>
      <c r="AB540" s="1">
        <f t="shared" si="56"/>
        <v>0.99994000000000005</v>
      </c>
      <c r="AD540" t="str">
        <f>IF(W540&lt;0.99,LARGE((N540:R540,U540,V540),2),"0")</f>
        <v>0</v>
      </c>
      <c r="AE540" t="str">
        <f t="shared" si="57"/>
        <v/>
      </c>
      <c r="AH540" t="str">
        <f t="shared" si="53"/>
        <v xml:space="preserve">Based on ADMIXTURE results of 78,187 SNPs, </v>
      </c>
    </row>
    <row r="541" spans="1:34" x14ac:dyDescent="0.4">
      <c r="A541">
        <v>666</v>
      </c>
      <c r="B541" t="s">
        <v>1324</v>
      </c>
      <c r="C541" t="s">
        <v>21</v>
      </c>
      <c r="D541" t="s">
        <v>21</v>
      </c>
      <c r="E541" t="s">
        <v>21</v>
      </c>
      <c r="F541" t="s">
        <v>22</v>
      </c>
      <c r="G541" t="s">
        <v>21</v>
      </c>
      <c r="H541" t="s">
        <v>21</v>
      </c>
      <c r="I541" t="s">
        <v>21</v>
      </c>
      <c r="J541">
        <v>1</v>
      </c>
      <c r="K541">
        <v>0</v>
      </c>
      <c r="L541" t="s">
        <v>23</v>
      </c>
      <c r="M541" t="str">
        <f t="shared" si="54"/>
        <v>&gt;0.74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0.30980000000000002</v>
      </c>
      <c r="T541">
        <v>0.69020000000000004</v>
      </c>
      <c r="U541">
        <v>0</v>
      </c>
      <c r="V541">
        <v>0.99994000000000005</v>
      </c>
      <c r="W541" s="1">
        <f t="shared" si="55"/>
        <v>0.99994000000000005</v>
      </c>
      <c r="X541" t="s">
        <v>1325</v>
      </c>
      <c r="Y541" t="str">
        <f>VLOOKUP(X541,Sheet1!A:B,2,FALSE)</f>
        <v>Quercus macrocarpa Michx.</v>
      </c>
      <c r="Z541" t="s">
        <v>1384</v>
      </c>
      <c r="AB541" s="1">
        <f t="shared" si="56"/>
        <v>0.99994000000000005</v>
      </c>
      <c r="AD541" t="str">
        <f>IF(W541&lt;0.99,LARGE((N541:R541,U541,V541),2),"0")</f>
        <v>0</v>
      </c>
      <c r="AE541" t="str">
        <f t="shared" si="57"/>
        <v/>
      </c>
      <c r="AH541" t="str">
        <f t="shared" si="53"/>
        <v xml:space="preserve">Based on ADMIXTURE results of 78,187 SNPs, </v>
      </c>
    </row>
    <row r="542" spans="1:34" x14ac:dyDescent="0.4">
      <c r="A542">
        <v>667</v>
      </c>
      <c r="B542" t="s">
        <v>1326</v>
      </c>
      <c r="C542" t="s">
        <v>21</v>
      </c>
      <c r="D542" t="s">
        <v>21</v>
      </c>
      <c r="E542" t="s">
        <v>21</v>
      </c>
      <c r="F542" t="s">
        <v>22</v>
      </c>
      <c r="G542" t="s">
        <v>21</v>
      </c>
      <c r="H542" t="s">
        <v>21</v>
      </c>
      <c r="I542" t="s">
        <v>21</v>
      </c>
      <c r="J542">
        <v>1</v>
      </c>
      <c r="K542">
        <v>0</v>
      </c>
      <c r="L542" t="s">
        <v>23</v>
      </c>
      <c r="M542" t="str">
        <f t="shared" si="54"/>
        <v>&gt;0.74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0.33139999999999997</v>
      </c>
      <c r="T542">
        <v>0.66859999999999997</v>
      </c>
      <c r="U542">
        <v>0</v>
      </c>
      <c r="V542">
        <v>0.99994000000000005</v>
      </c>
      <c r="W542" s="1">
        <f t="shared" si="55"/>
        <v>0.99994000000000005</v>
      </c>
      <c r="X542" t="s">
        <v>1327</v>
      </c>
      <c r="Y542" t="str">
        <f>VLOOKUP(X542,Sheet1!A:B,2,FALSE)</f>
        <v>Quercus macrocarpa Michx.</v>
      </c>
      <c r="Z542" t="s">
        <v>1384</v>
      </c>
      <c r="AB542" s="1">
        <f t="shared" si="56"/>
        <v>0.99994000000000005</v>
      </c>
      <c r="AD542" t="str">
        <f>IF(W542&lt;0.99,LARGE((N542:R542,U542,V542),2),"0")</f>
        <v>0</v>
      </c>
      <c r="AE542" t="str">
        <f t="shared" si="57"/>
        <v/>
      </c>
      <c r="AH542" t="str">
        <f t="shared" si="53"/>
        <v xml:space="preserve">Based on ADMIXTURE results of 78,187 SNPs, </v>
      </c>
    </row>
    <row r="543" spans="1:34" x14ac:dyDescent="0.4">
      <c r="A543">
        <v>668</v>
      </c>
      <c r="B543" t="s">
        <v>1328</v>
      </c>
      <c r="C543" t="s">
        <v>21</v>
      </c>
      <c r="D543" t="s">
        <v>21</v>
      </c>
      <c r="E543" t="s">
        <v>21</v>
      </c>
      <c r="F543" t="s">
        <v>22</v>
      </c>
      <c r="G543" t="s">
        <v>21</v>
      </c>
      <c r="H543" t="s">
        <v>21</v>
      </c>
      <c r="I543" t="s">
        <v>21</v>
      </c>
      <c r="J543">
        <v>1</v>
      </c>
      <c r="K543">
        <v>0</v>
      </c>
      <c r="L543" t="s">
        <v>23</v>
      </c>
      <c r="M543" t="str">
        <f t="shared" si="54"/>
        <v>&gt;0.74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0.31850000000000001</v>
      </c>
      <c r="T543">
        <v>0.68149999999999999</v>
      </c>
      <c r="U543">
        <v>0</v>
      </c>
      <c r="V543">
        <v>0.99994000000000005</v>
      </c>
      <c r="W543" s="1">
        <f t="shared" si="55"/>
        <v>0.99994000000000005</v>
      </c>
      <c r="X543" t="s">
        <v>1329</v>
      </c>
      <c r="Y543" t="str">
        <f>VLOOKUP(X543,Sheet1!A:B,2,FALSE)</f>
        <v>Quercus macrocarpa Michx.</v>
      </c>
      <c r="Z543" t="s">
        <v>1384</v>
      </c>
      <c r="AB543" s="1">
        <f t="shared" si="56"/>
        <v>0.99994000000000005</v>
      </c>
      <c r="AD543" t="str">
        <f>IF(W543&lt;0.99,LARGE((N543:R543,U543,V543),2),"0")</f>
        <v>0</v>
      </c>
      <c r="AE543" t="str">
        <f t="shared" si="57"/>
        <v/>
      </c>
      <c r="AH543" t="str">
        <f t="shared" si="53"/>
        <v xml:space="preserve">Based on ADMIXTURE results of 78,187 SNPs, </v>
      </c>
    </row>
    <row r="544" spans="1:34" x14ac:dyDescent="0.4">
      <c r="A544">
        <v>669</v>
      </c>
      <c r="B544" t="s">
        <v>1330</v>
      </c>
      <c r="C544" t="s">
        <v>21</v>
      </c>
      <c r="D544" t="s">
        <v>21</v>
      </c>
      <c r="E544" t="s">
        <v>21</v>
      </c>
      <c r="F544" t="s">
        <v>22</v>
      </c>
      <c r="G544" t="s">
        <v>21</v>
      </c>
      <c r="H544" t="s">
        <v>21</v>
      </c>
      <c r="I544" t="s">
        <v>21</v>
      </c>
      <c r="J544">
        <v>1</v>
      </c>
      <c r="K544">
        <v>0</v>
      </c>
      <c r="L544" t="s">
        <v>23</v>
      </c>
      <c r="M544" t="str">
        <f t="shared" si="54"/>
        <v>&gt;0.74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0.3175</v>
      </c>
      <c r="T544">
        <v>0.6825</v>
      </c>
      <c r="U544">
        <v>0</v>
      </c>
      <c r="V544">
        <v>0.99994000000000005</v>
      </c>
      <c r="W544" s="1">
        <f t="shared" si="55"/>
        <v>0.99994000000000005</v>
      </c>
      <c r="X544" t="s">
        <v>1331</v>
      </c>
      <c r="Y544" t="str">
        <f>VLOOKUP(X544,Sheet1!A:B,2,FALSE)</f>
        <v>Quercus macrocarpa Michx.</v>
      </c>
      <c r="Z544" t="s">
        <v>1384</v>
      </c>
      <c r="AB544" s="1">
        <f t="shared" si="56"/>
        <v>0.99994000000000005</v>
      </c>
      <c r="AD544" t="str">
        <f>IF(W544&lt;0.99,LARGE((N544:R544,U544,V544),2),"0")</f>
        <v>0</v>
      </c>
      <c r="AE544" t="str">
        <f t="shared" si="57"/>
        <v/>
      </c>
      <c r="AH544" t="str">
        <f t="shared" si="53"/>
        <v xml:space="preserve">Based on ADMIXTURE results of 78,187 SNPs, </v>
      </c>
    </row>
    <row r="545" spans="1:34" x14ac:dyDescent="0.4">
      <c r="A545">
        <v>670</v>
      </c>
      <c r="B545" t="s">
        <v>1332</v>
      </c>
      <c r="C545" t="s">
        <v>21</v>
      </c>
      <c r="D545" t="s">
        <v>21</v>
      </c>
      <c r="E545" t="s">
        <v>21</v>
      </c>
      <c r="F545" t="s">
        <v>22</v>
      </c>
      <c r="G545" t="s">
        <v>21</v>
      </c>
      <c r="H545" t="s">
        <v>21</v>
      </c>
      <c r="I545" t="s">
        <v>21</v>
      </c>
      <c r="J545">
        <v>1</v>
      </c>
      <c r="K545">
        <v>0</v>
      </c>
      <c r="L545" t="s">
        <v>23</v>
      </c>
      <c r="M545" t="str">
        <f t="shared" si="54"/>
        <v>&gt;0.74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0.40039999999999998</v>
      </c>
      <c r="T545">
        <v>0.59240000000000004</v>
      </c>
      <c r="U545">
        <v>7.1999999999999998E-3</v>
      </c>
      <c r="V545">
        <v>0.99275400000000003</v>
      </c>
      <c r="W545" s="1">
        <f t="shared" si="55"/>
        <v>0.99275400000000003</v>
      </c>
      <c r="X545" t="s">
        <v>1333</v>
      </c>
      <c r="Y545" t="str">
        <f>VLOOKUP(X545,Sheet1!A:B,2,FALSE)</f>
        <v>Quercus macrocarpa Michx.</v>
      </c>
      <c r="Z545" t="s">
        <v>1384</v>
      </c>
      <c r="AB545" s="1">
        <f t="shared" si="56"/>
        <v>0.99275400000000003</v>
      </c>
      <c r="AD545" t="str">
        <f>IF(W545&lt;0.99,LARGE((N545:R545,U545,V545),2),"0")</f>
        <v>0</v>
      </c>
      <c r="AE545" t="str">
        <f t="shared" si="57"/>
        <v/>
      </c>
      <c r="AH545" t="str">
        <f t="shared" si="53"/>
        <v xml:space="preserve">Based on ADMIXTURE results of 78,187 SNPs, </v>
      </c>
    </row>
    <row r="546" spans="1:34" x14ac:dyDescent="0.4">
      <c r="A546">
        <v>671</v>
      </c>
      <c r="B546" t="s">
        <v>1334</v>
      </c>
      <c r="C546" t="s">
        <v>21</v>
      </c>
      <c r="D546" t="s">
        <v>21</v>
      </c>
      <c r="E546" t="s">
        <v>21</v>
      </c>
      <c r="F546" t="s">
        <v>22</v>
      </c>
      <c r="G546" t="s">
        <v>21</v>
      </c>
      <c r="H546" t="s">
        <v>21</v>
      </c>
      <c r="I546" t="s">
        <v>21</v>
      </c>
      <c r="J546">
        <v>1</v>
      </c>
      <c r="K546">
        <v>0</v>
      </c>
      <c r="L546" t="s">
        <v>23</v>
      </c>
      <c r="M546" t="str">
        <f t="shared" si="54"/>
        <v>&gt;0.74</v>
      </c>
      <c r="N546">
        <v>0</v>
      </c>
      <c r="O546">
        <v>0</v>
      </c>
      <c r="P546">
        <v>9.5999999999999992E-3</v>
      </c>
      <c r="Q546">
        <v>0</v>
      </c>
      <c r="R546">
        <v>0</v>
      </c>
      <c r="S546">
        <v>0.30330000000000001</v>
      </c>
      <c r="T546">
        <v>0.68710000000000004</v>
      </c>
      <c r="U546">
        <v>0</v>
      </c>
      <c r="V546">
        <v>0.99038800000000005</v>
      </c>
      <c r="W546" s="1">
        <f t="shared" si="55"/>
        <v>0.99038800000000005</v>
      </c>
      <c r="X546" t="s">
        <v>1335</v>
      </c>
      <c r="Y546" t="str">
        <f>VLOOKUP(X546,Sheet1!A:B,2,FALSE)</f>
        <v>Quercus macrocarpa Michx.</v>
      </c>
      <c r="Z546" t="s">
        <v>1384</v>
      </c>
      <c r="AB546" s="1">
        <f t="shared" si="56"/>
        <v>0.99038800000000005</v>
      </c>
      <c r="AD546" t="str">
        <f>IF(W546&lt;0.99,LARGE((N546:R546,U546,V546),2),"0")</f>
        <v>0</v>
      </c>
      <c r="AE546" t="str">
        <f t="shared" si="57"/>
        <v/>
      </c>
      <c r="AH546" t="str">
        <f t="shared" si="53"/>
        <v xml:space="preserve">Based on ADMIXTURE results of 78,187 SNPs, </v>
      </c>
    </row>
    <row r="547" spans="1:34" x14ac:dyDescent="0.4">
      <c r="A547">
        <v>672</v>
      </c>
      <c r="B547" t="s">
        <v>1336</v>
      </c>
      <c r="C547" t="s">
        <v>21</v>
      </c>
      <c r="D547" t="s">
        <v>21</v>
      </c>
      <c r="E547" t="s">
        <v>21</v>
      </c>
      <c r="F547" t="s">
        <v>22</v>
      </c>
      <c r="G547" t="s">
        <v>21</v>
      </c>
      <c r="H547" t="s">
        <v>21</v>
      </c>
      <c r="I547" t="s">
        <v>21</v>
      </c>
      <c r="J547">
        <v>1</v>
      </c>
      <c r="K547">
        <v>0</v>
      </c>
      <c r="L547" t="s">
        <v>23</v>
      </c>
      <c r="M547" t="str">
        <f t="shared" si="54"/>
        <v>&gt;0.74</v>
      </c>
      <c r="N547">
        <v>0</v>
      </c>
      <c r="O547">
        <v>5.4999999999999997E-3</v>
      </c>
      <c r="P547">
        <v>0</v>
      </c>
      <c r="Q547">
        <v>0</v>
      </c>
      <c r="R547">
        <v>0</v>
      </c>
      <c r="S547">
        <v>0.25659999999999999</v>
      </c>
      <c r="T547">
        <v>0.73780000000000001</v>
      </c>
      <c r="U547">
        <v>0</v>
      </c>
      <c r="V547">
        <v>0.994417</v>
      </c>
      <c r="W547" s="1">
        <f t="shared" si="55"/>
        <v>0.994417</v>
      </c>
      <c r="X547" t="s">
        <v>1337</v>
      </c>
      <c r="Y547" t="str">
        <f>VLOOKUP(X547,Sheet1!A:B,2,FALSE)</f>
        <v>Quercus macrocarpa Michx.</v>
      </c>
      <c r="Z547" t="s">
        <v>1384</v>
      </c>
      <c r="AB547" s="1">
        <f t="shared" si="56"/>
        <v>0.994417</v>
      </c>
      <c r="AD547" t="str">
        <f>IF(W547&lt;0.99,LARGE((N547:R547,U547,V547),2),"0")</f>
        <v>0</v>
      </c>
      <c r="AE547" t="str">
        <f t="shared" si="57"/>
        <v/>
      </c>
      <c r="AH547" t="str">
        <f t="shared" si="53"/>
        <v xml:space="preserve">Based on ADMIXTURE results of 78,187 SNPs, </v>
      </c>
    </row>
    <row r="548" spans="1:34" x14ac:dyDescent="0.4">
      <c r="A548">
        <v>673</v>
      </c>
      <c r="B548" t="s">
        <v>1338</v>
      </c>
      <c r="C548" t="s">
        <v>21</v>
      </c>
      <c r="D548" t="s">
        <v>21</v>
      </c>
      <c r="E548" t="s">
        <v>21</v>
      </c>
      <c r="F548" t="s">
        <v>22</v>
      </c>
      <c r="G548" t="s">
        <v>21</v>
      </c>
      <c r="H548" t="s">
        <v>21</v>
      </c>
      <c r="I548" t="s">
        <v>21</v>
      </c>
      <c r="J548">
        <v>1</v>
      </c>
      <c r="K548">
        <v>0</v>
      </c>
      <c r="L548" t="s">
        <v>23</v>
      </c>
      <c r="M548" t="str">
        <f t="shared" si="54"/>
        <v>&gt;0.74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0.4355</v>
      </c>
      <c r="T548">
        <v>0.5645</v>
      </c>
      <c r="U548">
        <v>0</v>
      </c>
      <c r="V548">
        <v>0.99994000000000005</v>
      </c>
      <c r="W548" s="1">
        <f t="shared" si="55"/>
        <v>0.99994000000000005</v>
      </c>
      <c r="X548" t="s">
        <v>1339</v>
      </c>
      <c r="Y548" t="str">
        <f>VLOOKUP(X548,Sheet1!A:B,2,FALSE)</f>
        <v>Quercus macrocarpa Michx.</v>
      </c>
      <c r="Z548" t="s">
        <v>1384</v>
      </c>
      <c r="AB548" s="1">
        <f t="shared" si="56"/>
        <v>0.99994000000000005</v>
      </c>
      <c r="AD548" t="str">
        <f>IF(W548&lt;0.99,LARGE((N548:R548,U548,V548),2),"0")</f>
        <v>0</v>
      </c>
      <c r="AE548" t="str">
        <f t="shared" si="57"/>
        <v/>
      </c>
      <c r="AH548" t="str">
        <f t="shared" si="53"/>
        <v xml:space="preserve">Based on ADMIXTURE results of 78,187 SNPs, </v>
      </c>
    </row>
    <row r="549" spans="1:34" x14ac:dyDescent="0.4">
      <c r="A549">
        <v>674</v>
      </c>
      <c r="B549" t="s">
        <v>1340</v>
      </c>
      <c r="C549" t="s">
        <v>21</v>
      </c>
      <c r="D549" t="s">
        <v>21</v>
      </c>
      <c r="E549" t="s">
        <v>21</v>
      </c>
      <c r="F549" t="s">
        <v>22</v>
      </c>
      <c r="G549" t="s">
        <v>21</v>
      </c>
      <c r="H549" t="s">
        <v>21</v>
      </c>
      <c r="I549" t="s">
        <v>21</v>
      </c>
      <c r="J549">
        <v>1</v>
      </c>
      <c r="K549">
        <v>0</v>
      </c>
      <c r="L549" t="s">
        <v>23</v>
      </c>
      <c r="M549" t="str">
        <f t="shared" si="54"/>
        <v>&gt;0.74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0.43880000000000002</v>
      </c>
      <c r="T549">
        <v>0.56110000000000004</v>
      </c>
      <c r="U549">
        <v>0</v>
      </c>
      <c r="V549">
        <v>0.99994000000000005</v>
      </c>
      <c r="W549" s="1">
        <f t="shared" si="55"/>
        <v>0.99994000000000005</v>
      </c>
      <c r="X549" t="s">
        <v>1341</v>
      </c>
      <c r="Y549" t="str">
        <f>VLOOKUP(X549,Sheet1!A:B,2,FALSE)</f>
        <v>Quercus macrocarpa Michx.</v>
      </c>
      <c r="Z549" t="s">
        <v>1384</v>
      </c>
      <c r="AB549" s="1">
        <f t="shared" si="56"/>
        <v>0.99994000000000005</v>
      </c>
      <c r="AD549" t="str">
        <f>IF(W549&lt;0.99,LARGE((N549:R549,U549,V549),2),"0")</f>
        <v>0</v>
      </c>
      <c r="AE549" t="str">
        <f t="shared" si="57"/>
        <v/>
      </c>
      <c r="AH549" t="str">
        <f t="shared" si="53"/>
        <v xml:space="preserve">Based on ADMIXTURE results of 78,187 SNPs, </v>
      </c>
    </row>
    <row r="550" spans="1:34" x14ac:dyDescent="0.4">
      <c r="A550">
        <v>141</v>
      </c>
      <c r="B550" t="s">
        <v>273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22</v>
      </c>
      <c r="I550" t="s">
        <v>21</v>
      </c>
      <c r="J550">
        <v>1</v>
      </c>
      <c r="K550">
        <v>0</v>
      </c>
      <c r="L550" t="s">
        <v>23</v>
      </c>
      <c r="M550" t="str">
        <f t="shared" si="54"/>
        <v>&gt;0.74</v>
      </c>
      <c r="N550">
        <v>0</v>
      </c>
      <c r="O550">
        <v>0.99990000000000001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1">
        <v>2.0000000000000002E-5</v>
      </c>
      <c r="W550" s="1">
        <f t="shared" si="55"/>
        <v>0.99990000000000001</v>
      </c>
      <c r="X550" t="s">
        <v>274</v>
      </c>
      <c r="Y550" t="str">
        <f>VLOOKUP(X550,Sheet1!A:B,2,FALSE)</f>
        <v>Quercus muehlenbergii Engelm.</v>
      </c>
      <c r="Z550" t="s">
        <v>1387</v>
      </c>
      <c r="AB550" s="1">
        <f t="shared" si="56"/>
        <v>0.99990000000000001</v>
      </c>
      <c r="AD550" t="str">
        <f>IF(W550&lt;0.99,LARGE((N550:R550,U550,V550),2),"0")</f>
        <v>0</v>
      </c>
      <c r="AE550" t="str">
        <f t="shared" si="57"/>
        <v/>
      </c>
      <c r="AH550" t="str">
        <f t="shared" si="53"/>
        <v xml:space="preserve">Based on ADMIXTURE results of 78,187 SNPs, </v>
      </c>
    </row>
    <row r="551" spans="1:34" x14ac:dyDescent="0.4">
      <c r="A551">
        <v>142</v>
      </c>
      <c r="B551" t="s">
        <v>275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22</v>
      </c>
      <c r="J551">
        <v>1</v>
      </c>
      <c r="K551">
        <v>0</v>
      </c>
      <c r="L551" t="s">
        <v>23</v>
      </c>
      <c r="M551" t="str">
        <f t="shared" si="54"/>
        <v>&gt;0.74</v>
      </c>
      <c r="N551">
        <v>0.99990000000000001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1">
        <v>2.0000000000000002E-5</v>
      </c>
      <c r="W551" s="1">
        <f t="shared" si="55"/>
        <v>0.99990000000000001</v>
      </c>
      <c r="X551" t="s">
        <v>276</v>
      </c>
      <c r="Y551" t="str">
        <f>VLOOKUP(X551,Sheet1!A:B,2,FALSE)</f>
        <v>Quercus margaretiae Ashe ex Small</v>
      </c>
      <c r="Z551" t="s">
        <v>1409</v>
      </c>
      <c r="AB551" s="1">
        <f t="shared" si="56"/>
        <v>0.99990000000000001</v>
      </c>
      <c r="AD551" t="str">
        <f>IF(W551&lt;0.99,LARGE((N551:R551,U551,V551),2),"0")</f>
        <v>0</v>
      </c>
      <c r="AE551" t="str">
        <f t="shared" si="57"/>
        <v/>
      </c>
      <c r="AH551" t="str">
        <f t="shared" si="53"/>
        <v xml:space="preserve">Based on ADMIXTURE results of 78,187 SNPs, </v>
      </c>
    </row>
    <row r="552" spans="1:34" x14ac:dyDescent="0.4">
      <c r="A552">
        <v>144</v>
      </c>
      <c r="B552" t="s">
        <v>279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22</v>
      </c>
      <c r="I552" t="s">
        <v>21</v>
      </c>
      <c r="J552">
        <v>1</v>
      </c>
      <c r="K552">
        <v>0</v>
      </c>
      <c r="L552" t="s">
        <v>23</v>
      </c>
      <c r="M552" t="str">
        <f t="shared" si="54"/>
        <v>&gt;0.74</v>
      </c>
      <c r="N552">
        <v>0</v>
      </c>
      <c r="O552">
        <v>0.99990000000000001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s="1">
        <v>2.0000000000000002E-5</v>
      </c>
      <c r="W552" s="1">
        <f t="shared" si="55"/>
        <v>0.99990000000000001</v>
      </c>
      <c r="X552" t="s">
        <v>280</v>
      </c>
      <c r="Y552" t="str">
        <f>VLOOKUP(X552,Sheet1!A:B,2,FALSE)</f>
        <v>Quercus muehlenbergii Engelm.</v>
      </c>
      <c r="Z552" t="s">
        <v>1387</v>
      </c>
      <c r="AB552" s="1">
        <f t="shared" si="56"/>
        <v>0.99990000000000001</v>
      </c>
      <c r="AD552" t="str">
        <f>IF(W552&lt;0.99,LARGE((N552:R552,U552,V552),2),"0")</f>
        <v>0</v>
      </c>
      <c r="AE552" t="str">
        <f t="shared" si="57"/>
        <v/>
      </c>
      <c r="AH552" t="str">
        <f t="shared" si="53"/>
        <v xml:space="preserve">Based on ADMIXTURE results of 78,187 SNPs, </v>
      </c>
    </row>
    <row r="553" spans="1:34" x14ac:dyDescent="0.4">
      <c r="A553">
        <v>145</v>
      </c>
      <c r="B553" t="s">
        <v>281</v>
      </c>
      <c r="C553" t="s">
        <v>21</v>
      </c>
      <c r="D553" t="s">
        <v>21</v>
      </c>
      <c r="E553" t="s">
        <v>21</v>
      </c>
      <c r="F553" t="s">
        <v>22</v>
      </c>
      <c r="G553" t="s">
        <v>21</v>
      </c>
      <c r="H553" t="s">
        <v>21</v>
      </c>
      <c r="I553" t="s">
        <v>21</v>
      </c>
      <c r="J553">
        <v>1</v>
      </c>
      <c r="K553">
        <v>0</v>
      </c>
      <c r="L553" t="s">
        <v>23</v>
      </c>
      <c r="M553" t="str">
        <f t="shared" si="54"/>
        <v>&gt;0.74</v>
      </c>
      <c r="N553">
        <v>0</v>
      </c>
      <c r="O553">
        <v>8.0999999999999996E-3</v>
      </c>
      <c r="P553">
        <v>0</v>
      </c>
      <c r="Q553">
        <v>0</v>
      </c>
      <c r="R553">
        <v>0</v>
      </c>
      <c r="S553">
        <v>0.92420000000000002</v>
      </c>
      <c r="T553">
        <v>6.7599999999999993E-2</v>
      </c>
      <c r="U553">
        <v>0</v>
      </c>
      <c r="V553">
        <v>0.99183299999999996</v>
      </c>
      <c r="W553" s="1">
        <f t="shared" si="55"/>
        <v>0.99183299999999996</v>
      </c>
      <c r="X553" t="s">
        <v>282</v>
      </c>
      <c r="Y553" t="str">
        <f>VLOOKUP(X553,Sheet1!A:B,2,FALSE)</f>
        <v>Quercus macrocarpa Michx.</v>
      </c>
      <c r="Z553" t="s">
        <v>1384</v>
      </c>
      <c r="AB553" s="1">
        <f t="shared" si="56"/>
        <v>0.99183299999999996</v>
      </c>
      <c r="AD553" t="str">
        <f>IF(W553&lt;0.99,LARGE((N553:R553,U553,V553),2),"0")</f>
        <v>0</v>
      </c>
      <c r="AE553" t="str">
        <f t="shared" si="57"/>
        <v/>
      </c>
      <c r="AH553" t="str">
        <f t="shared" si="53"/>
        <v xml:space="preserve">Based on ADMIXTURE results of 78,187 SNPs, </v>
      </c>
    </row>
    <row r="554" spans="1:34" x14ac:dyDescent="0.4">
      <c r="A554">
        <v>146</v>
      </c>
      <c r="B554" t="s">
        <v>283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22</v>
      </c>
      <c r="J554">
        <v>1</v>
      </c>
      <c r="K554">
        <v>0</v>
      </c>
      <c r="L554" t="s">
        <v>23</v>
      </c>
      <c r="M554" t="str">
        <f t="shared" si="54"/>
        <v>&gt;0.74</v>
      </c>
      <c r="N554">
        <v>0.99990000000000001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s="1">
        <v>2.9E-5</v>
      </c>
      <c r="W554" s="1">
        <f t="shared" si="55"/>
        <v>0.99990000000000001</v>
      </c>
      <c r="X554" t="s">
        <v>284</v>
      </c>
      <c r="Y554" t="str">
        <f>VLOOKUP(X554,Sheet1!A:B,2,FALSE)</f>
        <v>Quercus margaretiae Ashe ex Small</v>
      </c>
      <c r="Z554" t="s">
        <v>1409</v>
      </c>
      <c r="AB554" s="1">
        <f t="shared" si="56"/>
        <v>0.99990000000000001</v>
      </c>
      <c r="AD554" t="str">
        <f>IF(W554&lt;0.99,LARGE((N554:R554,U554,V554),2),"0")</f>
        <v>0</v>
      </c>
      <c r="AE554" t="str">
        <f t="shared" si="57"/>
        <v/>
      </c>
      <c r="AH554" t="str">
        <f t="shared" si="53"/>
        <v xml:space="preserve">Based on ADMIXTURE results of 78,187 SNPs, </v>
      </c>
    </row>
    <row r="555" spans="1:34" x14ac:dyDescent="0.4">
      <c r="A555">
        <v>147</v>
      </c>
      <c r="B555" t="s">
        <v>285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22</v>
      </c>
      <c r="J555">
        <v>1</v>
      </c>
      <c r="K555">
        <v>0</v>
      </c>
      <c r="L555" t="s">
        <v>23</v>
      </c>
      <c r="M555" t="str">
        <f t="shared" si="54"/>
        <v>&gt;0.74</v>
      </c>
      <c r="N555">
        <v>0.99029999999999996</v>
      </c>
      <c r="O555">
        <v>0</v>
      </c>
      <c r="P555">
        <v>0</v>
      </c>
      <c r="Q555">
        <v>0</v>
      </c>
      <c r="R555">
        <v>0</v>
      </c>
      <c r="S555">
        <v>9.5999999999999992E-3</v>
      </c>
      <c r="T555">
        <v>0</v>
      </c>
      <c r="U555">
        <v>0</v>
      </c>
      <c r="V555">
        <v>9.6019999999999994E-3</v>
      </c>
      <c r="W555" s="1">
        <f t="shared" si="55"/>
        <v>0.99029999999999996</v>
      </c>
      <c r="X555" t="s">
        <v>286</v>
      </c>
      <c r="Y555" t="str">
        <f>VLOOKUP(X555,Sheet1!A:B,2,FALSE)</f>
        <v>Quercus margaretiae Ashe ex Small</v>
      </c>
      <c r="Z555" t="s">
        <v>1409</v>
      </c>
      <c r="AB555" s="1">
        <f t="shared" si="56"/>
        <v>0.99029999999999996</v>
      </c>
      <c r="AD555" t="str">
        <f>IF(W555&lt;0.99,LARGE((N555:R555,U555,V555),2),"0")</f>
        <v>0</v>
      </c>
      <c r="AE555" t="str">
        <f t="shared" si="57"/>
        <v/>
      </c>
      <c r="AH555" t="str">
        <f t="shared" si="53"/>
        <v xml:space="preserve">Based on ADMIXTURE results of 78,187 SNPs, </v>
      </c>
    </row>
    <row r="556" spans="1:34" x14ac:dyDescent="0.4">
      <c r="A556">
        <v>148</v>
      </c>
      <c r="B556" t="s">
        <v>287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22</v>
      </c>
      <c r="J556">
        <v>1</v>
      </c>
      <c r="K556">
        <v>0</v>
      </c>
      <c r="L556" t="s">
        <v>23</v>
      </c>
      <c r="M556" t="str">
        <f t="shared" si="54"/>
        <v>&gt;0.74</v>
      </c>
      <c r="N556">
        <v>0.99990000000000001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s="1">
        <v>2.0000000000000002E-5</v>
      </c>
      <c r="W556" s="1">
        <f t="shared" si="55"/>
        <v>0.99990000000000001</v>
      </c>
      <c r="X556" t="s">
        <v>288</v>
      </c>
      <c r="Y556" t="str">
        <f>VLOOKUP(X556,Sheet1!A:B,2,FALSE)</f>
        <v>Quercus margaretiae Ashe ex Small</v>
      </c>
      <c r="Z556" t="s">
        <v>1409</v>
      </c>
      <c r="AB556" s="1">
        <f t="shared" si="56"/>
        <v>0.99990000000000001</v>
      </c>
      <c r="AD556" t="str">
        <f>IF(W556&lt;0.99,LARGE((N556:R556,U556,V556),2),"0")</f>
        <v>0</v>
      </c>
      <c r="AE556" t="str">
        <f t="shared" si="57"/>
        <v/>
      </c>
      <c r="AH556" t="str">
        <f t="shared" si="53"/>
        <v xml:space="preserve">Based on ADMIXTURE results of 78,187 SNPs, </v>
      </c>
    </row>
    <row r="557" spans="1:34" x14ac:dyDescent="0.4">
      <c r="A557">
        <v>149</v>
      </c>
      <c r="B557" t="s">
        <v>289</v>
      </c>
      <c r="C557" t="s">
        <v>21</v>
      </c>
      <c r="D557" t="s">
        <v>21</v>
      </c>
      <c r="E557" t="s">
        <v>25</v>
      </c>
      <c r="F557" t="s">
        <v>21</v>
      </c>
      <c r="G557" t="s">
        <v>25</v>
      </c>
      <c r="H557" t="s">
        <v>21</v>
      </c>
      <c r="I557" t="s">
        <v>25</v>
      </c>
      <c r="J557">
        <v>0</v>
      </c>
      <c r="K557">
        <v>3</v>
      </c>
      <c r="L557" t="s">
        <v>26</v>
      </c>
      <c r="M557" t="str">
        <f t="shared" si="54"/>
        <v>&gt;0.74</v>
      </c>
      <c r="N557">
        <v>0.80689999999999995</v>
      </c>
      <c r="O557">
        <v>1.47E-2</v>
      </c>
      <c r="P557">
        <v>0</v>
      </c>
      <c r="Q557">
        <v>3.73E-2</v>
      </c>
      <c r="R557">
        <v>6.6699999999999995E-2</v>
      </c>
      <c r="S557">
        <v>0</v>
      </c>
      <c r="T557">
        <v>0</v>
      </c>
      <c r="U557">
        <v>7.4300000000000005E-2</v>
      </c>
      <c r="V557" s="1">
        <v>2.0000000000000002E-5</v>
      </c>
      <c r="W557" s="1">
        <f t="shared" si="55"/>
        <v>0.80689999999999995</v>
      </c>
      <c r="X557" t="s">
        <v>290</v>
      </c>
      <c r="Y557" t="str">
        <f>VLOOKUP(X557,Sheet1!A:B,2,FALSE)</f>
        <v>Quercus margaretiae Ashe ex Small</v>
      </c>
      <c r="Z557" t="s">
        <v>1409</v>
      </c>
      <c r="AB557" s="1">
        <f t="shared" si="56"/>
        <v>0.80689999999999995</v>
      </c>
      <c r="AC557" t="s">
        <v>1429</v>
      </c>
      <c r="AD557">
        <f>IF(W557&lt;0.99,LARGE((N557:R557,U557,V557),2),"0")</f>
        <v>7.4300000000000005E-2</v>
      </c>
      <c r="AE557" t="str">
        <f>IF(AND(AB557&lt;0.99,AD557&gt;0.1,AB557&gt;0.6),"admixed with ",IF(AND(AB557&lt;0.99,AD557&gt;0.01,AD557&lt;0.4),"trace admixed (Q&lt;0.10) with ",""))</f>
        <v xml:space="preserve">trace admixed (Q&lt;0.10) with </v>
      </c>
      <c r="AH557" t="str">
        <f t="shared" si="53"/>
        <v>Based on ADMIXTURE results of 78,187 SNPs, trace admixed (Q&lt;0.10) with other oaks</v>
      </c>
    </row>
    <row r="558" spans="1:34" x14ac:dyDescent="0.4">
      <c r="A558">
        <v>150</v>
      </c>
      <c r="B558" t="s">
        <v>291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22</v>
      </c>
      <c r="I558" t="s">
        <v>21</v>
      </c>
      <c r="J558">
        <v>1</v>
      </c>
      <c r="K558">
        <v>0</v>
      </c>
      <c r="L558" t="s">
        <v>23</v>
      </c>
      <c r="M558" t="str">
        <f t="shared" si="54"/>
        <v>&gt;0.74</v>
      </c>
      <c r="N558">
        <v>0</v>
      </c>
      <c r="O558">
        <v>0.99329999999999996</v>
      </c>
      <c r="P558">
        <v>0</v>
      </c>
      <c r="Q558">
        <v>0</v>
      </c>
      <c r="R558">
        <v>0</v>
      </c>
      <c r="S558">
        <v>0</v>
      </c>
      <c r="T558">
        <v>6.6E-3</v>
      </c>
      <c r="U558">
        <v>0</v>
      </c>
      <c r="V558">
        <v>6.6559999999999996E-3</v>
      </c>
      <c r="W558" s="1">
        <f t="shared" si="55"/>
        <v>0.99329999999999996</v>
      </c>
      <c r="X558" t="s">
        <v>292</v>
      </c>
      <c r="Y558" t="str">
        <f>VLOOKUP(X558,Sheet1!A:B,2,FALSE)</f>
        <v>Quercus muehlenbergii Engelm.</v>
      </c>
      <c r="Z558" t="s">
        <v>1387</v>
      </c>
      <c r="AB558" s="1">
        <f t="shared" si="56"/>
        <v>0.99329999999999996</v>
      </c>
      <c r="AD558" t="str">
        <f>IF(W558&lt;0.99,LARGE((N558:R558,U558,V558),2),"0")</f>
        <v>0</v>
      </c>
      <c r="AE558" t="str">
        <f t="shared" ref="AE558:AE563" si="58">IF(AND(AB558&lt;0.99,AD558&gt;0.1),"admixed with",IF(AND(AB558&lt;0.99,AD558&gt;0.01),"trace admixed with ",""))</f>
        <v/>
      </c>
      <c r="AH558" t="str">
        <f t="shared" si="53"/>
        <v xml:space="preserve">Based on ADMIXTURE results of 78,187 SNPs, </v>
      </c>
    </row>
    <row r="559" spans="1:34" x14ac:dyDescent="0.4">
      <c r="A559">
        <v>151</v>
      </c>
      <c r="B559" t="s">
        <v>293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22</v>
      </c>
      <c r="I559" t="s">
        <v>21</v>
      </c>
      <c r="J559">
        <v>1</v>
      </c>
      <c r="K559">
        <v>0</v>
      </c>
      <c r="L559" t="s">
        <v>23</v>
      </c>
      <c r="M559" t="str">
        <f t="shared" si="54"/>
        <v>&gt;0.74</v>
      </c>
      <c r="N559">
        <v>9.1999999999999998E-3</v>
      </c>
      <c r="O559">
        <v>0.99060000000000004</v>
      </c>
      <c r="P559" s="1">
        <v>2.0000000000000001E-4</v>
      </c>
      <c r="Q559">
        <v>0</v>
      </c>
      <c r="R559">
        <v>0</v>
      </c>
      <c r="S559">
        <v>0</v>
      </c>
      <c r="T559">
        <v>0</v>
      </c>
      <c r="U559">
        <v>0</v>
      </c>
      <c r="V559" s="1">
        <v>2.0000000000000002E-5</v>
      </c>
      <c r="W559" s="1">
        <f t="shared" si="55"/>
        <v>0.99060000000000004</v>
      </c>
      <c r="X559" t="s">
        <v>294</v>
      </c>
      <c r="Y559" t="str">
        <f>VLOOKUP(X559,Sheet1!A:B,2,FALSE)</f>
        <v>Quercus muehlenbergii Engelm.</v>
      </c>
      <c r="Z559" t="s">
        <v>1387</v>
      </c>
      <c r="AB559" s="1">
        <f t="shared" si="56"/>
        <v>0.99060000000000004</v>
      </c>
      <c r="AD559" t="str">
        <f>IF(W559&lt;0.99,LARGE((N559:R559,U559,V559),2),"0")</f>
        <v>0</v>
      </c>
      <c r="AE559" t="str">
        <f t="shared" si="58"/>
        <v/>
      </c>
      <c r="AH559" t="str">
        <f t="shared" si="53"/>
        <v xml:space="preserve">Based on ADMIXTURE results of 78,187 SNPs, </v>
      </c>
    </row>
    <row r="560" spans="1:34" x14ac:dyDescent="0.4">
      <c r="A560">
        <v>152</v>
      </c>
      <c r="B560" t="s">
        <v>295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22</v>
      </c>
      <c r="I560" t="s">
        <v>21</v>
      </c>
      <c r="J560">
        <v>1</v>
      </c>
      <c r="K560">
        <v>0</v>
      </c>
      <c r="L560" t="s">
        <v>23</v>
      </c>
      <c r="M560" t="str">
        <f t="shared" si="54"/>
        <v>&gt;0.74</v>
      </c>
      <c r="N560">
        <v>6.4000000000000003E-3</v>
      </c>
      <c r="O560">
        <v>0.99350000000000005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s="1">
        <v>2.0000000000000002E-5</v>
      </c>
      <c r="W560" s="1">
        <f t="shared" si="55"/>
        <v>0.99350000000000005</v>
      </c>
      <c r="X560" t="s">
        <v>296</v>
      </c>
      <c r="Y560" t="str">
        <f>VLOOKUP(X560,Sheet1!A:B,2,FALSE)</f>
        <v>Quercus muehlenbergii Engelm.</v>
      </c>
      <c r="Z560" t="s">
        <v>1387</v>
      </c>
      <c r="AB560" s="1">
        <f t="shared" si="56"/>
        <v>0.99350000000000005</v>
      </c>
      <c r="AD560" t="str">
        <f>IF(W560&lt;0.99,LARGE((N560:R560,U560,V560),2),"0")</f>
        <v>0</v>
      </c>
      <c r="AE560" t="str">
        <f t="shared" si="58"/>
        <v/>
      </c>
      <c r="AH560" t="str">
        <f t="shared" si="53"/>
        <v xml:space="preserve">Based on ADMIXTURE results of 78,187 SNPs, </v>
      </c>
    </row>
    <row r="561" spans="1:34" x14ac:dyDescent="0.4">
      <c r="A561">
        <v>153</v>
      </c>
      <c r="B561" t="s">
        <v>297</v>
      </c>
      <c r="C561" t="s">
        <v>21</v>
      </c>
      <c r="D561" t="s">
        <v>21</v>
      </c>
      <c r="E561" t="s">
        <v>21</v>
      </c>
      <c r="F561" t="s">
        <v>22</v>
      </c>
      <c r="G561" t="s">
        <v>21</v>
      </c>
      <c r="H561" t="s">
        <v>21</v>
      </c>
      <c r="I561" t="s">
        <v>21</v>
      </c>
      <c r="J561">
        <v>1</v>
      </c>
      <c r="K561">
        <v>0</v>
      </c>
      <c r="L561" t="s">
        <v>23</v>
      </c>
      <c r="M561" t="str">
        <f t="shared" si="54"/>
        <v>&gt;0.74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0.96020000000000005</v>
      </c>
      <c r="T561">
        <v>3.9699999999999999E-2</v>
      </c>
      <c r="U561">
        <v>0</v>
      </c>
      <c r="V561">
        <v>0.99994000000000005</v>
      </c>
      <c r="W561" s="1">
        <f t="shared" si="55"/>
        <v>0.99994000000000005</v>
      </c>
      <c r="X561" t="s">
        <v>298</v>
      </c>
      <c r="Y561" t="str">
        <f>VLOOKUP(X561,Sheet1!A:B,2,FALSE)</f>
        <v>Quercus macrocarpa Michx.</v>
      </c>
      <c r="Z561" t="s">
        <v>1384</v>
      </c>
      <c r="AB561" s="1">
        <f t="shared" si="56"/>
        <v>0.99994000000000005</v>
      </c>
      <c r="AD561" t="str">
        <f>IF(W561&lt;0.99,LARGE((N561:R561,U561,V561),2),"0")</f>
        <v>0</v>
      </c>
      <c r="AE561" t="str">
        <f t="shared" si="58"/>
        <v/>
      </c>
      <c r="AH561" t="str">
        <f t="shared" si="53"/>
        <v xml:space="preserve">Based on ADMIXTURE results of 78,187 SNPs, </v>
      </c>
    </row>
    <row r="562" spans="1:34" x14ac:dyDescent="0.4">
      <c r="A562">
        <v>154</v>
      </c>
      <c r="B562" t="s">
        <v>299</v>
      </c>
      <c r="C562" t="s">
        <v>21</v>
      </c>
      <c r="D562" t="s">
        <v>21</v>
      </c>
      <c r="E562" t="s">
        <v>21</v>
      </c>
      <c r="F562" t="s">
        <v>22</v>
      </c>
      <c r="G562" t="s">
        <v>21</v>
      </c>
      <c r="H562" t="s">
        <v>21</v>
      </c>
      <c r="I562" t="s">
        <v>21</v>
      </c>
      <c r="J562">
        <v>1</v>
      </c>
      <c r="K562">
        <v>0</v>
      </c>
      <c r="L562" t="s">
        <v>23</v>
      </c>
      <c r="M562" t="str">
        <f t="shared" si="54"/>
        <v>&gt;0.74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0.81510000000000005</v>
      </c>
      <c r="T562">
        <v>0.18490000000000001</v>
      </c>
      <c r="U562">
        <v>0</v>
      </c>
      <c r="V562">
        <v>0.99994000000000005</v>
      </c>
      <c r="W562" s="1">
        <f t="shared" si="55"/>
        <v>0.99994000000000005</v>
      </c>
      <c r="X562" t="s">
        <v>300</v>
      </c>
      <c r="Y562" t="str">
        <f>VLOOKUP(X562,Sheet1!A:B,2,FALSE)</f>
        <v>Quercus macrocarpa Michx.</v>
      </c>
      <c r="Z562" t="s">
        <v>1384</v>
      </c>
      <c r="AB562" s="1">
        <f t="shared" si="56"/>
        <v>0.99994000000000005</v>
      </c>
      <c r="AD562" t="str">
        <f>IF(W562&lt;0.99,LARGE((N562:R562,U562,V562),2),"0")</f>
        <v>0</v>
      </c>
      <c r="AE562" t="str">
        <f t="shared" si="58"/>
        <v/>
      </c>
      <c r="AH562" t="str">
        <f t="shared" si="53"/>
        <v xml:space="preserve">Based on ADMIXTURE results of 78,187 SNPs, </v>
      </c>
    </row>
    <row r="563" spans="1:34" x14ac:dyDescent="0.4">
      <c r="A563">
        <v>155</v>
      </c>
      <c r="B563" t="s">
        <v>301</v>
      </c>
      <c r="C563" t="s">
        <v>21</v>
      </c>
      <c r="D563" t="s">
        <v>21</v>
      </c>
      <c r="E563" t="s">
        <v>21</v>
      </c>
      <c r="F563" t="s">
        <v>22</v>
      </c>
      <c r="G563" t="s">
        <v>21</v>
      </c>
      <c r="H563" t="s">
        <v>21</v>
      </c>
      <c r="I563" t="s">
        <v>21</v>
      </c>
      <c r="J563">
        <v>1</v>
      </c>
      <c r="K563">
        <v>0</v>
      </c>
      <c r="L563" t="s">
        <v>23</v>
      </c>
      <c r="M563" t="str">
        <f t="shared" si="54"/>
        <v>&gt;0.74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0.8044</v>
      </c>
      <c r="T563">
        <v>0.1956</v>
      </c>
      <c r="U563">
        <v>0</v>
      </c>
      <c r="V563">
        <v>0.99994000000000005</v>
      </c>
      <c r="W563" s="1">
        <f t="shared" si="55"/>
        <v>0.99994000000000005</v>
      </c>
      <c r="X563" t="s">
        <v>302</v>
      </c>
      <c r="Y563" t="str">
        <f>VLOOKUP(X563,Sheet1!A:B,2,FALSE)</f>
        <v>Quercus macrocarpa Michx.</v>
      </c>
      <c r="Z563" t="s">
        <v>1384</v>
      </c>
      <c r="AB563" s="1">
        <f t="shared" si="56"/>
        <v>0.99994000000000005</v>
      </c>
      <c r="AD563" t="str">
        <f>IF(W563&lt;0.99,LARGE((N563:R563,U563,V563),2),"0")</f>
        <v>0</v>
      </c>
      <c r="AE563" t="str">
        <f t="shared" si="58"/>
        <v/>
      </c>
      <c r="AH563" t="str">
        <f t="shared" si="53"/>
        <v xml:space="preserve">Based on ADMIXTURE results of 78,187 SNPs, </v>
      </c>
    </row>
    <row r="564" spans="1:34" x14ac:dyDescent="0.4">
      <c r="A564">
        <v>156</v>
      </c>
      <c r="B564" t="s">
        <v>303</v>
      </c>
      <c r="C564" t="s">
        <v>21</v>
      </c>
      <c r="D564" t="s">
        <v>21</v>
      </c>
      <c r="E564" t="s">
        <v>21</v>
      </c>
      <c r="F564" t="s">
        <v>25</v>
      </c>
      <c r="G564" t="s">
        <v>21</v>
      </c>
      <c r="H564" t="s">
        <v>25</v>
      </c>
      <c r="I564" t="s">
        <v>21</v>
      </c>
      <c r="J564">
        <v>0</v>
      </c>
      <c r="K564">
        <v>2</v>
      </c>
      <c r="L564" t="s">
        <v>26</v>
      </c>
      <c r="M564" t="str">
        <f t="shared" si="54"/>
        <v>F1</v>
      </c>
      <c r="N564">
        <v>0</v>
      </c>
      <c r="O564">
        <v>0.48580000000000001</v>
      </c>
      <c r="P564">
        <v>0</v>
      </c>
      <c r="Q564">
        <v>0</v>
      </c>
      <c r="R564">
        <v>0</v>
      </c>
      <c r="S564">
        <v>0.47420000000000001</v>
      </c>
      <c r="T564">
        <v>3.9899999999999998E-2</v>
      </c>
      <c r="U564">
        <v>0</v>
      </c>
      <c r="V564">
        <v>0.51411099999999998</v>
      </c>
      <c r="W564" s="1">
        <f t="shared" si="55"/>
        <v>0.51411099999999998</v>
      </c>
      <c r="X564" s="2" t="s">
        <v>304</v>
      </c>
      <c r="Y564" t="str">
        <f>VLOOKUP(X564,Sheet1!A:B,2,FALSE)</f>
        <v>Quercus macrocarpa Michx.</v>
      </c>
      <c r="Z564" s="3" t="s">
        <v>1427</v>
      </c>
      <c r="AB564" s="1">
        <f t="shared" si="56"/>
        <v>0.51411099999999998</v>
      </c>
      <c r="AD564">
        <f>IF(W564&lt;0.99,LARGE((N564:R564,U564,V564),2),"0")</f>
        <v>0.48580000000000001</v>
      </c>
      <c r="AE564" t="str">
        <f>IF(AND(AB564&lt;0.99,AD564&gt;0.1,AB564&gt;0.6),"admixed with",IF(AND(AB564&lt;0.99,AD564&gt;0.01,AD564&lt;0.4),"trace admixed with ",""))</f>
        <v/>
      </c>
      <c r="AH564" t="str">
        <f t="shared" si="53"/>
        <v xml:space="preserve">Based on ADMIXTURE results of 78,187 SNPs, </v>
      </c>
    </row>
    <row r="565" spans="1:34" x14ac:dyDescent="0.4">
      <c r="A565">
        <v>157</v>
      </c>
      <c r="B565" t="s">
        <v>305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22</v>
      </c>
      <c r="J565">
        <v>1</v>
      </c>
      <c r="K565">
        <v>0</v>
      </c>
      <c r="L565" t="s">
        <v>23</v>
      </c>
      <c r="M565" t="str">
        <f t="shared" si="54"/>
        <v>&gt;0.74</v>
      </c>
      <c r="N565">
        <v>0.98170000000000002</v>
      </c>
      <c r="O565">
        <v>5.4000000000000003E-3</v>
      </c>
      <c r="P565">
        <v>0</v>
      </c>
      <c r="Q565">
        <v>0</v>
      </c>
      <c r="R565">
        <v>0</v>
      </c>
      <c r="S565">
        <v>0</v>
      </c>
      <c r="T565">
        <v>1.2800000000000001E-2</v>
      </c>
      <c r="U565">
        <v>0</v>
      </c>
      <c r="V565">
        <v>1.2821000000000001E-2</v>
      </c>
      <c r="W565" s="1">
        <f t="shared" si="55"/>
        <v>0.98170000000000002</v>
      </c>
      <c r="X565" t="s">
        <v>306</v>
      </c>
      <c r="Y565" t="str">
        <f>VLOOKUP(X565,Sheet1!A:B,2,FALSE)</f>
        <v>Quercus margaretiae Ashe ex Small</v>
      </c>
      <c r="Z565" t="s">
        <v>1409</v>
      </c>
      <c r="AB565" s="1">
        <f t="shared" si="56"/>
        <v>0.98170000000000002</v>
      </c>
      <c r="AD565">
        <f>IF(W565&lt;0.99,LARGE((N565:R565,U565,V565),2),"0")</f>
        <v>1.2821000000000001E-2</v>
      </c>
      <c r="AE565" t="str">
        <f t="shared" ref="AE565:AE596" si="59">IF(AND(AB565&lt;0.99,AD565&gt;0.1),"admixed with",IF(AND(AB565&lt;0.99,AD565&gt;0.01),"trace admixed with ",""))</f>
        <v xml:space="preserve">trace admixed with </v>
      </c>
      <c r="AH565" t="str">
        <f t="shared" si="53"/>
        <v xml:space="preserve">Based on ADMIXTURE results of 78,187 SNPs, trace admixed with </v>
      </c>
    </row>
    <row r="566" spans="1:34" x14ac:dyDescent="0.4">
      <c r="A566">
        <v>158</v>
      </c>
      <c r="B566" t="s">
        <v>307</v>
      </c>
      <c r="C566" t="s">
        <v>21</v>
      </c>
      <c r="D566" t="s">
        <v>21</v>
      </c>
      <c r="E566" t="s">
        <v>21</v>
      </c>
      <c r="F566" t="s">
        <v>22</v>
      </c>
      <c r="G566" t="s">
        <v>21</v>
      </c>
      <c r="H566" t="s">
        <v>21</v>
      </c>
      <c r="I566" t="s">
        <v>21</v>
      </c>
      <c r="J566">
        <v>1</v>
      </c>
      <c r="K566">
        <v>0</v>
      </c>
      <c r="L566" t="s">
        <v>23</v>
      </c>
      <c r="M566" t="str">
        <f t="shared" si="54"/>
        <v>&gt;0.74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0.88370000000000004</v>
      </c>
      <c r="T566">
        <v>0.1163</v>
      </c>
      <c r="U566">
        <v>0</v>
      </c>
      <c r="V566">
        <v>0.99994000000000005</v>
      </c>
      <c r="W566" s="1">
        <f t="shared" si="55"/>
        <v>0.99994000000000005</v>
      </c>
      <c r="X566" t="s">
        <v>308</v>
      </c>
      <c r="Y566" t="str">
        <f>VLOOKUP(X566,Sheet1!A:B,2,FALSE)</f>
        <v>Quercus macrocarpa Michx.</v>
      </c>
      <c r="Z566" t="s">
        <v>1384</v>
      </c>
      <c r="AB566" s="1">
        <f t="shared" si="56"/>
        <v>0.99994000000000005</v>
      </c>
      <c r="AD566" t="str">
        <f>IF(W566&lt;0.99,LARGE((N566:R566,U566,V566),2),"0")</f>
        <v>0</v>
      </c>
      <c r="AE566" t="str">
        <f t="shared" si="59"/>
        <v/>
      </c>
      <c r="AH566" t="str">
        <f t="shared" si="53"/>
        <v xml:space="preserve">Based on ADMIXTURE results of 78,187 SNPs, </v>
      </c>
    </row>
    <row r="567" spans="1:34" x14ac:dyDescent="0.4">
      <c r="A567">
        <v>159</v>
      </c>
      <c r="B567" t="s">
        <v>309</v>
      </c>
      <c r="C567" t="s">
        <v>21</v>
      </c>
      <c r="D567" t="s">
        <v>21</v>
      </c>
      <c r="E567" t="s">
        <v>21</v>
      </c>
      <c r="F567" t="s">
        <v>22</v>
      </c>
      <c r="G567" t="s">
        <v>21</v>
      </c>
      <c r="H567" t="s">
        <v>21</v>
      </c>
      <c r="I567" t="s">
        <v>21</v>
      </c>
      <c r="J567">
        <v>1</v>
      </c>
      <c r="K567">
        <v>0</v>
      </c>
      <c r="L567" t="s">
        <v>23</v>
      </c>
      <c r="M567" t="str">
        <f t="shared" si="54"/>
        <v>&gt;0.74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0.96709999999999996</v>
      </c>
      <c r="T567">
        <v>3.2800000000000003E-2</v>
      </c>
      <c r="U567">
        <v>0</v>
      </c>
      <c r="V567">
        <v>0.99994000000000005</v>
      </c>
      <c r="W567" s="1">
        <f t="shared" si="55"/>
        <v>0.99994000000000005</v>
      </c>
      <c r="X567" t="s">
        <v>310</v>
      </c>
      <c r="Y567" t="str">
        <f>VLOOKUP(X567,Sheet1!A:B,2,FALSE)</f>
        <v>Quercus macrocarpa Michx.</v>
      </c>
      <c r="Z567" t="s">
        <v>1384</v>
      </c>
      <c r="AB567" s="1">
        <f t="shared" si="56"/>
        <v>0.99994000000000005</v>
      </c>
      <c r="AD567" t="str">
        <f>IF(W567&lt;0.99,LARGE((N567:R567,U567,V567),2),"0")</f>
        <v>0</v>
      </c>
      <c r="AE567" t="str">
        <f t="shared" si="59"/>
        <v/>
      </c>
      <c r="AH567" t="str">
        <f t="shared" si="53"/>
        <v xml:space="preserve">Based on ADMIXTURE results of 78,187 SNPs, </v>
      </c>
    </row>
    <row r="568" spans="1:34" x14ac:dyDescent="0.4">
      <c r="A568">
        <v>160</v>
      </c>
      <c r="B568" t="s">
        <v>311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22</v>
      </c>
      <c r="J568">
        <v>1</v>
      </c>
      <c r="K568">
        <v>0</v>
      </c>
      <c r="L568" t="s">
        <v>23</v>
      </c>
      <c r="M568" t="str">
        <f t="shared" si="54"/>
        <v>&gt;0.74</v>
      </c>
      <c r="N568">
        <v>0.99990000000000001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1">
        <v>2.0000000000000002E-5</v>
      </c>
      <c r="W568" s="1">
        <f t="shared" si="55"/>
        <v>0.99990000000000001</v>
      </c>
      <c r="X568" t="s">
        <v>312</v>
      </c>
      <c r="Y568" t="str">
        <f>VLOOKUP(X568,Sheet1!A:B,2,FALSE)</f>
        <v>Quercus stellata Wangenh.</v>
      </c>
      <c r="Z568" t="s">
        <v>1385</v>
      </c>
      <c r="AB568" s="1">
        <f t="shared" si="56"/>
        <v>0.99990000000000001</v>
      </c>
      <c r="AD568" t="str">
        <f>IF(W568&lt;0.99,LARGE((N568:R568,U568,V568),2),"0")</f>
        <v>0</v>
      </c>
      <c r="AE568" t="str">
        <f t="shared" si="59"/>
        <v/>
      </c>
      <c r="AH568" t="str">
        <f t="shared" si="53"/>
        <v xml:space="preserve">Based on ADMIXTURE results of 78,187 SNPs, </v>
      </c>
    </row>
    <row r="569" spans="1:34" x14ac:dyDescent="0.4">
      <c r="A569">
        <v>161</v>
      </c>
      <c r="B569" t="s">
        <v>313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22</v>
      </c>
      <c r="I569" t="s">
        <v>21</v>
      </c>
      <c r="J569">
        <v>1</v>
      </c>
      <c r="K569">
        <v>0</v>
      </c>
      <c r="L569" t="s">
        <v>23</v>
      </c>
      <c r="M569" t="str">
        <f t="shared" si="54"/>
        <v>&gt;0.74</v>
      </c>
      <c r="N569">
        <v>0</v>
      </c>
      <c r="O569">
        <v>0.99990000000000001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s="1">
        <v>2.0000000000000002E-5</v>
      </c>
      <c r="W569" s="1">
        <f t="shared" si="55"/>
        <v>0.99990000000000001</v>
      </c>
      <c r="X569" t="s">
        <v>314</v>
      </c>
      <c r="Y569" t="str">
        <f>VLOOKUP(X569,Sheet1!A:B,2,FALSE)</f>
        <v>Quercus muehlenbergii Engelm.</v>
      </c>
      <c r="Z569" t="s">
        <v>1387</v>
      </c>
      <c r="AB569" s="1">
        <f t="shared" si="56"/>
        <v>0.99990000000000001</v>
      </c>
      <c r="AD569" t="str">
        <f>IF(W569&lt;0.99,LARGE((N569:R569,U569,V569),2),"0")</f>
        <v>0</v>
      </c>
      <c r="AE569" t="str">
        <f t="shared" si="59"/>
        <v/>
      </c>
      <c r="AH569" t="str">
        <f t="shared" si="53"/>
        <v xml:space="preserve">Based on ADMIXTURE results of 78,187 SNPs, </v>
      </c>
    </row>
    <row r="570" spans="1:34" x14ac:dyDescent="0.4">
      <c r="A570">
        <v>162</v>
      </c>
      <c r="B570" t="s">
        <v>315</v>
      </c>
      <c r="C570" t="s">
        <v>21</v>
      </c>
      <c r="D570" t="s">
        <v>21</v>
      </c>
      <c r="E570" t="s">
        <v>21</v>
      </c>
      <c r="F570" t="s">
        <v>22</v>
      </c>
      <c r="G570" t="s">
        <v>21</v>
      </c>
      <c r="H570" t="s">
        <v>21</v>
      </c>
      <c r="I570" t="s">
        <v>21</v>
      </c>
      <c r="J570">
        <v>1</v>
      </c>
      <c r="K570">
        <v>0</v>
      </c>
      <c r="L570" t="s">
        <v>23</v>
      </c>
      <c r="M570" t="str">
        <f t="shared" si="54"/>
        <v>&gt;0.74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0.97829999999999995</v>
      </c>
      <c r="T570">
        <v>2.1600000000000001E-2</v>
      </c>
      <c r="U570">
        <v>0</v>
      </c>
      <c r="V570">
        <v>0.99993600000000005</v>
      </c>
      <c r="W570" s="1">
        <f t="shared" si="55"/>
        <v>0.99993600000000005</v>
      </c>
      <c r="X570" t="s">
        <v>316</v>
      </c>
      <c r="Y570" t="str">
        <f>VLOOKUP(X570,Sheet1!A:B,2,FALSE)</f>
        <v>Quercus macrocarpa Michx.</v>
      </c>
      <c r="Z570" t="s">
        <v>1384</v>
      </c>
      <c r="AB570" s="1">
        <f t="shared" si="56"/>
        <v>0.99993600000000005</v>
      </c>
      <c r="AD570" t="str">
        <f>IF(W570&lt;0.99,LARGE((N570:R570,U570,V570),2),"0")</f>
        <v>0</v>
      </c>
      <c r="AE570" t="str">
        <f t="shared" si="59"/>
        <v/>
      </c>
      <c r="AH570" t="str">
        <f t="shared" si="53"/>
        <v xml:space="preserve">Based on ADMIXTURE results of 78,187 SNPs, </v>
      </c>
    </row>
    <row r="571" spans="1:34" x14ac:dyDescent="0.4">
      <c r="A571">
        <v>163</v>
      </c>
      <c r="B571" t="s">
        <v>317</v>
      </c>
      <c r="C571" t="s">
        <v>21</v>
      </c>
      <c r="D571" t="s">
        <v>21</v>
      </c>
      <c r="E571" t="s">
        <v>21</v>
      </c>
      <c r="F571" t="s">
        <v>22</v>
      </c>
      <c r="G571" t="s">
        <v>21</v>
      </c>
      <c r="H571" t="s">
        <v>21</v>
      </c>
      <c r="I571" t="s">
        <v>21</v>
      </c>
      <c r="J571">
        <v>1</v>
      </c>
      <c r="K571">
        <v>0</v>
      </c>
      <c r="L571" t="s">
        <v>23</v>
      </c>
      <c r="M571" t="str">
        <f t="shared" si="54"/>
        <v>&gt;0.74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0.85640000000000005</v>
      </c>
      <c r="T571">
        <v>0.14349999999999999</v>
      </c>
      <c r="U571">
        <v>0</v>
      </c>
      <c r="V571">
        <v>0.99994000000000005</v>
      </c>
      <c r="W571" s="1">
        <f t="shared" si="55"/>
        <v>0.99994000000000005</v>
      </c>
      <c r="X571" t="s">
        <v>318</v>
      </c>
      <c r="Y571" t="str">
        <f>VLOOKUP(X571,Sheet1!A:B,2,FALSE)</f>
        <v>Quercus macrocarpa Michx.</v>
      </c>
      <c r="Z571" t="s">
        <v>1384</v>
      </c>
      <c r="AB571" s="1">
        <f t="shared" si="56"/>
        <v>0.99994000000000005</v>
      </c>
      <c r="AD571" t="str">
        <f>IF(W571&lt;0.99,LARGE((N571:R571,U571,V571),2),"0")</f>
        <v>0</v>
      </c>
      <c r="AE571" t="str">
        <f t="shared" si="59"/>
        <v/>
      </c>
      <c r="AH571" t="str">
        <f t="shared" ref="AH571:AH634" si="60">_xlfn.CONCAT("Based on ADMIXTURE results of 78,187 SNPs, ",AE571,AC571)</f>
        <v xml:space="preserve">Based on ADMIXTURE results of 78,187 SNPs, </v>
      </c>
    </row>
    <row r="572" spans="1:34" x14ac:dyDescent="0.4">
      <c r="A572">
        <v>164</v>
      </c>
      <c r="B572" t="s">
        <v>319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22</v>
      </c>
      <c r="I572" t="s">
        <v>21</v>
      </c>
      <c r="J572">
        <v>1</v>
      </c>
      <c r="K572">
        <v>0</v>
      </c>
      <c r="L572" t="s">
        <v>23</v>
      </c>
      <c r="M572" t="str">
        <f t="shared" si="54"/>
        <v>&gt;0.74</v>
      </c>
      <c r="N572">
        <v>0</v>
      </c>
      <c r="O572">
        <v>0.99990000000000001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s="1">
        <v>2.0000000000000002E-5</v>
      </c>
      <c r="W572" s="1">
        <f t="shared" si="55"/>
        <v>0.99990000000000001</v>
      </c>
      <c r="X572" t="s">
        <v>320</v>
      </c>
      <c r="Y572" t="str">
        <f>VLOOKUP(X572,Sheet1!A:B,2,FALSE)</f>
        <v>Quercus muehlenbergii Engelm.</v>
      </c>
      <c r="Z572" t="s">
        <v>1387</v>
      </c>
      <c r="AB572" s="1">
        <f t="shared" si="56"/>
        <v>0.99990000000000001</v>
      </c>
      <c r="AD572" t="str">
        <f>IF(W572&lt;0.99,LARGE((N572:R572,U572,V572),2),"0")</f>
        <v>0</v>
      </c>
      <c r="AE572" t="str">
        <f t="shared" si="59"/>
        <v/>
      </c>
      <c r="AH572" t="str">
        <f t="shared" si="60"/>
        <v xml:space="preserve">Based on ADMIXTURE results of 78,187 SNPs, </v>
      </c>
    </row>
    <row r="573" spans="1:34" x14ac:dyDescent="0.4">
      <c r="A573">
        <v>165</v>
      </c>
      <c r="B573" t="s">
        <v>321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22</v>
      </c>
      <c r="J573">
        <v>1</v>
      </c>
      <c r="K573">
        <v>0</v>
      </c>
      <c r="L573" t="s">
        <v>23</v>
      </c>
      <c r="M573" t="str">
        <f t="shared" si="54"/>
        <v>&gt;0.74</v>
      </c>
      <c r="N573">
        <v>0.99990000000000001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s="1">
        <v>2.0000000000000002E-5</v>
      </c>
      <c r="W573" s="1">
        <f t="shared" si="55"/>
        <v>0.99990000000000001</v>
      </c>
      <c r="X573" t="s">
        <v>322</v>
      </c>
      <c r="Y573" t="str">
        <f>VLOOKUP(X573,Sheet1!A:B,2,FALSE)</f>
        <v>Quercus stellata Wangenh.</v>
      </c>
      <c r="Z573" t="s">
        <v>1385</v>
      </c>
      <c r="AB573" s="1">
        <f t="shared" si="56"/>
        <v>0.99990000000000001</v>
      </c>
      <c r="AD573" t="str">
        <f>IF(W573&lt;0.99,LARGE((N573:R573,U573,V573),2),"0")</f>
        <v>0</v>
      </c>
      <c r="AE573" t="str">
        <f t="shared" si="59"/>
        <v/>
      </c>
      <c r="AH573" t="str">
        <f t="shared" si="60"/>
        <v xml:space="preserve">Based on ADMIXTURE results of 78,187 SNPs, </v>
      </c>
    </row>
    <row r="574" spans="1:34" x14ac:dyDescent="0.4">
      <c r="A574">
        <v>166</v>
      </c>
      <c r="B574" t="s">
        <v>323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22</v>
      </c>
      <c r="J574">
        <v>1</v>
      </c>
      <c r="K574">
        <v>0</v>
      </c>
      <c r="L574" t="s">
        <v>23</v>
      </c>
      <c r="M574" t="str">
        <f t="shared" si="54"/>
        <v>&gt;0.74</v>
      </c>
      <c r="N574">
        <v>0.99990000000000001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s="1">
        <v>2.0000000000000002E-5</v>
      </c>
      <c r="W574" s="1">
        <f t="shared" si="55"/>
        <v>0.99990000000000001</v>
      </c>
      <c r="X574" t="s">
        <v>324</v>
      </c>
      <c r="Y574" t="str">
        <f>VLOOKUP(X574,Sheet1!A:B,2,FALSE)</f>
        <v>Quercus stellata Wangenh.</v>
      </c>
      <c r="Z574" t="s">
        <v>1385</v>
      </c>
      <c r="AB574" s="1">
        <f t="shared" si="56"/>
        <v>0.99990000000000001</v>
      </c>
      <c r="AD574" t="str">
        <f>IF(W574&lt;0.99,LARGE((N574:R574,U574,V574),2),"0")</f>
        <v>0</v>
      </c>
      <c r="AE574" t="str">
        <f t="shared" si="59"/>
        <v/>
      </c>
      <c r="AH574" t="str">
        <f t="shared" si="60"/>
        <v xml:space="preserve">Based on ADMIXTURE results of 78,187 SNPs, </v>
      </c>
    </row>
    <row r="575" spans="1:34" x14ac:dyDescent="0.4">
      <c r="A575">
        <v>167</v>
      </c>
      <c r="B575" t="s">
        <v>325</v>
      </c>
      <c r="C575" t="s">
        <v>21</v>
      </c>
      <c r="D575" t="s">
        <v>21</v>
      </c>
      <c r="E575" t="s">
        <v>21</v>
      </c>
      <c r="F575" t="s">
        <v>22</v>
      </c>
      <c r="G575" t="s">
        <v>21</v>
      </c>
      <c r="H575" t="s">
        <v>21</v>
      </c>
      <c r="I575" t="s">
        <v>21</v>
      </c>
      <c r="J575">
        <v>1</v>
      </c>
      <c r="K575">
        <v>0</v>
      </c>
      <c r="L575" t="s">
        <v>23</v>
      </c>
      <c r="M575" t="str">
        <f t="shared" si="54"/>
        <v>&gt;0.74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0.94799999999999995</v>
      </c>
      <c r="T575">
        <v>5.1900000000000002E-2</v>
      </c>
      <c r="U575">
        <v>0</v>
      </c>
      <c r="V575">
        <v>0.99994000000000005</v>
      </c>
      <c r="W575" s="1">
        <f t="shared" si="55"/>
        <v>0.99994000000000005</v>
      </c>
      <c r="X575" t="s">
        <v>326</v>
      </c>
      <c r="Y575" t="str">
        <f>VLOOKUP(X575,Sheet1!A:B,2,FALSE)</f>
        <v>Quercus macrocarpa Michx.</v>
      </c>
      <c r="Z575" t="s">
        <v>1384</v>
      </c>
      <c r="AB575" s="1">
        <f t="shared" si="56"/>
        <v>0.99994000000000005</v>
      </c>
      <c r="AD575" t="str">
        <f>IF(W575&lt;0.99,LARGE((N575:R575,U575,V575),2),"0")</f>
        <v>0</v>
      </c>
      <c r="AE575" t="str">
        <f t="shared" si="59"/>
        <v/>
      </c>
      <c r="AH575" t="str">
        <f t="shared" si="60"/>
        <v xml:space="preserve">Based on ADMIXTURE results of 78,187 SNPs, </v>
      </c>
    </row>
    <row r="576" spans="1:34" x14ac:dyDescent="0.4">
      <c r="A576">
        <v>168</v>
      </c>
      <c r="B576" t="s">
        <v>327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22</v>
      </c>
      <c r="J576">
        <v>1</v>
      </c>
      <c r="K576">
        <v>0</v>
      </c>
      <c r="L576" t="s">
        <v>23</v>
      </c>
      <c r="M576" t="str">
        <f t="shared" si="54"/>
        <v>&gt;0.74</v>
      </c>
      <c r="N576">
        <v>0.99990000000000001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s="1">
        <v>2.1999999999999999E-5</v>
      </c>
      <c r="W576" s="1">
        <f t="shared" si="55"/>
        <v>0.99990000000000001</v>
      </c>
      <c r="X576" t="s">
        <v>328</v>
      </c>
      <c r="Y576" t="str">
        <f>VLOOKUP(X576,Sheet1!A:B,2,FALSE)</f>
        <v>Quercus stellata Wangenh.</v>
      </c>
      <c r="Z576" t="s">
        <v>1385</v>
      </c>
      <c r="AB576" s="1">
        <f t="shared" si="56"/>
        <v>0.99990000000000001</v>
      </c>
      <c r="AD576" t="str">
        <f>IF(W576&lt;0.99,LARGE((N576:R576,U576,V576),2),"0")</f>
        <v>0</v>
      </c>
      <c r="AE576" t="str">
        <f t="shared" si="59"/>
        <v/>
      </c>
      <c r="AH576" t="str">
        <f t="shared" si="60"/>
        <v xml:space="preserve">Based on ADMIXTURE results of 78,187 SNPs, </v>
      </c>
    </row>
    <row r="577" spans="1:34" x14ac:dyDescent="0.4">
      <c r="A577">
        <v>169</v>
      </c>
      <c r="B577" t="s">
        <v>329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22</v>
      </c>
      <c r="J577">
        <v>1</v>
      </c>
      <c r="K577">
        <v>0</v>
      </c>
      <c r="L577" t="s">
        <v>23</v>
      </c>
      <c r="M577" t="str">
        <f t="shared" si="54"/>
        <v>&gt;0.74</v>
      </c>
      <c r="N577">
        <v>0.99990000000000001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s="1">
        <v>2.0000000000000002E-5</v>
      </c>
      <c r="W577" s="1">
        <f t="shared" si="55"/>
        <v>0.99990000000000001</v>
      </c>
      <c r="X577" t="s">
        <v>330</v>
      </c>
      <c r="Y577" t="str">
        <f>VLOOKUP(X577,Sheet1!A:B,2,FALSE)</f>
        <v>Quercus stellata Wangenh.</v>
      </c>
      <c r="Z577" t="s">
        <v>1385</v>
      </c>
      <c r="AB577" s="1">
        <f t="shared" si="56"/>
        <v>0.99990000000000001</v>
      </c>
      <c r="AD577" t="str">
        <f>IF(W577&lt;0.99,LARGE((N577:R577,U577,V577),2),"0")</f>
        <v>0</v>
      </c>
      <c r="AE577" t="str">
        <f t="shared" si="59"/>
        <v/>
      </c>
      <c r="AH577" t="str">
        <f t="shared" si="60"/>
        <v xml:space="preserve">Based on ADMIXTURE results of 78,187 SNPs, </v>
      </c>
    </row>
    <row r="578" spans="1:34" x14ac:dyDescent="0.4">
      <c r="A578">
        <v>170</v>
      </c>
      <c r="B578" t="s">
        <v>331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22</v>
      </c>
      <c r="I578" t="s">
        <v>21</v>
      </c>
      <c r="J578">
        <v>1</v>
      </c>
      <c r="K578">
        <v>0</v>
      </c>
      <c r="L578" t="s">
        <v>23</v>
      </c>
      <c r="M578" t="str">
        <f t="shared" ref="M578:M641" si="61">IF(AND(W578&lt;0.58,W578&gt;0.2),"F1",IF(W578&lt;0.74,"BC1?","&gt;0.74"))</f>
        <v>&gt;0.74</v>
      </c>
      <c r="N578">
        <v>0</v>
      </c>
      <c r="O578">
        <v>0.99990000000000001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s="1">
        <v>2.0000000000000002E-5</v>
      </c>
      <c r="W578" s="1">
        <f t="shared" ref="W578:W641" si="62">MAX(N578:R578,U578,V578)</f>
        <v>0.99990000000000001</v>
      </c>
      <c r="X578" t="s">
        <v>332</v>
      </c>
      <c r="Y578" t="str">
        <f>VLOOKUP(X578,Sheet1!A:B,2,FALSE)</f>
        <v>Quercus muehlenbergii Engelm.</v>
      </c>
      <c r="Z578" t="s">
        <v>1387</v>
      </c>
      <c r="AB578" s="1">
        <f t="shared" ref="AB578:AB641" si="63">MAX(N578:R578,U578,V578)</f>
        <v>0.99990000000000001</v>
      </c>
      <c r="AD578" t="str">
        <f>IF(W578&lt;0.99,LARGE((N578:R578,U578,V578),2),"0")</f>
        <v>0</v>
      </c>
      <c r="AE578" t="str">
        <f t="shared" si="59"/>
        <v/>
      </c>
      <c r="AH578" t="str">
        <f t="shared" si="60"/>
        <v xml:space="preserve">Based on ADMIXTURE results of 78,187 SNPs, </v>
      </c>
    </row>
    <row r="579" spans="1:34" x14ac:dyDescent="0.4">
      <c r="A579">
        <v>598</v>
      </c>
      <c r="B579" t="s">
        <v>1188</v>
      </c>
      <c r="C579" t="s">
        <v>21</v>
      </c>
      <c r="D579" t="s">
        <v>21</v>
      </c>
      <c r="E579" t="s">
        <v>21</v>
      </c>
      <c r="F579" t="s">
        <v>22</v>
      </c>
      <c r="G579" t="s">
        <v>21</v>
      </c>
      <c r="H579" t="s">
        <v>21</v>
      </c>
      <c r="I579" t="s">
        <v>21</v>
      </c>
      <c r="J579">
        <v>1</v>
      </c>
      <c r="K579">
        <v>0</v>
      </c>
      <c r="L579" t="s">
        <v>23</v>
      </c>
      <c r="M579" t="str">
        <f t="shared" si="61"/>
        <v>&gt;0.74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0.97119999999999995</v>
      </c>
      <c r="T579">
        <v>2.87E-2</v>
      </c>
      <c r="U579">
        <v>0</v>
      </c>
      <c r="V579">
        <v>0.99994000000000005</v>
      </c>
      <c r="W579" s="1">
        <f t="shared" si="62"/>
        <v>0.99994000000000005</v>
      </c>
      <c r="X579" t="s">
        <v>1189</v>
      </c>
      <c r="Y579" t="str">
        <f>VLOOKUP(X579,Sheet1!A:B,2,FALSE)</f>
        <v>Quercus macrocarpa Michx.</v>
      </c>
      <c r="Z579" t="s">
        <v>1384</v>
      </c>
      <c r="AB579" s="1">
        <f t="shared" si="63"/>
        <v>0.99994000000000005</v>
      </c>
      <c r="AD579" t="str">
        <f>IF(W579&lt;0.99,LARGE((N579:R579,U579,V579),2),"0")</f>
        <v>0</v>
      </c>
      <c r="AE579" t="str">
        <f t="shared" si="59"/>
        <v/>
      </c>
      <c r="AH579" t="str">
        <f t="shared" si="60"/>
        <v xml:space="preserve">Based on ADMIXTURE results of 78,187 SNPs, </v>
      </c>
    </row>
    <row r="580" spans="1:34" x14ac:dyDescent="0.4">
      <c r="A580">
        <v>599</v>
      </c>
      <c r="B580" t="s">
        <v>1190</v>
      </c>
      <c r="C580" t="s">
        <v>21</v>
      </c>
      <c r="D580" t="s">
        <v>21</v>
      </c>
      <c r="E580" t="s">
        <v>21</v>
      </c>
      <c r="F580" t="s">
        <v>22</v>
      </c>
      <c r="G580" t="s">
        <v>21</v>
      </c>
      <c r="H580" t="s">
        <v>21</v>
      </c>
      <c r="I580" t="s">
        <v>21</v>
      </c>
      <c r="J580">
        <v>1</v>
      </c>
      <c r="K580">
        <v>0</v>
      </c>
      <c r="L580" t="s">
        <v>23</v>
      </c>
      <c r="M580" t="str">
        <f t="shared" si="61"/>
        <v>&gt;0.74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0.9425</v>
      </c>
      <c r="T580">
        <v>5.74E-2</v>
      </c>
      <c r="U580">
        <v>0</v>
      </c>
      <c r="V580">
        <v>0.99994000000000005</v>
      </c>
      <c r="W580" s="1">
        <f t="shared" si="62"/>
        <v>0.99994000000000005</v>
      </c>
      <c r="X580" t="s">
        <v>1191</v>
      </c>
      <c r="Y580" t="str">
        <f>VLOOKUP(X580,Sheet1!A:B,2,FALSE)</f>
        <v>Quercus macrocarpa Michx.</v>
      </c>
      <c r="Z580" t="s">
        <v>1384</v>
      </c>
      <c r="AB580" s="1">
        <f t="shared" si="63"/>
        <v>0.99994000000000005</v>
      </c>
      <c r="AD580" t="str">
        <f>IF(W580&lt;0.99,LARGE((N580:R580,U580,V580),2),"0")</f>
        <v>0</v>
      </c>
      <c r="AE580" t="str">
        <f t="shared" si="59"/>
        <v/>
      </c>
      <c r="AH580" t="str">
        <f t="shared" si="60"/>
        <v xml:space="preserve">Based on ADMIXTURE results of 78,187 SNPs, </v>
      </c>
    </row>
    <row r="581" spans="1:34" x14ac:dyDescent="0.4">
      <c r="A581">
        <v>600</v>
      </c>
      <c r="B581" t="s">
        <v>1192</v>
      </c>
      <c r="C581" t="s">
        <v>21</v>
      </c>
      <c r="D581" t="s">
        <v>21</v>
      </c>
      <c r="E581" t="s">
        <v>21</v>
      </c>
      <c r="F581" t="s">
        <v>22</v>
      </c>
      <c r="G581" t="s">
        <v>21</v>
      </c>
      <c r="H581" t="s">
        <v>21</v>
      </c>
      <c r="I581" t="s">
        <v>21</v>
      </c>
      <c r="J581">
        <v>1</v>
      </c>
      <c r="K581">
        <v>0</v>
      </c>
      <c r="L581" t="s">
        <v>23</v>
      </c>
      <c r="M581" t="str">
        <f t="shared" si="61"/>
        <v>&gt;0.74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0.99919999999999998</v>
      </c>
      <c r="T581" s="1">
        <v>6.9999999999999999E-4</v>
      </c>
      <c r="U581">
        <v>0</v>
      </c>
      <c r="V581">
        <v>0.99994000000000005</v>
      </c>
      <c r="W581" s="1">
        <f t="shared" si="62"/>
        <v>0.99994000000000005</v>
      </c>
      <c r="X581" t="s">
        <v>1193</v>
      </c>
      <c r="Y581" t="str">
        <f>VLOOKUP(X581,Sheet1!A:B,2,FALSE)</f>
        <v>Quercus macrocarpa Michx.</v>
      </c>
      <c r="Z581" t="s">
        <v>1384</v>
      </c>
      <c r="AB581" s="1">
        <f t="shared" si="63"/>
        <v>0.99994000000000005</v>
      </c>
      <c r="AD581" t="str">
        <f>IF(W581&lt;0.99,LARGE((N581:R581,U581,V581),2),"0")</f>
        <v>0</v>
      </c>
      <c r="AE581" t="str">
        <f t="shared" si="59"/>
        <v/>
      </c>
      <c r="AH581" t="str">
        <f t="shared" si="60"/>
        <v xml:space="preserve">Based on ADMIXTURE results of 78,187 SNPs, </v>
      </c>
    </row>
    <row r="582" spans="1:34" x14ac:dyDescent="0.4">
      <c r="A582">
        <v>601</v>
      </c>
      <c r="B582" t="s">
        <v>1194</v>
      </c>
      <c r="C582" t="s">
        <v>21</v>
      </c>
      <c r="D582" t="s">
        <v>21</v>
      </c>
      <c r="E582" t="s">
        <v>21</v>
      </c>
      <c r="F582" t="s">
        <v>22</v>
      </c>
      <c r="G582" t="s">
        <v>21</v>
      </c>
      <c r="H582" t="s">
        <v>21</v>
      </c>
      <c r="I582" t="s">
        <v>21</v>
      </c>
      <c r="J582">
        <v>1</v>
      </c>
      <c r="K582">
        <v>0</v>
      </c>
      <c r="L582" t="s">
        <v>23</v>
      </c>
      <c r="M582" t="str">
        <f t="shared" si="61"/>
        <v>&gt;0.74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0.99990000000000001</v>
      </c>
      <c r="T582">
        <v>0</v>
      </c>
      <c r="U582">
        <v>0</v>
      </c>
      <c r="V582">
        <v>0.99994000000000005</v>
      </c>
      <c r="W582" s="1">
        <f t="shared" si="62"/>
        <v>0.99994000000000005</v>
      </c>
      <c r="X582" t="s">
        <v>1195</v>
      </c>
      <c r="Y582" t="str">
        <f>VLOOKUP(X582,Sheet1!A:B,2,FALSE)</f>
        <v>Quercus macrocarpa Michx.</v>
      </c>
      <c r="Z582" t="s">
        <v>1384</v>
      </c>
      <c r="AB582" s="1">
        <f t="shared" si="63"/>
        <v>0.99994000000000005</v>
      </c>
      <c r="AD582" t="str">
        <f>IF(W582&lt;0.99,LARGE((N582:R582,U582,V582),2),"0")</f>
        <v>0</v>
      </c>
      <c r="AE582" t="str">
        <f t="shared" si="59"/>
        <v/>
      </c>
      <c r="AH582" t="str">
        <f t="shared" si="60"/>
        <v xml:space="preserve">Based on ADMIXTURE results of 78,187 SNPs, </v>
      </c>
    </row>
    <row r="583" spans="1:34" x14ac:dyDescent="0.4">
      <c r="A583">
        <v>602</v>
      </c>
      <c r="B583" t="s">
        <v>1196</v>
      </c>
      <c r="C583" t="s">
        <v>21</v>
      </c>
      <c r="D583" t="s">
        <v>21</v>
      </c>
      <c r="E583" t="s">
        <v>21</v>
      </c>
      <c r="F583" t="s">
        <v>22</v>
      </c>
      <c r="G583" t="s">
        <v>21</v>
      </c>
      <c r="H583" t="s">
        <v>21</v>
      </c>
      <c r="I583" t="s">
        <v>21</v>
      </c>
      <c r="J583">
        <v>1</v>
      </c>
      <c r="K583">
        <v>0</v>
      </c>
      <c r="L583" t="s">
        <v>23</v>
      </c>
      <c r="M583" t="str">
        <f t="shared" si="61"/>
        <v>&gt;0.74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0.99990000000000001</v>
      </c>
      <c r="T583">
        <v>0</v>
      </c>
      <c r="U583">
        <v>0</v>
      </c>
      <c r="V583">
        <v>0.99993799999999999</v>
      </c>
      <c r="W583" s="1">
        <f t="shared" si="62"/>
        <v>0.99993799999999999</v>
      </c>
      <c r="X583" t="s">
        <v>1197</v>
      </c>
      <c r="Y583" t="str">
        <f>VLOOKUP(X583,Sheet1!A:B,2,FALSE)</f>
        <v>Quercus macrocarpa Michx.</v>
      </c>
      <c r="Z583" t="s">
        <v>1384</v>
      </c>
      <c r="AB583" s="1">
        <f t="shared" si="63"/>
        <v>0.99993799999999999</v>
      </c>
      <c r="AD583" t="str">
        <f>IF(W583&lt;0.99,LARGE((N583:R583,U583,V583),2),"0")</f>
        <v>0</v>
      </c>
      <c r="AE583" t="str">
        <f t="shared" si="59"/>
        <v/>
      </c>
      <c r="AH583" t="str">
        <f t="shared" si="60"/>
        <v xml:space="preserve">Based on ADMIXTURE results of 78,187 SNPs, </v>
      </c>
    </row>
    <row r="584" spans="1:34" x14ac:dyDescent="0.4">
      <c r="A584">
        <v>603</v>
      </c>
      <c r="B584" t="s">
        <v>1198</v>
      </c>
      <c r="C584" t="s">
        <v>21</v>
      </c>
      <c r="D584" t="s">
        <v>21</v>
      </c>
      <c r="E584" t="s">
        <v>21</v>
      </c>
      <c r="F584" t="s">
        <v>22</v>
      </c>
      <c r="G584" t="s">
        <v>21</v>
      </c>
      <c r="H584" t="s">
        <v>21</v>
      </c>
      <c r="I584" t="s">
        <v>21</v>
      </c>
      <c r="J584">
        <v>1</v>
      </c>
      <c r="K584">
        <v>0</v>
      </c>
      <c r="L584" t="s">
        <v>23</v>
      </c>
      <c r="M584" t="str">
        <f t="shared" si="61"/>
        <v>&gt;0.74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0.99990000000000001</v>
      </c>
      <c r="T584">
        <v>0</v>
      </c>
      <c r="U584">
        <v>0</v>
      </c>
      <c r="V584">
        <v>0.99994000000000005</v>
      </c>
      <c r="W584" s="1">
        <f t="shared" si="62"/>
        <v>0.99994000000000005</v>
      </c>
      <c r="X584" t="s">
        <v>1199</v>
      </c>
      <c r="Y584" t="str">
        <f>VLOOKUP(X584,Sheet1!A:B,2,FALSE)</f>
        <v>Quercus macrocarpa Michx.</v>
      </c>
      <c r="Z584" t="s">
        <v>1384</v>
      </c>
      <c r="AB584" s="1">
        <f t="shared" si="63"/>
        <v>0.99994000000000005</v>
      </c>
      <c r="AD584" t="str">
        <f>IF(W584&lt;0.99,LARGE((N584:R584,U584,V584),2),"0")</f>
        <v>0</v>
      </c>
      <c r="AE584" t="str">
        <f t="shared" si="59"/>
        <v/>
      </c>
      <c r="AH584" t="str">
        <f t="shared" si="60"/>
        <v xml:space="preserve">Based on ADMIXTURE results of 78,187 SNPs, </v>
      </c>
    </row>
    <row r="585" spans="1:34" x14ac:dyDescent="0.4">
      <c r="A585">
        <v>604</v>
      </c>
      <c r="B585" t="s">
        <v>1200</v>
      </c>
      <c r="C585" t="s">
        <v>21</v>
      </c>
      <c r="D585" t="s">
        <v>21</v>
      </c>
      <c r="E585" t="s">
        <v>21</v>
      </c>
      <c r="F585" t="s">
        <v>22</v>
      </c>
      <c r="G585" t="s">
        <v>21</v>
      </c>
      <c r="H585" t="s">
        <v>21</v>
      </c>
      <c r="I585" t="s">
        <v>21</v>
      </c>
      <c r="J585">
        <v>1</v>
      </c>
      <c r="K585">
        <v>0</v>
      </c>
      <c r="L585" t="s">
        <v>23</v>
      </c>
      <c r="M585" t="str">
        <f t="shared" si="61"/>
        <v>&gt;0.74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0.99990000000000001</v>
      </c>
      <c r="T585">
        <v>0</v>
      </c>
      <c r="U585">
        <v>0</v>
      </c>
      <c r="V585">
        <v>0.99994000000000005</v>
      </c>
      <c r="W585" s="1">
        <f t="shared" si="62"/>
        <v>0.99994000000000005</v>
      </c>
      <c r="X585" t="s">
        <v>1201</v>
      </c>
      <c r="Y585" t="str">
        <f>VLOOKUP(X585,Sheet1!A:B,2,FALSE)</f>
        <v>Quercus macrocarpa Michx.</v>
      </c>
      <c r="Z585" t="s">
        <v>1384</v>
      </c>
      <c r="AB585" s="1">
        <f t="shared" si="63"/>
        <v>0.99994000000000005</v>
      </c>
      <c r="AD585" t="str">
        <f>IF(W585&lt;0.99,LARGE((N585:R585,U585,V585),2),"0")</f>
        <v>0</v>
      </c>
      <c r="AE585" t="str">
        <f t="shared" si="59"/>
        <v/>
      </c>
      <c r="AH585" t="str">
        <f t="shared" si="60"/>
        <v xml:space="preserve">Based on ADMIXTURE results of 78,187 SNPs, </v>
      </c>
    </row>
    <row r="586" spans="1:34" x14ac:dyDescent="0.4">
      <c r="A586">
        <v>605</v>
      </c>
      <c r="B586" t="s">
        <v>1202</v>
      </c>
      <c r="C586" t="s">
        <v>21</v>
      </c>
      <c r="D586" t="s">
        <v>21</v>
      </c>
      <c r="E586" t="s">
        <v>21</v>
      </c>
      <c r="F586" t="s">
        <v>22</v>
      </c>
      <c r="G586" t="s">
        <v>21</v>
      </c>
      <c r="H586" t="s">
        <v>21</v>
      </c>
      <c r="I586" t="s">
        <v>21</v>
      </c>
      <c r="J586">
        <v>1</v>
      </c>
      <c r="K586">
        <v>0</v>
      </c>
      <c r="L586" t="s">
        <v>23</v>
      </c>
      <c r="M586" t="str">
        <f t="shared" si="61"/>
        <v>&gt;0.74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0.99990000000000001</v>
      </c>
      <c r="T586">
        <v>0</v>
      </c>
      <c r="U586">
        <v>0</v>
      </c>
      <c r="V586">
        <v>0.99994000000000005</v>
      </c>
      <c r="W586" s="1">
        <f t="shared" si="62"/>
        <v>0.99994000000000005</v>
      </c>
      <c r="X586" t="s">
        <v>1203</v>
      </c>
      <c r="Y586" t="str">
        <f>VLOOKUP(X586,Sheet1!A:B,2,FALSE)</f>
        <v>Quercus macrocarpa Michx.</v>
      </c>
      <c r="Z586" t="s">
        <v>1384</v>
      </c>
      <c r="AB586" s="1">
        <f t="shared" si="63"/>
        <v>0.99994000000000005</v>
      </c>
      <c r="AD586" t="str">
        <f>IF(W586&lt;0.99,LARGE((N586:R586,U586,V586),2),"0")</f>
        <v>0</v>
      </c>
      <c r="AE586" t="str">
        <f t="shared" si="59"/>
        <v/>
      </c>
      <c r="AH586" t="str">
        <f t="shared" si="60"/>
        <v xml:space="preserve">Based on ADMIXTURE results of 78,187 SNPs, </v>
      </c>
    </row>
    <row r="587" spans="1:34" x14ac:dyDescent="0.4">
      <c r="A587">
        <v>606</v>
      </c>
      <c r="B587" t="s">
        <v>1204</v>
      </c>
      <c r="C587" t="s">
        <v>21</v>
      </c>
      <c r="D587" t="s">
        <v>21</v>
      </c>
      <c r="E587" t="s">
        <v>21</v>
      </c>
      <c r="F587" t="s">
        <v>22</v>
      </c>
      <c r="G587" t="s">
        <v>21</v>
      </c>
      <c r="H587" t="s">
        <v>21</v>
      </c>
      <c r="I587" t="s">
        <v>21</v>
      </c>
      <c r="J587">
        <v>1</v>
      </c>
      <c r="K587">
        <v>0</v>
      </c>
      <c r="L587" t="s">
        <v>23</v>
      </c>
      <c r="M587" t="str">
        <f t="shared" si="61"/>
        <v>&gt;0.74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0.99990000000000001</v>
      </c>
      <c r="T587">
        <v>0</v>
      </c>
      <c r="U587">
        <v>0</v>
      </c>
      <c r="V587">
        <v>0.99994000000000005</v>
      </c>
      <c r="W587" s="1">
        <f t="shared" si="62"/>
        <v>0.99994000000000005</v>
      </c>
      <c r="X587" t="s">
        <v>1205</v>
      </c>
      <c r="Y587" t="str">
        <f>VLOOKUP(X587,Sheet1!A:B,2,FALSE)</f>
        <v>Quercus macrocarpa Michx.</v>
      </c>
      <c r="Z587" t="s">
        <v>1384</v>
      </c>
      <c r="AB587" s="1">
        <f t="shared" si="63"/>
        <v>0.99994000000000005</v>
      </c>
      <c r="AD587" t="str">
        <f>IF(W587&lt;0.99,LARGE((N587:R587,U587,V587),2),"0")</f>
        <v>0</v>
      </c>
      <c r="AE587" t="str">
        <f t="shared" si="59"/>
        <v/>
      </c>
      <c r="AH587" t="str">
        <f t="shared" si="60"/>
        <v xml:space="preserve">Based on ADMIXTURE results of 78,187 SNPs, </v>
      </c>
    </row>
    <row r="588" spans="1:34" x14ac:dyDescent="0.4">
      <c r="A588">
        <v>607</v>
      </c>
      <c r="B588" t="s">
        <v>1206</v>
      </c>
      <c r="C588" t="s">
        <v>21</v>
      </c>
      <c r="D588" t="s">
        <v>21</v>
      </c>
      <c r="E588" t="s">
        <v>21</v>
      </c>
      <c r="F588" t="s">
        <v>22</v>
      </c>
      <c r="G588" t="s">
        <v>21</v>
      </c>
      <c r="H588" t="s">
        <v>21</v>
      </c>
      <c r="I588" t="s">
        <v>21</v>
      </c>
      <c r="J588">
        <v>1</v>
      </c>
      <c r="K588">
        <v>0</v>
      </c>
      <c r="L588" t="s">
        <v>23</v>
      </c>
      <c r="M588" t="str">
        <f t="shared" si="61"/>
        <v>&gt;0.74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0.99990000000000001</v>
      </c>
      <c r="T588">
        <v>0</v>
      </c>
      <c r="U588">
        <v>0</v>
      </c>
      <c r="V588">
        <v>0.99994000000000005</v>
      </c>
      <c r="W588" s="1">
        <f t="shared" si="62"/>
        <v>0.99994000000000005</v>
      </c>
      <c r="X588" t="s">
        <v>1207</v>
      </c>
      <c r="Y588" t="str">
        <f>VLOOKUP(X588,Sheet1!A:B,2,FALSE)</f>
        <v>Quercus macrocarpa Michx.</v>
      </c>
      <c r="Z588" t="s">
        <v>1384</v>
      </c>
      <c r="AB588" s="1">
        <f t="shared" si="63"/>
        <v>0.99994000000000005</v>
      </c>
      <c r="AD588" t="str">
        <f>IF(W588&lt;0.99,LARGE((N588:R588,U588,V588),2),"0")</f>
        <v>0</v>
      </c>
      <c r="AE588" t="str">
        <f t="shared" si="59"/>
        <v/>
      </c>
      <c r="AH588" t="str">
        <f t="shared" si="60"/>
        <v xml:space="preserve">Based on ADMIXTURE results of 78,187 SNPs, </v>
      </c>
    </row>
    <row r="589" spans="1:34" x14ac:dyDescent="0.4">
      <c r="A589">
        <v>171</v>
      </c>
      <c r="B589" t="s">
        <v>333</v>
      </c>
      <c r="C589" t="s">
        <v>21</v>
      </c>
      <c r="D589" t="s">
        <v>21</v>
      </c>
      <c r="E589" t="s">
        <v>21</v>
      </c>
      <c r="F589" t="s">
        <v>22</v>
      </c>
      <c r="G589" t="s">
        <v>21</v>
      </c>
      <c r="H589" t="s">
        <v>21</v>
      </c>
      <c r="I589" t="s">
        <v>21</v>
      </c>
      <c r="J589">
        <v>1</v>
      </c>
      <c r="K589">
        <v>0</v>
      </c>
      <c r="L589" t="s">
        <v>23</v>
      </c>
      <c r="M589" t="str">
        <f t="shared" si="61"/>
        <v>&gt;0.74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0.99990000000000001</v>
      </c>
      <c r="T589">
        <v>0</v>
      </c>
      <c r="U589">
        <v>0</v>
      </c>
      <c r="V589">
        <v>0.99994000000000005</v>
      </c>
      <c r="W589" s="1">
        <f t="shared" si="62"/>
        <v>0.99994000000000005</v>
      </c>
      <c r="X589" t="s">
        <v>334</v>
      </c>
      <c r="Y589" t="str">
        <f>VLOOKUP(X589,Sheet1!A:B,2,FALSE)</f>
        <v>Quercus macrocarpa Michx.</v>
      </c>
      <c r="Z589" t="s">
        <v>1384</v>
      </c>
      <c r="AB589" s="1">
        <f t="shared" si="63"/>
        <v>0.99994000000000005</v>
      </c>
      <c r="AD589" t="str">
        <f>IF(W589&lt;0.99,LARGE((N589:R589,U589,V589),2),"0")</f>
        <v>0</v>
      </c>
      <c r="AE589" t="str">
        <f t="shared" si="59"/>
        <v/>
      </c>
      <c r="AH589" t="str">
        <f t="shared" si="60"/>
        <v xml:space="preserve">Based on ADMIXTURE results of 78,187 SNPs, </v>
      </c>
    </row>
    <row r="590" spans="1:34" x14ac:dyDescent="0.4">
      <c r="A590">
        <v>172</v>
      </c>
      <c r="B590" t="s">
        <v>335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22</v>
      </c>
      <c r="I590" t="s">
        <v>21</v>
      </c>
      <c r="J590">
        <v>1</v>
      </c>
      <c r="K590">
        <v>0</v>
      </c>
      <c r="L590" t="s">
        <v>23</v>
      </c>
      <c r="M590" t="str">
        <f t="shared" si="61"/>
        <v>&gt;0.74</v>
      </c>
      <c r="N590">
        <v>0</v>
      </c>
      <c r="O590">
        <v>0.99990000000000001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s="1">
        <v>2.0000000000000002E-5</v>
      </c>
      <c r="W590" s="1">
        <f t="shared" si="62"/>
        <v>0.99990000000000001</v>
      </c>
      <c r="X590" t="s">
        <v>336</v>
      </c>
      <c r="Y590" t="str">
        <f>VLOOKUP(X590,Sheet1!A:B,2,FALSE)</f>
        <v>Quercus muehlenbergii Engelm.</v>
      </c>
      <c r="Z590" t="s">
        <v>1387</v>
      </c>
      <c r="AB590" s="1">
        <f t="shared" si="63"/>
        <v>0.99990000000000001</v>
      </c>
      <c r="AD590" t="str">
        <f>IF(W590&lt;0.99,LARGE((N590:R590,U590,V590),2),"0")</f>
        <v>0</v>
      </c>
      <c r="AE590" t="str">
        <f t="shared" si="59"/>
        <v/>
      </c>
      <c r="AH590" t="str">
        <f t="shared" si="60"/>
        <v xml:space="preserve">Based on ADMIXTURE results of 78,187 SNPs, </v>
      </c>
    </row>
    <row r="591" spans="1:34" x14ac:dyDescent="0.4">
      <c r="A591">
        <v>173</v>
      </c>
      <c r="B591" t="s">
        <v>337</v>
      </c>
      <c r="C591" t="s">
        <v>21</v>
      </c>
      <c r="D591" t="s">
        <v>21</v>
      </c>
      <c r="E591" t="s">
        <v>21</v>
      </c>
      <c r="F591" t="s">
        <v>22</v>
      </c>
      <c r="G591" t="s">
        <v>21</v>
      </c>
      <c r="H591" t="s">
        <v>21</v>
      </c>
      <c r="I591" t="s">
        <v>21</v>
      </c>
      <c r="J591">
        <v>1</v>
      </c>
      <c r="K591">
        <v>0</v>
      </c>
      <c r="L591" t="s">
        <v>23</v>
      </c>
      <c r="M591" t="str">
        <f t="shared" si="61"/>
        <v>&gt;0.74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0.99990000000000001</v>
      </c>
      <c r="T591">
        <v>0</v>
      </c>
      <c r="U591">
        <v>0</v>
      </c>
      <c r="V591">
        <v>0.99994000000000005</v>
      </c>
      <c r="W591" s="1">
        <f t="shared" si="62"/>
        <v>0.99994000000000005</v>
      </c>
      <c r="X591" t="s">
        <v>338</v>
      </c>
      <c r="Y591" t="str">
        <f>VLOOKUP(X591,Sheet1!A:B,2,FALSE)</f>
        <v>Quercus macrocarpa Michx.</v>
      </c>
      <c r="Z591" t="s">
        <v>1384</v>
      </c>
      <c r="AB591" s="1">
        <f t="shared" si="63"/>
        <v>0.99994000000000005</v>
      </c>
      <c r="AD591" t="str">
        <f>IF(W591&lt;0.99,LARGE((N591:R591,U591,V591),2),"0")</f>
        <v>0</v>
      </c>
      <c r="AE591" t="str">
        <f t="shared" si="59"/>
        <v/>
      </c>
      <c r="AH591" t="str">
        <f t="shared" si="60"/>
        <v xml:space="preserve">Based on ADMIXTURE results of 78,187 SNPs, </v>
      </c>
    </row>
    <row r="592" spans="1:34" x14ac:dyDescent="0.4">
      <c r="A592">
        <v>174</v>
      </c>
      <c r="B592" t="s">
        <v>339</v>
      </c>
      <c r="C592" t="s">
        <v>21</v>
      </c>
      <c r="D592" t="s">
        <v>21</v>
      </c>
      <c r="E592" t="s">
        <v>21</v>
      </c>
      <c r="F592" t="s">
        <v>22</v>
      </c>
      <c r="G592" t="s">
        <v>21</v>
      </c>
      <c r="H592" t="s">
        <v>21</v>
      </c>
      <c r="I592" t="s">
        <v>21</v>
      </c>
      <c r="J592">
        <v>1</v>
      </c>
      <c r="K592">
        <v>0</v>
      </c>
      <c r="L592" t="s">
        <v>23</v>
      </c>
      <c r="M592" t="str">
        <f t="shared" si="61"/>
        <v>&gt;0.74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0.99990000000000001</v>
      </c>
      <c r="T592">
        <v>0</v>
      </c>
      <c r="U592">
        <v>0</v>
      </c>
      <c r="V592">
        <v>0.99994000000000005</v>
      </c>
      <c r="W592" s="1">
        <f t="shared" si="62"/>
        <v>0.99994000000000005</v>
      </c>
      <c r="X592" t="s">
        <v>340</v>
      </c>
      <c r="Y592" t="str">
        <f>VLOOKUP(X592,Sheet1!A:B,2,FALSE)</f>
        <v>Quercus macrocarpa Michx.</v>
      </c>
      <c r="Z592" t="s">
        <v>1384</v>
      </c>
      <c r="AB592" s="1">
        <f t="shared" si="63"/>
        <v>0.99994000000000005</v>
      </c>
      <c r="AD592" t="str">
        <f>IF(W592&lt;0.99,LARGE((N592:R592,U592,V592),2),"0")</f>
        <v>0</v>
      </c>
      <c r="AE592" t="str">
        <f t="shared" si="59"/>
        <v/>
      </c>
      <c r="AH592" t="str">
        <f t="shared" si="60"/>
        <v xml:space="preserve">Based on ADMIXTURE results of 78,187 SNPs, </v>
      </c>
    </row>
    <row r="593" spans="1:34" x14ac:dyDescent="0.4">
      <c r="A593">
        <v>175</v>
      </c>
      <c r="B593" t="s">
        <v>341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22</v>
      </c>
      <c r="I593" t="s">
        <v>21</v>
      </c>
      <c r="J593">
        <v>1</v>
      </c>
      <c r="K593">
        <v>0</v>
      </c>
      <c r="L593" t="s">
        <v>23</v>
      </c>
      <c r="M593" t="str">
        <f t="shared" si="61"/>
        <v>&gt;0.74</v>
      </c>
      <c r="N593">
        <v>0</v>
      </c>
      <c r="O593">
        <v>0.99990000000000001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s="1">
        <v>2.0000000000000002E-5</v>
      </c>
      <c r="W593" s="1">
        <f t="shared" si="62"/>
        <v>0.99990000000000001</v>
      </c>
      <c r="X593" t="s">
        <v>342</v>
      </c>
      <c r="Y593" t="str">
        <f>VLOOKUP(X593,Sheet1!A:B,2,FALSE)</f>
        <v>Quercus muehlenbergii Engelm.</v>
      </c>
      <c r="Z593" t="s">
        <v>1387</v>
      </c>
      <c r="AB593" s="1">
        <f t="shared" si="63"/>
        <v>0.99990000000000001</v>
      </c>
      <c r="AD593" t="str">
        <f>IF(W593&lt;0.99,LARGE((N593:R593,U593,V593),2),"0")</f>
        <v>0</v>
      </c>
      <c r="AE593" t="str">
        <f t="shared" si="59"/>
        <v/>
      </c>
      <c r="AH593" t="str">
        <f t="shared" si="60"/>
        <v xml:space="preserve">Based on ADMIXTURE results of 78,187 SNPs, </v>
      </c>
    </row>
    <row r="594" spans="1:34" x14ac:dyDescent="0.4">
      <c r="A594">
        <v>176</v>
      </c>
      <c r="B594" t="s">
        <v>343</v>
      </c>
      <c r="C594" t="s">
        <v>21</v>
      </c>
      <c r="D594" t="s">
        <v>21</v>
      </c>
      <c r="E594" t="s">
        <v>21</v>
      </c>
      <c r="F594" t="s">
        <v>22</v>
      </c>
      <c r="G594" t="s">
        <v>21</v>
      </c>
      <c r="H594" t="s">
        <v>21</v>
      </c>
      <c r="I594" t="s">
        <v>21</v>
      </c>
      <c r="J594">
        <v>1</v>
      </c>
      <c r="K594">
        <v>0</v>
      </c>
      <c r="L594" t="s">
        <v>23</v>
      </c>
      <c r="M594" t="str">
        <f t="shared" si="61"/>
        <v>&gt;0.74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0.99990000000000001</v>
      </c>
      <c r="T594">
        <v>0</v>
      </c>
      <c r="U594">
        <v>0</v>
      </c>
      <c r="V594">
        <v>0.99994000000000005</v>
      </c>
      <c r="W594" s="1">
        <f t="shared" si="62"/>
        <v>0.99994000000000005</v>
      </c>
      <c r="X594" t="s">
        <v>344</v>
      </c>
      <c r="Y594" t="str">
        <f>VLOOKUP(X594,Sheet1!A:B,2,FALSE)</f>
        <v>Quercus macrocarpa Michx.</v>
      </c>
      <c r="Z594" t="s">
        <v>1384</v>
      </c>
      <c r="AB594" s="1">
        <f t="shared" si="63"/>
        <v>0.99994000000000005</v>
      </c>
      <c r="AD594" t="str">
        <f>IF(W594&lt;0.99,LARGE((N594:R594,U594,V594),2),"0")</f>
        <v>0</v>
      </c>
      <c r="AE594" t="str">
        <f t="shared" si="59"/>
        <v/>
      </c>
      <c r="AH594" t="str">
        <f t="shared" si="60"/>
        <v xml:space="preserve">Based on ADMIXTURE results of 78,187 SNPs, </v>
      </c>
    </row>
    <row r="595" spans="1:34" x14ac:dyDescent="0.4">
      <c r="A595">
        <v>177</v>
      </c>
      <c r="B595" t="s">
        <v>345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22</v>
      </c>
      <c r="I595" t="s">
        <v>21</v>
      </c>
      <c r="J595">
        <v>1</v>
      </c>
      <c r="K595">
        <v>0</v>
      </c>
      <c r="L595" t="s">
        <v>23</v>
      </c>
      <c r="M595" t="str">
        <f t="shared" si="61"/>
        <v>&gt;0.74</v>
      </c>
      <c r="N595">
        <v>0</v>
      </c>
      <c r="O595">
        <v>0.99990000000000001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s="1">
        <v>2.0000000000000002E-5</v>
      </c>
      <c r="W595" s="1">
        <f t="shared" si="62"/>
        <v>0.99990000000000001</v>
      </c>
      <c r="X595" t="s">
        <v>346</v>
      </c>
      <c r="Y595" t="str">
        <f>VLOOKUP(X595,Sheet1!A:B,2,FALSE)</f>
        <v>Quercus muehlenbergii Engelm.</v>
      </c>
      <c r="Z595" t="s">
        <v>1387</v>
      </c>
      <c r="AB595" s="1">
        <f t="shared" si="63"/>
        <v>0.99990000000000001</v>
      </c>
      <c r="AD595" t="str">
        <f>IF(W595&lt;0.99,LARGE((N595:R595,U595,V595),2),"0")</f>
        <v>0</v>
      </c>
      <c r="AE595" t="str">
        <f t="shared" si="59"/>
        <v/>
      </c>
      <c r="AH595" t="str">
        <f t="shared" si="60"/>
        <v xml:space="preserve">Based on ADMIXTURE results of 78,187 SNPs, </v>
      </c>
    </row>
    <row r="596" spans="1:34" x14ac:dyDescent="0.4">
      <c r="A596">
        <v>178</v>
      </c>
      <c r="B596" t="s">
        <v>347</v>
      </c>
      <c r="C596" t="s">
        <v>22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>
        <v>1</v>
      </c>
      <c r="K596">
        <v>0</v>
      </c>
      <c r="L596" t="s">
        <v>23</v>
      </c>
      <c r="M596" t="str">
        <f t="shared" si="61"/>
        <v>&gt;0.74</v>
      </c>
      <c r="N596">
        <v>0</v>
      </c>
      <c r="O596">
        <v>0</v>
      </c>
      <c r="P596">
        <v>0.99990000000000001</v>
      </c>
      <c r="Q596">
        <v>0</v>
      </c>
      <c r="R596">
        <v>0</v>
      </c>
      <c r="S596">
        <v>0</v>
      </c>
      <c r="T596">
        <v>0</v>
      </c>
      <c r="U596">
        <v>0</v>
      </c>
      <c r="V596" s="1">
        <v>2.0000000000000002E-5</v>
      </c>
      <c r="W596" s="1">
        <f t="shared" si="62"/>
        <v>0.99990000000000001</v>
      </c>
      <c r="X596" t="s">
        <v>348</v>
      </c>
      <c r="Y596" t="str">
        <f>VLOOKUP(X596,Sheet1!A:B,2,FALSE)</f>
        <v>Quercus alba L.</v>
      </c>
      <c r="Z596" t="s">
        <v>1386</v>
      </c>
      <c r="AB596" s="1">
        <f t="shared" si="63"/>
        <v>0.99990000000000001</v>
      </c>
      <c r="AD596" t="str">
        <f>IF(W596&lt;0.99,LARGE((N596:R596,U596,V596),2),"0")</f>
        <v>0</v>
      </c>
      <c r="AE596" t="str">
        <f t="shared" si="59"/>
        <v/>
      </c>
      <c r="AH596" t="str">
        <f t="shared" si="60"/>
        <v xml:space="preserve">Based on ADMIXTURE results of 78,187 SNPs, </v>
      </c>
    </row>
    <row r="597" spans="1:34" x14ac:dyDescent="0.4">
      <c r="A597">
        <v>179</v>
      </c>
      <c r="B597" t="s">
        <v>349</v>
      </c>
      <c r="C597" t="s">
        <v>21</v>
      </c>
      <c r="D597" t="s">
        <v>21</v>
      </c>
      <c r="E597" t="s">
        <v>21</v>
      </c>
      <c r="F597" t="s">
        <v>22</v>
      </c>
      <c r="G597" t="s">
        <v>21</v>
      </c>
      <c r="H597" t="s">
        <v>21</v>
      </c>
      <c r="I597" t="s">
        <v>21</v>
      </c>
      <c r="J597">
        <v>1</v>
      </c>
      <c r="K597">
        <v>0</v>
      </c>
      <c r="L597" t="s">
        <v>23</v>
      </c>
      <c r="M597" t="str">
        <f t="shared" si="61"/>
        <v>&gt;0.74</v>
      </c>
      <c r="N597">
        <v>5.7000000000000002E-3</v>
      </c>
      <c r="O597">
        <v>0</v>
      </c>
      <c r="P597">
        <v>0</v>
      </c>
      <c r="Q597">
        <v>0</v>
      </c>
      <c r="R597">
        <v>0</v>
      </c>
      <c r="S597">
        <v>0.99429999999999996</v>
      </c>
      <c r="T597">
        <v>0</v>
      </c>
      <c r="U597">
        <v>0</v>
      </c>
      <c r="V597">
        <v>0.99429900000000004</v>
      </c>
      <c r="W597" s="1">
        <f t="shared" si="62"/>
        <v>0.99429900000000004</v>
      </c>
      <c r="X597" t="s">
        <v>350</v>
      </c>
      <c r="Y597" t="str">
        <f>VLOOKUP(X597,Sheet1!A:B,2,FALSE)</f>
        <v>Quercus macrocarpa Michx.</v>
      </c>
      <c r="Z597" t="s">
        <v>1384</v>
      </c>
      <c r="AB597" s="1">
        <f t="shared" si="63"/>
        <v>0.99429900000000004</v>
      </c>
      <c r="AD597" t="str">
        <f>IF(W597&lt;0.99,LARGE((N597:R597,U597,V597),2),"0")</f>
        <v>0</v>
      </c>
      <c r="AE597" t="str">
        <f t="shared" ref="AE597:AE628" si="64">IF(AND(AB597&lt;0.99,AD597&gt;0.1),"admixed with",IF(AND(AB597&lt;0.99,AD597&gt;0.01),"trace admixed with ",""))</f>
        <v/>
      </c>
      <c r="AH597" t="str">
        <f t="shared" si="60"/>
        <v xml:space="preserve">Based on ADMIXTURE results of 78,187 SNPs, </v>
      </c>
    </row>
    <row r="598" spans="1:34" x14ac:dyDescent="0.4">
      <c r="A598">
        <v>180</v>
      </c>
      <c r="B598" t="s">
        <v>351</v>
      </c>
      <c r="C598" t="s">
        <v>22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>
        <v>1</v>
      </c>
      <c r="K598">
        <v>0</v>
      </c>
      <c r="L598" t="s">
        <v>23</v>
      </c>
      <c r="M598" t="str">
        <f t="shared" si="61"/>
        <v>&gt;0.74</v>
      </c>
      <c r="N598">
        <v>0</v>
      </c>
      <c r="O598">
        <v>0</v>
      </c>
      <c r="P598">
        <v>0.99990000000000001</v>
      </c>
      <c r="Q598">
        <v>0</v>
      </c>
      <c r="R598">
        <v>0</v>
      </c>
      <c r="S598">
        <v>0</v>
      </c>
      <c r="T598">
        <v>0</v>
      </c>
      <c r="U598">
        <v>0</v>
      </c>
      <c r="V598" s="1">
        <v>2.0000000000000002E-5</v>
      </c>
      <c r="W598" s="1">
        <f t="shared" si="62"/>
        <v>0.99990000000000001</v>
      </c>
      <c r="X598" t="s">
        <v>352</v>
      </c>
      <c r="Y598" t="str">
        <f>VLOOKUP(X598,Sheet1!A:B,2,FALSE)</f>
        <v>Quercus alba L.</v>
      </c>
      <c r="Z598" t="s">
        <v>1386</v>
      </c>
      <c r="AB598" s="1">
        <f t="shared" si="63"/>
        <v>0.99990000000000001</v>
      </c>
      <c r="AD598" t="str">
        <f>IF(W598&lt;0.99,LARGE((N598:R598,U598,V598),2),"0")</f>
        <v>0</v>
      </c>
      <c r="AE598" t="str">
        <f t="shared" si="64"/>
        <v/>
      </c>
      <c r="AH598" t="str">
        <f t="shared" si="60"/>
        <v xml:space="preserve">Based on ADMIXTURE results of 78,187 SNPs, </v>
      </c>
    </row>
    <row r="599" spans="1:34" x14ac:dyDescent="0.4">
      <c r="A599">
        <v>181</v>
      </c>
      <c r="B599" t="s">
        <v>353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22</v>
      </c>
      <c r="I599" t="s">
        <v>21</v>
      </c>
      <c r="J599">
        <v>1</v>
      </c>
      <c r="K599">
        <v>0</v>
      </c>
      <c r="L599" t="s">
        <v>23</v>
      </c>
      <c r="M599" t="str">
        <f t="shared" si="61"/>
        <v>&gt;0.74</v>
      </c>
      <c r="N599">
        <v>0</v>
      </c>
      <c r="O599">
        <v>0.99990000000000001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s="1">
        <v>2.0000000000000002E-5</v>
      </c>
      <c r="W599" s="1">
        <f t="shared" si="62"/>
        <v>0.99990000000000001</v>
      </c>
      <c r="X599" t="s">
        <v>354</v>
      </c>
      <c r="Y599" t="str">
        <f>VLOOKUP(X599,Sheet1!A:B,2,FALSE)</f>
        <v>Quercus muehlenbergii Engelm.</v>
      </c>
      <c r="Z599" t="s">
        <v>1387</v>
      </c>
      <c r="AB599" s="1">
        <f t="shared" si="63"/>
        <v>0.99990000000000001</v>
      </c>
      <c r="AD599" t="str">
        <f>IF(W599&lt;0.99,LARGE((N599:R599,U599,V599),2),"0")</f>
        <v>0</v>
      </c>
      <c r="AE599" t="str">
        <f t="shared" si="64"/>
        <v/>
      </c>
      <c r="AH599" t="str">
        <f t="shared" si="60"/>
        <v xml:space="preserve">Based on ADMIXTURE results of 78,187 SNPs, </v>
      </c>
    </row>
    <row r="600" spans="1:34" x14ac:dyDescent="0.4">
      <c r="A600">
        <v>182</v>
      </c>
      <c r="B600" t="s">
        <v>355</v>
      </c>
      <c r="C600" t="s">
        <v>22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>
        <v>1</v>
      </c>
      <c r="K600">
        <v>0</v>
      </c>
      <c r="L600" t="s">
        <v>23</v>
      </c>
      <c r="M600" t="str">
        <f t="shared" si="61"/>
        <v>&gt;0.74</v>
      </c>
      <c r="N600">
        <v>0</v>
      </c>
      <c r="O600">
        <v>0</v>
      </c>
      <c r="P600">
        <v>0.99990000000000001</v>
      </c>
      <c r="Q600">
        <v>0</v>
      </c>
      <c r="R600">
        <v>0</v>
      </c>
      <c r="S600">
        <v>0</v>
      </c>
      <c r="T600">
        <v>0</v>
      </c>
      <c r="U600">
        <v>0</v>
      </c>
      <c r="V600" s="1">
        <v>2.0000000000000002E-5</v>
      </c>
      <c r="W600" s="1">
        <f t="shared" si="62"/>
        <v>0.99990000000000001</v>
      </c>
      <c r="X600" t="s">
        <v>356</v>
      </c>
      <c r="Y600" t="str">
        <f>VLOOKUP(X600,Sheet1!A:B,2,FALSE)</f>
        <v>Quercus alba L.</v>
      </c>
      <c r="Z600" t="s">
        <v>1386</v>
      </c>
      <c r="AB600" s="1">
        <f t="shared" si="63"/>
        <v>0.99990000000000001</v>
      </c>
      <c r="AD600" t="str">
        <f>IF(W600&lt;0.99,LARGE((N600:R600,U600,V600),2),"0")</f>
        <v>0</v>
      </c>
      <c r="AE600" t="str">
        <f t="shared" si="64"/>
        <v/>
      </c>
      <c r="AH600" t="str">
        <f t="shared" si="60"/>
        <v xml:space="preserve">Based on ADMIXTURE results of 78,187 SNPs, </v>
      </c>
    </row>
    <row r="601" spans="1:34" x14ac:dyDescent="0.4">
      <c r="A601">
        <v>183</v>
      </c>
      <c r="B601" t="s">
        <v>357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22</v>
      </c>
      <c r="I601" t="s">
        <v>21</v>
      </c>
      <c r="J601">
        <v>1</v>
      </c>
      <c r="K601">
        <v>0</v>
      </c>
      <c r="L601" t="s">
        <v>23</v>
      </c>
      <c r="M601" t="str">
        <f t="shared" si="61"/>
        <v>&gt;0.74</v>
      </c>
      <c r="N601">
        <v>0</v>
      </c>
      <c r="O601">
        <v>0.99990000000000001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s="1">
        <v>2.0000000000000002E-5</v>
      </c>
      <c r="W601" s="1">
        <f t="shared" si="62"/>
        <v>0.99990000000000001</v>
      </c>
      <c r="X601" t="s">
        <v>358</v>
      </c>
      <c r="Y601" t="str">
        <f>VLOOKUP(X601,Sheet1!A:B,2,FALSE)</f>
        <v>Quercus muehlenbergii Engelm.</v>
      </c>
      <c r="Z601" t="s">
        <v>1387</v>
      </c>
      <c r="AB601" s="1">
        <f t="shared" si="63"/>
        <v>0.99990000000000001</v>
      </c>
      <c r="AD601" t="str">
        <f>IF(W601&lt;0.99,LARGE((N601:R601,U601,V601),2),"0")</f>
        <v>0</v>
      </c>
      <c r="AE601" t="str">
        <f t="shared" si="64"/>
        <v/>
      </c>
      <c r="AH601" t="str">
        <f t="shared" si="60"/>
        <v xml:space="preserve">Based on ADMIXTURE results of 78,187 SNPs, </v>
      </c>
    </row>
    <row r="602" spans="1:34" x14ac:dyDescent="0.4">
      <c r="A602">
        <v>184</v>
      </c>
      <c r="B602" t="s">
        <v>359</v>
      </c>
      <c r="C602" t="s">
        <v>22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>
        <v>1</v>
      </c>
      <c r="K602">
        <v>0</v>
      </c>
      <c r="L602" t="s">
        <v>23</v>
      </c>
      <c r="M602" t="str">
        <f t="shared" si="61"/>
        <v>&gt;0.74</v>
      </c>
      <c r="N602">
        <v>0</v>
      </c>
      <c r="O602">
        <v>0</v>
      </c>
      <c r="P602">
        <v>0.99990000000000001</v>
      </c>
      <c r="Q602">
        <v>0</v>
      </c>
      <c r="R602">
        <v>0</v>
      </c>
      <c r="S602">
        <v>0</v>
      </c>
      <c r="T602">
        <v>0</v>
      </c>
      <c r="U602">
        <v>0</v>
      </c>
      <c r="V602" s="1">
        <v>2.0000000000000002E-5</v>
      </c>
      <c r="W602" s="1">
        <f t="shared" si="62"/>
        <v>0.99990000000000001</v>
      </c>
      <c r="X602" t="s">
        <v>360</v>
      </c>
      <c r="Y602" t="str">
        <f>VLOOKUP(X602,Sheet1!A:B,2,FALSE)</f>
        <v>Quercus alba L.</v>
      </c>
      <c r="Z602" t="s">
        <v>1386</v>
      </c>
      <c r="AB602" s="1">
        <f t="shared" si="63"/>
        <v>0.99990000000000001</v>
      </c>
      <c r="AD602" t="str">
        <f>IF(W602&lt;0.99,LARGE((N602:R602,U602,V602),2),"0")</f>
        <v>0</v>
      </c>
      <c r="AE602" t="str">
        <f t="shared" si="64"/>
        <v/>
      </c>
      <c r="AH602" t="str">
        <f t="shared" si="60"/>
        <v xml:space="preserve">Based on ADMIXTURE results of 78,187 SNPs, </v>
      </c>
    </row>
    <row r="603" spans="1:34" x14ac:dyDescent="0.4">
      <c r="A603">
        <v>185</v>
      </c>
      <c r="B603" t="s">
        <v>361</v>
      </c>
      <c r="C603" t="s">
        <v>22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>
        <v>1</v>
      </c>
      <c r="K603">
        <v>0</v>
      </c>
      <c r="L603" t="s">
        <v>23</v>
      </c>
      <c r="M603" t="str">
        <f t="shared" si="61"/>
        <v>&gt;0.74</v>
      </c>
      <c r="N603">
        <v>0</v>
      </c>
      <c r="O603">
        <v>0</v>
      </c>
      <c r="P603">
        <v>0.99990000000000001</v>
      </c>
      <c r="Q603">
        <v>0</v>
      </c>
      <c r="R603">
        <v>0</v>
      </c>
      <c r="S603">
        <v>0</v>
      </c>
      <c r="T603">
        <v>0</v>
      </c>
      <c r="U603">
        <v>0</v>
      </c>
      <c r="V603" s="1">
        <v>2.0000000000000002E-5</v>
      </c>
      <c r="W603" s="1">
        <f t="shared" si="62"/>
        <v>0.99990000000000001</v>
      </c>
      <c r="X603" t="s">
        <v>362</v>
      </c>
      <c r="Y603" t="str">
        <f>VLOOKUP(X603,Sheet1!A:B,2,FALSE)</f>
        <v>Quercus alba L.</v>
      </c>
      <c r="Z603" t="s">
        <v>1386</v>
      </c>
      <c r="AB603" s="1">
        <f t="shared" si="63"/>
        <v>0.99990000000000001</v>
      </c>
      <c r="AD603" t="str">
        <f>IF(W603&lt;0.99,LARGE((N603:R603,U603,V603),2),"0")</f>
        <v>0</v>
      </c>
      <c r="AE603" t="str">
        <f t="shared" si="64"/>
        <v/>
      </c>
      <c r="AH603" t="str">
        <f t="shared" si="60"/>
        <v xml:space="preserve">Based on ADMIXTURE results of 78,187 SNPs, </v>
      </c>
    </row>
    <row r="604" spans="1:34" x14ac:dyDescent="0.4">
      <c r="A604">
        <v>186</v>
      </c>
      <c r="B604" t="s">
        <v>363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22</v>
      </c>
      <c r="I604" t="s">
        <v>21</v>
      </c>
      <c r="J604">
        <v>1</v>
      </c>
      <c r="K604">
        <v>0</v>
      </c>
      <c r="L604" t="s">
        <v>23</v>
      </c>
      <c r="M604" t="str">
        <f t="shared" si="61"/>
        <v>&gt;0.74</v>
      </c>
      <c r="N604">
        <v>0</v>
      </c>
      <c r="O604">
        <v>0.99990000000000001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1">
        <v>2.0000000000000002E-5</v>
      </c>
      <c r="W604" s="1">
        <f t="shared" si="62"/>
        <v>0.99990000000000001</v>
      </c>
      <c r="X604" t="s">
        <v>364</v>
      </c>
      <c r="Y604" t="str">
        <f>VLOOKUP(X604,Sheet1!A:B,2,FALSE)</f>
        <v>Quercus muehlenbergii Engelm.</v>
      </c>
      <c r="Z604" t="s">
        <v>1387</v>
      </c>
      <c r="AB604" s="1">
        <f t="shared" si="63"/>
        <v>0.99990000000000001</v>
      </c>
      <c r="AD604" t="str">
        <f>IF(W604&lt;0.99,LARGE((N604:R604,U604,V604),2),"0")</f>
        <v>0</v>
      </c>
      <c r="AE604" t="str">
        <f t="shared" si="64"/>
        <v/>
      </c>
      <c r="AH604" t="str">
        <f t="shared" si="60"/>
        <v xml:space="preserve">Based on ADMIXTURE results of 78,187 SNPs, </v>
      </c>
    </row>
    <row r="605" spans="1:34" x14ac:dyDescent="0.4">
      <c r="A605">
        <v>187</v>
      </c>
      <c r="B605" t="s">
        <v>365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22</v>
      </c>
      <c r="J605">
        <v>1</v>
      </c>
      <c r="K605">
        <v>0</v>
      </c>
      <c r="L605" t="s">
        <v>23</v>
      </c>
      <c r="M605" t="str">
        <f t="shared" si="61"/>
        <v>&gt;0.74</v>
      </c>
      <c r="N605">
        <v>0.99990000000000001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s="1">
        <v>2.0000000000000002E-5</v>
      </c>
      <c r="W605" s="1">
        <f t="shared" si="62"/>
        <v>0.99990000000000001</v>
      </c>
      <c r="X605" t="s">
        <v>366</v>
      </c>
      <c r="Y605" t="str">
        <f>VLOOKUP(X605,Sheet1!A:B,2,FALSE)</f>
        <v>Quercus stellata Wangenh.</v>
      </c>
      <c r="Z605" t="s">
        <v>1385</v>
      </c>
      <c r="AB605" s="1">
        <f t="shared" si="63"/>
        <v>0.99990000000000001</v>
      </c>
      <c r="AD605" t="str">
        <f>IF(W605&lt;0.99,LARGE((N605:R605,U605,V605),2),"0")</f>
        <v>0</v>
      </c>
      <c r="AE605" t="str">
        <f t="shared" si="64"/>
        <v/>
      </c>
      <c r="AH605" t="str">
        <f t="shared" si="60"/>
        <v xml:space="preserve">Based on ADMIXTURE results of 78,187 SNPs, </v>
      </c>
    </row>
    <row r="606" spans="1:34" x14ac:dyDescent="0.4">
      <c r="A606">
        <v>188</v>
      </c>
      <c r="B606" t="s">
        <v>367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22</v>
      </c>
      <c r="I606" t="s">
        <v>21</v>
      </c>
      <c r="J606">
        <v>1</v>
      </c>
      <c r="K606">
        <v>0</v>
      </c>
      <c r="L606" t="s">
        <v>23</v>
      </c>
      <c r="M606" t="str">
        <f t="shared" si="61"/>
        <v>&gt;0.74</v>
      </c>
      <c r="N606">
        <v>0</v>
      </c>
      <c r="O606">
        <v>0.99209999999999998</v>
      </c>
      <c r="P606">
        <v>0</v>
      </c>
      <c r="Q606">
        <v>0</v>
      </c>
      <c r="R606">
        <v>0</v>
      </c>
      <c r="S606">
        <v>0</v>
      </c>
      <c r="T606">
        <v>7.9000000000000008E-3</v>
      </c>
      <c r="U606">
        <v>0</v>
      </c>
      <c r="V606">
        <v>7.8750000000000001E-3</v>
      </c>
      <c r="W606" s="1">
        <f t="shared" si="62"/>
        <v>0.99209999999999998</v>
      </c>
      <c r="X606" t="s">
        <v>368</v>
      </c>
      <c r="Y606" t="str">
        <f>VLOOKUP(X606,Sheet1!A:B,2,FALSE)</f>
        <v>Quercus muehlenbergii Engelm.</v>
      </c>
      <c r="Z606" t="s">
        <v>1387</v>
      </c>
      <c r="AB606" s="1">
        <f t="shared" si="63"/>
        <v>0.99209999999999998</v>
      </c>
      <c r="AD606" t="str">
        <f>IF(W606&lt;0.99,LARGE((N606:R606,U606,V606),2),"0")</f>
        <v>0</v>
      </c>
      <c r="AE606" t="str">
        <f t="shared" si="64"/>
        <v/>
      </c>
      <c r="AH606" t="str">
        <f t="shared" si="60"/>
        <v xml:space="preserve">Based on ADMIXTURE results of 78,187 SNPs, </v>
      </c>
    </row>
    <row r="607" spans="1:34" x14ac:dyDescent="0.4">
      <c r="A607">
        <v>189</v>
      </c>
      <c r="B607" t="s">
        <v>369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22</v>
      </c>
      <c r="J607">
        <v>1</v>
      </c>
      <c r="K607">
        <v>0</v>
      </c>
      <c r="L607" t="s">
        <v>23</v>
      </c>
      <c r="M607" t="str">
        <f t="shared" si="61"/>
        <v>&gt;0.74</v>
      </c>
      <c r="N607">
        <v>0.99990000000000001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s="1">
        <v>2.0000000000000002E-5</v>
      </c>
      <c r="W607" s="1">
        <f t="shared" si="62"/>
        <v>0.99990000000000001</v>
      </c>
      <c r="X607" t="s">
        <v>370</v>
      </c>
      <c r="Y607" t="str">
        <f>VLOOKUP(X607,Sheet1!A:B,2,FALSE)</f>
        <v>Quercus stellata Wangenh.</v>
      </c>
      <c r="Z607" t="s">
        <v>1385</v>
      </c>
      <c r="AB607" s="1">
        <f t="shared" si="63"/>
        <v>0.99990000000000001</v>
      </c>
      <c r="AD607" t="str">
        <f>IF(W607&lt;0.99,LARGE((N607:R607,U607,V607),2),"0")</f>
        <v>0</v>
      </c>
      <c r="AE607" t="str">
        <f t="shared" si="64"/>
        <v/>
      </c>
      <c r="AH607" t="str">
        <f t="shared" si="60"/>
        <v xml:space="preserve">Based on ADMIXTURE results of 78,187 SNPs, </v>
      </c>
    </row>
    <row r="608" spans="1:34" x14ac:dyDescent="0.4">
      <c r="A608">
        <v>190</v>
      </c>
      <c r="B608" t="s">
        <v>371</v>
      </c>
      <c r="C608" t="s">
        <v>22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>
        <v>1</v>
      </c>
      <c r="K608">
        <v>0</v>
      </c>
      <c r="L608" t="s">
        <v>23</v>
      </c>
      <c r="M608" t="str">
        <f t="shared" si="61"/>
        <v>&gt;0.74</v>
      </c>
      <c r="N608">
        <v>0</v>
      </c>
      <c r="O608">
        <v>0</v>
      </c>
      <c r="P608">
        <v>0.99990000000000001</v>
      </c>
      <c r="Q608">
        <v>0</v>
      </c>
      <c r="R608">
        <v>0</v>
      </c>
      <c r="S608">
        <v>0</v>
      </c>
      <c r="T608">
        <v>0</v>
      </c>
      <c r="U608">
        <v>0</v>
      </c>
      <c r="V608" s="1">
        <v>2.0000000000000002E-5</v>
      </c>
      <c r="W608" s="1">
        <f t="shared" si="62"/>
        <v>0.99990000000000001</v>
      </c>
      <c r="X608" t="s">
        <v>372</v>
      </c>
      <c r="Y608" t="str">
        <f>VLOOKUP(X608,Sheet1!A:B,2,FALSE)</f>
        <v>Quercus alba L.</v>
      </c>
      <c r="Z608" t="s">
        <v>1386</v>
      </c>
      <c r="AB608" s="1">
        <f t="shared" si="63"/>
        <v>0.99990000000000001</v>
      </c>
      <c r="AD608" t="str">
        <f>IF(W608&lt;0.99,LARGE((N608:R608,U608,V608),2),"0")</f>
        <v>0</v>
      </c>
      <c r="AE608" t="str">
        <f t="shared" si="64"/>
        <v/>
      </c>
      <c r="AH608" t="str">
        <f t="shared" si="60"/>
        <v xml:space="preserve">Based on ADMIXTURE results of 78,187 SNPs, </v>
      </c>
    </row>
    <row r="609" spans="1:34" x14ac:dyDescent="0.4">
      <c r="A609">
        <v>451</v>
      </c>
      <c r="B609" t="s">
        <v>893</v>
      </c>
      <c r="C609" t="s">
        <v>21</v>
      </c>
      <c r="D609" t="s">
        <v>21</v>
      </c>
      <c r="E609" t="s">
        <v>21</v>
      </c>
      <c r="F609" t="s">
        <v>22</v>
      </c>
      <c r="G609" t="s">
        <v>21</v>
      </c>
      <c r="H609" t="s">
        <v>21</v>
      </c>
      <c r="I609" t="s">
        <v>21</v>
      </c>
      <c r="J609">
        <v>1</v>
      </c>
      <c r="K609">
        <v>0</v>
      </c>
      <c r="L609" t="s">
        <v>23</v>
      </c>
      <c r="M609" t="str">
        <f t="shared" si="61"/>
        <v>&gt;0.74</v>
      </c>
      <c r="N609">
        <v>0</v>
      </c>
      <c r="O609">
        <v>0</v>
      </c>
      <c r="P609">
        <v>0</v>
      </c>
      <c r="Q609">
        <v>2.5100000000000001E-2</v>
      </c>
      <c r="R609">
        <v>0</v>
      </c>
      <c r="S609">
        <v>0.9748</v>
      </c>
      <c r="T609">
        <v>0</v>
      </c>
      <c r="U609">
        <v>0</v>
      </c>
      <c r="V609">
        <v>0.97485500000000003</v>
      </c>
      <c r="W609" s="1">
        <f t="shared" si="62"/>
        <v>0.97485500000000003</v>
      </c>
      <c r="X609" t="s">
        <v>894</v>
      </c>
      <c r="Y609" t="str">
        <f>VLOOKUP(X609,Sheet1!A:B,2,FALSE)</f>
        <v>Quercus macrocarpa Michx.</v>
      </c>
      <c r="Z609" t="s">
        <v>1384</v>
      </c>
      <c r="AB609" s="1">
        <f t="shared" si="63"/>
        <v>0.97485500000000003</v>
      </c>
      <c r="AD609">
        <f>IF(W609&lt;0.99,LARGE((N609:R609,U609,V609),2),"0")</f>
        <v>2.5100000000000001E-2</v>
      </c>
      <c r="AE609" t="str">
        <f t="shared" si="64"/>
        <v xml:space="preserve">trace admixed with </v>
      </c>
      <c r="AH609" t="str">
        <f t="shared" si="60"/>
        <v xml:space="preserve">Based on ADMIXTURE results of 78,187 SNPs, trace admixed with </v>
      </c>
    </row>
    <row r="610" spans="1:34" x14ac:dyDescent="0.4">
      <c r="A610">
        <v>452</v>
      </c>
      <c r="B610" t="s">
        <v>895</v>
      </c>
      <c r="C610" t="s">
        <v>21</v>
      </c>
      <c r="D610" t="s">
        <v>21</v>
      </c>
      <c r="E610" t="s">
        <v>21</v>
      </c>
      <c r="F610" t="s">
        <v>22</v>
      </c>
      <c r="G610" t="s">
        <v>21</v>
      </c>
      <c r="H610" t="s">
        <v>21</v>
      </c>
      <c r="I610" t="s">
        <v>21</v>
      </c>
      <c r="J610">
        <v>1</v>
      </c>
      <c r="K610">
        <v>0</v>
      </c>
      <c r="L610" t="s">
        <v>23</v>
      </c>
      <c r="M610" t="str">
        <f t="shared" si="61"/>
        <v>&gt;0.74</v>
      </c>
      <c r="N610">
        <v>0</v>
      </c>
      <c r="O610">
        <v>0</v>
      </c>
      <c r="P610">
        <v>0</v>
      </c>
      <c r="Q610">
        <v>1.4E-2</v>
      </c>
      <c r="R610">
        <v>0</v>
      </c>
      <c r="S610">
        <v>0.98599999999999999</v>
      </c>
      <c r="T610">
        <v>0</v>
      </c>
      <c r="U610">
        <v>0</v>
      </c>
      <c r="V610">
        <v>0.98599899999999996</v>
      </c>
      <c r="W610" s="1">
        <f t="shared" si="62"/>
        <v>0.98599899999999996</v>
      </c>
      <c r="X610" t="s">
        <v>896</v>
      </c>
      <c r="Y610" t="str">
        <f>VLOOKUP(X610,Sheet1!A:B,2,FALSE)</f>
        <v>Quercus macrocarpa Michx.</v>
      </c>
      <c r="Z610" t="s">
        <v>1384</v>
      </c>
      <c r="AB610" s="1">
        <f t="shared" si="63"/>
        <v>0.98599899999999996</v>
      </c>
      <c r="AD610">
        <f>IF(W610&lt;0.99,LARGE((N610:R610,U610,V610),2),"0")</f>
        <v>1.4E-2</v>
      </c>
      <c r="AE610" t="str">
        <f t="shared" si="64"/>
        <v xml:space="preserve">trace admixed with </v>
      </c>
      <c r="AH610" t="str">
        <f t="shared" si="60"/>
        <v xml:space="preserve">Based on ADMIXTURE results of 78,187 SNPs, trace admixed with </v>
      </c>
    </row>
    <row r="611" spans="1:34" x14ac:dyDescent="0.4">
      <c r="A611">
        <v>453</v>
      </c>
      <c r="B611" t="s">
        <v>897</v>
      </c>
      <c r="C611" t="s">
        <v>21</v>
      </c>
      <c r="D611" t="s">
        <v>21</v>
      </c>
      <c r="E611" t="s">
        <v>21</v>
      </c>
      <c r="F611" t="s">
        <v>22</v>
      </c>
      <c r="G611" t="s">
        <v>21</v>
      </c>
      <c r="H611" t="s">
        <v>21</v>
      </c>
      <c r="I611" t="s">
        <v>21</v>
      </c>
      <c r="J611">
        <v>1</v>
      </c>
      <c r="K611">
        <v>0</v>
      </c>
      <c r="L611" t="s">
        <v>23</v>
      </c>
      <c r="M611" t="str">
        <f t="shared" si="61"/>
        <v>&gt;0.74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0.99990000000000001</v>
      </c>
      <c r="T611">
        <v>0</v>
      </c>
      <c r="U611">
        <v>0</v>
      </c>
      <c r="V611">
        <v>0.99994000000000005</v>
      </c>
      <c r="W611" s="1">
        <f t="shared" si="62"/>
        <v>0.99994000000000005</v>
      </c>
      <c r="X611" t="s">
        <v>898</v>
      </c>
      <c r="Y611" t="str">
        <f>VLOOKUP(X611,Sheet1!A:B,2,FALSE)</f>
        <v>Quercus macrocarpa Michx.</v>
      </c>
      <c r="Z611" t="s">
        <v>1384</v>
      </c>
      <c r="AB611" s="1">
        <f t="shared" si="63"/>
        <v>0.99994000000000005</v>
      </c>
      <c r="AD611" t="str">
        <f>IF(W611&lt;0.99,LARGE((N611:R611,U611,V611),2),"0")</f>
        <v>0</v>
      </c>
      <c r="AE611" t="str">
        <f t="shared" si="64"/>
        <v/>
      </c>
      <c r="AH611" t="str">
        <f t="shared" si="60"/>
        <v xml:space="preserve">Based on ADMIXTURE results of 78,187 SNPs, </v>
      </c>
    </row>
    <row r="612" spans="1:34" x14ac:dyDescent="0.4">
      <c r="A612">
        <v>454</v>
      </c>
      <c r="B612" t="s">
        <v>899</v>
      </c>
      <c r="C612" t="s">
        <v>21</v>
      </c>
      <c r="D612" t="s">
        <v>21</v>
      </c>
      <c r="E612" t="s">
        <v>21</v>
      </c>
      <c r="F612" t="s">
        <v>22</v>
      </c>
      <c r="G612" t="s">
        <v>21</v>
      </c>
      <c r="H612" t="s">
        <v>21</v>
      </c>
      <c r="I612" t="s">
        <v>21</v>
      </c>
      <c r="J612">
        <v>1</v>
      </c>
      <c r="K612">
        <v>0</v>
      </c>
      <c r="L612" t="s">
        <v>23</v>
      </c>
      <c r="M612" t="str">
        <f t="shared" si="61"/>
        <v>&gt;0.74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0.99990000000000001</v>
      </c>
      <c r="T612">
        <v>0</v>
      </c>
      <c r="U612">
        <v>0</v>
      </c>
      <c r="V612">
        <v>0.99994000000000005</v>
      </c>
      <c r="W612" s="1">
        <f t="shared" si="62"/>
        <v>0.99994000000000005</v>
      </c>
      <c r="X612" t="s">
        <v>900</v>
      </c>
      <c r="Y612" t="str">
        <f>VLOOKUP(X612,Sheet1!A:B,2,FALSE)</f>
        <v>Quercus macrocarpa Michx.</v>
      </c>
      <c r="Z612" t="s">
        <v>1384</v>
      </c>
      <c r="AB612" s="1">
        <f t="shared" si="63"/>
        <v>0.99994000000000005</v>
      </c>
      <c r="AD612" t="str">
        <f>IF(W612&lt;0.99,LARGE((N612:R612,U612,V612),2),"0")</f>
        <v>0</v>
      </c>
      <c r="AE612" t="str">
        <f t="shared" si="64"/>
        <v/>
      </c>
      <c r="AH612" t="str">
        <f t="shared" si="60"/>
        <v xml:space="preserve">Based on ADMIXTURE results of 78,187 SNPs, </v>
      </c>
    </row>
    <row r="613" spans="1:34" x14ac:dyDescent="0.4">
      <c r="A613">
        <v>455</v>
      </c>
      <c r="B613" t="s">
        <v>901</v>
      </c>
      <c r="C613" t="s">
        <v>21</v>
      </c>
      <c r="D613" t="s">
        <v>21</v>
      </c>
      <c r="E613" t="s">
        <v>21</v>
      </c>
      <c r="F613" t="s">
        <v>21</v>
      </c>
      <c r="G613" t="s">
        <v>22</v>
      </c>
      <c r="H613" t="s">
        <v>21</v>
      </c>
      <c r="I613" t="s">
        <v>21</v>
      </c>
      <c r="J613">
        <v>1</v>
      </c>
      <c r="K613">
        <v>0</v>
      </c>
      <c r="L613" t="s">
        <v>23</v>
      </c>
      <c r="M613" t="str">
        <f t="shared" si="61"/>
        <v>&gt;0.74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0.99990000000000001</v>
      </c>
      <c r="V613" s="1">
        <v>2.0000000000000002E-5</v>
      </c>
      <c r="W613" s="1">
        <f t="shared" si="62"/>
        <v>0.99990000000000001</v>
      </c>
      <c r="X613" t="s">
        <v>902</v>
      </c>
      <c r="Y613" t="str">
        <f>VLOOKUP(X613,Sheet1!A:B,2,FALSE)</f>
        <v>Quercus michauxii Nutt.</v>
      </c>
      <c r="Z613" t="s">
        <v>1389</v>
      </c>
      <c r="AB613" s="1">
        <f t="shared" si="63"/>
        <v>0.99990000000000001</v>
      </c>
      <c r="AD613" t="str">
        <f>IF(W613&lt;0.99,LARGE((N613:R613,U613,V613),2),"0")</f>
        <v>0</v>
      </c>
      <c r="AE613" t="str">
        <f t="shared" si="64"/>
        <v/>
      </c>
      <c r="AH613" t="str">
        <f t="shared" si="60"/>
        <v xml:space="preserve">Based on ADMIXTURE results of 78,187 SNPs, </v>
      </c>
    </row>
    <row r="614" spans="1:34" x14ac:dyDescent="0.4">
      <c r="A614">
        <v>456</v>
      </c>
      <c r="B614" t="s">
        <v>903</v>
      </c>
      <c r="C614" t="s">
        <v>21</v>
      </c>
      <c r="D614" t="s">
        <v>21</v>
      </c>
      <c r="E614" t="s">
        <v>21</v>
      </c>
      <c r="F614" t="s">
        <v>21</v>
      </c>
      <c r="G614" t="s">
        <v>22</v>
      </c>
      <c r="H614" t="s">
        <v>21</v>
      </c>
      <c r="I614" t="s">
        <v>21</v>
      </c>
      <c r="J614">
        <v>1</v>
      </c>
      <c r="K614">
        <v>0</v>
      </c>
      <c r="L614" t="s">
        <v>23</v>
      </c>
      <c r="M614" t="str">
        <f t="shared" si="61"/>
        <v>&gt;0.74</v>
      </c>
      <c r="N614">
        <v>0</v>
      </c>
      <c r="O614">
        <v>0</v>
      </c>
      <c r="P614" s="1">
        <v>4.0000000000000002E-4</v>
      </c>
      <c r="Q614">
        <v>0</v>
      </c>
      <c r="R614">
        <v>0</v>
      </c>
      <c r="S614">
        <v>0</v>
      </c>
      <c r="T614">
        <v>0</v>
      </c>
      <c r="U614">
        <v>0.99960000000000004</v>
      </c>
      <c r="V614" s="1">
        <v>2.0000000000000002E-5</v>
      </c>
      <c r="W614" s="1">
        <f t="shared" si="62"/>
        <v>0.99960000000000004</v>
      </c>
      <c r="X614" t="s">
        <v>904</v>
      </c>
      <c r="Y614" t="str">
        <f>VLOOKUP(X614,Sheet1!A:B,2,FALSE)</f>
        <v>Quercus michauxii Nutt.</v>
      </c>
      <c r="Z614" t="s">
        <v>1389</v>
      </c>
      <c r="AB614" s="1">
        <f t="shared" si="63"/>
        <v>0.99960000000000004</v>
      </c>
      <c r="AD614" t="str">
        <f>IF(W614&lt;0.99,LARGE((N614:R614,U614,V614),2),"0")</f>
        <v>0</v>
      </c>
      <c r="AE614" t="str">
        <f t="shared" si="64"/>
        <v/>
      </c>
      <c r="AH614" t="str">
        <f t="shared" si="60"/>
        <v xml:space="preserve">Based on ADMIXTURE results of 78,187 SNPs, </v>
      </c>
    </row>
    <row r="615" spans="1:34" x14ac:dyDescent="0.4">
      <c r="A615">
        <v>457</v>
      </c>
      <c r="B615" t="s">
        <v>905</v>
      </c>
      <c r="C615" t="s">
        <v>21</v>
      </c>
      <c r="D615" t="s">
        <v>21</v>
      </c>
      <c r="E615" t="s">
        <v>21</v>
      </c>
      <c r="F615" t="s">
        <v>22</v>
      </c>
      <c r="G615" t="s">
        <v>21</v>
      </c>
      <c r="H615" t="s">
        <v>21</v>
      </c>
      <c r="I615" t="s">
        <v>21</v>
      </c>
      <c r="J615">
        <v>1</v>
      </c>
      <c r="K615">
        <v>0</v>
      </c>
      <c r="L615" t="s">
        <v>23</v>
      </c>
      <c r="M615" t="str">
        <f t="shared" si="61"/>
        <v>&gt;0.74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0.99990000000000001</v>
      </c>
      <c r="T615">
        <v>0</v>
      </c>
      <c r="U615">
        <v>0</v>
      </c>
      <c r="V615">
        <v>0.99994000000000005</v>
      </c>
      <c r="W615" s="1">
        <f t="shared" si="62"/>
        <v>0.99994000000000005</v>
      </c>
      <c r="X615" t="s">
        <v>906</v>
      </c>
      <c r="Y615" t="str">
        <f>VLOOKUP(X615,Sheet1!A:B,2,FALSE)</f>
        <v>Quercus macrocarpa Michx.</v>
      </c>
      <c r="Z615" t="s">
        <v>1384</v>
      </c>
      <c r="AB615" s="1">
        <f t="shared" si="63"/>
        <v>0.99994000000000005</v>
      </c>
      <c r="AD615" t="str">
        <f>IF(W615&lt;0.99,LARGE((N615:R615,U615,V615),2),"0")</f>
        <v>0</v>
      </c>
      <c r="AE615" t="str">
        <f t="shared" si="64"/>
        <v/>
      </c>
      <c r="AH615" t="str">
        <f t="shared" si="60"/>
        <v xml:space="preserve">Based on ADMIXTURE results of 78,187 SNPs, </v>
      </c>
    </row>
    <row r="616" spans="1:34" x14ac:dyDescent="0.4">
      <c r="A616">
        <v>458</v>
      </c>
      <c r="B616" t="s">
        <v>907</v>
      </c>
      <c r="C616" t="s">
        <v>21</v>
      </c>
      <c r="D616" t="s">
        <v>22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>
        <v>1</v>
      </c>
      <c r="K616">
        <v>0</v>
      </c>
      <c r="L616" t="s">
        <v>23</v>
      </c>
      <c r="M616" t="str">
        <f t="shared" si="61"/>
        <v>&gt;0.74</v>
      </c>
      <c r="N616">
        <v>0</v>
      </c>
      <c r="O616">
        <v>0</v>
      </c>
      <c r="P616">
        <v>0</v>
      </c>
      <c r="Q616">
        <v>0.99990000000000001</v>
      </c>
      <c r="R616">
        <v>0</v>
      </c>
      <c r="S616">
        <v>0</v>
      </c>
      <c r="T616">
        <v>0</v>
      </c>
      <c r="U616">
        <v>0</v>
      </c>
      <c r="V616" s="1">
        <v>2.0000000000000002E-5</v>
      </c>
      <c r="W616" s="1">
        <f t="shared" si="62"/>
        <v>0.99990000000000001</v>
      </c>
      <c r="X616" t="s">
        <v>908</v>
      </c>
      <c r="Y616" t="str">
        <f>VLOOKUP(X616,Sheet1!A:B,2,FALSE)</f>
        <v>Quercus lyrata Walt.</v>
      </c>
      <c r="Z616" t="s">
        <v>1383</v>
      </c>
      <c r="AB616" s="1">
        <f t="shared" si="63"/>
        <v>0.99990000000000001</v>
      </c>
      <c r="AD616" t="str">
        <f>IF(W616&lt;0.99,LARGE((N616:R616,U616,V616),2),"0")</f>
        <v>0</v>
      </c>
      <c r="AE616" t="str">
        <f t="shared" si="64"/>
        <v/>
      </c>
      <c r="AH616" t="str">
        <f t="shared" si="60"/>
        <v xml:space="preserve">Based on ADMIXTURE results of 78,187 SNPs, </v>
      </c>
    </row>
    <row r="617" spans="1:34" x14ac:dyDescent="0.4">
      <c r="A617">
        <v>470</v>
      </c>
      <c r="B617" t="s">
        <v>931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22</v>
      </c>
      <c r="J617">
        <v>1</v>
      </c>
      <c r="K617">
        <v>0</v>
      </c>
      <c r="L617" t="s">
        <v>23</v>
      </c>
      <c r="M617" t="str">
        <f t="shared" si="61"/>
        <v>&gt;0.74</v>
      </c>
      <c r="N617">
        <v>0.99990000000000001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s="1">
        <v>2.0000000000000002E-5</v>
      </c>
      <c r="W617" s="1">
        <f t="shared" si="62"/>
        <v>0.99990000000000001</v>
      </c>
      <c r="X617" t="s">
        <v>932</v>
      </c>
      <c r="Y617" t="str">
        <f>VLOOKUP(X617,Sheet1!A:B,2,FALSE)</f>
        <v>Quercus stellata Wangenh.</v>
      </c>
      <c r="Z617" s="4" t="s">
        <v>1409</v>
      </c>
      <c r="AB617" s="1">
        <f t="shared" si="63"/>
        <v>0.99990000000000001</v>
      </c>
      <c r="AD617" t="str">
        <f>IF(W617&lt;0.99,LARGE((N617:R617,U617,V617),2),"0")</f>
        <v>0</v>
      </c>
      <c r="AE617" t="str">
        <f t="shared" si="64"/>
        <v/>
      </c>
      <c r="AH617" t="str">
        <f t="shared" si="60"/>
        <v xml:space="preserve">Based on ADMIXTURE results of 78,187 SNPs, </v>
      </c>
    </row>
    <row r="618" spans="1:34" x14ac:dyDescent="0.4">
      <c r="A618">
        <v>471</v>
      </c>
      <c r="B618" t="s">
        <v>933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22</v>
      </c>
      <c r="J618">
        <v>1</v>
      </c>
      <c r="K618">
        <v>0</v>
      </c>
      <c r="L618" t="s">
        <v>23</v>
      </c>
      <c r="M618" t="str">
        <f t="shared" si="61"/>
        <v>&gt;0.74</v>
      </c>
      <c r="N618">
        <v>0.99990000000000001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s="1">
        <v>2.0000000000000002E-5</v>
      </c>
      <c r="W618" s="1">
        <f t="shared" si="62"/>
        <v>0.99990000000000001</v>
      </c>
      <c r="X618" t="s">
        <v>934</v>
      </c>
      <c r="Y618" t="str">
        <f>VLOOKUP(X618,Sheet1!A:B,2,FALSE)</f>
        <v>Quercus stellata Wangenh.</v>
      </c>
      <c r="Z618" t="s">
        <v>1385</v>
      </c>
      <c r="AB618" s="1">
        <f t="shared" si="63"/>
        <v>0.99990000000000001</v>
      </c>
      <c r="AD618" t="str">
        <f>IF(W618&lt;0.99,LARGE((N618:R618,U618,V618),2),"0")</f>
        <v>0</v>
      </c>
      <c r="AE618" t="str">
        <f t="shared" si="64"/>
        <v/>
      </c>
      <c r="AH618" t="str">
        <f t="shared" si="60"/>
        <v xml:space="preserve">Based on ADMIXTURE results of 78,187 SNPs, </v>
      </c>
    </row>
    <row r="619" spans="1:34" x14ac:dyDescent="0.4">
      <c r="A619">
        <v>472</v>
      </c>
      <c r="B619" t="s">
        <v>935</v>
      </c>
      <c r="C619" t="s">
        <v>21</v>
      </c>
      <c r="D619" t="s">
        <v>21</v>
      </c>
      <c r="E619" t="s">
        <v>21</v>
      </c>
      <c r="F619" t="s">
        <v>22</v>
      </c>
      <c r="G619" t="s">
        <v>21</v>
      </c>
      <c r="H619" t="s">
        <v>21</v>
      </c>
      <c r="I619" t="s">
        <v>21</v>
      </c>
      <c r="J619">
        <v>1</v>
      </c>
      <c r="K619">
        <v>0</v>
      </c>
      <c r="L619" t="s">
        <v>23</v>
      </c>
      <c r="M619" t="str">
        <f t="shared" si="61"/>
        <v>&gt;0.74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0.99990000000000001</v>
      </c>
      <c r="T619">
        <v>0</v>
      </c>
      <c r="U619">
        <v>0</v>
      </c>
      <c r="V619">
        <v>0.99994000000000005</v>
      </c>
      <c r="W619" s="1">
        <f t="shared" si="62"/>
        <v>0.99994000000000005</v>
      </c>
      <c r="X619" t="s">
        <v>936</v>
      </c>
      <c r="Y619" t="str">
        <f>VLOOKUP(X619,Sheet1!A:B,2,FALSE)</f>
        <v>Quercus macrocarpa Michx.</v>
      </c>
      <c r="Z619" t="s">
        <v>1384</v>
      </c>
      <c r="AB619" s="1">
        <f t="shared" si="63"/>
        <v>0.99994000000000005</v>
      </c>
      <c r="AD619" t="str">
        <f>IF(W619&lt;0.99,LARGE((N619:R619,U619,V619),2),"0")</f>
        <v>0</v>
      </c>
      <c r="AE619" t="str">
        <f t="shared" si="64"/>
        <v/>
      </c>
      <c r="AH619" t="str">
        <f t="shared" si="60"/>
        <v xml:space="preserve">Based on ADMIXTURE results of 78,187 SNPs, </v>
      </c>
    </row>
    <row r="620" spans="1:34" x14ac:dyDescent="0.4">
      <c r="A620">
        <v>473</v>
      </c>
      <c r="B620" t="s">
        <v>937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22</v>
      </c>
      <c r="J620">
        <v>1</v>
      </c>
      <c r="K620">
        <v>0</v>
      </c>
      <c r="L620" t="s">
        <v>23</v>
      </c>
      <c r="M620" t="str">
        <f t="shared" si="61"/>
        <v>&gt;0.74</v>
      </c>
      <c r="N620">
        <v>0.99990000000000001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s="1">
        <v>2.0000000000000002E-5</v>
      </c>
      <c r="W620" s="1">
        <f t="shared" si="62"/>
        <v>0.99990000000000001</v>
      </c>
      <c r="X620" t="s">
        <v>938</v>
      </c>
      <c r="Y620" t="str">
        <f>VLOOKUP(X620,Sheet1!A:B,2,FALSE)</f>
        <v>Quercus stellata Wangenh.</v>
      </c>
      <c r="Z620" s="4" t="s">
        <v>1409</v>
      </c>
      <c r="AB620" s="1">
        <f t="shared" si="63"/>
        <v>0.99990000000000001</v>
      </c>
      <c r="AD620" t="str">
        <f>IF(W620&lt;0.99,LARGE((N620:R620,U620,V620),2),"0")</f>
        <v>0</v>
      </c>
      <c r="AE620" t="str">
        <f t="shared" si="64"/>
        <v/>
      </c>
      <c r="AH620" t="str">
        <f t="shared" si="60"/>
        <v xml:space="preserve">Based on ADMIXTURE results of 78,187 SNPs, </v>
      </c>
    </row>
    <row r="621" spans="1:34" x14ac:dyDescent="0.4">
      <c r="A621">
        <v>474</v>
      </c>
      <c r="B621" t="s">
        <v>939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22</v>
      </c>
      <c r="J621">
        <v>1</v>
      </c>
      <c r="K621">
        <v>0</v>
      </c>
      <c r="L621" t="s">
        <v>23</v>
      </c>
      <c r="M621" t="str">
        <f t="shared" si="61"/>
        <v>&gt;0.74</v>
      </c>
      <c r="N621">
        <v>0.99990000000000001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s="1">
        <v>2.0999999999999999E-5</v>
      </c>
      <c r="W621" s="1">
        <f t="shared" si="62"/>
        <v>0.99990000000000001</v>
      </c>
      <c r="X621" t="s">
        <v>940</v>
      </c>
      <c r="Y621" t="str">
        <f>VLOOKUP(X621,Sheet1!A:B,2,FALSE)</f>
        <v>Quercus stellata Wangenh.</v>
      </c>
      <c r="Z621" t="s">
        <v>1385</v>
      </c>
      <c r="AB621" s="1">
        <f t="shared" si="63"/>
        <v>0.99990000000000001</v>
      </c>
      <c r="AD621" t="str">
        <f>IF(W621&lt;0.99,LARGE((N621:R621,U621,V621),2),"0")</f>
        <v>0</v>
      </c>
      <c r="AE621" t="str">
        <f t="shared" si="64"/>
        <v/>
      </c>
      <c r="AH621" t="str">
        <f t="shared" si="60"/>
        <v xml:space="preserve">Based on ADMIXTURE results of 78,187 SNPs, </v>
      </c>
    </row>
    <row r="622" spans="1:34" x14ac:dyDescent="0.4">
      <c r="A622">
        <v>475</v>
      </c>
      <c r="B622" t="s">
        <v>941</v>
      </c>
      <c r="C622" t="s">
        <v>21</v>
      </c>
      <c r="D622" t="s">
        <v>21</v>
      </c>
      <c r="E622" t="s">
        <v>21</v>
      </c>
      <c r="F622" t="s">
        <v>22</v>
      </c>
      <c r="G622" t="s">
        <v>21</v>
      </c>
      <c r="H622" t="s">
        <v>21</v>
      </c>
      <c r="I622" t="s">
        <v>21</v>
      </c>
      <c r="J622">
        <v>1</v>
      </c>
      <c r="K622">
        <v>0</v>
      </c>
      <c r="L622" t="s">
        <v>23</v>
      </c>
      <c r="M622" t="str">
        <f t="shared" si="61"/>
        <v>&gt;0.74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0.99990000000000001</v>
      </c>
      <c r="T622">
        <v>0</v>
      </c>
      <c r="U622">
        <v>0</v>
      </c>
      <c r="V622">
        <v>0.99994000000000005</v>
      </c>
      <c r="W622" s="1">
        <f t="shared" si="62"/>
        <v>0.99994000000000005</v>
      </c>
      <c r="X622" t="s">
        <v>942</v>
      </c>
      <c r="Y622" t="str">
        <f>VLOOKUP(X622,Sheet1!A:B,2,FALSE)</f>
        <v>Quercus macrocarpa Michx.</v>
      </c>
      <c r="Z622" t="s">
        <v>1384</v>
      </c>
      <c r="AB622" s="1">
        <f t="shared" si="63"/>
        <v>0.99994000000000005</v>
      </c>
      <c r="AD622" t="str">
        <f>IF(W622&lt;0.99,LARGE((N622:R622,U622,V622),2),"0")</f>
        <v>0</v>
      </c>
      <c r="AE622" t="str">
        <f t="shared" si="64"/>
        <v/>
      </c>
      <c r="AH622" t="str">
        <f t="shared" si="60"/>
        <v xml:space="preserve">Based on ADMIXTURE results of 78,187 SNPs, </v>
      </c>
    </row>
    <row r="623" spans="1:34" x14ac:dyDescent="0.4">
      <c r="A623">
        <v>476</v>
      </c>
      <c r="B623" t="s">
        <v>943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22</v>
      </c>
      <c r="J623">
        <v>1</v>
      </c>
      <c r="K623">
        <v>0</v>
      </c>
      <c r="L623" t="s">
        <v>23</v>
      </c>
      <c r="M623" t="str">
        <f t="shared" si="61"/>
        <v>&gt;0.74</v>
      </c>
      <c r="N623">
        <v>0.99990000000000001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s="1">
        <v>2.0000000000000002E-5</v>
      </c>
      <c r="W623" s="1">
        <f t="shared" si="62"/>
        <v>0.99990000000000001</v>
      </c>
      <c r="X623" t="s">
        <v>944</v>
      </c>
      <c r="Y623" t="str">
        <f>VLOOKUP(X623,Sheet1!A:B,2,FALSE)</f>
        <v>Quercus stellata Wangenh.</v>
      </c>
      <c r="Z623" s="4" t="s">
        <v>1409</v>
      </c>
      <c r="AB623" s="1">
        <f t="shared" si="63"/>
        <v>0.99990000000000001</v>
      </c>
      <c r="AD623" t="str">
        <f>IF(W623&lt;0.99,LARGE((N623:R623,U623,V623),2),"0")</f>
        <v>0</v>
      </c>
      <c r="AE623" t="str">
        <f t="shared" si="64"/>
        <v/>
      </c>
      <c r="AH623" t="str">
        <f t="shared" si="60"/>
        <v xml:space="preserve">Based on ADMIXTURE results of 78,187 SNPs, </v>
      </c>
    </row>
    <row r="624" spans="1:34" x14ac:dyDescent="0.4">
      <c r="A624">
        <v>477</v>
      </c>
      <c r="B624" t="s">
        <v>945</v>
      </c>
      <c r="C624" t="s">
        <v>21</v>
      </c>
      <c r="D624" t="s">
        <v>21</v>
      </c>
      <c r="E624" t="s">
        <v>21</v>
      </c>
      <c r="F624" t="s">
        <v>22</v>
      </c>
      <c r="G624" t="s">
        <v>21</v>
      </c>
      <c r="H624" t="s">
        <v>21</v>
      </c>
      <c r="I624" t="s">
        <v>21</v>
      </c>
      <c r="J624">
        <v>1</v>
      </c>
      <c r="K624">
        <v>0</v>
      </c>
      <c r="L624" t="s">
        <v>23</v>
      </c>
      <c r="M624" t="str">
        <f t="shared" si="61"/>
        <v>&gt;0.74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0.99990000000000001</v>
      </c>
      <c r="T624">
        <v>0</v>
      </c>
      <c r="U624">
        <v>0</v>
      </c>
      <c r="V624">
        <v>0.99994000000000005</v>
      </c>
      <c r="W624" s="1">
        <f t="shared" si="62"/>
        <v>0.99994000000000005</v>
      </c>
      <c r="X624" t="s">
        <v>946</v>
      </c>
      <c r="Y624" t="str">
        <f>VLOOKUP(X624,Sheet1!A:B,2,FALSE)</f>
        <v>Quercus macrocarpa Michx.</v>
      </c>
      <c r="Z624" t="s">
        <v>1384</v>
      </c>
      <c r="AB624" s="1">
        <f t="shared" si="63"/>
        <v>0.99994000000000005</v>
      </c>
      <c r="AD624" t="str">
        <f>IF(W624&lt;0.99,LARGE((N624:R624,U624,V624),2),"0")</f>
        <v>0</v>
      </c>
      <c r="AE624" t="str">
        <f t="shared" si="64"/>
        <v/>
      </c>
      <c r="AH624" t="str">
        <f t="shared" si="60"/>
        <v xml:space="preserve">Based on ADMIXTURE results of 78,187 SNPs, </v>
      </c>
    </row>
    <row r="625" spans="1:34" x14ac:dyDescent="0.4">
      <c r="A625">
        <v>478</v>
      </c>
      <c r="B625" t="s">
        <v>947</v>
      </c>
      <c r="C625" t="s">
        <v>21</v>
      </c>
      <c r="D625" t="s">
        <v>21</v>
      </c>
      <c r="E625" t="s">
        <v>21</v>
      </c>
      <c r="F625" t="s">
        <v>22</v>
      </c>
      <c r="G625" t="s">
        <v>21</v>
      </c>
      <c r="H625" t="s">
        <v>21</v>
      </c>
      <c r="I625" t="s">
        <v>21</v>
      </c>
      <c r="J625">
        <v>1</v>
      </c>
      <c r="K625">
        <v>0</v>
      </c>
      <c r="L625" t="s">
        <v>23</v>
      </c>
      <c r="M625" t="str">
        <f t="shared" si="61"/>
        <v>&gt;0.74</v>
      </c>
      <c r="N625">
        <v>5.1999999999999998E-3</v>
      </c>
      <c r="O625">
        <v>6.4000000000000003E-3</v>
      </c>
      <c r="P625">
        <v>0</v>
      </c>
      <c r="Q625">
        <v>0</v>
      </c>
      <c r="R625">
        <v>0</v>
      </c>
      <c r="S625">
        <v>0.98839999999999995</v>
      </c>
      <c r="T625">
        <v>0</v>
      </c>
      <c r="U625">
        <v>0</v>
      </c>
      <c r="V625">
        <v>0.98840300000000003</v>
      </c>
      <c r="W625" s="1">
        <f t="shared" si="62"/>
        <v>0.98840300000000003</v>
      </c>
      <c r="X625" t="s">
        <v>948</v>
      </c>
      <c r="Y625" t="str">
        <f>VLOOKUP(X625,Sheet1!A:B,2,FALSE)</f>
        <v>Quercus macrocarpa Michx.</v>
      </c>
      <c r="Z625" t="s">
        <v>1384</v>
      </c>
      <c r="AB625" s="1">
        <f t="shared" si="63"/>
        <v>0.98840300000000003</v>
      </c>
      <c r="AD625">
        <f>IF(W625&lt;0.99,LARGE((N625:R625,U625,V625),2),"0")</f>
        <v>6.4000000000000003E-3</v>
      </c>
      <c r="AE625" t="str">
        <f t="shared" si="64"/>
        <v/>
      </c>
      <c r="AH625" t="str">
        <f t="shared" si="60"/>
        <v xml:space="preserve">Based on ADMIXTURE results of 78,187 SNPs, </v>
      </c>
    </row>
    <row r="626" spans="1:34" x14ac:dyDescent="0.4">
      <c r="A626">
        <v>479</v>
      </c>
      <c r="B626" t="s">
        <v>949</v>
      </c>
      <c r="C626" t="s">
        <v>21</v>
      </c>
      <c r="D626" t="s">
        <v>21</v>
      </c>
      <c r="E626" t="s">
        <v>21</v>
      </c>
      <c r="F626" t="s">
        <v>21</v>
      </c>
      <c r="G626" t="s">
        <v>25</v>
      </c>
      <c r="H626" t="s">
        <v>21</v>
      </c>
      <c r="I626" t="s">
        <v>25</v>
      </c>
      <c r="J626">
        <v>0</v>
      </c>
      <c r="K626">
        <v>2</v>
      </c>
      <c r="L626" t="s">
        <v>1434</v>
      </c>
      <c r="M626" t="str">
        <f t="shared" si="61"/>
        <v>BC1?</v>
      </c>
      <c r="N626">
        <v>0.60899999999999999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0.39090000000000003</v>
      </c>
      <c r="V626" s="1">
        <v>2.0000000000000002E-5</v>
      </c>
      <c r="W626" s="1"/>
      <c r="X626" t="s">
        <v>950</v>
      </c>
      <c r="Y626" t="str">
        <f>VLOOKUP(X626,Sheet1!A:B,2,FALSE)</f>
        <v>Quercus sinuata Walt.</v>
      </c>
      <c r="Z626" t="s">
        <v>1410</v>
      </c>
      <c r="AB626" s="1">
        <f t="shared" si="63"/>
        <v>0.60899999999999999</v>
      </c>
      <c r="AD626">
        <f>IF(W626&lt;0.99,LARGE((N626:R626,U626,V626),2),"0")</f>
        <v>0.39090000000000003</v>
      </c>
      <c r="AE626" t="str">
        <f>IF(AND(AB626&lt;0.99,AD626&gt;0.1,AB626&gt;0.6),"admixed with ",IF(AND(AB626&lt;0.99,AD626&gt;0.01,AD626&lt;0.4),"trace admixed with ",""))</f>
        <v xml:space="preserve">admixed with </v>
      </c>
      <c r="AH626" t="str">
        <f t="shared" si="60"/>
        <v xml:space="preserve">Based on ADMIXTURE results of 78,187 SNPs, admixed with </v>
      </c>
    </row>
    <row r="627" spans="1:34" x14ac:dyDescent="0.4">
      <c r="A627">
        <v>480</v>
      </c>
      <c r="B627" t="s">
        <v>951</v>
      </c>
      <c r="C627" t="s">
        <v>21</v>
      </c>
      <c r="D627" t="s">
        <v>21</v>
      </c>
      <c r="E627" t="s">
        <v>21</v>
      </c>
      <c r="F627" t="s">
        <v>22</v>
      </c>
      <c r="G627" t="s">
        <v>21</v>
      </c>
      <c r="H627" t="s">
        <v>21</v>
      </c>
      <c r="I627" t="s">
        <v>21</v>
      </c>
      <c r="J627">
        <v>1</v>
      </c>
      <c r="K627">
        <v>0</v>
      </c>
      <c r="L627" t="s">
        <v>23</v>
      </c>
      <c r="M627" t="str">
        <f t="shared" si="61"/>
        <v>&gt;0.74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0.99990000000000001</v>
      </c>
      <c r="T627">
        <v>0</v>
      </c>
      <c r="U627">
        <v>0</v>
      </c>
      <c r="V627">
        <v>0.99994000000000005</v>
      </c>
      <c r="W627" s="1">
        <f>MAX(N627:R627,U627,V627)</f>
        <v>0.99994000000000005</v>
      </c>
      <c r="X627" t="s">
        <v>952</v>
      </c>
      <c r="Y627" t="str">
        <f>VLOOKUP(X627,Sheet1!A:B,2,FALSE)</f>
        <v>Quercus macrocarpa Michx.</v>
      </c>
      <c r="Z627" t="s">
        <v>1384</v>
      </c>
      <c r="AB627" s="1">
        <f t="shared" si="63"/>
        <v>0.99994000000000005</v>
      </c>
      <c r="AD627" t="str">
        <f>IF(W627&lt;0.99,LARGE((N627:R627,U627,V627),2),"0")</f>
        <v>0</v>
      </c>
      <c r="AE627" t="str">
        <f>IF(AND(AB627&lt;0.99,AD627&gt;0.1),"admixed with",IF(AND(AB627&lt;0.99,AD627&gt;0.01),"trace admixed with ",""))</f>
        <v/>
      </c>
      <c r="AH627" t="str">
        <f t="shared" si="60"/>
        <v xml:space="preserve">Based on ADMIXTURE results of 78,187 SNPs, </v>
      </c>
    </row>
    <row r="628" spans="1:34" x14ac:dyDescent="0.4">
      <c r="A628">
        <v>459</v>
      </c>
      <c r="B628" t="s">
        <v>909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22</v>
      </c>
      <c r="J628">
        <v>1</v>
      </c>
      <c r="K628">
        <v>0</v>
      </c>
      <c r="L628" t="s">
        <v>23</v>
      </c>
      <c r="M628" t="str">
        <f t="shared" si="61"/>
        <v>&gt;0.74</v>
      </c>
      <c r="N628">
        <v>0.99260000000000004</v>
      </c>
      <c r="O628">
        <v>7.1999999999999998E-3</v>
      </c>
      <c r="P628">
        <v>0</v>
      </c>
      <c r="Q628">
        <v>0</v>
      </c>
      <c r="R628">
        <v>0</v>
      </c>
      <c r="S628" s="1">
        <v>1E-4</v>
      </c>
      <c r="T628">
        <v>0</v>
      </c>
      <c r="U628">
        <v>0</v>
      </c>
      <c r="V628" s="1">
        <v>8.7000000000000001E-5</v>
      </c>
      <c r="W628" s="1">
        <f>MAX(N628:R628,U628,V628)</f>
        <v>0.99260000000000004</v>
      </c>
      <c r="X628" t="s">
        <v>910</v>
      </c>
      <c r="Y628" t="str">
        <f>VLOOKUP(X628,Sheet1!A:B,2,FALSE)</f>
        <v>Quercus margaretiae Ashe ex Small</v>
      </c>
      <c r="Z628" t="s">
        <v>1409</v>
      </c>
      <c r="AB628" s="1">
        <f t="shared" si="63"/>
        <v>0.99260000000000004</v>
      </c>
      <c r="AD628" t="str">
        <f>IF(W628&lt;0.99,LARGE((N628:R628,U628,V628),2),"0")</f>
        <v>0</v>
      </c>
      <c r="AE628" t="str">
        <f>IF(AND(AB628&lt;0.99,AD628&gt;0.1),"admixed with",IF(AND(AB628&lt;0.99,AD628&gt;0.01),"trace admixed with ",""))</f>
        <v/>
      </c>
      <c r="AH628" t="str">
        <f t="shared" si="60"/>
        <v xml:space="preserve">Based on ADMIXTURE results of 78,187 SNPs, </v>
      </c>
    </row>
    <row r="629" spans="1:34" x14ac:dyDescent="0.4">
      <c r="A629">
        <v>460</v>
      </c>
      <c r="B629" t="s">
        <v>911</v>
      </c>
      <c r="C629" t="s">
        <v>21</v>
      </c>
      <c r="D629" t="s">
        <v>21</v>
      </c>
      <c r="E629" t="s">
        <v>21</v>
      </c>
      <c r="F629" t="s">
        <v>22</v>
      </c>
      <c r="G629" t="s">
        <v>21</v>
      </c>
      <c r="H629" t="s">
        <v>21</v>
      </c>
      <c r="I629" t="s">
        <v>21</v>
      </c>
      <c r="J629">
        <v>1</v>
      </c>
      <c r="K629">
        <v>0</v>
      </c>
      <c r="L629" t="s">
        <v>23</v>
      </c>
      <c r="M629" t="str">
        <f t="shared" si="61"/>
        <v>&gt;0.74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0.99990000000000001</v>
      </c>
      <c r="T629">
        <v>0</v>
      </c>
      <c r="U629">
        <v>0</v>
      </c>
      <c r="V629">
        <v>0.99994000000000005</v>
      </c>
      <c r="W629" s="1">
        <f>MAX(N629:R629,U629,V629)</f>
        <v>0.99994000000000005</v>
      </c>
      <c r="X629" t="s">
        <v>912</v>
      </c>
      <c r="Y629" t="str">
        <f>VLOOKUP(X629,Sheet1!A:B,2,FALSE)</f>
        <v>Quercus macrocarpa Michx.</v>
      </c>
      <c r="Z629" t="s">
        <v>1384</v>
      </c>
      <c r="AB629" s="1">
        <f t="shared" si="63"/>
        <v>0.99994000000000005</v>
      </c>
      <c r="AD629" t="str">
        <f>IF(W629&lt;0.99,LARGE((N629:R629,U629,V629),2),"0")</f>
        <v>0</v>
      </c>
      <c r="AE629" t="str">
        <f>IF(AND(AB629&lt;0.99,AD629&gt;0.1),"admixed with",IF(AND(AB629&lt;0.99,AD629&gt;0.01),"trace admixed with ",""))</f>
        <v/>
      </c>
      <c r="AH629" t="str">
        <f t="shared" si="60"/>
        <v xml:space="preserve">Based on ADMIXTURE results of 78,187 SNPs, </v>
      </c>
    </row>
    <row r="630" spans="1:34" x14ac:dyDescent="0.4">
      <c r="A630">
        <v>461</v>
      </c>
      <c r="B630" t="s">
        <v>913</v>
      </c>
      <c r="C630" t="s">
        <v>21</v>
      </c>
      <c r="D630" t="s">
        <v>21</v>
      </c>
      <c r="E630" t="s">
        <v>21</v>
      </c>
      <c r="F630" t="s">
        <v>21</v>
      </c>
      <c r="G630" t="s">
        <v>25</v>
      </c>
      <c r="H630" t="s">
        <v>21</v>
      </c>
      <c r="I630" t="s">
        <v>25</v>
      </c>
      <c r="J630">
        <v>0</v>
      </c>
      <c r="K630">
        <v>2</v>
      </c>
      <c r="L630" t="s">
        <v>1434</v>
      </c>
      <c r="M630" t="str">
        <f t="shared" si="61"/>
        <v>BC1?</v>
      </c>
      <c r="N630">
        <v>0.64939999999999998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0.35060000000000002</v>
      </c>
      <c r="V630" s="1">
        <v>2.0000000000000002E-5</v>
      </c>
      <c r="W630" s="1"/>
      <c r="X630" t="s">
        <v>914</v>
      </c>
      <c r="Y630" t="str">
        <f>VLOOKUP(X630,Sheet1!A:B,2,FALSE)</f>
        <v>Quercus sinuata Walt.</v>
      </c>
      <c r="Z630" t="s">
        <v>1410</v>
      </c>
      <c r="AB630" s="1">
        <f t="shared" si="63"/>
        <v>0.64939999999999998</v>
      </c>
      <c r="AD630">
        <f>IF(W630&lt;0.99,LARGE((N630:R630,U630,V630),2),"0")</f>
        <v>0.35060000000000002</v>
      </c>
      <c r="AE630" t="str">
        <f>IF(AND(AB630&lt;0.99,AD630&gt;0.1,AB630&gt;0.6),"admixed with ",IF(AND(AB630&lt;0.99,AD630&gt;0.01,AD630&lt;0.4),"trace admixed with ",""))</f>
        <v xml:space="preserve">admixed with </v>
      </c>
      <c r="AH630" t="str">
        <f t="shared" si="60"/>
        <v xml:space="preserve">Based on ADMIXTURE results of 78,187 SNPs, admixed with </v>
      </c>
    </row>
    <row r="631" spans="1:34" x14ac:dyDescent="0.4">
      <c r="A631">
        <v>462</v>
      </c>
      <c r="B631" t="s">
        <v>915</v>
      </c>
      <c r="C631" t="s">
        <v>21</v>
      </c>
      <c r="D631" t="s">
        <v>21</v>
      </c>
      <c r="E631" t="s">
        <v>21</v>
      </c>
      <c r="F631" t="s">
        <v>22</v>
      </c>
      <c r="G631" t="s">
        <v>21</v>
      </c>
      <c r="H631" t="s">
        <v>21</v>
      </c>
      <c r="I631" t="s">
        <v>21</v>
      </c>
      <c r="J631">
        <v>1</v>
      </c>
      <c r="K631">
        <v>0</v>
      </c>
      <c r="L631" t="s">
        <v>23</v>
      </c>
      <c r="M631" t="str">
        <f t="shared" si="61"/>
        <v>&gt;0.74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0.99990000000000001</v>
      </c>
      <c r="T631">
        <v>0</v>
      </c>
      <c r="U631">
        <v>0</v>
      </c>
      <c r="V631">
        <v>0.99994000000000005</v>
      </c>
      <c r="W631" s="1">
        <f>MAX(N631:R631,U631,V631)</f>
        <v>0.99994000000000005</v>
      </c>
      <c r="X631" t="s">
        <v>916</v>
      </c>
      <c r="Y631" t="str">
        <f>VLOOKUP(X631,Sheet1!A:B,2,FALSE)</f>
        <v>Quercus macrocarpa Michx.</v>
      </c>
      <c r="Z631" t="s">
        <v>1384</v>
      </c>
      <c r="AB631" s="1">
        <f t="shared" si="63"/>
        <v>0.99994000000000005</v>
      </c>
      <c r="AD631" t="str">
        <f>IF(W631&lt;0.99,LARGE((N631:R631,U631,V631),2),"0")</f>
        <v>0</v>
      </c>
      <c r="AE631" t="str">
        <f>IF(AND(AB631&lt;0.99,AD631&gt;0.1),"admixed with",IF(AND(AB631&lt;0.99,AD631&gt;0.01),"trace admixed with ",""))</f>
        <v/>
      </c>
      <c r="AH631" t="str">
        <f t="shared" si="60"/>
        <v xml:space="preserve">Based on ADMIXTURE results of 78,187 SNPs, </v>
      </c>
    </row>
    <row r="632" spans="1:34" x14ac:dyDescent="0.4">
      <c r="A632">
        <v>463</v>
      </c>
      <c r="B632" t="s">
        <v>917</v>
      </c>
      <c r="C632" t="s">
        <v>21</v>
      </c>
      <c r="D632" t="s">
        <v>21</v>
      </c>
      <c r="E632" t="s">
        <v>21</v>
      </c>
      <c r="F632" t="s">
        <v>21</v>
      </c>
      <c r="G632" t="s">
        <v>25</v>
      </c>
      <c r="H632" t="s">
        <v>21</v>
      </c>
      <c r="I632" t="s">
        <v>25</v>
      </c>
      <c r="J632">
        <v>0</v>
      </c>
      <c r="K632">
        <v>2</v>
      </c>
      <c r="L632" t="s">
        <v>1434</v>
      </c>
      <c r="M632" t="str">
        <f t="shared" si="61"/>
        <v>BC1?</v>
      </c>
      <c r="N632">
        <v>0.63839999999999997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0.36149999999999999</v>
      </c>
      <c r="V632" s="1">
        <v>2.0000000000000002E-5</v>
      </c>
      <c r="W632" s="1"/>
      <c r="X632" t="s">
        <v>918</v>
      </c>
      <c r="Y632" t="str">
        <f>VLOOKUP(X632,Sheet1!A:B,2,FALSE)</f>
        <v>Quercus sinuata Walt.</v>
      </c>
      <c r="Z632" t="s">
        <v>1410</v>
      </c>
      <c r="AB632" s="1">
        <f t="shared" si="63"/>
        <v>0.63839999999999997</v>
      </c>
      <c r="AD632">
        <f>IF(W632&lt;0.99,LARGE((N632:R632,U632,V632),2),"0")</f>
        <v>0.36149999999999999</v>
      </c>
      <c r="AE632" t="str">
        <f>IF(AND(AB632&lt;0.99,AD632&gt;0.1,AB632&gt;0.6),"admixed with ",IF(AND(AB632&lt;0.99,AD632&gt;0.01,AD632&lt;0.4),"trace admixed with ",""))</f>
        <v xml:space="preserve">admixed with </v>
      </c>
      <c r="AH632" t="str">
        <f t="shared" si="60"/>
        <v xml:space="preserve">Based on ADMIXTURE results of 78,187 SNPs, admixed with </v>
      </c>
    </row>
    <row r="633" spans="1:34" x14ac:dyDescent="0.4">
      <c r="A633">
        <v>464</v>
      </c>
      <c r="B633" t="s">
        <v>919</v>
      </c>
      <c r="C633" t="s">
        <v>21</v>
      </c>
      <c r="D633" t="s">
        <v>21</v>
      </c>
      <c r="E633" t="s">
        <v>21</v>
      </c>
      <c r="F633" t="s">
        <v>22</v>
      </c>
      <c r="G633" t="s">
        <v>21</v>
      </c>
      <c r="H633" t="s">
        <v>21</v>
      </c>
      <c r="I633" t="s">
        <v>21</v>
      </c>
      <c r="J633">
        <v>1</v>
      </c>
      <c r="K633">
        <v>0</v>
      </c>
      <c r="L633" t="s">
        <v>23</v>
      </c>
      <c r="M633" t="str">
        <f t="shared" si="61"/>
        <v>&gt;0.74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0.99990000000000001</v>
      </c>
      <c r="T633">
        <v>0</v>
      </c>
      <c r="U633">
        <v>0</v>
      </c>
      <c r="V633">
        <v>0.99994000000000005</v>
      </c>
      <c r="W633" s="1">
        <f>MAX(N633:R633,U633,V633)</f>
        <v>0.99994000000000005</v>
      </c>
      <c r="X633" t="s">
        <v>920</v>
      </c>
      <c r="Y633" t="str">
        <f>VLOOKUP(X633,Sheet1!A:B,2,FALSE)</f>
        <v>Quercus macrocarpa Michx.</v>
      </c>
      <c r="Z633" t="s">
        <v>1384</v>
      </c>
      <c r="AB633" s="1">
        <f t="shared" si="63"/>
        <v>0.99994000000000005</v>
      </c>
      <c r="AD633" t="str">
        <f>IF(W633&lt;0.99,LARGE((N633:R633,U633,V633),2),"0")</f>
        <v>0</v>
      </c>
      <c r="AE633" t="str">
        <f>IF(AND(AB633&lt;0.99,AD633&gt;0.1),"admixed with",IF(AND(AB633&lt;0.99,AD633&gt;0.01),"trace admixed with ",""))</f>
        <v/>
      </c>
      <c r="AH633" t="str">
        <f t="shared" si="60"/>
        <v xml:space="preserve">Based on ADMIXTURE results of 78,187 SNPs, </v>
      </c>
    </row>
    <row r="634" spans="1:34" x14ac:dyDescent="0.4">
      <c r="A634">
        <v>465</v>
      </c>
      <c r="B634" t="s">
        <v>921</v>
      </c>
      <c r="C634" t="s">
        <v>21</v>
      </c>
      <c r="D634" t="s">
        <v>21</v>
      </c>
      <c r="E634" t="s">
        <v>21</v>
      </c>
      <c r="F634" t="s">
        <v>22</v>
      </c>
      <c r="G634" t="s">
        <v>21</v>
      </c>
      <c r="H634" t="s">
        <v>21</v>
      </c>
      <c r="I634" t="s">
        <v>21</v>
      </c>
      <c r="J634">
        <v>1</v>
      </c>
      <c r="K634">
        <v>0</v>
      </c>
      <c r="L634" t="s">
        <v>23</v>
      </c>
      <c r="M634" t="str">
        <f t="shared" si="61"/>
        <v>&gt;0.74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0.99990000000000001</v>
      </c>
      <c r="T634">
        <v>0</v>
      </c>
      <c r="U634">
        <v>0</v>
      </c>
      <c r="V634">
        <v>0.99994000000000005</v>
      </c>
      <c r="W634" s="1">
        <f>MAX(N634:R634,U634,V634)</f>
        <v>0.99994000000000005</v>
      </c>
      <c r="X634" t="s">
        <v>922</v>
      </c>
      <c r="Y634" t="str">
        <f>VLOOKUP(X634,Sheet1!A:B,2,FALSE)</f>
        <v>Quercus macrocarpa Michx.</v>
      </c>
      <c r="Z634" t="s">
        <v>1384</v>
      </c>
      <c r="AB634" s="1">
        <f t="shared" si="63"/>
        <v>0.99994000000000005</v>
      </c>
      <c r="AD634" t="str">
        <f>IF(W634&lt;0.99,LARGE((N634:R634,U634,V634),2),"0")</f>
        <v>0</v>
      </c>
      <c r="AE634" t="str">
        <f>IF(AND(AB634&lt;0.99,AD634&gt;0.1),"admixed with",IF(AND(AB634&lt;0.99,AD634&gt;0.01),"trace admixed with ",""))</f>
        <v/>
      </c>
      <c r="AH634" t="str">
        <f t="shared" si="60"/>
        <v xml:space="preserve">Based on ADMIXTURE results of 78,187 SNPs, </v>
      </c>
    </row>
    <row r="635" spans="1:34" x14ac:dyDescent="0.4">
      <c r="A635">
        <v>466</v>
      </c>
      <c r="B635" t="s">
        <v>923</v>
      </c>
      <c r="C635" t="s">
        <v>21</v>
      </c>
      <c r="D635" t="s">
        <v>21</v>
      </c>
      <c r="E635" t="s">
        <v>21</v>
      </c>
      <c r="F635" t="s">
        <v>21</v>
      </c>
      <c r="G635" t="s">
        <v>25</v>
      </c>
      <c r="H635" t="s">
        <v>21</v>
      </c>
      <c r="I635" t="s">
        <v>25</v>
      </c>
      <c r="J635">
        <v>0</v>
      </c>
      <c r="K635">
        <v>2</v>
      </c>
      <c r="L635" t="s">
        <v>1434</v>
      </c>
      <c r="M635" t="str">
        <f t="shared" si="61"/>
        <v>BC1?</v>
      </c>
      <c r="N635">
        <v>0.6179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0.38200000000000001</v>
      </c>
      <c r="V635" s="1">
        <v>2.0000000000000002E-5</v>
      </c>
      <c r="W635" s="1"/>
      <c r="X635" t="s">
        <v>924</v>
      </c>
      <c r="Y635" t="str">
        <f>VLOOKUP(X635,Sheet1!A:B,2,FALSE)</f>
        <v>Quercus sinuata Walt.</v>
      </c>
      <c r="Z635" t="s">
        <v>1410</v>
      </c>
      <c r="AB635" s="1">
        <f t="shared" si="63"/>
        <v>0.6179</v>
      </c>
      <c r="AD635">
        <f>IF(W635&lt;0.99,LARGE((N635:R635,U635,V635),2),"0")</f>
        <v>0.38200000000000001</v>
      </c>
      <c r="AE635" t="str">
        <f>IF(AND(AB635&lt;0.99,AD635&gt;0.1,AB635&gt;0.6),"admixed with ",IF(AND(AB635&lt;0.99,AD635&gt;0.01,AD635&lt;0.4),"trace admixed with ",""))</f>
        <v xml:space="preserve">admixed with </v>
      </c>
      <c r="AH635" t="str">
        <f t="shared" ref="AH635:AH678" si="65">_xlfn.CONCAT("Based on ADMIXTURE results of 78,187 SNPs, ",AE635,AC635)</f>
        <v xml:space="preserve">Based on ADMIXTURE results of 78,187 SNPs, admixed with </v>
      </c>
    </row>
    <row r="636" spans="1:34" x14ac:dyDescent="0.4">
      <c r="A636">
        <v>467</v>
      </c>
      <c r="B636" t="s">
        <v>925</v>
      </c>
      <c r="C636" t="s">
        <v>21</v>
      </c>
      <c r="D636" t="s">
        <v>21</v>
      </c>
      <c r="E636" t="s">
        <v>21</v>
      </c>
      <c r="F636" t="s">
        <v>21</v>
      </c>
      <c r="G636" t="s">
        <v>25</v>
      </c>
      <c r="H636" t="s">
        <v>21</v>
      </c>
      <c r="I636" t="s">
        <v>25</v>
      </c>
      <c r="J636">
        <v>0</v>
      </c>
      <c r="K636">
        <v>2</v>
      </c>
      <c r="L636" t="s">
        <v>1434</v>
      </c>
      <c r="M636" t="str">
        <f t="shared" si="61"/>
        <v>BC1?</v>
      </c>
      <c r="N636">
        <v>0.59050000000000002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0.40949999999999998</v>
      </c>
      <c r="V636" s="1">
        <v>2.0000000000000002E-5</v>
      </c>
      <c r="W636" s="1"/>
      <c r="X636" t="s">
        <v>926</v>
      </c>
      <c r="Y636" t="str">
        <f>VLOOKUP(X636,Sheet1!A:B,2,FALSE)</f>
        <v>Quercus sinuata Walt.</v>
      </c>
      <c r="Z636" t="s">
        <v>1410</v>
      </c>
      <c r="AB636" s="1">
        <f t="shared" si="63"/>
        <v>0.59050000000000002</v>
      </c>
      <c r="AD636">
        <f>IF(W636&lt;0.99,LARGE((N636:R636,U636,V636),2),"0")</f>
        <v>0.40949999999999998</v>
      </c>
      <c r="AE636" t="str">
        <f>IF(AND(AB636&lt;0.99,AD636&gt;0.1,AB636&gt;0.6),"admixed with ",IF(AND(AB636&lt;0.99,AD636&gt;0.01,AD636&lt;0.4),"trace admixed with ",""))</f>
        <v/>
      </c>
      <c r="AH636" t="str">
        <f t="shared" si="65"/>
        <v xml:space="preserve">Based on ADMIXTURE results of 78,187 SNPs, </v>
      </c>
    </row>
    <row r="637" spans="1:34" x14ac:dyDescent="0.4">
      <c r="A637">
        <v>468</v>
      </c>
      <c r="B637" t="s">
        <v>927</v>
      </c>
      <c r="C637" t="s">
        <v>21</v>
      </c>
      <c r="D637" t="s">
        <v>21</v>
      </c>
      <c r="E637" t="s">
        <v>21</v>
      </c>
      <c r="F637" t="s">
        <v>21</v>
      </c>
      <c r="G637" t="s">
        <v>25</v>
      </c>
      <c r="H637" t="s">
        <v>21</v>
      </c>
      <c r="I637" t="s">
        <v>25</v>
      </c>
      <c r="J637">
        <v>0</v>
      </c>
      <c r="K637">
        <v>2</v>
      </c>
      <c r="L637" t="s">
        <v>1434</v>
      </c>
      <c r="M637" t="str">
        <f t="shared" si="61"/>
        <v>BC1?</v>
      </c>
      <c r="N637">
        <v>0.62870000000000004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0.37130000000000002</v>
      </c>
      <c r="V637" s="1">
        <v>2.0000000000000002E-5</v>
      </c>
      <c r="W637" s="1"/>
      <c r="X637" t="s">
        <v>928</v>
      </c>
      <c r="Y637" t="str">
        <f>VLOOKUP(X637,Sheet1!A:B,2,FALSE)</f>
        <v>Quercus sinuata Walt.</v>
      </c>
      <c r="Z637" t="s">
        <v>1410</v>
      </c>
      <c r="AB637" s="1">
        <f t="shared" si="63"/>
        <v>0.62870000000000004</v>
      </c>
      <c r="AD637">
        <f>IF(W637&lt;0.99,LARGE((N637:R637,U637,V637),2),"0")</f>
        <v>0.37130000000000002</v>
      </c>
      <c r="AE637" t="str">
        <f>IF(AND(AB637&lt;0.99,AD637&gt;0.1,AB637&gt;0.6),"admixed with ",IF(AND(AB637&lt;0.99,AD637&gt;0.01,AD637&lt;0.4),"trace admixed with ",""))</f>
        <v xml:space="preserve">admixed with </v>
      </c>
      <c r="AH637" t="str">
        <f t="shared" si="65"/>
        <v xml:space="preserve">Based on ADMIXTURE results of 78,187 SNPs, admixed with </v>
      </c>
    </row>
    <row r="638" spans="1:34" x14ac:dyDescent="0.4">
      <c r="A638">
        <v>469</v>
      </c>
      <c r="B638" t="s">
        <v>929</v>
      </c>
      <c r="C638" t="s">
        <v>21</v>
      </c>
      <c r="D638" t="s">
        <v>21</v>
      </c>
      <c r="E638" t="s">
        <v>21</v>
      </c>
      <c r="F638" t="s">
        <v>22</v>
      </c>
      <c r="G638" t="s">
        <v>21</v>
      </c>
      <c r="H638" t="s">
        <v>21</v>
      </c>
      <c r="I638" t="s">
        <v>21</v>
      </c>
      <c r="J638">
        <v>1</v>
      </c>
      <c r="K638">
        <v>0</v>
      </c>
      <c r="L638" t="s">
        <v>23</v>
      </c>
      <c r="M638" t="str">
        <f t="shared" si="61"/>
        <v>&gt;0.74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0.99990000000000001</v>
      </c>
      <c r="T638">
        <v>0</v>
      </c>
      <c r="U638">
        <v>0</v>
      </c>
      <c r="V638">
        <v>0.99994000000000005</v>
      </c>
      <c r="W638" s="1">
        <f t="shared" ref="W638:W678" si="66">MAX(N638:R638,U638,V638)</f>
        <v>0.99994000000000005</v>
      </c>
      <c r="X638" t="s">
        <v>930</v>
      </c>
      <c r="Y638" t="str">
        <f>VLOOKUP(X638,Sheet1!A:B,2,FALSE)</f>
        <v>Quercus macrocarpa Michx.</v>
      </c>
      <c r="Z638" t="s">
        <v>1384</v>
      </c>
      <c r="AB638" s="1">
        <f t="shared" si="63"/>
        <v>0.99994000000000005</v>
      </c>
      <c r="AD638" t="str">
        <f>IF(W638&lt;0.99,LARGE((N638:R638,U638,V638),2),"0")</f>
        <v>0</v>
      </c>
      <c r="AE638" t="str">
        <f>IF(AND(AB638&lt;0.99,AD638&gt;0.1),"admixed with",IF(AND(AB638&lt;0.99,AD638&gt;0.01),"trace admixed with ",""))</f>
        <v/>
      </c>
      <c r="AH638" t="str">
        <f t="shared" si="65"/>
        <v xml:space="preserve">Based on ADMIXTURE results of 78,187 SNPs, </v>
      </c>
    </row>
    <row r="639" spans="1:34" x14ac:dyDescent="0.4">
      <c r="A639">
        <v>382</v>
      </c>
      <c r="B639" t="s">
        <v>755</v>
      </c>
      <c r="C639" t="s">
        <v>22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>
        <v>1</v>
      </c>
      <c r="K639">
        <v>0</v>
      </c>
      <c r="L639" t="s">
        <v>23</v>
      </c>
      <c r="M639" t="str">
        <f t="shared" si="61"/>
        <v>&gt;0.74</v>
      </c>
      <c r="N639">
        <v>0</v>
      </c>
      <c r="O639">
        <v>0</v>
      </c>
      <c r="P639">
        <v>0.99990000000000001</v>
      </c>
      <c r="Q639">
        <v>0</v>
      </c>
      <c r="R639">
        <v>0</v>
      </c>
      <c r="S639">
        <v>0</v>
      </c>
      <c r="T639">
        <v>0</v>
      </c>
      <c r="U639">
        <v>0</v>
      </c>
      <c r="V639" s="1">
        <v>2.0000000000000002E-5</v>
      </c>
      <c r="W639" s="1">
        <f t="shared" si="66"/>
        <v>0.99990000000000001</v>
      </c>
      <c r="X639" t="s">
        <v>756</v>
      </c>
      <c r="Y639" t="str">
        <f>VLOOKUP(X639,Sheet1!A:B,2,FALSE)</f>
        <v>Quercus alba L.</v>
      </c>
      <c r="Z639" t="s">
        <v>1386</v>
      </c>
      <c r="AB639" s="1">
        <f t="shared" si="63"/>
        <v>0.99990000000000001</v>
      </c>
      <c r="AD639" t="str">
        <f>IF(W639&lt;0.99,LARGE((N639:R639,U639,V639),2),"0")</f>
        <v>0</v>
      </c>
      <c r="AE639" t="str">
        <f>IF(AND(AB639&lt;0.99,AD639&gt;0.1),"admixed with",IF(AND(AB639&lt;0.99,AD639&gt;0.01),"trace admixed with ",""))</f>
        <v/>
      </c>
      <c r="AH639" t="str">
        <f t="shared" si="65"/>
        <v xml:space="preserve">Based on ADMIXTURE results of 78,187 SNPs, </v>
      </c>
    </row>
    <row r="640" spans="1:34" x14ac:dyDescent="0.4">
      <c r="A640">
        <v>383</v>
      </c>
      <c r="B640" t="s">
        <v>757</v>
      </c>
      <c r="C640" t="s">
        <v>25</v>
      </c>
      <c r="D640" t="s">
        <v>21</v>
      </c>
      <c r="E640" t="s">
        <v>21</v>
      </c>
      <c r="F640" t="s">
        <v>25</v>
      </c>
      <c r="G640" t="s">
        <v>21</v>
      </c>
      <c r="H640" t="s">
        <v>21</v>
      </c>
      <c r="I640" t="s">
        <v>21</v>
      </c>
      <c r="J640">
        <v>0</v>
      </c>
      <c r="K640">
        <v>2</v>
      </c>
      <c r="L640" t="s">
        <v>26</v>
      </c>
      <c r="M640" t="str">
        <f t="shared" si="61"/>
        <v>&gt;0.74</v>
      </c>
      <c r="N640">
        <v>0</v>
      </c>
      <c r="O640">
        <v>0</v>
      </c>
      <c r="P640">
        <v>0.15709999999999999</v>
      </c>
      <c r="Q640">
        <v>1.9300000000000001E-2</v>
      </c>
      <c r="R640">
        <v>0</v>
      </c>
      <c r="S640">
        <v>0.10589999999999999</v>
      </c>
      <c r="T640">
        <v>0.7177</v>
      </c>
      <c r="U640">
        <v>0</v>
      </c>
      <c r="V640">
        <v>0.82361499999999999</v>
      </c>
      <c r="W640" s="1">
        <f t="shared" si="66"/>
        <v>0.82361499999999999</v>
      </c>
      <c r="X640" t="s">
        <v>758</v>
      </c>
      <c r="Y640" t="str">
        <f>VLOOKUP(X640,Sheet1!A:B,2,FALSE)</f>
        <v>Quercus macrocarpa Michx.</v>
      </c>
      <c r="Z640" t="s">
        <v>1384</v>
      </c>
      <c r="AB640" s="1">
        <f t="shared" si="63"/>
        <v>0.82361499999999999</v>
      </c>
      <c r="AC640" s="3" t="s">
        <v>1430</v>
      </c>
      <c r="AD640">
        <f>IF(W640&lt;0.99,LARGE((N640:R640,U640,V640),2),"0")</f>
        <v>0.15709999999999999</v>
      </c>
      <c r="AE640" t="str">
        <f>IF(AND(AB640&lt;0.99,AD640&gt;0.1,AB640&gt;0.6),"admixed with ",IF(AND(AB640&lt;0.99,AD640&gt;0.01,AD640&lt;0.4),"trace admixed (Q&lt;0.10) with ",""))</f>
        <v xml:space="preserve">admixed with </v>
      </c>
      <c r="AH640" t="str">
        <f t="shared" si="65"/>
        <v>Based on ADMIXTURE results of 78,187 SNPs, admixed with Quercus alba</v>
      </c>
    </row>
    <row r="641" spans="1:34" x14ac:dyDescent="0.4">
      <c r="A641" s="3">
        <v>384</v>
      </c>
      <c r="B641" s="3" t="s">
        <v>759</v>
      </c>
      <c r="C641" s="3" t="s">
        <v>25</v>
      </c>
      <c r="D641" s="3" t="s">
        <v>25</v>
      </c>
      <c r="E641" s="3" t="s">
        <v>21</v>
      </c>
      <c r="F641" s="3" t="s">
        <v>25</v>
      </c>
      <c r="G641" s="3" t="s">
        <v>21</v>
      </c>
      <c r="H641" s="3" t="s">
        <v>21</v>
      </c>
      <c r="I641" s="3" t="s">
        <v>21</v>
      </c>
      <c r="J641" s="3">
        <v>0</v>
      </c>
      <c r="K641" s="3">
        <v>3</v>
      </c>
      <c r="L641" s="3" t="s">
        <v>26</v>
      </c>
      <c r="M641" s="3" t="str">
        <f t="shared" si="61"/>
        <v>BC1?</v>
      </c>
      <c r="N641" s="3">
        <v>0</v>
      </c>
      <c r="O641" s="3">
        <v>0</v>
      </c>
      <c r="P641" s="3">
        <v>0.17230000000000001</v>
      </c>
      <c r="Q641" s="3">
        <v>0.14799999999999999</v>
      </c>
      <c r="R641" s="3">
        <v>0</v>
      </c>
      <c r="S641" s="3">
        <v>0</v>
      </c>
      <c r="T641" s="3">
        <v>0.67969999999999997</v>
      </c>
      <c r="U641" s="3">
        <v>0</v>
      </c>
      <c r="V641" s="3">
        <v>0.679678</v>
      </c>
      <c r="W641" s="5">
        <f t="shared" si="66"/>
        <v>0.679678</v>
      </c>
      <c r="X641" s="3" t="s">
        <v>760</v>
      </c>
      <c r="Y641" s="3" t="str">
        <f>VLOOKUP(X641,Sheet1!A:B,2,FALSE)</f>
        <v>Quercus macrocarpa Michx.</v>
      </c>
      <c r="Z641" s="3" t="s">
        <v>1384</v>
      </c>
      <c r="AA641" s="3"/>
      <c r="AB641" s="5">
        <f t="shared" si="63"/>
        <v>0.679678</v>
      </c>
      <c r="AC641" s="3" t="s">
        <v>1430</v>
      </c>
      <c r="AD641" s="3">
        <f>IF(W641&lt;0.99,LARGE((N641:R641,U641,V641),2),"0")</f>
        <v>0.17230000000000001</v>
      </c>
      <c r="AE641" t="str">
        <f>IF(AND(AB641&lt;0.99,AD641&gt;0.1,AB641&gt;0.6),"admixed with ",IF(AND(AB641&lt;0.99,AD641&gt;0.01,AD641&lt;0.4),"trace admixed (Q&lt;0.10) with ",""))</f>
        <v xml:space="preserve">admixed with </v>
      </c>
      <c r="AF641" s="3" t="s">
        <v>1431</v>
      </c>
      <c r="AG641" s="3">
        <f>IF(W641&lt;0.99,LARGE((O641:R641,U641,V641),3),"0")</f>
        <v>0.14799999999999999</v>
      </c>
      <c r="AH641" s="3" t="str">
        <f t="shared" si="65"/>
        <v>Based on ADMIXTURE results of 78,187 SNPs, admixed with Quercus alba</v>
      </c>
    </row>
    <row r="642" spans="1:34" x14ac:dyDescent="0.4">
      <c r="A642">
        <v>385</v>
      </c>
      <c r="B642" t="s">
        <v>761</v>
      </c>
      <c r="C642" t="s">
        <v>22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>
        <v>1</v>
      </c>
      <c r="K642">
        <v>0</v>
      </c>
      <c r="L642" t="s">
        <v>23</v>
      </c>
      <c r="M642" t="str">
        <f t="shared" ref="M642:M678" si="67">IF(AND(W642&lt;0.58,W642&gt;0.2),"F1",IF(W642&lt;0.74,"BC1?","&gt;0.74"))</f>
        <v>&gt;0.74</v>
      </c>
      <c r="N642">
        <v>0</v>
      </c>
      <c r="O642">
        <v>0</v>
      </c>
      <c r="P642">
        <v>0.99990000000000001</v>
      </c>
      <c r="Q642">
        <v>0</v>
      </c>
      <c r="R642">
        <v>0</v>
      </c>
      <c r="S642">
        <v>0</v>
      </c>
      <c r="T642">
        <v>0</v>
      </c>
      <c r="U642">
        <v>0</v>
      </c>
      <c r="V642" s="1">
        <v>2.0000000000000002E-5</v>
      </c>
      <c r="W642" s="1">
        <f t="shared" si="66"/>
        <v>0.99990000000000001</v>
      </c>
      <c r="X642" t="s">
        <v>762</v>
      </c>
      <c r="Y642" t="str">
        <f>VLOOKUP(X642,Sheet1!A:B,2,FALSE)</f>
        <v>Quercus alba L.</v>
      </c>
      <c r="Z642" t="s">
        <v>1386</v>
      </c>
      <c r="AB642" s="1">
        <f t="shared" ref="AB642:AB678" si="68">MAX(N642:R642,U642,V642)</f>
        <v>0.99990000000000001</v>
      </c>
      <c r="AD642" t="str">
        <f>IF(W642&lt;0.99,LARGE((N642:R642,U642,V642),2),"0")</f>
        <v>0</v>
      </c>
      <c r="AE642" t="str">
        <f>IF(AND(AB642&lt;0.99,AD642&gt;0.1),"admixed with",IF(AND(AB642&lt;0.99,AD642&gt;0.01),"trace admixed with ",""))</f>
        <v/>
      </c>
      <c r="AH642" t="str">
        <f t="shared" si="65"/>
        <v xml:space="preserve">Based on ADMIXTURE results of 78,187 SNPs, </v>
      </c>
    </row>
    <row r="643" spans="1:34" x14ac:dyDescent="0.4">
      <c r="A643" s="3">
        <v>386</v>
      </c>
      <c r="B643" s="3" t="s">
        <v>763</v>
      </c>
      <c r="C643" s="3" t="s">
        <v>25</v>
      </c>
      <c r="D643" s="3" t="s">
        <v>21</v>
      </c>
      <c r="E643" s="3" t="s">
        <v>21</v>
      </c>
      <c r="F643" s="3" t="s">
        <v>25</v>
      </c>
      <c r="G643" s="3" t="s">
        <v>21</v>
      </c>
      <c r="H643" s="3" t="s">
        <v>21</v>
      </c>
      <c r="I643" s="3" t="s">
        <v>21</v>
      </c>
      <c r="J643" s="3">
        <v>0</v>
      </c>
      <c r="K643" s="3">
        <v>2</v>
      </c>
      <c r="L643" s="3" t="s">
        <v>26</v>
      </c>
      <c r="M643" s="3" t="str">
        <f t="shared" si="67"/>
        <v>&gt;0.74</v>
      </c>
      <c r="N643" s="3">
        <v>0</v>
      </c>
      <c r="O643" s="3">
        <v>0</v>
      </c>
      <c r="P643" s="3">
        <v>8.9499999999999996E-2</v>
      </c>
      <c r="Q643" s="3">
        <v>3.8899999999999997E-2</v>
      </c>
      <c r="R643" s="3">
        <v>0</v>
      </c>
      <c r="S643" s="3">
        <v>6.3100000000000003E-2</v>
      </c>
      <c r="T643" s="3">
        <v>0.80840000000000001</v>
      </c>
      <c r="U643" s="3">
        <v>0</v>
      </c>
      <c r="V643" s="3">
        <v>0.87158899999999995</v>
      </c>
      <c r="W643" s="5">
        <f t="shared" si="66"/>
        <v>0.87158899999999995</v>
      </c>
      <c r="X643" s="3" t="s">
        <v>764</v>
      </c>
      <c r="Y643" s="3" t="str">
        <f>VLOOKUP(X643,Sheet1!A:B,2,FALSE)</f>
        <v>Quercus macrocarpa Michx.</v>
      </c>
      <c r="Z643" s="3" t="s">
        <v>1384</v>
      </c>
      <c r="AA643" s="3"/>
      <c r="AB643" s="5">
        <f t="shared" si="68"/>
        <v>0.87158899999999995</v>
      </c>
      <c r="AC643" s="3" t="s">
        <v>1430</v>
      </c>
      <c r="AD643" s="3">
        <f>IF(W643&lt;0.99,LARGE((N643:R643,U643,V643),2),"0")</f>
        <v>8.9499999999999996E-2</v>
      </c>
      <c r="AE643" t="str">
        <f>IF(AND(AB643&lt;0.99,AD643&gt;0.1,AB643&gt;0.6),"admixed with ",IF(AND(AB643&lt;0.99,AD643&gt;0.01,AD643&lt;0.4),"trace admixed (Q&lt;0.10) with ",""))</f>
        <v xml:space="preserve">trace admixed (Q&lt;0.10) with </v>
      </c>
      <c r="AF643" s="3"/>
      <c r="AG643" s="3"/>
      <c r="AH643" s="3" t="str">
        <f t="shared" si="65"/>
        <v>Based on ADMIXTURE results of 78,187 SNPs, trace admixed (Q&lt;0.10) with Quercus alba</v>
      </c>
    </row>
    <row r="644" spans="1:34" x14ac:dyDescent="0.4">
      <c r="A644">
        <v>387</v>
      </c>
      <c r="B644" t="s">
        <v>765</v>
      </c>
      <c r="C644" t="s">
        <v>21</v>
      </c>
      <c r="D644" t="s">
        <v>25</v>
      </c>
      <c r="E644" t="s">
        <v>21</v>
      </c>
      <c r="F644" t="s">
        <v>25</v>
      </c>
      <c r="G644" t="s">
        <v>21</v>
      </c>
      <c r="H644" t="s">
        <v>21</v>
      </c>
      <c r="I644" t="s">
        <v>21</v>
      </c>
      <c r="J644">
        <v>0</v>
      </c>
      <c r="K644">
        <v>2</v>
      </c>
      <c r="L644" t="s">
        <v>26</v>
      </c>
      <c r="M644" t="str">
        <f t="shared" si="67"/>
        <v>&gt;0.74</v>
      </c>
      <c r="N644">
        <v>0</v>
      </c>
      <c r="O644">
        <v>0</v>
      </c>
      <c r="P644">
        <v>0</v>
      </c>
      <c r="Q644">
        <v>6.3200000000000006E-2</v>
      </c>
      <c r="R644">
        <v>0</v>
      </c>
      <c r="S644">
        <v>1.1900000000000001E-2</v>
      </c>
      <c r="T644">
        <v>0.92479999999999996</v>
      </c>
      <c r="U644">
        <v>0</v>
      </c>
      <c r="V644">
        <v>0.93675699999999995</v>
      </c>
      <c r="W644" s="1">
        <f t="shared" si="66"/>
        <v>0.93675699999999995</v>
      </c>
      <c r="X644" t="s">
        <v>766</v>
      </c>
      <c r="Y644" t="str">
        <f>VLOOKUP(X644,Sheet1!A:B,2,FALSE)</f>
        <v>Quercus macrocarpa Michx.</v>
      </c>
      <c r="Z644" t="s">
        <v>1384</v>
      </c>
      <c r="AB644" s="1">
        <f t="shared" si="68"/>
        <v>0.93675699999999995</v>
      </c>
      <c r="AC644" t="s">
        <v>1431</v>
      </c>
      <c r="AD644">
        <f>IF(W644&lt;0.99,LARGE((N644:R644,U644,V644),2),"0")</f>
        <v>6.3200000000000006E-2</v>
      </c>
      <c r="AE644" t="str">
        <f>IF(AND(AB644&lt;0.99,AD644&gt;0.1,AB644&gt;0.6),"admixed with ",IF(AND(AB644&lt;0.99,AD644&gt;0.01,AD644&lt;0.4),"trace admixed (Q&lt;0.10) with ",""))</f>
        <v xml:space="preserve">trace admixed (Q&lt;0.10) with </v>
      </c>
      <c r="AH644" t="str">
        <f t="shared" si="65"/>
        <v>Based on ADMIXTURE results of 78,187 SNPs, trace admixed (Q&lt;0.10) with Quercus bicolor</v>
      </c>
    </row>
    <row r="645" spans="1:34" x14ac:dyDescent="0.4">
      <c r="A645">
        <v>388</v>
      </c>
      <c r="B645" t="s">
        <v>767</v>
      </c>
      <c r="C645" t="s">
        <v>22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>
        <v>1</v>
      </c>
      <c r="K645">
        <v>0</v>
      </c>
      <c r="L645" t="s">
        <v>23</v>
      </c>
      <c r="M645" t="str">
        <f t="shared" si="67"/>
        <v>&gt;0.74</v>
      </c>
      <c r="N645">
        <v>0</v>
      </c>
      <c r="O645">
        <v>0</v>
      </c>
      <c r="P645">
        <v>0.99990000000000001</v>
      </c>
      <c r="Q645">
        <v>0</v>
      </c>
      <c r="R645">
        <v>0</v>
      </c>
      <c r="S645">
        <v>0</v>
      </c>
      <c r="T645">
        <v>0</v>
      </c>
      <c r="U645">
        <v>0</v>
      </c>
      <c r="V645" s="1">
        <v>2.0000000000000002E-5</v>
      </c>
      <c r="W645" s="1">
        <f t="shared" si="66"/>
        <v>0.99990000000000001</v>
      </c>
      <c r="X645" t="s">
        <v>768</v>
      </c>
      <c r="Y645" t="str">
        <f>VLOOKUP(X645,Sheet1!A:B,2,FALSE)</f>
        <v>Quercus alba L.</v>
      </c>
      <c r="Z645" t="s">
        <v>1386</v>
      </c>
      <c r="AB645" s="1">
        <f t="shared" si="68"/>
        <v>0.99990000000000001</v>
      </c>
      <c r="AD645" t="str">
        <f>IF(W645&lt;0.99,LARGE((N645:R645,U645,V645),2),"0")</f>
        <v>0</v>
      </c>
      <c r="AE645" t="str">
        <f>IF(AND(AB645&lt;0.99,AD645&gt;0.1),"admixed with",IF(AND(AB645&lt;0.99,AD645&gt;0.01),"trace admixed with ",""))</f>
        <v/>
      </c>
      <c r="AH645" t="str">
        <f t="shared" si="65"/>
        <v xml:space="preserve">Based on ADMIXTURE results of 78,187 SNPs, </v>
      </c>
    </row>
    <row r="646" spans="1:34" x14ac:dyDescent="0.4">
      <c r="A646">
        <v>389</v>
      </c>
      <c r="B646" t="s">
        <v>769</v>
      </c>
      <c r="C646" t="s">
        <v>21</v>
      </c>
      <c r="D646" t="s">
        <v>21</v>
      </c>
      <c r="E646" t="s">
        <v>21</v>
      </c>
      <c r="F646" t="s">
        <v>22</v>
      </c>
      <c r="G646" t="s">
        <v>21</v>
      </c>
      <c r="H646" t="s">
        <v>21</v>
      </c>
      <c r="I646" t="s">
        <v>21</v>
      </c>
      <c r="J646">
        <v>1</v>
      </c>
      <c r="K646">
        <v>0</v>
      </c>
      <c r="L646" t="s">
        <v>23</v>
      </c>
      <c r="M646" t="str">
        <f t="shared" si="67"/>
        <v>&gt;0.74</v>
      </c>
      <c r="N646">
        <v>0</v>
      </c>
      <c r="O646">
        <v>0</v>
      </c>
      <c r="P646">
        <v>0</v>
      </c>
      <c r="Q646">
        <v>3.15E-2</v>
      </c>
      <c r="R646">
        <v>0</v>
      </c>
      <c r="S646">
        <v>3.4299999999999997E-2</v>
      </c>
      <c r="T646">
        <v>0.93410000000000004</v>
      </c>
      <c r="U646">
        <v>0</v>
      </c>
      <c r="V646">
        <v>0.96845700000000001</v>
      </c>
      <c r="W646" s="1">
        <f t="shared" si="66"/>
        <v>0.96845700000000001</v>
      </c>
      <c r="X646" t="s">
        <v>770</v>
      </c>
      <c r="Y646" t="str">
        <f>VLOOKUP(X646,Sheet1!A:B,2,FALSE)</f>
        <v>Quercus macrocarpa Michx.</v>
      </c>
      <c r="Z646" t="s">
        <v>1384</v>
      </c>
      <c r="AB646" s="1">
        <f t="shared" si="68"/>
        <v>0.96845700000000001</v>
      </c>
      <c r="AD646">
        <f>IF(W646&lt;0.99,LARGE((N646:R646,U646,V646),2),"0")</f>
        <v>3.15E-2</v>
      </c>
      <c r="AE646" t="str">
        <f>IF(AND(AB646&lt;0.99,AD646&gt;0.1),"admixed with",IF(AND(AB646&lt;0.99,AD646&gt;0.01),"trace admixed with ",""))</f>
        <v xml:space="preserve">trace admixed with </v>
      </c>
      <c r="AH646" t="str">
        <f t="shared" si="65"/>
        <v xml:space="preserve">Based on ADMIXTURE results of 78,187 SNPs, trace admixed with </v>
      </c>
    </row>
    <row r="647" spans="1:34" x14ac:dyDescent="0.4">
      <c r="A647">
        <v>390</v>
      </c>
      <c r="B647" t="s">
        <v>771</v>
      </c>
      <c r="C647" t="s">
        <v>22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>
        <v>1</v>
      </c>
      <c r="K647">
        <v>0</v>
      </c>
      <c r="L647" t="s">
        <v>23</v>
      </c>
      <c r="M647" t="str">
        <f t="shared" si="67"/>
        <v>&gt;0.74</v>
      </c>
      <c r="N647">
        <v>0</v>
      </c>
      <c r="O647">
        <v>0</v>
      </c>
      <c r="P647">
        <v>0.99990000000000001</v>
      </c>
      <c r="Q647">
        <v>0</v>
      </c>
      <c r="R647">
        <v>0</v>
      </c>
      <c r="S647">
        <v>0</v>
      </c>
      <c r="T647">
        <v>0</v>
      </c>
      <c r="U647">
        <v>0</v>
      </c>
      <c r="V647" s="1">
        <v>2.0999999999999999E-5</v>
      </c>
      <c r="W647" s="1">
        <f t="shared" si="66"/>
        <v>0.99990000000000001</v>
      </c>
      <c r="X647" t="s">
        <v>772</v>
      </c>
      <c r="Y647" t="str">
        <f>VLOOKUP(X647,Sheet1!A:B,2,FALSE)</f>
        <v>Quercus alba L.</v>
      </c>
      <c r="Z647" t="s">
        <v>1386</v>
      </c>
      <c r="AB647" s="1">
        <f t="shared" si="68"/>
        <v>0.99990000000000001</v>
      </c>
      <c r="AD647" t="str">
        <f>IF(W647&lt;0.99,LARGE((N647:R647,U647,V647),2),"0")</f>
        <v>0</v>
      </c>
      <c r="AE647" t="str">
        <f>IF(AND(AB647&lt;0.99,AD647&gt;0.1),"admixed with",IF(AND(AB647&lt;0.99,AD647&gt;0.01),"trace admixed with ",""))</f>
        <v/>
      </c>
      <c r="AH647" t="str">
        <f t="shared" si="65"/>
        <v xml:space="preserve">Based on ADMIXTURE results of 78,187 SNPs, </v>
      </c>
    </row>
    <row r="648" spans="1:34" x14ac:dyDescent="0.4">
      <c r="A648">
        <v>252</v>
      </c>
      <c r="B648" t="s">
        <v>495</v>
      </c>
      <c r="C648" t="s">
        <v>25</v>
      </c>
      <c r="D648" t="s">
        <v>21</v>
      </c>
      <c r="E648" t="s">
        <v>21</v>
      </c>
      <c r="F648" t="s">
        <v>25</v>
      </c>
      <c r="G648" t="s">
        <v>21</v>
      </c>
      <c r="H648" t="s">
        <v>21</v>
      </c>
      <c r="I648" t="s">
        <v>21</v>
      </c>
      <c r="J648">
        <v>0</v>
      </c>
      <c r="K648">
        <v>2</v>
      </c>
      <c r="L648" t="s">
        <v>26</v>
      </c>
      <c r="M648" t="str">
        <f t="shared" si="67"/>
        <v>F1</v>
      </c>
      <c r="N648">
        <v>0</v>
      </c>
      <c r="O648">
        <v>0</v>
      </c>
      <c r="P648">
        <v>0.45600000000000002</v>
      </c>
      <c r="Q648">
        <v>0</v>
      </c>
      <c r="R648">
        <v>0</v>
      </c>
      <c r="S648">
        <v>8.6E-3</v>
      </c>
      <c r="T648">
        <v>0.5353</v>
      </c>
      <c r="U648">
        <v>0</v>
      </c>
      <c r="V648">
        <v>0.54396900000000004</v>
      </c>
      <c r="W648" s="1">
        <f t="shared" si="66"/>
        <v>0.54396900000000004</v>
      </c>
      <c r="X648" s="2" t="s">
        <v>496</v>
      </c>
      <c r="Y648" t="str">
        <f>VLOOKUP(X648,Sheet1!A:B,2,FALSE)</f>
        <v>Quercus alba L.</v>
      </c>
      <c r="Z648" t="s">
        <v>1426</v>
      </c>
      <c r="AB648" s="1">
        <f t="shared" si="68"/>
        <v>0.54396900000000004</v>
      </c>
      <c r="AD648">
        <f>IF(W648&lt;0.99,LARGE((N648:R648,U648,V648),2),"0")</f>
        <v>0.45600000000000002</v>
      </c>
      <c r="AE648" t="str">
        <f>IF(AND(AB648&lt;0.99,AD648&gt;0.1,AB648&gt;0.6),"admixed with",IF(AND(AB648&lt;0.99,AD648&gt;0.01,AD648&lt;0.4),"trace admixed with ",""))</f>
        <v/>
      </c>
      <c r="AH648" t="str">
        <f t="shared" si="65"/>
        <v xml:space="preserve">Based on ADMIXTURE results of 78,187 SNPs, </v>
      </c>
    </row>
    <row r="649" spans="1:34" x14ac:dyDescent="0.4">
      <c r="A649">
        <v>253</v>
      </c>
      <c r="B649" t="s">
        <v>497</v>
      </c>
      <c r="C649" t="s">
        <v>25</v>
      </c>
      <c r="D649" t="s">
        <v>21</v>
      </c>
      <c r="E649" t="s">
        <v>21</v>
      </c>
      <c r="F649" t="s">
        <v>25</v>
      </c>
      <c r="G649" t="s">
        <v>21</v>
      </c>
      <c r="H649" t="s">
        <v>21</v>
      </c>
      <c r="I649" t="s">
        <v>21</v>
      </c>
      <c r="J649">
        <v>0</v>
      </c>
      <c r="K649">
        <v>2</v>
      </c>
      <c r="L649" t="s">
        <v>26</v>
      </c>
      <c r="M649" t="str">
        <f t="shared" si="67"/>
        <v>F1</v>
      </c>
      <c r="N649">
        <v>0</v>
      </c>
      <c r="O649">
        <v>0</v>
      </c>
      <c r="P649">
        <v>0.5272</v>
      </c>
      <c r="Q649">
        <v>4.1999999999999997E-3</v>
      </c>
      <c r="R649">
        <v>0</v>
      </c>
      <c r="S649">
        <v>3.8699999999999998E-2</v>
      </c>
      <c r="T649">
        <v>0.4299</v>
      </c>
      <c r="U649">
        <v>0</v>
      </c>
      <c r="V649">
        <v>0.468559</v>
      </c>
      <c r="W649" s="1">
        <f t="shared" si="66"/>
        <v>0.5272</v>
      </c>
      <c r="X649" s="2" t="s">
        <v>498</v>
      </c>
      <c r="Y649" t="str">
        <f>VLOOKUP(X649,Sheet1!A:B,2,FALSE)</f>
        <v>Quercus alba L.</v>
      </c>
      <c r="Z649" t="s">
        <v>1426</v>
      </c>
      <c r="AB649" s="1">
        <f t="shared" si="68"/>
        <v>0.5272</v>
      </c>
      <c r="AD649">
        <f>IF(W649&lt;0.99,LARGE((N649:R649,U649,V649),2),"0")</f>
        <v>0.468559</v>
      </c>
      <c r="AE649" t="str">
        <f>IF(AND(AB649&lt;0.99,AD649&gt;0.1,AB649&gt;0.6),"admixed with",IF(AND(AB649&lt;0.99,AD649&gt;0.01,AD649&lt;0.4),"trace admixed with ",""))</f>
        <v/>
      </c>
      <c r="AH649" t="str">
        <f t="shared" si="65"/>
        <v xml:space="preserve">Based on ADMIXTURE results of 78,187 SNPs, </v>
      </c>
    </row>
    <row r="650" spans="1:34" x14ac:dyDescent="0.4">
      <c r="A650">
        <v>254</v>
      </c>
      <c r="B650" t="s">
        <v>499</v>
      </c>
      <c r="C650" t="s">
        <v>25</v>
      </c>
      <c r="D650" t="s">
        <v>21</v>
      </c>
      <c r="E650" t="s">
        <v>21</v>
      </c>
      <c r="F650" t="s">
        <v>25</v>
      </c>
      <c r="G650" t="s">
        <v>21</v>
      </c>
      <c r="H650" t="s">
        <v>21</v>
      </c>
      <c r="I650" t="s">
        <v>21</v>
      </c>
      <c r="J650">
        <v>0</v>
      </c>
      <c r="K650">
        <v>2</v>
      </c>
      <c r="L650" t="s">
        <v>26</v>
      </c>
      <c r="M650" t="str">
        <f t="shared" si="67"/>
        <v>&gt;0.74</v>
      </c>
      <c r="N650">
        <v>0</v>
      </c>
      <c r="O650">
        <v>0</v>
      </c>
      <c r="P650">
        <v>0.92349999999999999</v>
      </c>
      <c r="Q650">
        <v>0</v>
      </c>
      <c r="R650">
        <v>0</v>
      </c>
      <c r="S650">
        <v>1.6000000000000001E-3</v>
      </c>
      <c r="T650">
        <v>7.4899999999999994E-2</v>
      </c>
      <c r="U650">
        <v>0</v>
      </c>
      <c r="V650">
        <v>7.6481999999999994E-2</v>
      </c>
      <c r="W650" s="1">
        <f t="shared" si="66"/>
        <v>0.92349999999999999</v>
      </c>
      <c r="X650" t="s">
        <v>500</v>
      </c>
      <c r="Y650" t="str">
        <f>VLOOKUP(X650,Sheet1!A:B,2,FALSE)</f>
        <v>Quercus alba L.</v>
      </c>
      <c r="Z650" t="s">
        <v>1386</v>
      </c>
      <c r="AB650" s="1">
        <f t="shared" si="68"/>
        <v>0.92349999999999999</v>
      </c>
      <c r="AC650" t="s">
        <v>1421</v>
      </c>
      <c r="AD650">
        <f>IF(W650&lt;0.99,LARGE((N650:R650,U650,V650),2),"0")</f>
        <v>7.6481999999999994E-2</v>
      </c>
      <c r="AE650" t="str">
        <f>IF(AND(AB650&lt;0.99,AD650&gt;0.1,AB650&gt;0.6),"admixed with ",IF(AND(AB650&lt;0.99,AD650&gt;0.01,AD650&lt;0.4),"trace admixed (Q&lt;0.10) with ",""))</f>
        <v xml:space="preserve">trace admixed (Q&lt;0.10) with </v>
      </c>
      <c r="AH650" t="str">
        <f t="shared" si="65"/>
        <v>Based on ADMIXTURE results of 78,187 SNPs, trace admixed (Q&lt;0.10) with Quercus macrocarpa</v>
      </c>
    </row>
    <row r="651" spans="1:34" x14ac:dyDescent="0.4">
      <c r="A651">
        <v>255</v>
      </c>
      <c r="B651" t="s">
        <v>501</v>
      </c>
      <c r="C651" t="s">
        <v>25</v>
      </c>
      <c r="D651" t="s">
        <v>21</v>
      </c>
      <c r="E651" t="s">
        <v>21</v>
      </c>
      <c r="F651" t="s">
        <v>25</v>
      </c>
      <c r="G651" t="s">
        <v>21</v>
      </c>
      <c r="H651" t="s">
        <v>21</v>
      </c>
      <c r="I651" t="s">
        <v>21</v>
      </c>
      <c r="J651">
        <v>0</v>
      </c>
      <c r="K651">
        <v>2</v>
      </c>
      <c r="L651" t="s">
        <v>26</v>
      </c>
      <c r="M651" t="str">
        <f t="shared" si="67"/>
        <v>&gt;0.74</v>
      </c>
      <c r="N651">
        <v>0</v>
      </c>
      <c r="O651">
        <v>0</v>
      </c>
      <c r="P651">
        <v>0.1517</v>
      </c>
      <c r="Q651">
        <v>0</v>
      </c>
      <c r="R651">
        <v>0</v>
      </c>
      <c r="S651">
        <v>1.2200000000000001E-2</v>
      </c>
      <c r="T651">
        <v>0.83599999999999997</v>
      </c>
      <c r="U651">
        <v>0</v>
      </c>
      <c r="V651">
        <v>0.848248</v>
      </c>
      <c r="W651" s="1">
        <f t="shared" si="66"/>
        <v>0.848248</v>
      </c>
      <c r="X651" t="s">
        <v>502</v>
      </c>
      <c r="Y651" t="str">
        <f>VLOOKUP(X651,Sheet1!A:B,2,FALSE)</f>
        <v>Quercus macrocarpa Michx.</v>
      </c>
      <c r="Z651" t="s">
        <v>1384</v>
      </c>
      <c r="AB651" s="1">
        <f t="shared" si="68"/>
        <v>0.848248</v>
      </c>
      <c r="AC651" t="s">
        <v>1430</v>
      </c>
      <c r="AD651">
        <f>IF(W651&lt;0.99,LARGE((N651:R651,U651,V651),2),"0")</f>
        <v>0.1517</v>
      </c>
      <c r="AE651" t="str">
        <f>IF(AND(AB651&lt;0.99,AD651&gt;0.1,AB651&gt;0.6),"admixed with ",IF(AND(AB651&lt;0.99,AD651&gt;0.01,AD651&lt;0.4),"trace admixed (Q&lt;0.10) with ",""))</f>
        <v xml:space="preserve">admixed with </v>
      </c>
      <c r="AH651" t="str">
        <f t="shared" si="65"/>
        <v>Based on ADMIXTURE results of 78,187 SNPs, admixed with Quercus alba</v>
      </c>
    </row>
    <row r="652" spans="1:34" x14ac:dyDescent="0.4">
      <c r="A652">
        <v>256</v>
      </c>
      <c r="B652" t="s">
        <v>503</v>
      </c>
      <c r="C652" t="s">
        <v>21</v>
      </c>
      <c r="D652" t="s">
        <v>21</v>
      </c>
      <c r="E652" t="s">
        <v>21</v>
      </c>
      <c r="F652" t="s">
        <v>22</v>
      </c>
      <c r="G652" t="s">
        <v>21</v>
      </c>
      <c r="H652" t="s">
        <v>21</v>
      </c>
      <c r="I652" t="s">
        <v>21</v>
      </c>
      <c r="J652">
        <v>1</v>
      </c>
      <c r="K652">
        <v>0</v>
      </c>
      <c r="L652" t="s">
        <v>23</v>
      </c>
      <c r="M652" t="str">
        <f t="shared" si="67"/>
        <v>&gt;0.74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0.99990000000000001</v>
      </c>
      <c r="U652">
        <v>0</v>
      </c>
      <c r="V652">
        <v>0.99994000000000005</v>
      </c>
      <c r="W652" s="1">
        <f t="shared" si="66"/>
        <v>0.99994000000000005</v>
      </c>
      <c r="X652" t="s">
        <v>504</v>
      </c>
      <c r="Y652" t="str">
        <f>VLOOKUP(X652,Sheet1!A:B,2,FALSE)</f>
        <v>Quercus macrocarpa Michx.</v>
      </c>
      <c r="Z652" t="s">
        <v>1384</v>
      </c>
      <c r="AB652" s="1">
        <f t="shared" si="68"/>
        <v>0.99994000000000005</v>
      </c>
      <c r="AD652" t="str">
        <f>IF(W652&lt;0.99,LARGE((N652:R652,U652,V652),2),"0")</f>
        <v>0</v>
      </c>
      <c r="AE652" t="str">
        <f t="shared" ref="AE652:AE678" si="69">IF(AND(AB652&lt;0.99,AD652&gt;0.1),"admixed with",IF(AND(AB652&lt;0.99,AD652&gt;0.01),"trace admixed with ",""))</f>
        <v/>
      </c>
      <c r="AH652" t="str">
        <f t="shared" si="65"/>
        <v xml:space="preserve">Based on ADMIXTURE results of 78,187 SNPs, </v>
      </c>
    </row>
    <row r="653" spans="1:34" x14ac:dyDescent="0.4">
      <c r="A653">
        <v>257</v>
      </c>
      <c r="B653" t="s">
        <v>505</v>
      </c>
      <c r="C653" t="s">
        <v>21</v>
      </c>
      <c r="D653" t="s">
        <v>21</v>
      </c>
      <c r="E653" t="s">
        <v>21</v>
      </c>
      <c r="F653" t="s">
        <v>22</v>
      </c>
      <c r="G653" t="s">
        <v>21</v>
      </c>
      <c r="H653" t="s">
        <v>21</v>
      </c>
      <c r="I653" t="s">
        <v>21</v>
      </c>
      <c r="J653">
        <v>1</v>
      </c>
      <c r="K653">
        <v>0</v>
      </c>
      <c r="L653" t="s">
        <v>23</v>
      </c>
      <c r="M653" t="str">
        <f t="shared" si="67"/>
        <v>&gt;0.74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0.99990000000000001</v>
      </c>
      <c r="U653">
        <v>0</v>
      </c>
      <c r="V653">
        <v>0.99994000000000005</v>
      </c>
      <c r="W653" s="1">
        <f t="shared" si="66"/>
        <v>0.99994000000000005</v>
      </c>
      <c r="X653" t="s">
        <v>506</v>
      </c>
      <c r="Y653" t="str">
        <f>VLOOKUP(X653,Sheet1!A:B,2,FALSE)</f>
        <v>Quercus macrocarpa Michx.</v>
      </c>
      <c r="Z653" t="s">
        <v>1384</v>
      </c>
      <c r="AB653" s="1">
        <f t="shared" si="68"/>
        <v>0.99994000000000005</v>
      </c>
      <c r="AD653" t="str">
        <f>IF(W653&lt;0.99,LARGE((N653:R653,U653,V653),2),"0")</f>
        <v>0</v>
      </c>
      <c r="AE653" t="str">
        <f t="shared" si="69"/>
        <v/>
      </c>
      <c r="AH653" t="str">
        <f t="shared" si="65"/>
        <v xml:space="preserve">Based on ADMIXTURE results of 78,187 SNPs, </v>
      </c>
    </row>
    <row r="654" spans="1:34" x14ac:dyDescent="0.4">
      <c r="A654">
        <v>258</v>
      </c>
      <c r="B654" t="s">
        <v>507</v>
      </c>
      <c r="C654" t="s">
        <v>21</v>
      </c>
      <c r="D654" t="s">
        <v>21</v>
      </c>
      <c r="E654" t="s">
        <v>21</v>
      </c>
      <c r="F654" t="s">
        <v>22</v>
      </c>
      <c r="G654" t="s">
        <v>21</v>
      </c>
      <c r="H654" t="s">
        <v>21</v>
      </c>
      <c r="I654" t="s">
        <v>21</v>
      </c>
      <c r="J654">
        <v>1</v>
      </c>
      <c r="K654">
        <v>0</v>
      </c>
      <c r="L654" t="s">
        <v>23</v>
      </c>
      <c r="M654" t="str">
        <f t="shared" si="67"/>
        <v>&gt;0.74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0.1065</v>
      </c>
      <c r="T654">
        <v>0.89349999999999996</v>
      </c>
      <c r="U654">
        <v>0</v>
      </c>
      <c r="V654">
        <v>0.99994000000000005</v>
      </c>
      <c r="W654" s="1">
        <f t="shared" si="66"/>
        <v>0.99994000000000005</v>
      </c>
      <c r="X654" t="s">
        <v>508</v>
      </c>
      <c r="Y654" t="str">
        <f>VLOOKUP(X654,Sheet1!A:B,2,FALSE)</f>
        <v>Quercus macrocarpa Michx.</v>
      </c>
      <c r="Z654" t="s">
        <v>1384</v>
      </c>
      <c r="AB654" s="1">
        <f t="shared" si="68"/>
        <v>0.99994000000000005</v>
      </c>
      <c r="AD654" t="str">
        <f>IF(W654&lt;0.99,LARGE((N654:R654,U654,V654),2),"0")</f>
        <v>0</v>
      </c>
      <c r="AE654" t="str">
        <f t="shared" si="69"/>
        <v/>
      </c>
      <c r="AH654" t="str">
        <f t="shared" si="65"/>
        <v xml:space="preserve">Based on ADMIXTURE results of 78,187 SNPs, </v>
      </c>
    </row>
    <row r="655" spans="1:34" x14ac:dyDescent="0.4">
      <c r="A655">
        <v>259</v>
      </c>
      <c r="B655" t="s">
        <v>509</v>
      </c>
      <c r="C655" t="s">
        <v>21</v>
      </c>
      <c r="D655" t="s">
        <v>21</v>
      </c>
      <c r="E655" t="s">
        <v>21</v>
      </c>
      <c r="F655" t="s">
        <v>22</v>
      </c>
      <c r="G655" t="s">
        <v>21</v>
      </c>
      <c r="H655" t="s">
        <v>21</v>
      </c>
      <c r="I655" t="s">
        <v>21</v>
      </c>
      <c r="J655">
        <v>1</v>
      </c>
      <c r="K655">
        <v>0</v>
      </c>
      <c r="L655" t="s">
        <v>23</v>
      </c>
      <c r="M655" t="str">
        <f t="shared" si="67"/>
        <v>&gt;0.74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0.99990000000000001</v>
      </c>
      <c r="U655">
        <v>0</v>
      </c>
      <c r="V655">
        <v>0.99994000000000005</v>
      </c>
      <c r="W655" s="1">
        <f t="shared" si="66"/>
        <v>0.99994000000000005</v>
      </c>
      <c r="X655" t="s">
        <v>510</v>
      </c>
      <c r="Y655" t="str">
        <f>VLOOKUP(X655,Sheet1!A:B,2,FALSE)</f>
        <v>Quercus macrocarpa Michx.</v>
      </c>
      <c r="Z655" t="s">
        <v>1384</v>
      </c>
      <c r="AB655" s="1">
        <f t="shared" si="68"/>
        <v>0.99994000000000005</v>
      </c>
      <c r="AD655" t="str">
        <f>IF(W655&lt;0.99,LARGE((N655:R655,U655,V655),2),"0")</f>
        <v>0</v>
      </c>
      <c r="AE655" t="str">
        <f t="shared" si="69"/>
        <v/>
      </c>
      <c r="AH655" t="str">
        <f t="shared" si="65"/>
        <v xml:space="preserve">Based on ADMIXTURE results of 78,187 SNPs, </v>
      </c>
    </row>
    <row r="656" spans="1:34" x14ac:dyDescent="0.4">
      <c r="A656">
        <v>260</v>
      </c>
      <c r="B656" t="s">
        <v>511</v>
      </c>
      <c r="C656" t="s">
        <v>21</v>
      </c>
      <c r="D656" t="s">
        <v>21</v>
      </c>
      <c r="E656" t="s">
        <v>21</v>
      </c>
      <c r="F656" t="s">
        <v>22</v>
      </c>
      <c r="G656" t="s">
        <v>21</v>
      </c>
      <c r="H656" t="s">
        <v>21</v>
      </c>
      <c r="I656" t="s">
        <v>21</v>
      </c>
      <c r="J656">
        <v>1</v>
      </c>
      <c r="K656">
        <v>0</v>
      </c>
      <c r="L656" t="s">
        <v>23</v>
      </c>
      <c r="M656" t="str">
        <f t="shared" si="67"/>
        <v>&gt;0.74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0.99990000000000001</v>
      </c>
      <c r="U656">
        <v>0</v>
      </c>
      <c r="V656">
        <v>0.99994000000000005</v>
      </c>
      <c r="W656" s="1">
        <f t="shared" si="66"/>
        <v>0.99994000000000005</v>
      </c>
      <c r="X656" t="s">
        <v>512</v>
      </c>
      <c r="Y656" t="str">
        <f>VLOOKUP(X656,Sheet1!A:B,2,FALSE)</f>
        <v>Quercus macrocarpa Michx.</v>
      </c>
      <c r="Z656" t="s">
        <v>1384</v>
      </c>
      <c r="AB656" s="1">
        <f t="shared" si="68"/>
        <v>0.99994000000000005</v>
      </c>
      <c r="AD656" t="str">
        <f>IF(W656&lt;0.99,LARGE((N656:R656,U656,V656),2),"0")</f>
        <v>0</v>
      </c>
      <c r="AE656" t="str">
        <f t="shared" si="69"/>
        <v/>
      </c>
      <c r="AH656" t="str">
        <f t="shared" si="65"/>
        <v xml:space="preserve">Based on ADMIXTURE results of 78,187 SNPs, </v>
      </c>
    </row>
    <row r="657" spans="1:34" x14ac:dyDescent="0.4">
      <c r="A657">
        <v>238</v>
      </c>
      <c r="B657" t="s">
        <v>467</v>
      </c>
      <c r="C657" t="s">
        <v>21</v>
      </c>
      <c r="D657" t="s">
        <v>21</v>
      </c>
      <c r="E657" t="s">
        <v>21</v>
      </c>
      <c r="F657" t="s">
        <v>22</v>
      </c>
      <c r="G657" t="s">
        <v>21</v>
      </c>
      <c r="H657" t="s">
        <v>21</v>
      </c>
      <c r="I657" t="s">
        <v>21</v>
      </c>
      <c r="J657">
        <v>1</v>
      </c>
      <c r="K657">
        <v>0</v>
      </c>
      <c r="L657" t="s">
        <v>23</v>
      </c>
      <c r="M657" t="str">
        <f t="shared" si="67"/>
        <v>&gt;0.74</v>
      </c>
      <c r="N657">
        <v>5.1999999999999998E-3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0.99480000000000002</v>
      </c>
      <c r="U657">
        <v>0</v>
      </c>
      <c r="V657">
        <v>0.99479300000000004</v>
      </c>
      <c r="W657" s="1">
        <f t="shared" si="66"/>
        <v>0.99479300000000004</v>
      </c>
      <c r="X657" t="s">
        <v>468</v>
      </c>
      <c r="Y657" t="str">
        <f>VLOOKUP(X657,Sheet1!A:B,2,FALSE)</f>
        <v>Quercus macrocarpa Michx.</v>
      </c>
      <c r="Z657" t="s">
        <v>1384</v>
      </c>
      <c r="AB657" s="1">
        <f t="shared" si="68"/>
        <v>0.99479300000000004</v>
      </c>
      <c r="AD657" t="str">
        <f>IF(W657&lt;0.99,LARGE((N657:R657,U657,V657),2),"0")</f>
        <v>0</v>
      </c>
      <c r="AE657" t="str">
        <f t="shared" si="69"/>
        <v/>
      </c>
      <c r="AH657" t="str">
        <f t="shared" si="65"/>
        <v xml:space="preserve">Based on ADMIXTURE results of 78,187 SNPs, </v>
      </c>
    </row>
    <row r="658" spans="1:34" x14ac:dyDescent="0.4">
      <c r="A658">
        <v>239</v>
      </c>
      <c r="B658" t="s">
        <v>469</v>
      </c>
      <c r="C658" t="s">
        <v>22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>
        <v>1</v>
      </c>
      <c r="K658">
        <v>0</v>
      </c>
      <c r="L658" t="s">
        <v>23</v>
      </c>
      <c r="M658" t="str">
        <f t="shared" si="67"/>
        <v>&gt;0.74</v>
      </c>
      <c r="N658">
        <v>0</v>
      </c>
      <c r="O658">
        <v>0</v>
      </c>
      <c r="P658">
        <v>0.99990000000000001</v>
      </c>
      <c r="Q658">
        <v>0</v>
      </c>
      <c r="R658">
        <v>0</v>
      </c>
      <c r="S658">
        <v>0</v>
      </c>
      <c r="T658">
        <v>0</v>
      </c>
      <c r="U658">
        <v>0</v>
      </c>
      <c r="V658" s="1">
        <v>2.0000000000000002E-5</v>
      </c>
      <c r="W658" s="1">
        <f t="shared" si="66"/>
        <v>0.99990000000000001</v>
      </c>
      <c r="X658" t="s">
        <v>470</v>
      </c>
      <c r="Y658" t="str">
        <f>VLOOKUP(X658,Sheet1!A:B,2,FALSE)</f>
        <v>Quercus alba L.</v>
      </c>
      <c r="Z658" t="s">
        <v>1386</v>
      </c>
      <c r="AB658" s="1">
        <f t="shared" si="68"/>
        <v>0.99990000000000001</v>
      </c>
      <c r="AD658" t="str">
        <f>IF(W658&lt;0.99,LARGE((N658:R658,U658,V658),2),"0")</f>
        <v>0</v>
      </c>
      <c r="AE658" t="str">
        <f t="shared" si="69"/>
        <v/>
      </c>
      <c r="AH658" t="str">
        <f t="shared" si="65"/>
        <v xml:space="preserve">Based on ADMIXTURE results of 78,187 SNPs, </v>
      </c>
    </row>
    <row r="659" spans="1:34" x14ac:dyDescent="0.4">
      <c r="A659">
        <v>240</v>
      </c>
      <c r="B659" t="s">
        <v>471</v>
      </c>
      <c r="C659" t="s">
        <v>22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>
        <v>1</v>
      </c>
      <c r="K659">
        <v>0</v>
      </c>
      <c r="L659" t="s">
        <v>23</v>
      </c>
      <c r="M659" t="str">
        <f t="shared" si="67"/>
        <v>&gt;0.74</v>
      </c>
      <c r="N659">
        <v>0</v>
      </c>
      <c r="O659">
        <v>0</v>
      </c>
      <c r="P659">
        <v>0.98980000000000001</v>
      </c>
      <c r="Q659">
        <v>0</v>
      </c>
      <c r="R659">
        <v>0</v>
      </c>
      <c r="S659">
        <v>0</v>
      </c>
      <c r="T659">
        <v>1.0200000000000001E-2</v>
      </c>
      <c r="U659">
        <v>0</v>
      </c>
      <c r="V659">
        <v>1.0181000000000001E-2</v>
      </c>
      <c r="W659" s="1">
        <f t="shared" si="66"/>
        <v>0.98980000000000001</v>
      </c>
      <c r="X659" t="s">
        <v>472</v>
      </c>
      <c r="Y659" t="str">
        <f>VLOOKUP(X659,Sheet1!A:B,2,FALSE)</f>
        <v>Quercus alba L.</v>
      </c>
      <c r="Z659" t="s">
        <v>1386</v>
      </c>
      <c r="AB659" s="1">
        <f t="shared" si="68"/>
        <v>0.98980000000000001</v>
      </c>
      <c r="AD659">
        <f>IF(W659&lt;0.99,LARGE((N659:R659,U659,V659),2),"0")</f>
        <v>1.0181000000000001E-2</v>
      </c>
      <c r="AE659" t="str">
        <f t="shared" si="69"/>
        <v xml:space="preserve">trace admixed with </v>
      </c>
      <c r="AH659" t="str">
        <f t="shared" si="65"/>
        <v xml:space="preserve">Based on ADMIXTURE results of 78,187 SNPs, trace admixed with </v>
      </c>
    </row>
    <row r="660" spans="1:34" x14ac:dyDescent="0.4">
      <c r="A660">
        <v>241</v>
      </c>
      <c r="B660" t="s">
        <v>473</v>
      </c>
      <c r="C660" t="s">
        <v>22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>
        <v>1</v>
      </c>
      <c r="K660">
        <v>0</v>
      </c>
      <c r="L660" t="s">
        <v>23</v>
      </c>
      <c r="M660" t="str">
        <f t="shared" si="67"/>
        <v>&gt;0.74</v>
      </c>
      <c r="N660">
        <v>0</v>
      </c>
      <c r="O660">
        <v>0</v>
      </c>
      <c r="P660">
        <v>0.99990000000000001</v>
      </c>
      <c r="Q660">
        <v>0</v>
      </c>
      <c r="R660">
        <v>0</v>
      </c>
      <c r="S660">
        <v>0</v>
      </c>
      <c r="T660">
        <v>0</v>
      </c>
      <c r="U660">
        <v>0</v>
      </c>
      <c r="V660" s="1">
        <v>2.0000000000000002E-5</v>
      </c>
      <c r="W660" s="1">
        <f t="shared" si="66"/>
        <v>0.99990000000000001</v>
      </c>
      <c r="X660" t="s">
        <v>474</v>
      </c>
      <c r="Y660" t="str">
        <f>VLOOKUP(X660,Sheet1!A:B,2,FALSE)</f>
        <v>Quercus alba L.</v>
      </c>
      <c r="Z660" t="s">
        <v>1386</v>
      </c>
      <c r="AB660" s="1">
        <f t="shared" si="68"/>
        <v>0.99990000000000001</v>
      </c>
      <c r="AD660" t="str">
        <f>IF(W660&lt;0.99,LARGE((N660:R660,U660,V660),2),"0")</f>
        <v>0</v>
      </c>
      <c r="AE660" t="str">
        <f t="shared" si="69"/>
        <v/>
      </c>
      <c r="AH660" t="str">
        <f t="shared" si="65"/>
        <v xml:space="preserve">Based on ADMIXTURE results of 78,187 SNPs, </v>
      </c>
    </row>
    <row r="661" spans="1:34" x14ac:dyDescent="0.4">
      <c r="A661">
        <v>242</v>
      </c>
      <c r="B661" t="s">
        <v>475</v>
      </c>
      <c r="C661" t="s">
        <v>22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>
        <v>1</v>
      </c>
      <c r="K661">
        <v>0</v>
      </c>
      <c r="L661" t="s">
        <v>23</v>
      </c>
      <c r="M661" t="str">
        <f t="shared" si="67"/>
        <v>&gt;0.74</v>
      </c>
      <c r="N661">
        <v>0</v>
      </c>
      <c r="O661">
        <v>0</v>
      </c>
      <c r="P661">
        <v>0.99829999999999997</v>
      </c>
      <c r="Q661">
        <v>0</v>
      </c>
      <c r="R661">
        <v>0</v>
      </c>
      <c r="S661">
        <v>1.6999999999999999E-3</v>
      </c>
      <c r="T661">
        <v>0</v>
      </c>
      <c r="U661">
        <v>0</v>
      </c>
      <c r="V661">
        <v>1.6720000000000001E-3</v>
      </c>
      <c r="W661" s="1">
        <f t="shared" si="66"/>
        <v>0.99829999999999997</v>
      </c>
      <c r="X661" t="s">
        <v>476</v>
      </c>
      <c r="Y661" t="str">
        <f>VLOOKUP(X661,Sheet1!A:B,2,FALSE)</f>
        <v>Quercus alba L.</v>
      </c>
      <c r="Z661" t="s">
        <v>1386</v>
      </c>
      <c r="AB661" s="1">
        <f t="shared" si="68"/>
        <v>0.99829999999999997</v>
      </c>
      <c r="AD661" t="str">
        <f>IF(W661&lt;0.99,LARGE((N661:R661,U661,V661),2),"0")</f>
        <v>0</v>
      </c>
      <c r="AE661" t="str">
        <f t="shared" si="69"/>
        <v/>
      </c>
      <c r="AH661" t="str">
        <f t="shared" si="65"/>
        <v xml:space="preserve">Based on ADMIXTURE results of 78,187 SNPs, </v>
      </c>
    </row>
    <row r="662" spans="1:34" x14ac:dyDescent="0.4">
      <c r="A662">
        <v>243</v>
      </c>
      <c r="B662" t="s">
        <v>477</v>
      </c>
      <c r="C662" t="s">
        <v>21</v>
      </c>
      <c r="D662" t="s">
        <v>21</v>
      </c>
      <c r="E662" t="s">
        <v>21</v>
      </c>
      <c r="F662" t="s">
        <v>22</v>
      </c>
      <c r="G662" t="s">
        <v>21</v>
      </c>
      <c r="H662" t="s">
        <v>21</v>
      </c>
      <c r="I662" t="s">
        <v>21</v>
      </c>
      <c r="J662">
        <v>1</v>
      </c>
      <c r="K662">
        <v>0</v>
      </c>
      <c r="L662" t="s">
        <v>23</v>
      </c>
      <c r="M662" t="str">
        <f t="shared" si="67"/>
        <v>&gt;0.74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8.5400000000000004E-2</v>
      </c>
      <c r="T662">
        <v>0.91459999999999997</v>
      </c>
      <c r="U662">
        <v>0</v>
      </c>
      <c r="V662">
        <v>0.99994000000000005</v>
      </c>
      <c r="W662" s="1">
        <f t="shared" si="66"/>
        <v>0.99994000000000005</v>
      </c>
      <c r="X662" t="s">
        <v>478</v>
      </c>
      <c r="Y662" t="str">
        <f>VLOOKUP(X662,Sheet1!A:B,2,FALSE)</f>
        <v>Quercus macrocarpa Michx.</v>
      </c>
      <c r="Z662" t="s">
        <v>1384</v>
      </c>
      <c r="AB662" s="1">
        <f t="shared" si="68"/>
        <v>0.99994000000000005</v>
      </c>
      <c r="AD662" t="str">
        <f>IF(W662&lt;0.99,LARGE((N662:R662,U662,V662),2),"0")</f>
        <v>0</v>
      </c>
      <c r="AE662" t="str">
        <f t="shared" si="69"/>
        <v/>
      </c>
      <c r="AH662" t="str">
        <f t="shared" si="65"/>
        <v xml:space="preserve">Based on ADMIXTURE results of 78,187 SNPs, </v>
      </c>
    </row>
    <row r="663" spans="1:34" x14ac:dyDescent="0.4">
      <c r="A663">
        <v>261</v>
      </c>
      <c r="B663" t="s">
        <v>513</v>
      </c>
      <c r="C663" t="s">
        <v>21</v>
      </c>
      <c r="D663" t="s">
        <v>21</v>
      </c>
      <c r="E663" t="s">
        <v>21</v>
      </c>
      <c r="F663" t="s">
        <v>22</v>
      </c>
      <c r="G663" t="s">
        <v>21</v>
      </c>
      <c r="H663" t="s">
        <v>21</v>
      </c>
      <c r="I663" t="s">
        <v>21</v>
      </c>
      <c r="J663">
        <v>1</v>
      </c>
      <c r="K663">
        <v>0</v>
      </c>
      <c r="L663" t="s">
        <v>23</v>
      </c>
      <c r="M663" t="str">
        <f t="shared" si="67"/>
        <v>&gt;0.74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0.99990000000000001</v>
      </c>
      <c r="U663">
        <v>0</v>
      </c>
      <c r="V663">
        <v>0.99994000000000005</v>
      </c>
      <c r="W663" s="1">
        <f t="shared" si="66"/>
        <v>0.99994000000000005</v>
      </c>
      <c r="X663" t="s">
        <v>514</v>
      </c>
      <c r="Y663" t="str">
        <f>VLOOKUP(X663,Sheet1!A:B,2,FALSE)</f>
        <v>Quercus macrocarpa Michx.</v>
      </c>
      <c r="Z663" t="s">
        <v>1384</v>
      </c>
      <c r="AB663" s="1">
        <f t="shared" si="68"/>
        <v>0.99994000000000005</v>
      </c>
      <c r="AD663" t="str">
        <f>IF(W663&lt;0.99,LARGE((N663:R663,U663,V663),2),"0")</f>
        <v>0</v>
      </c>
      <c r="AE663" t="str">
        <f t="shared" si="69"/>
        <v/>
      </c>
      <c r="AH663" t="str">
        <f t="shared" si="65"/>
        <v xml:space="preserve">Based on ADMIXTURE results of 78,187 SNPs, </v>
      </c>
    </row>
    <row r="664" spans="1:34" x14ac:dyDescent="0.4">
      <c r="A664">
        <v>262</v>
      </c>
      <c r="B664" t="s">
        <v>515</v>
      </c>
      <c r="C664" t="s">
        <v>21</v>
      </c>
      <c r="D664" t="s">
        <v>21</v>
      </c>
      <c r="E664" t="s">
        <v>21</v>
      </c>
      <c r="F664" t="s">
        <v>22</v>
      </c>
      <c r="G664" t="s">
        <v>21</v>
      </c>
      <c r="H664" t="s">
        <v>21</v>
      </c>
      <c r="I664" t="s">
        <v>21</v>
      </c>
      <c r="J664">
        <v>1</v>
      </c>
      <c r="K664">
        <v>0</v>
      </c>
      <c r="L664" t="s">
        <v>23</v>
      </c>
      <c r="M664" t="str">
        <f t="shared" si="67"/>
        <v>&gt;0.74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0.99990000000000001</v>
      </c>
      <c r="U664">
        <v>0</v>
      </c>
      <c r="V664">
        <v>0.99994000000000005</v>
      </c>
      <c r="W664" s="1">
        <f t="shared" si="66"/>
        <v>0.99994000000000005</v>
      </c>
      <c r="X664" t="s">
        <v>516</v>
      </c>
      <c r="Y664" t="str">
        <f>VLOOKUP(X664,Sheet1!A:B,2,FALSE)</f>
        <v>Quercus macrocarpa Michx.</v>
      </c>
      <c r="Z664" t="s">
        <v>1384</v>
      </c>
      <c r="AB664" s="1">
        <f t="shared" si="68"/>
        <v>0.99994000000000005</v>
      </c>
      <c r="AD664" t="str">
        <f>IF(W664&lt;0.99,LARGE((N664:R664,U664,V664),2),"0")</f>
        <v>0</v>
      </c>
      <c r="AE664" t="str">
        <f t="shared" si="69"/>
        <v/>
      </c>
      <c r="AH664" t="str">
        <f t="shared" si="65"/>
        <v xml:space="preserve">Based on ADMIXTURE results of 78,187 SNPs, </v>
      </c>
    </row>
    <row r="665" spans="1:34" x14ac:dyDescent="0.4">
      <c r="A665">
        <v>263</v>
      </c>
      <c r="B665" t="s">
        <v>517</v>
      </c>
      <c r="C665" t="s">
        <v>21</v>
      </c>
      <c r="D665" t="s">
        <v>21</v>
      </c>
      <c r="E665" t="s">
        <v>21</v>
      </c>
      <c r="F665" t="s">
        <v>22</v>
      </c>
      <c r="G665" t="s">
        <v>21</v>
      </c>
      <c r="H665" t="s">
        <v>21</v>
      </c>
      <c r="I665" t="s">
        <v>21</v>
      </c>
      <c r="J665">
        <v>1</v>
      </c>
      <c r="K665">
        <v>0</v>
      </c>
      <c r="L665" t="s">
        <v>23</v>
      </c>
      <c r="M665" t="str">
        <f t="shared" si="67"/>
        <v>&gt;0.74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6.1100000000000002E-2</v>
      </c>
      <c r="T665">
        <v>0.93889999999999996</v>
      </c>
      <c r="U665">
        <v>0</v>
      </c>
      <c r="V665">
        <v>0.99994000000000005</v>
      </c>
      <c r="W665" s="1">
        <f t="shared" si="66"/>
        <v>0.99994000000000005</v>
      </c>
      <c r="X665" t="s">
        <v>518</v>
      </c>
      <c r="Y665" t="str">
        <f>VLOOKUP(X665,Sheet1!A:B,2,FALSE)</f>
        <v>Quercus macrocarpa Michx.</v>
      </c>
      <c r="Z665" t="s">
        <v>1384</v>
      </c>
      <c r="AB665" s="1">
        <f t="shared" si="68"/>
        <v>0.99994000000000005</v>
      </c>
      <c r="AD665" t="str">
        <f>IF(W665&lt;0.99,LARGE((N665:R665,U665,V665),2),"0")</f>
        <v>0</v>
      </c>
      <c r="AE665" t="str">
        <f t="shared" si="69"/>
        <v/>
      </c>
      <c r="AH665" t="str">
        <f t="shared" si="65"/>
        <v xml:space="preserve">Based on ADMIXTURE results of 78,187 SNPs, </v>
      </c>
    </row>
    <row r="666" spans="1:34" x14ac:dyDescent="0.4">
      <c r="A666">
        <v>264</v>
      </c>
      <c r="B666" t="s">
        <v>519</v>
      </c>
      <c r="C666" t="s">
        <v>21</v>
      </c>
      <c r="D666" t="s">
        <v>21</v>
      </c>
      <c r="E666" t="s">
        <v>21</v>
      </c>
      <c r="F666" t="s">
        <v>22</v>
      </c>
      <c r="G666" t="s">
        <v>21</v>
      </c>
      <c r="H666" t="s">
        <v>21</v>
      </c>
      <c r="I666" t="s">
        <v>21</v>
      </c>
      <c r="J666">
        <v>1</v>
      </c>
      <c r="K666">
        <v>0</v>
      </c>
      <c r="L666" t="s">
        <v>23</v>
      </c>
      <c r="M666" t="str">
        <f t="shared" si="67"/>
        <v>&gt;0.74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0.99990000000000001</v>
      </c>
      <c r="U666">
        <v>0</v>
      </c>
      <c r="V666">
        <v>0.99993799999999999</v>
      </c>
      <c r="W666" s="1">
        <f t="shared" si="66"/>
        <v>0.99993799999999999</v>
      </c>
      <c r="X666" t="s">
        <v>520</v>
      </c>
      <c r="Y666" t="str">
        <f>VLOOKUP(X666,Sheet1!A:B,2,FALSE)</f>
        <v>Quercus macrocarpa Michx.</v>
      </c>
      <c r="Z666" t="s">
        <v>1384</v>
      </c>
      <c r="AB666" s="1">
        <f t="shared" si="68"/>
        <v>0.99993799999999999</v>
      </c>
      <c r="AD666" t="str">
        <f>IF(W666&lt;0.99,LARGE((N666:R666,U666,V666),2),"0")</f>
        <v>0</v>
      </c>
      <c r="AE666" t="str">
        <f t="shared" si="69"/>
        <v/>
      </c>
      <c r="AH666" t="str">
        <f t="shared" si="65"/>
        <v xml:space="preserve">Based on ADMIXTURE results of 78,187 SNPs, </v>
      </c>
    </row>
    <row r="667" spans="1:34" s="3" customFormat="1" x14ac:dyDescent="0.4">
      <c r="A667">
        <v>265</v>
      </c>
      <c r="B667" t="s">
        <v>521</v>
      </c>
      <c r="C667" t="s">
        <v>22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>
        <v>1</v>
      </c>
      <c r="K667">
        <v>0</v>
      </c>
      <c r="L667" t="s">
        <v>23</v>
      </c>
      <c r="M667" t="str">
        <f t="shared" si="67"/>
        <v>&gt;0.74</v>
      </c>
      <c r="N667">
        <v>0</v>
      </c>
      <c r="O667">
        <v>4.3E-3</v>
      </c>
      <c r="P667">
        <v>0.99560000000000004</v>
      </c>
      <c r="Q667">
        <v>0</v>
      </c>
      <c r="R667">
        <v>0</v>
      </c>
      <c r="S667">
        <v>0</v>
      </c>
      <c r="T667">
        <v>0</v>
      </c>
      <c r="U667">
        <v>0</v>
      </c>
      <c r="V667" s="1">
        <v>2.1999999999999999E-5</v>
      </c>
      <c r="W667" s="1">
        <f t="shared" si="66"/>
        <v>0.99560000000000004</v>
      </c>
      <c r="X667" t="s">
        <v>522</v>
      </c>
      <c r="Y667" t="str">
        <f>VLOOKUP(X667,Sheet1!A:B,2,FALSE)</f>
        <v>Quercus alba L.</v>
      </c>
      <c r="Z667" t="s">
        <v>1386</v>
      </c>
      <c r="AA667"/>
      <c r="AB667" s="1">
        <f t="shared" si="68"/>
        <v>0.99560000000000004</v>
      </c>
      <c r="AC667"/>
      <c r="AD667" t="str">
        <f>IF(W667&lt;0.99,LARGE((N667:R667,U667,V667),2),"0")</f>
        <v>0</v>
      </c>
      <c r="AE667" t="str">
        <f t="shared" si="69"/>
        <v/>
      </c>
      <c r="AF667"/>
      <c r="AG667"/>
      <c r="AH667" t="str">
        <f t="shared" si="65"/>
        <v xml:space="preserve">Based on ADMIXTURE results of 78,187 SNPs, </v>
      </c>
    </row>
    <row r="668" spans="1:34" x14ac:dyDescent="0.4">
      <c r="A668">
        <v>266</v>
      </c>
      <c r="B668" t="s">
        <v>523</v>
      </c>
      <c r="C668" t="s">
        <v>22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>
        <v>1</v>
      </c>
      <c r="K668">
        <v>0</v>
      </c>
      <c r="L668" t="s">
        <v>23</v>
      </c>
      <c r="M668" t="str">
        <f t="shared" si="67"/>
        <v>&gt;0.74</v>
      </c>
      <c r="N668">
        <v>0</v>
      </c>
      <c r="O668">
        <v>0</v>
      </c>
      <c r="P668">
        <v>0.99990000000000001</v>
      </c>
      <c r="Q668">
        <v>0</v>
      </c>
      <c r="R668">
        <v>0</v>
      </c>
      <c r="S668">
        <v>0</v>
      </c>
      <c r="T668">
        <v>0</v>
      </c>
      <c r="U668">
        <v>0</v>
      </c>
      <c r="V668" s="1">
        <v>2.0000000000000002E-5</v>
      </c>
      <c r="W668" s="1">
        <f t="shared" si="66"/>
        <v>0.99990000000000001</v>
      </c>
      <c r="X668" t="s">
        <v>524</v>
      </c>
      <c r="Y668" t="str">
        <f>VLOOKUP(X668,Sheet1!A:B,2,FALSE)</f>
        <v>Quercus alba L.</v>
      </c>
      <c r="Z668" t="s">
        <v>1386</v>
      </c>
      <c r="AB668" s="1">
        <f t="shared" si="68"/>
        <v>0.99990000000000001</v>
      </c>
      <c r="AD668" t="str">
        <f>IF(W668&lt;0.99,LARGE((N668:R668,U668,V668),2),"0")</f>
        <v>0</v>
      </c>
      <c r="AE668" t="str">
        <f t="shared" si="69"/>
        <v/>
      </c>
      <c r="AH668" t="str">
        <f t="shared" si="65"/>
        <v xml:space="preserve">Based on ADMIXTURE results of 78,187 SNPs, </v>
      </c>
    </row>
    <row r="669" spans="1:34" x14ac:dyDescent="0.4">
      <c r="A669">
        <v>267</v>
      </c>
      <c r="B669" t="s">
        <v>525</v>
      </c>
      <c r="C669" t="s">
        <v>22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>
        <v>1</v>
      </c>
      <c r="K669">
        <v>0</v>
      </c>
      <c r="L669" t="s">
        <v>23</v>
      </c>
      <c r="M669" t="str">
        <f t="shared" si="67"/>
        <v>&gt;0.74</v>
      </c>
      <c r="N669">
        <v>0</v>
      </c>
      <c r="O669">
        <v>0</v>
      </c>
      <c r="P669">
        <v>0.99990000000000001</v>
      </c>
      <c r="Q669">
        <v>0</v>
      </c>
      <c r="R669">
        <v>0</v>
      </c>
      <c r="S669">
        <v>0</v>
      </c>
      <c r="T669">
        <v>0</v>
      </c>
      <c r="U669">
        <v>0</v>
      </c>
      <c r="V669" s="1">
        <v>2.5000000000000001E-5</v>
      </c>
      <c r="W669" s="1">
        <f t="shared" si="66"/>
        <v>0.99990000000000001</v>
      </c>
      <c r="X669" t="s">
        <v>526</v>
      </c>
      <c r="Y669" t="str">
        <f>VLOOKUP(X669,Sheet1!A:B,2,FALSE)</f>
        <v>Quercus alba L.</v>
      </c>
      <c r="Z669" t="s">
        <v>1386</v>
      </c>
      <c r="AB669" s="1">
        <f t="shared" si="68"/>
        <v>0.99990000000000001</v>
      </c>
      <c r="AD669" t="str">
        <f>IF(W669&lt;0.99,LARGE((N669:R669,U669,V669),2),"0")</f>
        <v>0</v>
      </c>
      <c r="AE669" t="str">
        <f t="shared" si="69"/>
        <v/>
      </c>
      <c r="AH669" t="str">
        <f t="shared" si="65"/>
        <v xml:space="preserve">Based on ADMIXTURE results of 78,187 SNPs, </v>
      </c>
    </row>
    <row r="670" spans="1:34" x14ac:dyDescent="0.4">
      <c r="A670">
        <v>268</v>
      </c>
      <c r="B670" t="s">
        <v>527</v>
      </c>
      <c r="C670" t="s">
        <v>22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>
        <v>1</v>
      </c>
      <c r="K670">
        <v>0</v>
      </c>
      <c r="L670" t="s">
        <v>23</v>
      </c>
      <c r="M670" t="str">
        <f t="shared" si="67"/>
        <v>&gt;0.74</v>
      </c>
      <c r="N670">
        <v>0</v>
      </c>
      <c r="O670">
        <v>0</v>
      </c>
      <c r="P670">
        <v>0.99990000000000001</v>
      </c>
      <c r="Q670">
        <v>0</v>
      </c>
      <c r="R670">
        <v>0</v>
      </c>
      <c r="S670">
        <v>0</v>
      </c>
      <c r="T670">
        <v>0</v>
      </c>
      <c r="U670">
        <v>0</v>
      </c>
      <c r="V670" s="1">
        <v>2.0000000000000002E-5</v>
      </c>
      <c r="W670" s="1">
        <f t="shared" si="66"/>
        <v>0.99990000000000001</v>
      </c>
      <c r="X670" t="s">
        <v>528</v>
      </c>
      <c r="Y670" t="str">
        <f>VLOOKUP(X670,Sheet1!A:B,2,FALSE)</f>
        <v>Quercus alba L.</v>
      </c>
      <c r="Z670" t="s">
        <v>1386</v>
      </c>
      <c r="AB670" s="1">
        <f t="shared" si="68"/>
        <v>0.99990000000000001</v>
      </c>
      <c r="AD670" t="str">
        <f>IF(W670&lt;0.99,LARGE((N670:R670,U670,V670),2),"0")</f>
        <v>0</v>
      </c>
      <c r="AE670" t="str">
        <f t="shared" si="69"/>
        <v/>
      </c>
      <c r="AH670" t="str">
        <f t="shared" si="65"/>
        <v xml:space="preserve">Based on ADMIXTURE results of 78,187 SNPs, </v>
      </c>
    </row>
    <row r="671" spans="1:34" x14ac:dyDescent="0.4">
      <c r="A671">
        <v>269</v>
      </c>
      <c r="B671" t="s">
        <v>529</v>
      </c>
      <c r="C671" t="s">
        <v>21</v>
      </c>
      <c r="D671" t="s">
        <v>21</v>
      </c>
      <c r="E671" t="s">
        <v>21</v>
      </c>
      <c r="F671" t="s">
        <v>22</v>
      </c>
      <c r="G671" t="s">
        <v>21</v>
      </c>
      <c r="H671" t="s">
        <v>21</v>
      </c>
      <c r="I671" t="s">
        <v>21</v>
      </c>
      <c r="J671">
        <v>1</v>
      </c>
      <c r="K671">
        <v>0</v>
      </c>
      <c r="L671" t="s">
        <v>23</v>
      </c>
      <c r="M671" t="str">
        <f t="shared" si="67"/>
        <v>&gt;0.74</v>
      </c>
      <c r="N671">
        <v>0</v>
      </c>
      <c r="O671">
        <v>0</v>
      </c>
      <c r="P671">
        <v>0</v>
      </c>
      <c r="Q671">
        <v>7.1999999999999998E-3</v>
      </c>
      <c r="R671">
        <v>0</v>
      </c>
      <c r="S671">
        <v>3.5700000000000003E-2</v>
      </c>
      <c r="T671">
        <v>0.95699999999999996</v>
      </c>
      <c r="U671">
        <v>0</v>
      </c>
      <c r="V671">
        <v>0.99273199999999995</v>
      </c>
      <c r="W671" s="1">
        <f t="shared" si="66"/>
        <v>0.99273199999999995</v>
      </c>
      <c r="X671" t="s">
        <v>530</v>
      </c>
      <c r="Y671" t="str">
        <f>VLOOKUP(X671,Sheet1!A:B,2,FALSE)</f>
        <v>Quercus macrocarpa Michx.</v>
      </c>
      <c r="Z671" t="s">
        <v>1384</v>
      </c>
      <c r="AB671" s="1">
        <f t="shared" si="68"/>
        <v>0.99273199999999995</v>
      </c>
      <c r="AD671" t="str">
        <f>IF(W671&lt;0.99,LARGE((N671:R671,U671,V671),2),"0")</f>
        <v>0</v>
      </c>
      <c r="AE671" t="str">
        <f t="shared" si="69"/>
        <v/>
      </c>
      <c r="AH671" t="str">
        <f t="shared" si="65"/>
        <v xml:space="preserve">Based on ADMIXTURE results of 78,187 SNPs, </v>
      </c>
    </row>
    <row r="672" spans="1:34" x14ac:dyDescent="0.4">
      <c r="A672">
        <v>270</v>
      </c>
      <c r="B672" t="s">
        <v>531</v>
      </c>
      <c r="C672" t="s">
        <v>22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>
        <v>1</v>
      </c>
      <c r="K672">
        <v>0</v>
      </c>
      <c r="L672" t="s">
        <v>23</v>
      </c>
      <c r="M672" t="str">
        <f t="shared" si="67"/>
        <v>&gt;0.74</v>
      </c>
      <c r="N672">
        <v>0</v>
      </c>
      <c r="O672">
        <v>0</v>
      </c>
      <c r="P672">
        <v>0.99990000000000001</v>
      </c>
      <c r="Q672">
        <v>0</v>
      </c>
      <c r="R672">
        <v>0</v>
      </c>
      <c r="S672">
        <v>0</v>
      </c>
      <c r="T672">
        <v>0</v>
      </c>
      <c r="U672">
        <v>0</v>
      </c>
      <c r="V672" s="1">
        <v>2.0000000000000002E-5</v>
      </c>
      <c r="W672" s="1">
        <f t="shared" si="66"/>
        <v>0.99990000000000001</v>
      </c>
      <c r="X672" t="s">
        <v>532</v>
      </c>
      <c r="Y672" t="str">
        <f>VLOOKUP(X672,Sheet1!A:B,2,FALSE)</f>
        <v>Quercus alba L.</v>
      </c>
      <c r="Z672" t="s">
        <v>1386</v>
      </c>
      <c r="AB672" s="1">
        <f t="shared" si="68"/>
        <v>0.99990000000000001</v>
      </c>
      <c r="AD672" t="str">
        <f>IF(W672&lt;0.99,LARGE((N672:R672,U672,V672),2),"0")</f>
        <v>0</v>
      </c>
      <c r="AE672" t="str">
        <f t="shared" si="69"/>
        <v/>
      </c>
      <c r="AH672" t="str">
        <f t="shared" si="65"/>
        <v xml:space="preserve">Based on ADMIXTURE results of 78,187 SNPs, </v>
      </c>
    </row>
    <row r="673" spans="1:34" x14ac:dyDescent="0.4">
      <c r="A673">
        <v>592</v>
      </c>
      <c r="B673" t="s">
        <v>1176</v>
      </c>
      <c r="C673" t="s">
        <v>21</v>
      </c>
      <c r="D673" t="s">
        <v>21</v>
      </c>
      <c r="E673" t="s">
        <v>21</v>
      </c>
      <c r="F673" t="s">
        <v>22</v>
      </c>
      <c r="G673" t="s">
        <v>21</v>
      </c>
      <c r="H673" t="s">
        <v>21</v>
      </c>
      <c r="I673" t="s">
        <v>21</v>
      </c>
      <c r="J673">
        <v>1</v>
      </c>
      <c r="K673">
        <v>0</v>
      </c>
      <c r="L673" t="s">
        <v>23</v>
      </c>
      <c r="M673" t="str">
        <f t="shared" si="67"/>
        <v>&gt;0.74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0.99990000000000001</v>
      </c>
      <c r="U673">
        <v>0</v>
      </c>
      <c r="V673">
        <v>0.99994000000000005</v>
      </c>
      <c r="W673" s="1">
        <f t="shared" si="66"/>
        <v>0.99994000000000005</v>
      </c>
      <c r="X673" t="s">
        <v>1177</v>
      </c>
      <c r="Y673" t="str">
        <f>VLOOKUP(X673,Sheet1!A:B,2,FALSE)</f>
        <v>Quercus macrocarpa Michx.</v>
      </c>
      <c r="Z673" t="s">
        <v>1384</v>
      </c>
      <c r="AB673" s="1">
        <f t="shared" si="68"/>
        <v>0.99994000000000005</v>
      </c>
      <c r="AD673" t="str">
        <f>IF(W673&lt;0.99,LARGE((N673:R673,U673,V673),2),"0")</f>
        <v>0</v>
      </c>
      <c r="AE673" t="str">
        <f t="shared" si="69"/>
        <v/>
      </c>
      <c r="AH673" t="str">
        <f t="shared" si="65"/>
        <v xml:space="preserve">Based on ADMIXTURE results of 78,187 SNPs, </v>
      </c>
    </row>
    <row r="674" spans="1:34" x14ac:dyDescent="0.4">
      <c r="A674">
        <v>593</v>
      </c>
      <c r="B674" t="s">
        <v>1178</v>
      </c>
      <c r="C674" t="s">
        <v>21</v>
      </c>
      <c r="D674" t="s">
        <v>21</v>
      </c>
      <c r="E674" t="s">
        <v>21</v>
      </c>
      <c r="F674" t="s">
        <v>22</v>
      </c>
      <c r="G674" t="s">
        <v>21</v>
      </c>
      <c r="H674" t="s">
        <v>21</v>
      </c>
      <c r="I674" t="s">
        <v>21</v>
      </c>
      <c r="J674">
        <v>1</v>
      </c>
      <c r="K674">
        <v>0</v>
      </c>
      <c r="L674" t="s">
        <v>23</v>
      </c>
      <c r="M674" t="str">
        <f t="shared" si="67"/>
        <v>&gt;0.74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3.2800000000000003E-2</v>
      </c>
      <c r="T674">
        <v>0.96709999999999996</v>
      </c>
      <c r="U674">
        <v>0</v>
      </c>
      <c r="V674">
        <v>0.99993699999999996</v>
      </c>
      <c r="W674" s="1">
        <f t="shared" si="66"/>
        <v>0.99993699999999996</v>
      </c>
      <c r="X674" t="s">
        <v>1179</v>
      </c>
      <c r="Y674" t="str">
        <f>VLOOKUP(X674,Sheet1!A:B,2,FALSE)</f>
        <v>Quercus macrocarpa Michx.</v>
      </c>
      <c r="Z674" t="s">
        <v>1384</v>
      </c>
      <c r="AB674" s="1">
        <f t="shared" si="68"/>
        <v>0.99993699999999996</v>
      </c>
      <c r="AD674" t="str">
        <f>IF(W674&lt;0.99,LARGE((N674:R674,U674,V674),2),"0")</f>
        <v>0</v>
      </c>
      <c r="AE674" t="str">
        <f t="shared" si="69"/>
        <v/>
      </c>
      <c r="AH674" t="str">
        <f t="shared" si="65"/>
        <v xml:space="preserve">Based on ADMIXTURE results of 78,187 SNPs, </v>
      </c>
    </row>
    <row r="675" spans="1:34" x14ac:dyDescent="0.4">
      <c r="A675">
        <v>594</v>
      </c>
      <c r="B675" t="s">
        <v>1180</v>
      </c>
      <c r="C675" t="s">
        <v>21</v>
      </c>
      <c r="D675" t="s">
        <v>21</v>
      </c>
      <c r="E675" t="s">
        <v>21</v>
      </c>
      <c r="F675" t="s">
        <v>22</v>
      </c>
      <c r="G675" t="s">
        <v>21</v>
      </c>
      <c r="H675" t="s">
        <v>21</v>
      </c>
      <c r="I675" t="s">
        <v>21</v>
      </c>
      <c r="J675">
        <v>1</v>
      </c>
      <c r="K675">
        <v>0</v>
      </c>
      <c r="L675" t="s">
        <v>23</v>
      </c>
      <c r="M675" t="str">
        <f t="shared" si="67"/>
        <v>&gt;0.74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0.99990000000000001</v>
      </c>
      <c r="U675">
        <v>0</v>
      </c>
      <c r="V675">
        <v>0.99994000000000005</v>
      </c>
      <c r="W675" s="1">
        <f t="shared" si="66"/>
        <v>0.99994000000000005</v>
      </c>
      <c r="X675" t="s">
        <v>1181</v>
      </c>
      <c r="Y675" t="str">
        <f>VLOOKUP(X675,Sheet1!A:B,2,FALSE)</f>
        <v>Quercus macrocarpa Michx.</v>
      </c>
      <c r="Z675" t="s">
        <v>1384</v>
      </c>
      <c r="AB675" s="1">
        <f t="shared" si="68"/>
        <v>0.99994000000000005</v>
      </c>
      <c r="AD675" t="str">
        <f>IF(W675&lt;0.99,LARGE((N675:R675,U675,V675),2),"0")</f>
        <v>0</v>
      </c>
      <c r="AE675" t="str">
        <f t="shared" si="69"/>
        <v/>
      </c>
      <c r="AH675" t="str">
        <f t="shared" si="65"/>
        <v xml:space="preserve">Based on ADMIXTURE results of 78,187 SNPs, </v>
      </c>
    </row>
    <row r="676" spans="1:34" x14ac:dyDescent="0.4">
      <c r="A676">
        <v>595</v>
      </c>
      <c r="B676" t="s">
        <v>1182</v>
      </c>
      <c r="C676" t="s">
        <v>21</v>
      </c>
      <c r="D676" t="s">
        <v>21</v>
      </c>
      <c r="E676" t="s">
        <v>21</v>
      </c>
      <c r="F676" t="s">
        <v>22</v>
      </c>
      <c r="G676" t="s">
        <v>21</v>
      </c>
      <c r="H676" t="s">
        <v>21</v>
      </c>
      <c r="I676" t="s">
        <v>21</v>
      </c>
      <c r="J676">
        <v>1</v>
      </c>
      <c r="K676">
        <v>0</v>
      </c>
      <c r="L676" t="s">
        <v>23</v>
      </c>
      <c r="M676" t="str">
        <f t="shared" si="67"/>
        <v>&gt;0.74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1.9900000000000001E-2</v>
      </c>
      <c r="T676">
        <v>0.98009999999999997</v>
      </c>
      <c r="U676">
        <v>0</v>
      </c>
      <c r="V676">
        <v>0.99994000000000005</v>
      </c>
      <c r="W676" s="1">
        <f t="shared" si="66"/>
        <v>0.99994000000000005</v>
      </c>
      <c r="X676" t="s">
        <v>1183</v>
      </c>
      <c r="Y676" t="str">
        <f>VLOOKUP(X676,Sheet1!A:B,2,FALSE)</f>
        <v>Quercus macrocarpa Michx.</v>
      </c>
      <c r="Z676" t="s">
        <v>1384</v>
      </c>
      <c r="AB676" s="1">
        <f t="shared" si="68"/>
        <v>0.99994000000000005</v>
      </c>
      <c r="AD676" t="str">
        <f>IF(W676&lt;0.99,LARGE((N676:R676,U676,V676),2),"0")</f>
        <v>0</v>
      </c>
      <c r="AE676" t="str">
        <f t="shared" si="69"/>
        <v/>
      </c>
      <c r="AH676" t="str">
        <f t="shared" si="65"/>
        <v xml:space="preserve">Based on ADMIXTURE results of 78,187 SNPs, </v>
      </c>
    </row>
    <row r="677" spans="1:34" x14ac:dyDescent="0.4">
      <c r="A677">
        <v>596</v>
      </c>
      <c r="B677" t="s">
        <v>1184</v>
      </c>
      <c r="C677" t="s">
        <v>21</v>
      </c>
      <c r="D677" t="s">
        <v>21</v>
      </c>
      <c r="E677" t="s">
        <v>21</v>
      </c>
      <c r="F677" t="s">
        <v>22</v>
      </c>
      <c r="G677" t="s">
        <v>21</v>
      </c>
      <c r="H677" t="s">
        <v>21</v>
      </c>
      <c r="I677" t="s">
        <v>21</v>
      </c>
      <c r="J677">
        <v>1</v>
      </c>
      <c r="K677">
        <v>0</v>
      </c>
      <c r="L677" t="s">
        <v>23</v>
      </c>
      <c r="M677" t="str">
        <f t="shared" si="67"/>
        <v>&gt;0.74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6.3799999999999996E-2</v>
      </c>
      <c r="T677">
        <v>0.93620000000000003</v>
      </c>
      <c r="U677">
        <v>0</v>
      </c>
      <c r="V677">
        <v>0.99994000000000005</v>
      </c>
      <c r="W677" s="1">
        <f t="shared" si="66"/>
        <v>0.99994000000000005</v>
      </c>
      <c r="X677" t="s">
        <v>1185</v>
      </c>
      <c r="Y677" t="str">
        <f>VLOOKUP(X677,Sheet1!A:B,2,FALSE)</f>
        <v>Quercus macrocarpa Michx.</v>
      </c>
      <c r="Z677" t="s">
        <v>1384</v>
      </c>
      <c r="AB677" s="1">
        <f t="shared" si="68"/>
        <v>0.99994000000000005</v>
      </c>
      <c r="AD677" t="str">
        <f>IF(W677&lt;0.99,LARGE((N677:R677,U677,V677),2),"0")</f>
        <v>0</v>
      </c>
      <c r="AE677" t="str">
        <f t="shared" si="69"/>
        <v/>
      </c>
      <c r="AH677" t="str">
        <f t="shared" si="65"/>
        <v xml:space="preserve">Based on ADMIXTURE results of 78,187 SNPs, </v>
      </c>
    </row>
    <row r="678" spans="1:34" x14ac:dyDescent="0.4">
      <c r="A678">
        <v>597</v>
      </c>
      <c r="B678" t="s">
        <v>1186</v>
      </c>
      <c r="C678" t="s">
        <v>21</v>
      </c>
      <c r="D678" t="s">
        <v>21</v>
      </c>
      <c r="E678" t="s">
        <v>21</v>
      </c>
      <c r="F678" t="s">
        <v>22</v>
      </c>
      <c r="G678" t="s">
        <v>21</v>
      </c>
      <c r="H678" t="s">
        <v>21</v>
      </c>
      <c r="I678" t="s">
        <v>21</v>
      </c>
      <c r="J678">
        <v>1</v>
      </c>
      <c r="K678">
        <v>0</v>
      </c>
      <c r="L678" t="s">
        <v>23</v>
      </c>
      <c r="M678" t="str">
        <f t="shared" si="67"/>
        <v>&gt;0.74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2.75E-2</v>
      </c>
      <c r="T678">
        <v>0.97240000000000004</v>
      </c>
      <c r="U678">
        <v>0</v>
      </c>
      <c r="V678">
        <v>0.99993100000000001</v>
      </c>
      <c r="W678" s="1">
        <f t="shared" si="66"/>
        <v>0.99993100000000001</v>
      </c>
      <c r="X678" t="s">
        <v>1187</v>
      </c>
      <c r="Y678" t="str">
        <f>VLOOKUP(X678,Sheet1!A:B,2,FALSE)</f>
        <v>Quercus macrocarpa Michx.</v>
      </c>
      <c r="Z678" t="s">
        <v>1384</v>
      </c>
      <c r="AB678" s="1">
        <f t="shared" si="68"/>
        <v>0.99993100000000001</v>
      </c>
      <c r="AD678" t="str">
        <f>IF(W678&lt;0.99,LARGE((N678:R678,U678,V678),2),"0")</f>
        <v>0</v>
      </c>
      <c r="AE678" t="str">
        <f t="shared" si="69"/>
        <v/>
      </c>
      <c r="AH678" t="str">
        <f t="shared" si="65"/>
        <v xml:space="preserve">Based on ADMIXTURE results of 78,187 SNPs, </v>
      </c>
    </row>
  </sheetData>
  <autoFilter ref="A1:AH678" xr:uid="{00000000-0001-0000-0000-000000000000}">
    <sortState xmlns:xlrd2="http://schemas.microsoft.com/office/spreadsheetml/2017/richdata2" ref="A2:AH678">
      <sortCondition ref="X1:X67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A16E-171A-4ECE-9A3C-645FCA13AFB0}">
  <dimension ref="A1:B47"/>
  <sheetViews>
    <sheetView workbookViewId="0">
      <selection activeCell="A6" sqref="A6"/>
    </sheetView>
  </sheetViews>
  <sheetFormatPr defaultRowHeight="14.6" x14ac:dyDescent="0.4"/>
  <cols>
    <col min="1" max="1" width="30" bestFit="1" customWidth="1"/>
  </cols>
  <sheetData>
    <row r="1" spans="1:2" x14ac:dyDescent="0.4">
      <c r="A1" t="s">
        <v>1413</v>
      </c>
      <c r="B1" t="s">
        <v>1416</v>
      </c>
    </row>
    <row r="2" spans="1:2" x14ac:dyDescent="0.4">
      <c r="A2" t="s">
        <v>1390</v>
      </c>
      <c r="B2" t="s">
        <v>1421</v>
      </c>
    </row>
    <row r="3" spans="1:2" x14ac:dyDescent="0.4">
      <c r="A3" t="s">
        <v>1390</v>
      </c>
      <c r="B3" t="s">
        <v>1421</v>
      </c>
    </row>
    <row r="4" spans="1:2" x14ac:dyDescent="0.4">
      <c r="A4" t="s">
        <v>1390</v>
      </c>
      <c r="B4" t="s">
        <v>1421</v>
      </c>
    </row>
    <row r="5" spans="1:2" x14ac:dyDescent="0.4">
      <c r="A5" t="s">
        <v>1390</v>
      </c>
      <c r="B5" t="s">
        <v>1421</v>
      </c>
    </row>
    <row r="6" spans="1:2" x14ac:dyDescent="0.4">
      <c r="A6" s="3" t="s">
        <v>1384</v>
      </c>
      <c r="B6" s="3" t="s">
        <v>1433</v>
      </c>
    </row>
    <row r="7" spans="1:2" x14ac:dyDescent="0.4">
      <c r="A7" t="s">
        <v>1386</v>
      </c>
      <c r="B7" t="s">
        <v>1432</v>
      </c>
    </row>
    <row r="8" spans="1:2" x14ac:dyDescent="0.4">
      <c r="A8" t="s">
        <v>1384</v>
      </c>
      <c r="B8" t="s">
        <v>1432</v>
      </c>
    </row>
    <row r="9" spans="1:2" x14ac:dyDescent="0.4">
      <c r="A9" t="s">
        <v>1384</v>
      </c>
      <c r="B9" t="s">
        <v>1431</v>
      </c>
    </row>
    <row r="10" spans="1:2" x14ac:dyDescent="0.4">
      <c r="A10" t="s">
        <v>1384</v>
      </c>
      <c r="B10" t="s">
        <v>1432</v>
      </c>
    </row>
    <row r="11" spans="1:2" x14ac:dyDescent="0.4">
      <c r="A11" t="s">
        <v>1409</v>
      </c>
      <c r="B11" t="s">
        <v>1429</v>
      </c>
    </row>
    <row r="12" spans="1:2" x14ac:dyDescent="0.4">
      <c r="A12" t="s">
        <v>1384</v>
      </c>
      <c r="B12" t="s">
        <v>1432</v>
      </c>
    </row>
    <row r="13" spans="1:2" x14ac:dyDescent="0.4">
      <c r="A13" t="s">
        <v>1384</v>
      </c>
      <c r="B13" t="s">
        <v>1432</v>
      </c>
    </row>
    <row r="14" spans="1:2" x14ac:dyDescent="0.4">
      <c r="A14" t="s">
        <v>1386</v>
      </c>
      <c r="B14" t="s">
        <v>1421</v>
      </c>
    </row>
    <row r="15" spans="1:2" x14ac:dyDescent="0.4">
      <c r="A15" t="s">
        <v>1386</v>
      </c>
      <c r="B15" t="s">
        <v>1421</v>
      </c>
    </row>
    <row r="16" spans="1:2" x14ac:dyDescent="0.4">
      <c r="A16" s="3" t="s">
        <v>1388</v>
      </c>
      <c r="B16" s="3" t="s">
        <v>1430</v>
      </c>
    </row>
    <row r="17" spans="1:2" x14ac:dyDescent="0.4">
      <c r="A17" s="3" t="s">
        <v>1384</v>
      </c>
      <c r="B17" s="3" t="s">
        <v>1430</v>
      </c>
    </row>
    <row r="18" spans="1:2" x14ac:dyDescent="0.4">
      <c r="A18" t="s">
        <v>1384</v>
      </c>
      <c r="B18" s="3" t="s">
        <v>1430</v>
      </c>
    </row>
    <row r="19" spans="1:2" x14ac:dyDescent="0.4">
      <c r="A19" t="s">
        <v>1384</v>
      </c>
      <c r="B19" t="s">
        <v>1430</v>
      </c>
    </row>
    <row r="20" spans="1:2" x14ac:dyDescent="0.4">
      <c r="A20" s="3" t="s">
        <v>1384</v>
      </c>
      <c r="B20" s="3" t="s">
        <v>1430</v>
      </c>
    </row>
    <row r="21" spans="1:2" x14ac:dyDescent="0.4">
      <c r="A21" t="s">
        <v>1384</v>
      </c>
      <c r="B21" s="3" t="s">
        <v>1430</v>
      </c>
    </row>
    <row r="22" spans="1:2" x14ac:dyDescent="0.4">
      <c r="A22" t="s">
        <v>1389</v>
      </c>
      <c r="B22" t="s">
        <v>1421</v>
      </c>
    </row>
    <row r="23" spans="1:2" x14ac:dyDescent="0.4">
      <c r="A23" t="s">
        <v>1384</v>
      </c>
      <c r="B23" t="s">
        <v>1432</v>
      </c>
    </row>
    <row r="24" spans="1:2" x14ac:dyDescent="0.4">
      <c r="A24" t="s">
        <v>1384</v>
      </c>
      <c r="B24" t="s">
        <v>1431</v>
      </c>
    </row>
    <row r="25" spans="1:2" x14ac:dyDescent="0.4">
      <c r="A25" t="s">
        <v>1384</v>
      </c>
      <c r="B25" t="s">
        <v>1431</v>
      </c>
    </row>
    <row r="26" spans="1:2" x14ac:dyDescent="0.4">
      <c r="A26" t="s">
        <v>1384</v>
      </c>
      <c r="B26" t="s">
        <v>1428</v>
      </c>
    </row>
    <row r="27" spans="1:2" x14ac:dyDescent="0.4">
      <c r="A27" t="s">
        <v>1384</v>
      </c>
      <c r="B27" t="s">
        <v>1431</v>
      </c>
    </row>
    <row r="28" spans="1:2" x14ac:dyDescent="0.4">
      <c r="A28" t="s">
        <v>1384</v>
      </c>
      <c r="B28" t="s">
        <v>1432</v>
      </c>
    </row>
    <row r="29" spans="1:2" x14ac:dyDescent="0.4">
      <c r="A29" t="s">
        <v>1388</v>
      </c>
      <c r="B29" t="s">
        <v>1421</v>
      </c>
    </row>
    <row r="30" spans="1:2" x14ac:dyDescent="0.4">
      <c r="A30" t="s">
        <v>1388</v>
      </c>
      <c r="B30" t="s">
        <v>1421</v>
      </c>
    </row>
    <row r="31" spans="1:2" x14ac:dyDescent="0.4">
      <c r="A31" t="s">
        <v>1384</v>
      </c>
      <c r="B31" t="s">
        <v>1421</v>
      </c>
    </row>
    <row r="32" spans="1:2" x14ac:dyDescent="0.4">
      <c r="A32" t="s">
        <v>1388</v>
      </c>
      <c r="B32" t="s">
        <v>1421</v>
      </c>
    </row>
    <row r="33" spans="1:2" x14ac:dyDescent="0.4">
      <c r="A33" t="s">
        <v>1384</v>
      </c>
      <c r="B33" t="s">
        <v>1421</v>
      </c>
    </row>
    <row r="34" spans="1:2" x14ac:dyDescent="0.4">
      <c r="A34" t="s">
        <v>1384</v>
      </c>
      <c r="B34" t="s">
        <v>1431</v>
      </c>
    </row>
    <row r="35" spans="1:2" x14ac:dyDescent="0.4">
      <c r="A35" t="s">
        <v>1384</v>
      </c>
      <c r="B35" t="s">
        <v>1431</v>
      </c>
    </row>
    <row r="36" spans="1:2" x14ac:dyDescent="0.4">
      <c r="A36" t="s">
        <v>1384</v>
      </c>
      <c r="B36" t="s">
        <v>1431</v>
      </c>
    </row>
    <row r="37" spans="1:2" x14ac:dyDescent="0.4">
      <c r="A37" t="s">
        <v>1384</v>
      </c>
      <c r="B37" t="s">
        <v>1431</v>
      </c>
    </row>
    <row r="38" spans="1:2" x14ac:dyDescent="0.4">
      <c r="A38" t="s">
        <v>1384</v>
      </c>
      <c r="B38" t="s">
        <v>1431</v>
      </c>
    </row>
    <row r="39" spans="1:2" x14ac:dyDescent="0.4">
      <c r="A39" t="s">
        <v>1384</v>
      </c>
      <c r="B39" t="s">
        <v>1431</v>
      </c>
    </row>
    <row r="40" spans="1:2" x14ac:dyDescent="0.4">
      <c r="A40" t="s">
        <v>1384</v>
      </c>
      <c r="B40" t="s">
        <v>1431</v>
      </c>
    </row>
    <row r="41" spans="1:2" x14ac:dyDescent="0.4">
      <c r="A41" t="s">
        <v>1384</v>
      </c>
      <c r="B41" t="s">
        <v>1431</v>
      </c>
    </row>
    <row r="42" spans="1:2" x14ac:dyDescent="0.4">
      <c r="A42" t="s">
        <v>1384</v>
      </c>
      <c r="B42" t="s">
        <v>1431</v>
      </c>
    </row>
    <row r="43" spans="1:2" x14ac:dyDescent="0.4">
      <c r="A43" t="s">
        <v>1384</v>
      </c>
      <c r="B43" t="s">
        <v>1431</v>
      </c>
    </row>
    <row r="44" spans="1:2" x14ac:dyDescent="0.4">
      <c r="A44" t="s">
        <v>1384</v>
      </c>
      <c r="B44" t="s">
        <v>1431</v>
      </c>
    </row>
    <row r="45" spans="1:2" x14ac:dyDescent="0.4">
      <c r="A45" t="s">
        <v>1384</v>
      </c>
      <c r="B45" t="s">
        <v>1431</v>
      </c>
    </row>
    <row r="46" spans="1:2" x14ac:dyDescent="0.4">
      <c r="A46" t="s">
        <v>1384</v>
      </c>
      <c r="B46" t="s">
        <v>1432</v>
      </c>
    </row>
    <row r="47" spans="1:2" x14ac:dyDescent="0.4">
      <c r="A47" t="s">
        <v>1384</v>
      </c>
      <c r="B47" t="s">
        <v>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9A72-6589-4BB6-8D04-191265819A38}">
  <dimension ref="A1:F47"/>
  <sheetViews>
    <sheetView workbookViewId="0">
      <selection activeCell="F2" sqref="F2:F47"/>
    </sheetView>
  </sheetViews>
  <sheetFormatPr defaultRowHeight="14.6" x14ac:dyDescent="0.4"/>
  <cols>
    <col min="2" max="2" width="9.4609375" bestFit="1" customWidth="1"/>
    <col min="4" max="4" width="20.23046875" bestFit="1" customWidth="1"/>
  </cols>
  <sheetData>
    <row r="1" spans="1:6" x14ac:dyDescent="0.4">
      <c r="A1" t="s">
        <v>1413</v>
      </c>
      <c r="B1" t="s">
        <v>1414</v>
      </c>
      <c r="C1" t="s">
        <v>1415</v>
      </c>
      <c r="D1" t="s">
        <v>1416</v>
      </c>
      <c r="E1" t="s">
        <v>1417</v>
      </c>
    </row>
    <row r="2" spans="1:6" x14ac:dyDescent="0.4">
      <c r="A2" t="s">
        <v>1384</v>
      </c>
      <c r="C2" s="1">
        <v>0.66250699999999996</v>
      </c>
      <c r="D2" t="s">
        <v>1431</v>
      </c>
      <c r="E2">
        <v>0.33739999999999998</v>
      </c>
      <c r="F2" s="1">
        <f>C2+E2</f>
        <v>0.99990699999999988</v>
      </c>
    </row>
    <row r="3" spans="1:6" x14ac:dyDescent="0.4">
      <c r="A3" t="s">
        <v>1384</v>
      </c>
      <c r="C3" s="1">
        <v>0.68573099999999998</v>
      </c>
      <c r="D3" t="s">
        <v>1431</v>
      </c>
      <c r="E3">
        <v>0.31419999999999998</v>
      </c>
      <c r="F3" s="1">
        <f t="shared" ref="F3:F47" si="0">C3+E3</f>
        <v>0.9999309999999999</v>
      </c>
    </row>
    <row r="4" spans="1:6" x14ac:dyDescent="0.4">
      <c r="A4" s="4" t="s">
        <v>1388</v>
      </c>
      <c r="C4" s="1">
        <v>0.69450000000000001</v>
      </c>
      <c r="D4" t="s">
        <v>1421</v>
      </c>
      <c r="E4">
        <v>0.30547299999999999</v>
      </c>
      <c r="F4" s="1">
        <f t="shared" si="0"/>
        <v>0.999973</v>
      </c>
    </row>
    <row r="5" spans="1:6" x14ac:dyDescent="0.4">
      <c r="A5" s="3" t="s">
        <v>1388</v>
      </c>
      <c r="B5" s="3"/>
      <c r="C5" s="5">
        <v>0.70589999999999997</v>
      </c>
      <c r="D5" s="3" t="s">
        <v>1430</v>
      </c>
      <c r="E5" s="3">
        <v>0.25800000000000001</v>
      </c>
      <c r="F5" s="1">
        <f t="shared" si="0"/>
        <v>0.96389999999999998</v>
      </c>
    </row>
    <row r="6" spans="1:6" x14ac:dyDescent="0.4">
      <c r="A6" t="s">
        <v>1388</v>
      </c>
      <c r="C6" s="1">
        <v>0.77410000000000001</v>
      </c>
      <c r="D6" t="s">
        <v>1421</v>
      </c>
      <c r="E6">
        <v>0.225856</v>
      </c>
      <c r="F6" s="1">
        <f t="shared" si="0"/>
        <v>0.99995600000000007</v>
      </c>
    </row>
    <row r="7" spans="1:6" x14ac:dyDescent="0.4">
      <c r="A7" t="s">
        <v>1384</v>
      </c>
      <c r="C7" s="1">
        <v>0.77554800000000002</v>
      </c>
      <c r="D7" t="s">
        <v>1431</v>
      </c>
      <c r="E7">
        <v>0.2172</v>
      </c>
      <c r="F7" s="1">
        <f t="shared" si="0"/>
        <v>0.99274799999999996</v>
      </c>
    </row>
    <row r="8" spans="1:6" x14ac:dyDescent="0.4">
      <c r="A8" s="4" t="s">
        <v>1388</v>
      </c>
      <c r="C8" s="1">
        <v>0.80100000000000005</v>
      </c>
      <c r="D8" t="s">
        <v>1421</v>
      </c>
      <c r="E8">
        <v>0.19895599999999999</v>
      </c>
      <c r="F8" s="1">
        <f t="shared" si="0"/>
        <v>0.99995600000000007</v>
      </c>
    </row>
    <row r="9" spans="1:6" x14ac:dyDescent="0.4">
      <c r="A9" s="3" t="s">
        <v>1384</v>
      </c>
      <c r="B9" s="3"/>
      <c r="C9" s="5">
        <v>0.68628400000000001</v>
      </c>
      <c r="D9" s="3" t="s">
        <v>1433</v>
      </c>
      <c r="E9" s="3">
        <v>0.19020000000000001</v>
      </c>
      <c r="F9" s="1">
        <f t="shared" si="0"/>
        <v>0.87648400000000004</v>
      </c>
    </row>
    <row r="10" spans="1:6" x14ac:dyDescent="0.4">
      <c r="A10" t="s">
        <v>1384</v>
      </c>
      <c r="C10" s="1">
        <v>0.81740100000000004</v>
      </c>
      <c r="D10" t="s">
        <v>1431</v>
      </c>
      <c r="E10">
        <v>0.1825</v>
      </c>
      <c r="F10" s="1">
        <f t="shared" si="0"/>
        <v>0.99990100000000004</v>
      </c>
    </row>
    <row r="11" spans="1:6" x14ac:dyDescent="0.4">
      <c r="A11" s="3" t="s">
        <v>1384</v>
      </c>
      <c r="B11" s="3"/>
      <c r="C11" s="5">
        <v>0.679678</v>
      </c>
      <c r="D11" s="3" t="s">
        <v>1430</v>
      </c>
      <c r="E11" s="3">
        <v>0.17230000000000001</v>
      </c>
      <c r="F11" s="1">
        <f t="shared" si="0"/>
        <v>0.85197800000000001</v>
      </c>
    </row>
    <row r="12" spans="1:6" x14ac:dyDescent="0.4">
      <c r="A12" t="s">
        <v>1384</v>
      </c>
      <c r="C12" s="1">
        <v>0.82361499999999999</v>
      </c>
      <c r="D12" s="3" t="s">
        <v>1430</v>
      </c>
      <c r="E12">
        <v>0.15709999999999999</v>
      </c>
      <c r="F12" s="1">
        <f t="shared" si="0"/>
        <v>0.980715</v>
      </c>
    </row>
    <row r="13" spans="1:6" x14ac:dyDescent="0.4">
      <c r="A13" t="s">
        <v>1384</v>
      </c>
      <c r="C13" s="1">
        <v>0.848248</v>
      </c>
      <c r="D13" t="s">
        <v>1430</v>
      </c>
      <c r="E13">
        <v>0.1517</v>
      </c>
      <c r="F13" s="1">
        <f t="shared" si="0"/>
        <v>0.99994800000000006</v>
      </c>
    </row>
    <row r="14" spans="1:6" x14ac:dyDescent="0.4">
      <c r="A14" t="s">
        <v>1384</v>
      </c>
      <c r="C14" s="1">
        <v>0.866479</v>
      </c>
      <c r="D14" t="s">
        <v>1432</v>
      </c>
      <c r="E14">
        <v>0.1295</v>
      </c>
      <c r="F14" s="1">
        <f t="shared" si="0"/>
        <v>0.99597899999999995</v>
      </c>
    </row>
    <row r="15" spans="1:6" x14ac:dyDescent="0.4">
      <c r="A15" t="s">
        <v>1389</v>
      </c>
      <c r="C15" s="1">
        <v>0.81720000000000004</v>
      </c>
      <c r="D15" t="s">
        <v>1421</v>
      </c>
      <c r="E15">
        <v>0.124475</v>
      </c>
      <c r="F15" s="1">
        <f t="shared" si="0"/>
        <v>0.94167500000000004</v>
      </c>
    </row>
    <row r="16" spans="1:6" x14ac:dyDescent="0.4">
      <c r="A16" t="s">
        <v>1384</v>
      </c>
      <c r="C16" s="1">
        <v>0.87180400000000002</v>
      </c>
      <c r="D16" t="s">
        <v>1428</v>
      </c>
      <c r="E16">
        <v>0.121</v>
      </c>
      <c r="F16" s="1">
        <f t="shared" si="0"/>
        <v>0.99280400000000002</v>
      </c>
    </row>
    <row r="17" spans="1:6" x14ac:dyDescent="0.4">
      <c r="A17" t="s">
        <v>1386</v>
      </c>
      <c r="C17" s="1">
        <v>0.879</v>
      </c>
      <c r="D17" t="s">
        <v>1421</v>
      </c>
      <c r="E17">
        <v>0.120957</v>
      </c>
      <c r="F17" s="1">
        <f t="shared" si="0"/>
        <v>0.99995699999999998</v>
      </c>
    </row>
    <row r="18" spans="1:6" x14ac:dyDescent="0.4">
      <c r="A18" t="s">
        <v>1384</v>
      </c>
      <c r="C18" s="1">
        <v>0.87433799999999995</v>
      </c>
      <c r="D18" t="s">
        <v>1432</v>
      </c>
      <c r="E18">
        <v>0.11700000000000001</v>
      </c>
      <c r="F18" s="1">
        <f t="shared" si="0"/>
        <v>0.99133799999999994</v>
      </c>
    </row>
    <row r="19" spans="1:6" x14ac:dyDescent="0.4">
      <c r="A19" t="s">
        <v>1384</v>
      </c>
      <c r="C19" s="1">
        <v>0.872004</v>
      </c>
      <c r="D19" t="s">
        <v>1432</v>
      </c>
      <c r="E19">
        <v>0.112</v>
      </c>
      <c r="F19" s="1">
        <f t="shared" si="0"/>
        <v>0.98400399999999999</v>
      </c>
    </row>
    <row r="20" spans="1:6" x14ac:dyDescent="0.4">
      <c r="A20" t="s">
        <v>1384</v>
      </c>
      <c r="C20" s="1">
        <v>0.89557200000000003</v>
      </c>
      <c r="D20" t="s">
        <v>1431</v>
      </c>
      <c r="E20">
        <v>0.10440000000000001</v>
      </c>
      <c r="F20" s="1">
        <f t="shared" si="0"/>
        <v>0.99997200000000008</v>
      </c>
    </row>
    <row r="21" spans="1:6" x14ac:dyDescent="0.4">
      <c r="A21" t="s">
        <v>1384</v>
      </c>
      <c r="C21" s="1">
        <v>0.889656</v>
      </c>
      <c r="D21" t="s">
        <v>1431</v>
      </c>
      <c r="E21">
        <v>0.104</v>
      </c>
      <c r="F21" s="1">
        <f t="shared" si="0"/>
        <v>0.99365599999999998</v>
      </c>
    </row>
    <row r="22" spans="1:6" x14ac:dyDescent="0.4">
      <c r="A22" t="s">
        <v>1388</v>
      </c>
      <c r="C22" s="1">
        <v>0.8992</v>
      </c>
      <c r="D22" t="s">
        <v>1421</v>
      </c>
      <c r="E22">
        <v>0.100783</v>
      </c>
      <c r="F22" s="1">
        <f t="shared" si="0"/>
        <v>0.99998299999999996</v>
      </c>
    </row>
    <row r="23" spans="1:6" x14ac:dyDescent="0.4">
      <c r="A23" t="s">
        <v>1384</v>
      </c>
      <c r="C23" s="1">
        <v>0.88100400000000001</v>
      </c>
      <c r="D23" t="s">
        <v>1432</v>
      </c>
      <c r="E23">
        <v>9.9199999999999997E-2</v>
      </c>
      <c r="F23" s="1">
        <f t="shared" si="0"/>
        <v>0.98020399999999996</v>
      </c>
    </row>
    <row r="24" spans="1:6" x14ac:dyDescent="0.4">
      <c r="A24" t="s">
        <v>1384</v>
      </c>
      <c r="C24" s="1">
        <v>0.89008799999999999</v>
      </c>
      <c r="D24" t="s">
        <v>1432</v>
      </c>
      <c r="E24">
        <v>9.8199999999999996E-2</v>
      </c>
      <c r="F24" s="1">
        <f t="shared" si="0"/>
        <v>0.98828799999999994</v>
      </c>
    </row>
    <row r="25" spans="1:6" x14ac:dyDescent="0.4">
      <c r="A25" s="3" t="s">
        <v>1384</v>
      </c>
      <c r="B25" s="3"/>
      <c r="C25" s="5">
        <v>0.87158899999999995</v>
      </c>
      <c r="D25" s="3" t="s">
        <v>1430</v>
      </c>
      <c r="E25" s="3">
        <v>8.9499999999999996E-2</v>
      </c>
      <c r="F25" s="1">
        <f t="shared" si="0"/>
        <v>0.96108899999999997</v>
      </c>
    </row>
    <row r="26" spans="1:6" x14ac:dyDescent="0.4">
      <c r="A26" t="s">
        <v>1384</v>
      </c>
      <c r="C26" s="1">
        <v>0.91098199999999996</v>
      </c>
      <c r="D26" t="s">
        <v>1431</v>
      </c>
      <c r="E26">
        <v>8.8999999999999996E-2</v>
      </c>
      <c r="F26" s="1">
        <f t="shared" si="0"/>
        <v>0.99998199999999993</v>
      </c>
    </row>
    <row r="27" spans="1:6" x14ac:dyDescent="0.4">
      <c r="A27" t="s">
        <v>1384</v>
      </c>
      <c r="C27" s="1">
        <v>0.91030999999999995</v>
      </c>
      <c r="D27" t="s">
        <v>1431</v>
      </c>
      <c r="E27">
        <v>8.1600000000000006E-2</v>
      </c>
      <c r="F27" s="1">
        <f t="shared" si="0"/>
        <v>0.99190999999999996</v>
      </c>
    </row>
    <row r="28" spans="1:6" x14ac:dyDescent="0.4">
      <c r="A28" t="s">
        <v>1384</v>
      </c>
      <c r="C28" s="1">
        <v>0.91976999999999998</v>
      </c>
      <c r="D28" t="s">
        <v>1431</v>
      </c>
      <c r="E28">
        <v>8.0199999999999994E-2</v>
      </c>
      <c r="F28" s="1">
        <f t="shared" si="0"/>
        <v>0.99997000000000003</v>
      </c>
    </row>
    <row r="29" spans="1:6" x14ac:dyDescent="0.4">
      <c r="A29" t="s">
        <v>1388</v>
      </c>
      <c r="C29" s="1">
        <v>0.9204</v>
      </c>
      <c r="D29" t="s">
        <v>1421</v>
      </c>
      <c r="E29">
        <v>7.9548999999999995E-2</v>
      </c>
      <c r="F29" s="1">
        <f t="shared" si="0"/>
        <v>0.99994899999999998</v>
      </c>
    </row>
    <row r="30" spans="1:6" x14ac:dyDescent="0.4">
      <c r="A30" t="s">
        <v>1386</v>
      </c>
      <c r="C30" s="1">
        <v>0.86960000000000004</v>
      </c>
      <c r="D30" t="s">
        <v>1432</v>
      </c>
      <c r="E30">
        <v>7.7399999999999997E-2</v>
      </c>
      <c r="F30" s="1">
        <f t="shared" si="0"/>
        <v>0.94700000000000006</v>
      </c>
    </row>
    <row r="31" spans="1:6" x14ac:dyDescent="0.4">
      <c r="A31" t="s">
        <v>1386</v>
      </c>
      <c r="C31" s="1">
        <v>0.92349999999999999</v>
      </c>
      <c r="D31" t="s">
        <v>1421</v>
      </c>
      <c r="E31">
        <v>7.6481999999999994E-2</v>
      </c>
      <c r="F31" s="1">
        <f t="shared" si="0"/>
        <v>0.99998199999999993</v>
      </c>
    </row>
    <row r="32" spans="1:6" x14ac:dyDescent="0.4">
      <c r="A32" t="s">
        <v>1384</v>
      </c>
      <c r="C32" s="1">
        <v>0.92545100000000002</v>
      </c>
      <c r="D32" t="s">
        <v>1431</v>
      </c>
      <c r="E32">
        <v>7.4499999999999997E-2</v>
      </c>
      <c r="F32" s="1">
        <f t="shared" si="0"/>
        <v>0.99995100000000003</v>
      </c>
    </row>
    <row r="33" spans="1:6" x14ac:dyDescent="0.4">
      <c r="A33" t="s">
        <v>1409</v>
      </c>
      <c r="C33" s="1">
        <v>0.80689999999999995</v>
      </c>
      <c r="D33" t="s">
        <v>1429</v>
      </c>
      <c r="E33">
        <v>7.4300000000000005E-2</v>
      </c>
      <c r="F33" s="1">
        <f t="shared" si="0"/>
        <v>0.88119999999999998</v>
      </c>
    </row>
    <row r="34" spans="1:6" x14ac:dyDescent="0.4">
      <c r="A34" t="s">
        <v>1390</v>
      </c>
      <c r="C34" s="1">
        <v>0.89890000000000003</v>
      </c>
      <c r="D34" t="s">
        <v>1421</v>
      </c>
      <c r="E34">
        <v>7.3413000000000006E-2</v>
      </c>
      <c r="F34" s="1">
        <f t="shared" si="0"/>
        <v>0.97231299999999998</v>
      </c>
    </row>
    <row r="35" spans="1:6" x14ac:dyDescent="0.4">
      <c r="A35" t="s">
        <v>1390</v>
      </c>
      <c r="C35" s="1">
        <v>0.90980000000000005</v>
      </c>
      <c r="D35" t="s">
        <v>1421</v>
      </c>
      <c r="E35">
        <v>6.8681000000000006E-2</v>
      </c>
      <c r="F35" s="1">
        <f t="shared" si="0"/>
        <v>0.97848100000000005</v>
      </c>
    </row>
    <row r="36" spans="1:6" x14ac:dyDescent="0.4">
      <c r="A36" t="s">
        <v>1384</v>
      </c>
      <c r="C36" s="1">
        <v>0.91570499999999999</v>
      </c>
      <c r="D36" s="3" t="s">
        <v>1430</v>
      </c>
      <c r="E36">
        <v>6.3600000000000004E-2</v>
      </c>
      <c r="F36" s="1">
        <f t="shared" si="0"/>
        <v>0.97930499999999998</v>
      </c>
    </row>
    <row r="37" spans="1:6" x14ac:dyDescent="0.4">
      <c r="A37" t="s">
        <v>1384</v>
      </c>
      <c r="C37" s="1">
        <v>0.93675699999999995</v>
      </c>
      <c r="D37" t="s">
        <v>1431</v>
      </c>
      <c r="E37">
        <v>6.3200000000000006E-2</v>
      </c>
      <c r="F37" s="1">
        <f t="shared" si="0"/>
        <v>0.99995699999999998</v>
      </c>
    </row>
    <row r="38" spans="1:6" x14ac:dyDescent="0.4">
      <c r="A38" t="s">
        <v>1384</v>
      </c>
      <c r="C38" s="1">
        <v>0.94129399999999996</v>
      </c>
      <c r="D38" t="s">
        <v>1431</v>
      </c>
      <c r="E38">
        <v>5.8599999999999999E-2</v>
      </c>
      <c r="F38" s="1">
        <f t="shared" si="0"/>
        <v>0.99989399999999995</v>
      </c>
    </row>
    <row r="39" spans="1:6" x14ac:dyDescent="0.4">
      <c r="A39" t="s">
        <v>1384</v>
      </c>
      <c r="C39" s="1">
        <v>0.90497700000000003</v>
      </c>
      <c r="D39" t="s">
        <v>1432</v>
      </c>
      <c r="E39">
        <v>5.8000000000000003E-2</v>
      </c>
      <c r="F39" s="1">
        <f t="shared" si="0"/>
        <v>0.96297700000000008</v>
      </c>
    </row>
    <row r="40" spans="1:6" x14ac:dyDescent="0.4">
      <c r="A40" t="s">
        <v>1384</v>
      </c>
      <c r="C40" s="1">
        <v>0.94267000000000001</v>
      </c>
      <c r="D40" t="s">
        <v>1431</v>
      </c>
      <c r="E40">
        <v>5.7299999999999997E-2</v>
      </c>
      <c r="F40" s="1">
        <f t="shared" si="0"/>
        <v>0.99997000000000003</v>
      </c>
    </row>
    <row r="41" spans="1:6" x14ac:dyDescent="0.4">
      <c r="A41" t="s">
        <v>1384</v>
      </c>
      <c r="C41" s="1">
        <v>0.94115800000000005</v>
      </c>
      <c r="D41" t="s">
        <v>1431</v>
      </c>
      <c r="E41">
        <v>5.3400000000000003E-2</v>
      </c>
      <c r="F41" s="1">
        <f t="shared" si="0"/>
        <v>0.99455800000000005</v>
      </c>
    </row>
    <row r="42" spans="1:6" x14ac:dyDescent="0.4">
      <c r="A42" t="s">
        <v>1390</v>
      </c>
      <c r="C42" s="1">
        <v>0.92869999999999997</v>
      </c>
      <c r="D42" t="s">
        <v>1421</v>
      </c>
      <c r="E42">
        <v>5.0791000000000003E-2</v>
      </c>
      <c r="F42" s="1">
        <f t="shared" si="0"/>
        <v>0.979491</v>
      </c>
    </row>
    <row r="43" spans="1:6" x14ac:dyDescent="0.4">
      <c r="A43" t="s">
        <v>1390</v>
      </c>
      <c r="C43" s="1">
        <v>0.91139999999999999</v>
      </c>
      <c r="D43" t="s">
        <v>1421</v>
      </c>
      <c r="E43">
        <v>4.9382000000000002E-2</v>
      </c>
      <c r="F43" s="1">
        <f t="shared" si="0"/>
        <v>0.96078200000000002</v>
      </c>
    </row>
    <row r="44" spans="1:6" x14ac:dyDescent="0.4">
      <c r="A44" t="s">
        <v>1384</v>
      </c>
      <c r="C44" s="1">
        <v>0.95636399999999999</v>
      </c>
      <c r="D44" t="s">
        <v>1432</v>
      </c>
      <c r="E44">
        <v>4.36E-2</v>
      </c>
      <c r="F44" s="1">
        <f t="shared" si="0"/>
        <v>0.99996399999999996</v>
      </c>
    </row>
    <row r="45" spans="1:6" x14ac:dyDescent="0.4">
      <c r="A45" t="s">
        <v>1384</v>
      </c>
      <c r="C45" s="1">
        <v>0.956488</v>
      </c>
      <c r="D45" t="s">
        <v>1431</v>
      </c>
      <c r="E45">
        <v>4.3499999999999997E-2</v>
      </c>
      <c r="F45" s="1">
        <f t="shared" si="0"/>
        <v>0.99998799999999999</v>
      </c>
    </row>
    <row r="46" spans="1:6" x14ac:dyDescent="0.4">
      <c r="A46" t="s">
        <v>1384</v>
      </c>
      <c r="C46" s="1">
        <v>0.93289200000000005</v>
      </c>
      <c r="D46" t="s">
        <v>1431</v>
      </c>
      <c r="E46">
        <v>3.2500000000000001E-2</v>
      </c>
      <c r="F46" s="1">
        <f t="shared" si="0"/>
        <v>0.96539200000000003</v>
      </c>
    </row>
    <row r="47" spans="1:6" x14ac:dyDescent="0.4">
      <c r="A47" t="s">
        <v>1384</v>
      </c>
      <c r="C47" s="1">
        <v>0.955063</v>
      </c>
      <c r="D47" t="s">
        <v>1432</v>
      </c>
      <c r="E47">
        <v>2.9899999999999999E-2</v>
      </c>
      <c r="F47" s="1">
        <f t="shared" si="0"/>
        <v>0.98496300000000003</v>
      </c>
    </row>
  </sheetData>
  <autoFilter ref="A1:E1047945" xr:uid="{317E9A72-6589-4BB6-8D04-191265819A38}">
    <sortState xmlns:xlrd2="http://schemas.microsoft.com/office/spreadsheetml/2017/richdata2" ref="A2:E1047945">
      <sortCondition descending="1" ref="E1:E104794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702A-9619-4CA1-AA64-352D28A8E830}">
  <dimension ref="A1:B721"/>
  <sheetViews>
    <sheetView topLeftCell="A58" workbookViewId="0">
      <selection activeCell="H11" sqref="H11"/>
    </sheetView>
  </sheetViews>
  <sheetFormatPr defaultRowHeight="14.6" x14ac:dyDescent="0.4"/>
  <cols>
    <col min="1" max="1" width="19" bestFit="1" customWidth="1"/>
    <col min="2" max="2" width="6.53515625"/>
  </cols>
  <sheetData>
    <row r="1" spans="1:2" x14ac:dyDescent="0.4">
      <c r="A1" t="s">
        <v>20</v>
      </c>
      <c r="B1" t="s">
        <v>1382</v>
      </c>
    </row>
    <row r="2" spans="1:2" x14ac:dyDescent="0.4">
      <c r="A2" t="s">
        <v>852</v>
      </c>
      <c r="B2" t="s">
        <v>1383</v>
      </c>
    </row>
    <row r="3" spans="1:2" x14ac:dyDescent="0.4">
      <c r="A3" t="s">
        <v>854</v>
      </c>
      <c r="B3" t="s">
        <v>1384</v>
      </c>
    </row>
    <row r="4" spans="1:2" x14ac:dyDescent="0.4">
      <c r="A4" t="s">
        <v>856</v>
      </c>
      <c r="B4" t="s">
        <v>1385</v>
      </c>
    </row>
    <row r="5" spans="1:2" x14ac:dyDescent="0.4">
      <c r="A5" t="s">
        <v>858</v>
      </c>
      <c r="B5" t="s">
        <v>1384</v>
      </c>
    </row>
    <row r="6" spans="1:2" x14ac:dyDescent="0.4">
      <c r="A6" t="s">
        <v>860</v>
      </c>
      <c r="B6" t="s">
        <v>1385</v>
      </c>
    </row>
    <row r="7" spans="1:2" x14ac:dyDescent="0.4">
      <c r="A7" t="s">
        <v>862</v>
      </c>
      <c r="B7" t="s">
        <v>1383</v>
      </c>
    </row>
    <row r="8" spans="1:2" x14ac:dyDescent="0.4">
      <c r="A8" t="s">
        <v>864</v>
      </c>
      <c r="B8" t="s">
        <v>1386</v>
      </c>
    </row>
    <row r="9" spans="1:2" x14ac:dyDescent="0.4">
      <c r="A9" t="s">
        <v>866</v>
      </c>
      <c r="B9" t="s">
        <v>1385</v>
      </c>
    </row>
    <row r="10" spans="1:2" x14ac:dyDescent="0.4">
      <c r="A10" t="s">
        <v>868</v>
      </c>
      <c r="B10" t="s">
        <v>1384</v>
      </c>
    </row>
    <row r="11" spans="1:2" x14ac:dyDescent="0.4">
      <c r="A11" t="s">
        <v>870</v>
      </c>
      <c r="B11" t="s">
        <v>1383</v>
      </c>
    </row>
    <row r="12" spans="1:2" x14ac:dyDescent="0.4">
      <c r="A12" t="s">
        <v>872</v>
      </c>
      <c r="B12" t="s">
        <v>1385</v>
      </c>
    </row>
    <row r="13" spans="1:2" x14ac:dyDescent="0.4">
      <c r="A13" t="s">
        <v>874</v>
      </c>
      <c r="B13" t="s">
        <v>1386</v>
      </c>
    </row>
    <row r="14" spans="1:2" x14ac:dyDescent="0.4">
      <c r="A14" t="s">
        <v>876</v>
      </c>
      <c r="B14" t="s">
        <v>1387</v>
      </c>
    </row>
    <row r="15" spans="1:2" x14ac:dyDescent="0.4">
      <c r="A15" t="s">
        <v>878</v>
      </c>
      <c r="B15" t="s">
        <v>1387</v>
      </c>
    </row>
    <row r="16" spans="1:2" x14ac:dyDescent="0.4">
      <c r="A16" t="s">
        <v>880</v>
      </c>
      <c r="B16" t="s">
        <v>1384</v>
      </c>
    </row>
    <row r="17" spans="1:2" x14ac:dyDescent="0.4">
      <c r="A17" t="s">
        <v>882</v>
      </c>
      <c r="B17" t="s">
        <v>1386</v>
      </c>
    </row>
    <row r="18" spans="1:2" x14ac:dyDescent="0.4">
      <c r="A18" t="s">
        <v>884</v>
      </c>
      <c r="B18" t="s">
        <v>1385</v>
      </c>
    </row>
    <row r="19" spans="1:2" x14ac:dyDescent="0.4">
      <c r="A19" t="s">
        <v>886</v>
      </c>
      <c r="B19" t="s">
        <v>1384</v>
      </c>
    </row>
    <row r="20" spans="1:2" x14ac:dyDescent="0.4">
      <c r="A20" t="s">
        <v>888</v>
      </c>
      <c r="B20" t="s">
        <v>1383</v>
      </c>
    </row>
    <row r="21" spans="1:2" x14ac:dyDescent="0.4">
      <c r="A21" t="s">
        <v>890</v>
      </c>
      <c r="B21" t="s">
        <v>1386</v>
      </c>
    </row>
    <row r="22" spans="1:2" x14ac:dyDescent="0.4">
      <c r="A22" t="s">
        <v>892</v>
      </c>
      <c r="B22" t="s">
        <v>1386</v>
      </c>
    </row>
    <row r="23" spans="1:2" x14ac:dyDescent="0.4">
      <c r="A23" t="s">
        <v>149</v>
      </c>
      <c r="B23" t="s">
        <v>1384</v>
      </c>
    </row>
    <row r="24" spans="1:2" x14ac:dyDescent="0.4">
      <c r="A24" t="s">
        <v>151</v>
      </c>
      <c r="B24" t="s">
        <v>1384</v>
      </c>
    </row>
    <row r="25" spans="1:2" x14ac:dyDescent="0.4">
      <c r="A25" t="s">
        <v>153</v>
      </c>
      <c r="B25" t="s">
        <v>1384</v>
      </c>
    </row>
    <row r="26" spans="1:2" x14ac:dyDescent="0.4">
      <c r="A26" t="s">
        <v>155</v>
      </c>
      <c r="B26" t="s">
        <v>1384</v>
      </c>
    </row>
    <row r="27" spans="1:2" x14ac:dyDescent="0.4">
      <c r="A27" t="s">
        <v>157</v>
      </c>
      <c r="B27" t="s">
        <v>1384</v>
      </c>
    </row>
    <row r="28" spans="1:2" x14ac:dyDescent="0.4">
      <c r="A28" t="s">
        <v>189</v>
      </c>
      <c r="B28" t="s">
        <v>1384</v>
      </c>
    </row>
    <row r="29" spans="1:2" x14ac:dyDescent="0.4">
      <c r="A29" t="s">
        <v>191</v>
      </c>
      <c r="B29" t="s">
        <v>1384</v>
      </c>
    </row>
    <row r="30" spans="1:2" x14ac:dyDescent="0.4">
      <c r="A30" t="s">
        <v>194</v>
      </c>
      <c r="B30" t="s">
        <v>1388</v>
      </c>
    </row>
    <row r="31" spans="1:2" x14ac:dyDescent="0.4">
      <c r="A31" t="s">
        <v>196</v>
      </c>
      <c r="B31" t="s">
        <v>1384</v>
      </c>
    </row>
    <row r="32" spans="1:2" x14ac:dyDescent="0.4">
      <c r="A32" t="s">
        <v>198</v>
      </c>
      <c r="B32" t="s">
        <v>1384</v>
      </c>
    </row>
    <row r="33" spans="1:2" x14ac:dyDescent="0.4">
      <c r="A33" t="s">
        <v>159</v>
      </c>
      <c r="B33" t="s">
        <v>1386</v>
      </c>
    </row>
    <row r="34" spans="1:2" x14ac:dyDescent="0.4">
      <c r="A34" t="s">
        <v>161</v>
      </c>
      <c r="B34" t="s">
        <v>1386</v>
      </c>
    </row>
    <row r="35" spans="1:2" x14ac:dyDescent="0.4">
      <c r="A35" t="s">
        <v>163</v>
      </c>
      <c r="B35" t="s">
        <v>1386</v>
      </c>
    </row>
    <row r="36" spans="1:2" x14ac:dyDescent="0.4">
      <c r="A36" t="s">
        <v>165</v>
      </c>
      <c r="B36" t="s">
        <v>1386</v>
      </c>
    </row>
    <row r="37" spans="1:2" x14ac:dyDescent="0.4">
      <c r="A37" t="s">
        <v>167</v>
      </c>
      <c r="B37" t="s">
        <v>1387</v>
      </c>
    </row>
    <row r="38" spans="1:2" x14ac:dyDescent="0.4">
      <c r="A38" t="s">
        <v>169</v>
      </c>
      <c r="B38" t="s">
        <v>1387</v>
      </c>
    </row>
    <row r="39" spans="1:2" x14ac:dyDescent="0.4">
      <c r="A39" t="s">
        <v>171</v>
      </c>
      <c r="B39" t="s">
        <v>1387</v>
      </c>
    </row>
    <row r="40" spans="1:2" x14ac:dyDescent="0.4">
      <c r="A40" t="s">
        <v>173</v>
      </c>
      <c r="B40" t="s">
        <v>1387</v>
      </c>
    </row>
    <row r="41" spans="1:2" x14ac:dyDescent="0.4">
      <c r="A41" t="s">
        <v>175</v>
      </c>
      <c r="B41" t="s">
        <v>1384</v>
      </c>
    </row>
    <row r="42" spans="1:2" x14ac:dyDescent="0.4">
      <c r="A42" t="s">
        <v>177</v>
      </c>
      <c r="B42" t="s">
        <v>1384</v>
      </c>
    </row>
    <row r="43" spans="1:2" x14ac:dyDescent="0.4">
      <c r="A43" t="s">
        <v>179</v>
      </c>
      <c r="B43" t="s">
        <v>1386</v>
      </c>
    </row>
    <row r="44" spans="1:2" x14ac:dyDescent="0.4">
      <c r="A44" t="s">
        <v>181</v>
      </c>
      <c r="B44" t="s">
        <v>1387</v>
      </c>
    </row>
    <row r="45" spans="1:2" x14ac:dyDescent="0.4">
      <c r="A45" t="s">
        <v>183</v>
      </c>
      <c r="B45" t="s">
        <v>1387</v>
      </c>
    </row>
    <row r="46" spans="1:2" x14ac:dyDescent="0.4">
      <c r="A46" t="s">
        <v>185</v>
      </c>
      <c r="B46" t="s">
        <v>1388</v>
      </c>
    </row>
    <row r="47" spans="1:2" x14ac:dyDescent="0.4">
      <c r="A47" t="s">
        <v>187</v>
      </c>
      <c r="B47" t="s">
        <v>1388</v>
      </c>
    </row>
    <row r="48" spans="1:2" x14ac:dyDescent="0.4">
      <c r="A48" t="s">
        <v>1077</v>
      </c>
      <c r="B48" t="s">
        <v>1384</v>
      </c>
    </row>
    <row r="49" spans="1:2" x14ac:dyDescent="0.4">
      <c r="A49" t="s">
        <v>1079</v>
      </c>
      <c r="B49" t="s">
        <v>1384</v>
      </c>
    </row>
    <row r="50" spans="1:2" x14ac:dyDescent="0.4">
      <c r="A50" t="s">
        <v>1081</v>
      </c>
      <c r="B50" t="s">
        <v>1384</v>
      </c>
    </row>
    <row r="51" spans="1:2" x14ac:dyDescent="0.4">
      <c r="A51" t="s">
        <v>1083</v>
      </c>
      <c r="B51" t="s">
        <v>1386</v>
      </c>
    </row>
    <row r="52" spans="1:2" x14ac:dyDescent="0.4">
      <c r="A52" t="s">
        <v>1085</v>
      </c>
      <c r="B52" t="s">
        <v>1386</v>
      </c>
    </row>
    <row r="53" spans="1:2" x14ac:dyDescent="0.4">
      <c r="A53" t="s">
        <v>1087</v>
      </c>
      <c r="B53" t="s">
        <v>1384</v>
      </c>
    </row>
    <row r="54" spans="1:2" x14ac:dyDescent="0.4">
      <c r="A54" t="s">
        <v>1089</v>
      </c>
      <c r="B54" t="s">
        <v>1384</v>
      </c>
    </row>
    <row r="55" spans="1:2" x14ac:dyDescent="0.4">
      <c r="A55" t="s">
        <v>1091</v>
      </c>
      <c r="B55" t="s">
        <v>1386</v>
      </c>
    </row>
    <row r="56" spans="1:2" x14ac:dyDescent="0.4">
      <c r="A56" t="s">
        <v>1093</v>
      </c>
      <c r="B56" t="s">
        <v>1386</v>
      </c>
    </row>
    <row r="57" spans="1:2" x14ac:dyDescent="0.4">
      <c r="A57" t="s">
        <v>1095</v>
      </c>
      <c r="B57" t="s">
        <v>1386</v>
      </c>
    </row>
    <row r="58" spans="1:2" x14ac:dyDescent="0.4">
      <c r="A58" t="s">
        <v>27</v>
      </c>
      <c r="B58" t="s">
        <v>1389</v>
      </c>
    </row>
    <row r="59" spans="1:2" x14ac:dyDescent="0.4">
      <c r="A59" t="s">
        <v>29</v>
      </c>
      <c r="B59" t="s">
        <v>1389</v>
      </c>
    </row>
    <row r="60" spans="1:2" x14ac:dyDescent="0.4">
      <c r="A60" t="s">
        <v>31</v>
      </c>
      <c r="B60" t="s">
        <v>1389</v>
      </c>
    </row>
    <row r="61" spans="1:2" x14ac:dyDescent="0.4">
      <c r="A61" t="s">
        <v>51</v>
      </c>
      <c r="B61" t="s">
        <v>1384</v>
      </c>
    </row>
    <row r="62" spans="1:2" x14ac:dyDescent="0.4">
      <c r="A62" t="s">
        <v>57</v>
      </c>
      <c r="B62" t="s">
        <v>1386</v>
      </c>
    </row>
    <row r="63" spans="1:2" x14ac:dyDescent="0.4">
      <c r="A63" t="s">
        <v>55</v>
      </c>
      <c r="B63" t="s">
        <v>1384</v>
      </c>
    </row>
    <row r="64" spans="1:2" x14ac:dyDescent="0.4">
      <c r="A64" t="s">
        <v>53</v>
      </c>
      <c r="B64" t="s">
        <v>1386</v>
      </c>
    </row>
    <row r="65" spans="1:2" x14ac:dyDescent="0.4">
      <c r="A65" t="s">
        <v>59</v>
      </c>
      <c r="B65" t="s">
        <v>1388</v>
      </c>
    </row>
    <row r="66" spans="1:2" x14ac:dyDescent="0.4">
      <c r="A66" t="s">
        <v>61</v>
      </c>
      <c r="B66" t="s">
        <v>1386</v>
      </c>
    </row>
    <row r="67" spans="1:2" x14ac:dyDescent="0.4">
      <c r="A67" t="s">
        <v>65</v>
      </c>
      <c r="B67" t="s">
        <v>1386</v>
      </c>
    </row>
    <row r="68" spans="1:2" x14ac:dyDescent="0.4">
      <c r="A68" t="s">
        <v>63</v>
      </c>
      <c r="B68" t="s">
        <v>1384</v>
      </c>
    </row>
    <row r="69" spans="1:2" x14ac:dyDescent="0.4">
      <c r="A69" t="s">
        <v>67</v>
      </c>
      <c r="B69" t="s">
        <v>1384</v>
      </c>
    </row>
    <row r="70" spans="1:2" x14ac:dyDescent="0.4">
      <c r="A70" t="s">
        <v>71</v>
      </c>
      <c r="B70" t="s">
        <v>1386</v>
      </c>
    </row>
    <row r="71" spans="1:2" x14ac:dyDescent="0.4">
      <c r="A71" t="s">
        <v>69</v>
      </c>
      <c r="B71" t="s">
        <v>1384</v>
      </c>
    </row>
    <row r="72" spans="1:2" x14ac:dyDescent="0.4">
      <c r="A72" t="s">
        <v>73</v>
      </c>
      <c r="B72" t="s">
        <v>1384</v>
      </c>
    </row>
    <row r="73" spans="1:2" x14ac:dyDescent="0.4">
      <c r="A73" t="s">
        <v>75</v>
      </c>
      <c r="B73" t="s">
        <v>1386</v>
      </c>
    </row>
    <row r="74" spans="1:2" x14ac:dyDescent="0.4">
      <c r="A74" t="s">
        <v>99</v>
      </c>
      <c r="B74" t="s">
        <v>1384</v>
      </c>
    </row>
    <row r="75" spans="1:2" x14ac:dyDescent="0.4">
      <c r="A75" t="s">
        <v>101</v>
      </c>
      <c r="B75" t="s">
        <v>1383</v>
      </c>
    </row>
    <row r="76" spans="1:2" x14ac:dyDescent="0.4">
      <c r="A76" t="s">
        <v>103</v>
      </c>
      <c r="B76" t="s">
        <v>1384</v>
      </c>
    </row>
    <row r="77" spans="1:2" x14ac:dyDescent="0.4">
      <c r="A77" t="s">
        <v>105</v>
      </c>
      <c r="B77" t="s">
        <v>1383</v>
      </c>
    </row>
    <row r="78" spans="1:2" x14ac:dyDescent="0.4">
      <c r="A78" t="s">
        <v>107</v>
      </c>
      <c r="B78" t="s">
        <v>1383</v>
      </c>
    </row>
    <row r="79" spans="1:2" x14ac:dyDescent="0.4">
      <c r="A79" t="s">
        <v>109</v>
      </c>
      <c r="B79" t="s">
        <v>1384</v>
      </c>
    </row>
    <row r="80" spans="1:2" x14ac:dyDescent="0.4">
      <c r="A80" t="s">
        <v>111</v>
      </c>
      <c r="B80" t="s">
        <v>1384</v>
      </c>
    </row>
    <row r="81" spans="1:2" x14ac:dyDescent="0.4">
      <c r="A81" t="s">
        <v>113</v>
      </c>
      <c r="B81" t="s">
        <v>1383</v>
      </c>
    </row>
    <row r="82" spans="1:2" x14ac:dyDescent="0.4">
      <c r="A82" t="s">
        <v>115</v>
      </c>
      <c r="B82" t="s">
        <v>1384</v>
      </c>
    </row>
    <row r="83" spans="1:2" x14ac:dyDescent="0.4">
      <c r="A83" t="s">
        <v>117</v>
      </c>
      <c r="B83" t="s">
        <v>1383</v>
      </c>
    </row>
    <row r="84" spans="1:2" x14ac:dyDescent="0.4">
      <c r="A84" t="s">
        <v>954</v>
      </c>
      <c r="B84" t="s">
        <v>1386</v>
      </c>
    </row>
    <row r="85" spans="1:2" x14ac:dyDescent="0.4">
      <c r="A85" t="s">
        <v>956</v>
      </c>
      <c r="B85" t="s">
        <v>1384</v>
      </c>
    </row>
    <row r="86" spans="1:2" x14ac:dyDescent="0.4">
      <c r="A86" t="s">
        <v>958</v>
      </c>
      <c r="B86" t="s">
        <v>1388</v>
      </c>
    </row>
    <row r="87" spans="1:2" x14ac:dyDescent="0.4">
      <c r="A87" t="s">
        <v>960</v>
      </c>
      <c r="B87" t="s">
        <v>1384</v>
      </c>
    </row>
    <row r="88" spans="1:2" x14ac:dyDescent="0.4">
      <c r="A88" t="s">
        <v>962</v>
      </c>
      <c r="B88" t="s">
        <v>1386</v>
      </c>
    </row>
    <row r="89" spans="1:2" x14ac:dyDescent="0.4">
      <c r="A89" t="s">
        <v>964</v>
      </c>
      <c r="B89" t="s">
        <v>1388</v>
      </c>
    </row>
    <row r="90" spans="1:2" x14ac:dyDescent="0.4">
      <c r="A90" t="s">
        <v>966</v>
      </c>
      <c r="B90" t="s">
        <v>1386</v>
      </c>
    </row>
    <row r="91" spans="1:2" x14ac:dyDescent="0.4">
      <c r="A91" t="s">
        <v>968</v>
      </c>
      <c r="B91" t="s">
        <v>1388</v>
      </c>
    </row>
    <row r="92" spans="1:2" x14ac:dyDescent="0.4">
      <c r="A92" t="s">
        <v>970</v>
      </c>
      <c r="B92" t="s">
        <v>1384</v>
      </c>
    </row>
    <row r="93" spans="1:2" x14ac:dyDescent="0.4">
      <c r="A93" t="s">
        <v>972</v>
      </c>
      <c r="B93" t="s">
        <v>1386</v>
      </c>
    </row>
    <row r="94" spans="1:2" x14ac:dyDescent="0.4">
      <c r="A94" t="s">
        <v>974</v>
      </c>
      <c r="B94" t="s">
        <v>1384</v>
      </c>
    </row>
    <row r="95" spans="1:2" x14ac:dyDescent="0.4">
      <c r="A95" t="s">
        <v>976</v>
      </c>
      <c r="B95" t="s">
        <v>1388</v>
      </c>
    </row>
    <row r="96" spans="1:2" x14ac:dyDescent="0.4">
      <c r="A96" t="s">
        <v>978</v>
      </c>
      <c r="B96" t="s">
        <v>1386</v>
      </c>
    </row>
    <row r="97" spans="1:2" x14ac:dyDescent="0.4">
      <c r="A97" t="s">
        <v>980</v>
      </c>
      <c r="B97" t="s">
        <v>1384</v>
      </c>
    </row>
    <row r="98" spans="1:2" x14ac:dyDescent="0.4">
      <c r="A98" t="s">
        <v>982</v>
      </c>
      <c r="B98" t="s">
        <v>1388</v>
      </c>
    </row>
    <row r="99" spans="1:2" x14ac:dyDescent="0.4">
      <c r="A99" t="s">
        <v>1032</v>
      </c>
      <c r="B99" t="s">
        <v>1384</v>
      </c>
    </row>
    <row r="100" spans="1:2" x14ac:dyDescent="0.4">
      <c r="A100" t="s">
        <v>1034</v>
      </c>
      <c r="B100" t="s">
        <v>1384</v>
      </c>
    </row>
    <row r="101" spans="1:2" x14ac:dyDescent="0.4">
      <c r="A101" t="s">
        <v>1050</v>
      </c>
      <c r="B101" t="s">
        <v>1386</v>
      </c>
    </row>
    <row r="102" spans="1:2" x14ac:dyDescent="0.4">
      <c r="A102" t="s">
        <v>1052</v>
      </c>
      <c r="B102" t="s">
        <v>1386</v>
      </c>
    </row>
    <row r="103" spans="1:2" x14ac:dyDescent="0.4">
      <c r="A103" t="s">
        <v>1054</v>
      </c>
      <c r="B103" t="s">
        <v>1386</v>
      </c>
    </row>
    <row r="104" spans="1:2" x14ac:dyDescent="0.4">
      <c r="A104" t="s">
        <v>1056</v>
      </c>
      <c r="B104" t="s">
        <v>1386</v>
      </c>
    </row>
    <row r="105" spans="1:2" x14ac:dyDescent="0.4">
      <c r="A105" t="s">
        <v>1058</v>
      </c>
      <c r="B105" t="s">
        <v>1386</v>
      </c>
    </row>
    <row r="106" spans="1:2" x14ac:dyDescent="0.4">
      <c r="A106" t="s">
        <v>1060</v>
      </c>
      <c r="B106" t="s">
        <v>1384</v>
      </c>
    </row>
    <row r="107" spans="1:2" x14ac:dyDescent="0.4">
      <c r="A107" t="s">
        <v>1036</v>
      </c>
      <c r="B107" t="s">
        <v>1384</v>
      </c>
    </row>
    <row r="108" spans="1:2" x14ac:dyDescent="0.4">
      <c r="A108" t="s">
        <v>1038</v>
      </c>
      <c r="B108" t="s">
        <v>1384</v>
      </c>
    </row>
    <row r="109" spans="1:2" x14ac:dyDescent="0.4">
      <c r="A109" t="s">
        <v>1040</v>
      </c>
      <c r="B109" t="s">
        <v>1387</v>
      </c>
    </row>
    <row r="110" spans="1:2" x14ac:dyDescent="0.4">
      <c r="A110" t="s">
        <v>1042</v>
      </c>
      <c r="B110" t="s">
        <v>1387</v>
      </c>
    </row>
    <row r="111" spans="1:2" x14ac:dyDescent="0.4">
      <c r="A111" t="s">
        <v>1044</v>
      </c>
      <c r="B111" t="s">
        <v>1387</v>
      </c>
    </row>
    <row r="112" spans="1:2" x14ac:dyDescent="0.4">
      <c r="A112" t="s">
        <v>1046</v>
      </c>
      <c r="B112" t="s">
        <v>1387</v>
      </c>
    </row>
    <row r="113" spans="1:2" x14ac:dyDescent="0.4">
      <c r="A113" t="s">
        <v>1048</v>
      </c>
      <c r="B113" t="s">
        <v>1387</v>
      </c>
    </row>
    <row r="114" spans="1:2" x14ac:dyDescent="0.4">
      <c r="A114" t="s">
        <v>984</v>
      </c>
      <c r="B114" t="s">
        <v>1386</v>
      </c>
    </row>
    <row r="115" spans="1:2" x14ac:dyDescent="0.4">
      <c r="A115" t="s">
        <v>986</v>
      </c>
      <c r="B115" t="s">
        <v>1388</v>
      </c>
    </row>
    <row r="116" spans="1:2" x14ac:dyDescent="0.4">
      <c r="A116" t="s">
        <v>988</v>
      </c>
      <c r="B116" t="s">
        <v>1386</v>
      </c>
    </row>
    <row r="117" spans="1:2" x14ac:dyDescent="0.4">
      <c r="A117" t="s">
        <v>990</v>
      </c>
      <c r="B117" t="s">
        <v>1386</v>
      </c>
    </row>
    <row r="118" spans="1:2" x14ac:dyDescent="0.4">
      <c r="A118" t="s">
        <v>992</v>
      </c>
      <c r="B118" t="s">
        <v>1388</v>
      </c>
    </row>
    <row r="119" spans="1:2" x14ac:dyDescent="0.4">
      <c r="A119" t="s">
        <v>994</v>
      </c>
      <c r="B119" t="s">
        <v>1384</v>
      </c>
    </row>
    <row r="120" spans="1:2" x14ac:dyDescent="0.4">
      <c r="A120" t="s">
        <v>996</v>
      </c>
      <c r="B120" t="s">
        <v>1386</v>
      </c>
    </row>
    <row r="121" spans="1:2" x14ac:dyDescent="0.4">
      <c r="A121" t="s">
        <v>998</v>
      </c>
      <c r="B121" t="s">
        <v>1387</v>
      </c>
    </row>
    <row r="122" spans="1:2" x14ac:dyDescent="0.4">
      <c r="A122" t="s">
        <v>1000</v>
      </c>
      <c r="B122" t="s">
        <v>1387</v>
      </c>
    </row>
    <row r="123" spans="1:2" x14ac:dyDescent="0.4">
      <c r="A123" t="s">
        <v>1002</v>
      </c>
      <c r="B123" t="s">
        <v>1387</v>
      </c>
    </row>
    <row r="124" spans="1:2" x14ac:dyDescent="0.4">
      <c r="A124" t="s">
        <v>1004</v>
      </c>
      <c r="B124" t="s">
        <v>1387</v>
      </c>
    </row>
    <row r="125" spans="1:2" x14ac:dyDescent="0.4">
      <c r="A125" t="s">
        <v>1006</v>
      </c>
      <c r="B125" t="s">
        <v>1384</v>
      </c>
    </row>
    <row r="126" spans="1:2" x14ac:dyDescent="0.4">
      <c r="A126" t="s">
        <v>1008</v>
      </c>
      <c r="B126" t="s">
        <v>1384</v>
      </c>
    </row>
    <row r="127" spans="1:2" x14ac:dyDescent="0.4">
      <c r="A127" t="s">
        <v>1010</v>
      </c>
      <c r="B127" t="s">
        <v>1384</v>
      </c>
    </row>
    <row r="128" spans="1:2" x14ac:dyDescent="0.4">
      <c r="A128" t="s">
        <v>1012</v>
      </c>
      <c r="B128" t="s">
        <v>1387</v>
      </c>
    </row>
    <row r="129" spans="1:2" x14ac:dyDescent="0.4">
      <c r="A129" t="s">
        <v>1014</v>
      </c>
      <c r="B129" t="s">
        <v>1387</v>
      </c>
    </row>
    <row r="130" spans="1:2" x14ac:dyDescent="0.4">
      <c r="A130" t="s">
        <v>1016</v>
      </c>
      <c r="B130" t="s">
        <v>1386</v>
      </c>
    </row>
    <row r="131" spans="1:2" x14ac:dyDescent="0.4">
      <c r="A131" t="s">
        <v>1018</v>
      </c>
      <c r="B131" t="s">
        <v>1388</v>
      </c>
    </row>
    <row r="132" spans="1:2" x14ac:dyDescent="0.4">
      <c r="A132" t="s">
        <v>1020</v>
      </c>
      <c r="B132" t="s">
        <v>1388</v>
      </c>
    </row>
    <row r="133" spans="1:2" x14ac:dyDescent="0.4">
      <c r="A133" t="s">
        <v>1022</v>
      </c>
      <c r="B133" t="s">
        <v>1388</v>
      </c>
    </row>
    <row r="134" spans="1:2" x14ac:dyDescent="0.4">
      <c r="A134" t="s">
        <v>1024</v>
      </c>
      <c r="B134" t="s">
        <v>1387</v>
      </c>
    </row>
    <row r="135" spans="1:2" x14ac:dyDescent="0.4">
      <c r="A135" t="s">
        <v>1026</v>
      </c>
      <c r="B135" t="s">
        <v>1386</v>
      </c>
    </row>
    <row r="136" spans="1:2" x14ac:dyDescent="0.4">
      <c r="A136" t="s">
        <v>1028</v>
      </c>
      <c r="B136" t="s">
        <v>1386</v>
      </c>
    </row>
    <row r="137" spans="1:2" x14ac:dyDescent="0.4">
      <c r="A137" t="s">
        <v>1030</v>
      </c>
      <c r="B137" t="s">
        <v>1387</v>
      </c>
    </row>
    <row r="138" spans="1:2" x14ac:dyDescent="0.4">
      <c r="A138" t="s">
        <v>1221</v>
      </c>
      <c r="B138" t="s">
        <v>1384</v>
      </c>
    </row>
    <row r="139" spans="1:2" x14ac:dyDescent="0.4">
      <c r="A139" t="s">
        <v>1223</v>
      </c>
      <c r="B139" t="s">
        <v>1384</v>
      </c>
    </row>
    <row r="140" spans="1:2" x14ac:dyDescent="0.4">
      <c r="A140" t="s">
        <v>1225</v>
      </c>
      <c r="B140" t="s">
        <v>1384</v>
      </c>
    </row>
    <row r="141" spans="1:2" x14ac:dyDescent="0.4">
      <c r="A141" t="s">
        <v>1227</v>
      </c>
      <c r="B141" t="s">
        <v>1384</v>
      </c>
    </row>
    <row r="142" spans="1:2" x14ac:dyDescent="0.4">
      <c r="A142" t="s">
        <v>1229</v>
      </c>
      <c r="B142" t="s">
        <v>1384</v>
      </c>
    </row>
    <row r="143" spans="1:2" x14ac:dyDescent="0.4">
      <c r="A143" t="s">
        <v>1231</v>
      </c>
      <c r="B143" t="s">
        <v>1384</v>
      </c>
    </row>
    <row r="144" spans="1:2" x14ac:dyDescent="0.4">
      <c r="A144" t="s">
        <v>1233</v>
      </c>
      <c r="B144" t="s">
        <v>1384</v>
      </c>
    </row>
    <row r="145" spans="1:2" x14ac:dyDescent="0.4">
      <c r="A145" t="s">
        <v>1235</v>
      </c>
      <c r="B145" t="s">
        <v>1384</v>
      </c>
    </row>
    <row r="146" spans="1:2" x14ac:dyDescent="0.4">
      <c r="A146" t="s">
        <v>1237</v>
      </c>
      <c r="B146" t="s">
        <v>1384</v>
      </c>
    </row>
    <row r="147" spans="1:2" x14ac:dyDescent="0.4">
      <c r="A147" t="s">
        <v>1239</v>
      </c>
      <c r="B147" t="s">
        <v>1384</v>
      </c>
    </row>
    <row r="148" spans="1:2" x14ac:dyDescent="0.4">
      <c r="A148" t="s">
        <v>664</v>
      </c>
      <c r="B148" t="s">
        <v>1390</v>
      </c>
    </row>
    <row r="149" spans="1:2" x14ac:dyDescent="0.4">
      <c r="A149" t="s">
        <v>666</v>
      </c>
      <c r="B149" t="s">
        <v>1390</v>
      </c>
    </row>
    <row r="150" spans="1:2" x14ac:dyDescent="0.4">
      <c r="A150" t="s">
        <v>668</v>
      </c>
      <c r="B150" t="s">
        <v>1384</v>
      </c>
    </row>
    <row r="151" spans="1:2" x14ac:dyDescent="0.4">
      <c r="A151" t="s">
        <v>670</v>
      </c>
      <c r="B151" t="s">
        <v>1384</v>
      </c>
    </row>
    <row r="152" spans="1:2" x14ac:dyDescent="0.4">
      <c r="A152" t="s">
        <v>672</v>
      </c>
      <c r="B152" t="s">
        <v>1387</v>
      </c>
    </row>
    <row r="153" spans="1:2" x14ac:dyDescent="0.4">
      <c r="A153" t="s">
        <v>674</v>
      </c>
      <c r="B153" t="s">
        <v>1384</v>
      </c>
    </row>
    <row r="154" spans="1:2" x14ac:dyDescent="0.4">
      <c r="A154" t="s">
        <v>676</v>
      </c>
      <c r="B154" t="s">
        <v>1387</v>
      </c>
    </row>
    <row r="155" spans="1:2" x14ac:dyDescent="0.4">
      <c r="A155" t="s">
        <v>678</v>
      </c>
      <c r="B155" t="s">
        <v>1384</v>
      </c>
    </row>
    <row r="156" spans="1:2" x14ac:dyDescent="0.4">
      <c r="A156" t="s">
        <v>680</v>
      </c>
      <c r="B156" t="s">
        <v>1387</v>
      </c>
    </row>
    <row r="157" spans="1:2" x14ac:dyDescent="0.4">
      <c r="A157" t="s">
        <v>682</v>
      </c>
      <c r="B157" t="s">
        <v>1387</v>
      </c>
    </row>
    <row r="158" spans="1:2" x14ac:dyDescent="0.4">
      <c r="A158" t="s">
        <v>684</v>
      </c>
      <c r="B158" t="s">
        <v>1384</v>
      </c>
    </row>
    <row r="159" spans="1:2" x14ac:dyDescent="0.4">
      <c r="A159" t="s">
        <v>686</v>
      </c>
      <c r="B159" t="s">
        <v>1387</v>
      </c>
    </row>
    <row r="160" spans="1:2" x14ac:dyDescent="0.4">
      <c r="A160" t="s">
        <v>624</v>
      </c>
      <c r="B160" t="s">
        <v>1387</v>
      </c>
    </row>
    <row r="161" spans="1:2" x14ac:dyDescent="0.4">
      <c r="A161" t="s">
        <v>626</v>
      </c>
      <c r="B161" t="s">
        <v>1384</v>
      </c>
    </row>
    <row r="162" spans="1:2" x14ac:dyDescent="0.4">
      <c r="A162" t="s">
        <v>628</v>
      </c>
      <c r="B162" t="s">
        <v>1387</v>
      </c>
    </row>
    <row r="163" spans="1:2" x14ac:dyDescent="0.4">
      <c r="A163" t="s">
        <v>630</v>
      </c>
      <c r="B163" t="s">
        <v>1384</v>
      </c>
    </row>
    <row r="164" spans="1:2" x14ac:dyDescent="0.4">
      <c r="A164" t="s">
        <v>632</v>
      </c>
      <c r="B164" t="s">
        <v>1385</v>
      </c>
    </row>
    <row r="165" spans="1:2" x14ac:dyDescent="0.4">
      <c r="A165" t="s">
        <v>634</v>
      </c>
      <c r="B165" t="s">
        <v>1384</v>
      </c>
    </row>
    <row r="166" spans="1:2" x14ac:dyDescent="0.4">
      <c r="A166" t="s">
        <v>636</v>
      </c>
      <c r="B166" t="s">
        <v>1387</v>
      </c>
    </row>
    <row r="167" spans="1:2" x14ac:dyDescent="0.4">
      <c r="A167" t="s">
        <v>638</v>
      </c>
      <c r="B167" t="s">
        <v>1384</v>
      </c>
    </row>
    <row r="168" spans="1:2" x14ac:dyDescent="0.4">
      <c r="A168" t="s">
        <v>640</v>
      </c>
      <c r="B168" t="s">
        <v>1387</v>
      </c>
    </row>
    <row r="169" spans="1:2" x14ac:dyDescent="0.4">
      <c r="A169" t="s">
        <v>642</v>
      </c>
      <c r="B169" t="s">
        <v>1384</v>
      </c>
    </row>
    <row r="170" spans="1:2" x14ac:dyDescent="0.4">
      <c r="A170" t="s">
        <v>644</v>
      </c>
      <c r="B170" t="s">
        <v>1387</v>
      </c>
    </row>
    <row r="171" spans="1:2" x14ac:dyDescent="0.4">
      <c r="A171" t="s">
        <v>646</v>
      </c>
      <c r="B171" t="s">
        <v>1385</v>
      </c>
    </row>
    <row r="172" spans="1:2" x14ac:dyDescent="0.4">
      <c r="A172" t="s">
        <v>648</v>
      </c>
      <c r="B172" t="s">
        <v>1385</v>
      </c>
    </row>
    <row r="173" spans="1:2" x14ac:dyDescent="0.4">
      <c r="A173" t="s">
        <v>650</v>
      </c>
      <c r="B173" t="s">
        <v>1385</v>
      </c>
    </row>
    <row r="174" spans="1:2" x14ac:dyDescent="0.4">
      <c r="A174" t="s">
        <v>652</v>
      </c>
      <c r="B174" t="s">
        <v>1385</v>
      </c>
    </row>
    <row r="175" spans="1:2" x14ac:dyDescent="0.4">
      <c r="A175" t="s">
        <v>654</v>
      </c>
      <c r="B175" t="s">
        <v>1386</v>
      </c>
    </row>
    <row r="176" spans="1:2" x14ac:dyDescent="0.4">
      <c r="A176" t="s">
        <v>656</v>
      </c>
      <c r="B176" t="s">
        <v>1386</v>
      </c>
    </row>
    <row r="177" spans="1:2" x14ac:dyDescent="0.4">
      <c r="A177" t="s">
        <v>658</v>
      </c>
      <c r="B177" t="s">
        <v>1386</v>
      </c>
    </row>
    <row r="178" spans="1:2" x14ac:dyDescent="0.4">
      <c r="A178" t="s">
        <v>660</v>
      </c>
      <c r="B178" t="s">
        <v>1386</v>
      </c>
    </row>
    <row r="179" spans="1:2" x14ac:dyDescent="0.4">
      <c r="A179" t="s">
        <v>662</v>
      </c>
      <c r="B179" t="s">
        <v>1386</v>
      </c>
    </row>
    <row r="180" spans="1:2" x14ac:dyDescent="0.4">
      <c r="A180" t="s">
        <v>1391</v>
      </c>
      <c r="B180" t="s">
        <v>1384</v>
      </c>
    </row>
    <row r="181" spans="1:2" x14ac:dyDescent="0.4">
      <c r="A181" t="s">
        <v>1392</v>
      </c>
      <c r="B181" t="s">
        <v>1384</v>
      </c>
    </row>
    <row r="182" spans="1:2" x14ac:dyDescent="0.4">
      <c r="A182" t="s">
        <v>1393</v>
      </c>
      <c r="B182" t="s">
        <v>1384</v>
      </c>
    </row>
    <row r="183" spans="1:2" x14ac:dyDescent="0.4">
      <c r="A183" t="s">
        <v>1394</v>
      </c>
      <c r="B183" t="s">
        <v>1384</v>
      </c>
    </row>
    <row r="184" spans="1:2" x14ac:dyDescent="0.4">
      <c r="A184" t="s">
        <v>1395</v>
      </c>
      <c r="B184" t="s">
        <v>1384</v>
      </c>
    </row>
    <row r="185" spans="1:2" x14ac:dyDescent="0.4">
      <c r="A185" t="s">
        <v>1396</v>
      </c>
      <c r="B185" t="s">
        <v>1384</v>
      </c>
    </row>
    <row r="186" spans="1:2" x14ac:dyDescent="0.4">
      <c r="A186" t="s">
        <v>1397</v>
      </c>
      <c r="B186" t="s">
        <v>1384</v>
      </c>
    </row>
    <row r="187" spans="1:2" x14ac:dyDescent="0.4">
      <c r="A187" t="s">
        <v>1398</v>
      </c>
      <c r="B187" t="s">
        <v>1384</v>
      </c>
    </row>
    <row r="188" spans="1:2" x14ac:dyDescent="0.4">
      <c r="A188" t="s">
        <v>1399</v>
      </c>
      <c r="B188" t="s">
        <v>1384</v>
      </c>
    </row>
    <row r="189" spans="1:2" x14ac:dyDescent="0.4">
      <c r="A189" t="s">
        <v>1400</v>
      </c>
      <c r="B189" t="s">
        <v>1384</v>
      </c>
    </row>
    <row r="190" spans="1:2" x14ac:dyDescent="0.4">
      <c r="A190" t="s">
        <v>1401</v>
      </c>
      <c r="B190" t="s">
        <v>1384</v>
      </c>
    </row>
    <row r="191" spans="1:2" x14ac:dyDescent="0.4">
      <c r="A191" t="s">
        <v>1402</v>
      </c>
      <c r="B191" t="s">
        <v>1384</v>
      </c>
    </row>
    <row r="192" spans="1:2" x14ac:dyDescent="0.4">
      <c r="A192" t="s">
        <v>1403</v>
      </c>
      <c r="B192" t="s">
        <v>1384</v>
      </c>
    </row>
    <row r="193" spans="1:2" x14ac:dyDescent="0.4">
      <c r="A193" t="s">
        <v>1404</v>
      </c>
      <c r="B193" t="s">
        <v>1384</v>
      </c>
    </row>
    <row r="194" spans="1:2" x14ac:dyDescent="0.4">
      <c r="A194" t="s">
        <v>1405</v>
      </c>
      <c r="B194" t="s">
        <v>1384</v>
      </c>
    </row>
    <row r="195" spans="1:2" x14ac:dyDescent="0.4">
      <c r="A195" t="s">
        <v>1406</v>
      </c>
      <c r="B195" t="s">
        <v>1384</v>
      </c>
    </row>
    <row r="196" spans="1:2" x14ac:dyDescent="0.4">
      <c r="A196" t="s">
        <v>408</v>
      </c>
      <c r="B196" t="s">
        <v>1384</v>
      </c>
    </row>
    <row r="197" spans="1:2" x14ac:dyDescent="0.4">
      <c r="A197" t="s">
        <v>410</v>
      </c>
      <c r="B197" t="s">
        <v>1384</v>
      </c>
    </row>
    <row r="198" spans="1:2" x14ac:dyDescent="0.4">
      <c r="A198" t="s">
        <v>412</v>
      </c>
      <c r="B198" t="s">
        <v>1384</v>
      </c>
    </row>
    <row r="199" spans="1:2" x14ac:dyDescent="0.4">
      <c r="A199" t="s">
        <v>414</v>
      </c>
      <c r="B199" t="s">
        <v>1387</v>
      </c>
    </row>
    <row r="200" spans="1:2" x14ac:dyDescent="0.4">
      <c r="A200" t="s">
        <v>416</v>
      </c>
      <c r="B200" t="s">
        <v>1384</v>
      </c>
    </row>
    <row r="201" spans="1:2" x14ac:dyDescent="0.4">
      <c r="A201" t="s">
        <v>418</v>
      </c>
      <c r="B201" t="s">
        <v>1384</v>
      </c>
    </row>
    <row r="202" spans="1:2" x14ac:dyDescent="0.4">
      <c r="A202" t="s">
        <v>420</v>
      </c>
      <c r="B202" t="s">
        <v>1387</v>
      </c>
    </row>
    <row r="203" spans="1:2" x14ac:dyDescent="0.4">
      <c r="A203" t="s">
        <v>422</v>
      </c>
      <c r="B203" t="s">
        <v>1387</v>
      </c>
    </row>
    <row r="204" spans="1:2" x14ac:dyDescent="0.4">
      <c r="A204" t="s">
        <v>424</v>
      </c>
      <c r="B204" t="s">
        <v>1387</v>
      </c>
    </row>
    <row r="205" spans="1:2" x14ac:dyDescent="0.4">
      <c r="A205" t="s">
        <v>426</v>
      </c>
      <c r="B205" t="s">
        <v>1387</v>
      </c>
    </row>
    <row r="206" spans="1:2" x14ac:dyDescent="0.4">
      <c r="A206" t="s">
        <v>388</v>
      </c>
      <c r="B206" t="s">
        <v>1384</v>
      </c>
    </row>
    <row r="207" spans="1:2" x14ac:dyDescent="0.4">
      <c r="A207" t="s">
        <v>390</v>
      </c>
      <c r="B207" t="s">
        <v>1387</v>
      </c>
    </row>
    <row r="208" spans="1:2" x14ac:dyDescent="0.4">
      <c r="A208" t="s">
        <v>392</v>
      </c>
      <c r="B208" t="s">
        <v>1384</v>
      </c>
    </row>
    <row r="209" spans="1:2" x14ac:dyDescent="0.4">
      <c r="A209" t="s">
        <v>394</v>
      </c>
      <c r="B209" t="s">
        <v>1387</v>
      </c>
    </row>
    <row r="210" spans="1:2" x14ac:dyDescent="0.4">
      <c r="A210" t="s">
        <v>396</v>
      </c>
      <c r="B210" t="s">
        <v>1387</v>
      </c>
    </row>
    <row r="211" spans="1:2" x14ac:dyDescent="0.4">
      <c r="A211" t="s">
        <v>398</v>
      </c>
      <c r="B211" t="s">
        <v>1387</v>
      </c>
    </row>
    <row r="212" spans="1:2" x14ac:dyDescent="0.4">
      <c r="A212" t="s">
        <v>400</v>
      </c>
      <c r="B212" t="s">
        <v>1384</v>
      </c>
    </row>
    <row r="213" spans="1:2" x14ac:dyDescent="0.4">
      <c r="A213" t="s">
        <v>402</v>
      </c>
      <c r="B213" t="s">
        <v>1384</v>
      </c>
    </row>
    <row r="214" spans="1:2" x14ac:dyDescent="0.4">
      <c r="A214" t="s">
        <v>404</v>
      </c>
      <c r="B214" t="s">
        <v>1387</v>
      </c>
    </row>
    <row r="215" spans="1:2" x14ac:dyDescent="0.4">
      <c r="A215" t="s">
        <v>406</v>
      </c>
      <c r="B215" t="s">
        <v>1384</v>
      </c>
    </row>
    <row r="216" spans="1:2" x14ac:dyDescent="0.4">
      <c r="A216" t="s">
        <v>382</v>
      </c>
      <c r="B216" t="s">
        <v>1384</v>
      </c>
    </row>
    <row r="217" spans="1:2" x14ac:dyDescent="0.4">
      <c r="A217" t="s">
        <v>384</v>
      </c>
      <c r="B217" t="s">
        <v>1387</v>
      </c>
    </row>
    <row r="218" spans="1:2" x14ac:dyDescent="0.4">
      <c r="A218" t="s">
        <v>386</v>
      </c>
      <c r="B218" t="s">
        <v>1387</v>
      </c>
    </row>
    <row r="219" spans="1:2" x14ac:dyDescent="0.4">
      <c r="A219" t="s">
        <v>458</v>
      </c>
      <c r="B219" t="s">
        <v>1384</v>
      </c>
    </row>
    <row r="220" spans="1:2" x14ac:dyDescent="0.4">
      <c r="A220" t="s">
        <v>460</v>
      </c>
      <c r="B220" t="s">
        <v>1384</v>
      </c>
    </row>
    <row r="221" spans="1:2" x14ac:dyDescent="0.4">
      <c r="A221" t="s">
        <v>462</v>
      </c>
      <c r="B221" t="s">
        <v>1384</v>
      </c>
    </row>
    <row r="222" spans="1:2" x14ac:dyDescent="0.4">
      <c r="A222" t="s">
        <v>464</v>
      </c>
      <c r="B222" t="s">
        <v>1384</v>
      </c>
    </row>
    <row r="223" spans="1:2" x14ac:dyDescent="0.4">
      <c r="A223" t="s">
        <v>466</v>
      </c>
      <c r="B223" t="s">
        <v>1384</v>
      </c>
    </row>
    <row r="224" spans="1:2" x14ac:dyDescent="0.4">
      <c r="A224" t="s">
        <v>428</v>
      </c>
      <c r="B224" t="s">
        <v>1389</v>
      </c>
    </row>
    <row r="225" spans="1:2" x14ac:dyDescent="0.4">
      <c r="A225" t="s">
        <v>430</v>
      </c>
      <c r="B225" t="s">
        <v>1383</v>
      </c>
    </row>
    <row r="226" spans="1:2" x14ac:dyDescent="0.4">
      <c r="A226" t="s">
        <v>432</v>
      </c>
      <c r="B226" t="s">
        <v>1389</v>
      </c>
    </row>
    <row r="227" spans="1:2" x14ac:dyDescent="0.4">
      <c r="A227" t="s">
        <v>434</v>
      </c>
      <c r="B227" t="s">
        <v>1389</v>
      </c>
    </row>
    <row r="228" spans="1:2" x14ac:dyDescent="0.4">
      <c r="A228" t="s">
        <v>436</v>
      </c>
      <c r="B228" t="s">
        <v>1383</v>
      </c>
    </row>
    <row r="229" spans="1:2" x14ac:dyDescent="0.4">
      <c r="A229" t="s">
        <v>438</v>
      </c>
      <c r="B229" t="s">
        <v>1386</v>
      </c>
    </row>
    <row r="230" spans="1:2" x14ac:dyDescent="0.4">
      <c r="A230" t="s">
        <v>440</v>
      </c>
      <c r="B230" t="s">
        <v>1407</v>
      </c>
    </row>
    <row r="231" spans="1:2" x14ac:dyDescent="0.4">
      <c r="A231" t="s">
        <v>442</v>
      </c>
      <c r="B231" t="s">
        <v>1389</v>
      </c>
    </row>
    <row r="232" spans="1:2" x14ac:dyDescent="0.4">
      <c r="A232" t="s">
        <v>444</v>
      </c>
      <c r="B232" t="s">
        <v>1383</v>
      </c>
    </row>
    <row r="233" spans="1:2" x14ac:dyDescent="0.4">
      <c r="A233" t="s">
        <v>446</v>
      </c>
      <c r="B233" t="s">
        <v>1386</v>
      </c>
    </row>
    <row r="234" spans="1:2" x14ac:dyDescent="0.4">
      <c r="A234" t="s">
        <v>448</v>
      </c>
      <c r="B234" t="s">
        <v>1383</v>
      </c>
    </row>
    <row r="235" spans="1:2" x14ac:dyDescent="0.4">
      <c r="A235" t="s">
        <v>450</v>
      </c>
      <c r="B235" t="s">
        <v>1386</v>
      </c>
    </row>
    <row r="236" spans="1:2" x14ac:dyDescent="0.4">
      <c r="A236" t="s">
        <v>452</v>
      </c>
      <c r="B236" t="s">
        <v>1387</v>
      </c>
    </row>
    <row r="237" spans="1:2" x14ac:dyDescent="0.4">
      <c r="A237" t="s">
        <v>454</v>
      </c>
      <c r="B237" t="s">
        <v>1387</v>
      </c>
    </row>
    <row r="238" spans="1:2" x14ac:dyDescent="0.4">
      <c r="A238" t="s">
        <v>456</v>
      </c>
      <c r="B238" t="s">
        <v>1387</v>
      </c>
    </row>
    <row r="239" spans="1:2" x14ac:dyDescent="0.4">
      <c r="A239" t="s">
        <v>374</v>
      </c>
      <c r="B239" t="s">
        <v>1384</v>
      </c>
    </row>
    <row r="240" spans="1:2" x14ac:dyDescent="0.4">
      <c r="A240" t="s">
        <v>376</v>
      </c>
      <c r="B240" t="s">
        <v>1384</v>
      </c>
    </row>
    <row r="241" spans="1:2" x14ac:dyDescent="0.4">
      <c r="A241" t="s">
        <v>378</v>
      </c>
      <c r="B241" t="s">
        <v>1384</v>
      </c>
    </row>
    <row r="242" spans="1:2" x14ac:dyDescent="0.4">
      <c r="A242" t="s">
        <v>380</v>
      </c>
      <c r="B242" t="s">
        <v>1384</v>
      </c>
    </row>
    <row r="243" spans="1:2" x14ac:dyDescent="0.4">
      <c r="A243" t="s">
        <v>806</v>
      </c>
      <c r="B243" t="s">
        <v>1387</v>
      </c>
    </row>
    <row r="244" spans="1:2" x14ac:dyDescent="0.4">
      <c r="A244" t="s">
        <v>808</v>
      </c>
      <c r="B244" t="s">
        <v>1387</v>
      </c>
    </row>
    <row r="245" spans="1:2" x14ac:dyDescent="0.4">
      <c r="A245" t="s">
        <v>810</v>
      </c>
      <c r="B245" t="s">
        <v>1387</v>
      </c>
    </row>
    <row r="246" spans="1:2" x14ac:dyDescent="0.4">
      <c r="A246" t="s">
        <v>812</v>
      </c>
      <c r="B246" t="s">
        <v>1386</v>
      </c>
    </row>
    <row r="247" spans="1:2" x14ac:dyDescent="0.4">
      <c r="A247" t="s">
        <v>814</v>
      </c>
      <c r="B247" t="s">
        <v>1387</v>
      </c>
    </row>
    <row r="248" spans="1:2" x14ac:dyDescent="0.4">
      <c r="A248" t="s">
        <v>816</v>
      </c>
      <c r="B248" t="s">
        <v>1387</v>
      </c>
    </row>
    <row r="249" spans="1:2" x14ac:dyDescent="0.4">
      <c r="A249" t="s">
        <v>818</v>
      </c>
      <c r="B249" t="s">
        <v>1384</v>
      </c>
    </row>
    <row r="250" spans="1:2" x14ac:dyDescent="0.4">
      <c r="A250" t="s">
        <v>820</v>
      </c>
      <c r="B250" t="s">
        <v>1386</v>
      </c>
    </row>
    <row r="251" spans="1:2" x14ac:dyDescent="0.4">
      <c r="A251" t="s">
        <v>832</v>
      </c>
      <c r="B251" t="s">
        <v>1384</v>
      </c>
    </row>
    <row r="252" spans="1:2" x14ac:dyDescent="0.4">
      <c r="A252" t="s">
        <v>834</v>
      </c>
      <c r="B252" t="s">
        <v>1386</v>
      </c>
    </row>
    <row r="253" spans="1:2" x14ac:dyDescent="0.4">
      <c r="A253" t="s">
        <v>836</v>
      </c>
      <c r="B253" t="s">
        <v>1386</v>
      </c>
    </row>
    <row r="254" spans="1:2" x14ac:dyDescent="0.4">
      <c r="A254" t="s">
        <v>838</v>
      </c>
      <c r="B254" t="s">
        <v>1386</v>
      </c>
    </row>
    <row r="255" spans="1:2" x14ac:dyDescent="0.4">
      <c r="A255" t="s">
        <v>822</v>
      </c>
      <c r="B255" t="s">
        <v>1384</v>
      </c>
    </row>
    <row r="256" spans="1:2" x14ac:dyDescent="0.4">
      <c r="A256" t="s">
        <v>824</v>
      </c>
      <c r="B256" t="s">
        <v>1384</v>
      </c>
    </row>
    <row r="257" spans="1:2" x14ac:dyDescent="0.4">
      <c r="A257" t="s">
        <v>826</v>
      </c>
      <c r="B257" t="s">
        <v>1384</v>
      </c>
    </row>
    <row r="258" spans="1:2" x14ac:dyDescent="0.4">
      <c r="A258" t="s">
        <v>828</v>
      </c>
      <c r="B258" t="s">
        <v>1384</v>
      </c>
    </row>
    <row r="259" spans="1:2" x14ac:dyDescent="0.4">
      <c r="A259" t="s">
        <v>830</v>
      </c>
      <c r="B259" t="s">
        <v>1384</v>
      </c>
    </row>
    <row r="260" spans="1:2" x14ac:dyDescent="0.4">
      <c r="A260" t="s">
        <v>840</v>
      </c>
      <c r="B260" t="s">
        <v>1384</v>
      </c>
    </row>
    <row r="261" spans="1:2" x14ac:dyDescent="0.4">
      <c r="A261" t="s">
        <v>842</v>
      </c>
      <c r="B261" t="s">
        <v>1384</v>
      </c>
    </row>
    <row r="262" spans="1:2" x14ac:dyDescent="0.4">
      <c r="A262" t="s">
        <v>844</v>
      </c>
      <c r="B262" t="s">
        <v>1386</v>
      </c>
    </row>
    <row r="263" spans="1:2" x14ac:dyDescent="0.4">
      <c r="A263" t="s">
        <v>846</v>
      </c>
      <c r="B263" t="s">
        <v>1384</v>
      </c>
    </row>
    <row r="264" spans="1:2" x14ac:dyDescent="0.4">
      <c r="A264" t="s">
        <v>848</v>
      </c>
      <c r="B264" t="s">
        <v>1384</v>
      </c>
    </row>
    <row r="265" spans="1:2" x14ac:dyDescent="0.4">
      <c r="A265" t="s">
        <v>850</v>
      </c>
      <c r="B265" t="s">
        <v>1386</v>
      </c>
    </row>
    <row r="266" spans="1:2" x14ac:dyDescent="0.4">
      <c r="A266" t="s">
        <v>1117</v>
      </c>
      <c r="B266" t="s">
        <v>1384</v>
      </c>
    </row>
    <row r="267" spans="1:2" x14ac:dyDescent="0.4">
      <c r="A267" t="s">
        <v>1119</v>
      </c>
      <c r="B267" t="s">
        <v>1384</v>
      </c>
    </row>
    <row r="268" spans="1:2" x14ac:dyDescent="0.4">
      <c r="A268" t="s">
        <v>1121</v>
      </c>
      <c r="B268" t="s">
        <v>1384</v>
      </c>
    </row>
    <row r="269" spans="1:2" x14ac:dyDescent="0.4">
      <c r="A269" t="s">
        <v>1123</v>
      </c>
      <c r="B269" t="s">
        <v>1384</v>
      </c>
    </row>
    <row r="270" spans="1:2" x14ac:dyDescent="0.4">
      <c r="A270" t="s">
        <v>1125</v>
      </c>
      <c r="B270" t="s">
        <v>1384</v>
      </c>
    </row>
    <row r="271" spans="1:2" x14ac:dyDescent="0.4">
      <c r="A271" t="s">
        <v>1127</v>
      </c>
      <c r="B271" t="s">
        <v>1384</v>
      </c>
    </row>
    <row r="272" spans="1:2" x14ac:dyDescent="0.4">
      <c r="A272" t="s">
        <v>1129</v>
      </c>
      <c r="B272" t="s">
        <v>1384</v>
      </c>
    </row>
    <row r="273" spans="1:2" x14ac:dyDescent="0.4">
      <c r="A273" t="s">
        <v>1131</v>
      </c>
      <c r="B273" t="s">
        <v>1384</v>
      </c>
    </row>
    <row r="274" spans="1:2" x14ac:dyDescent="0.4">
      <c r="A274" t="s">
        <v>1133</v>
      </c>
      <c r="B274" t="s">
        <v>1384</v>
      </c>
    </row>
    <row r="275" spans="1:2" x14ac:dyDescent="0.4">
      <c r="A275" t="s">
        <v>1135</v>
      </c>
      <c r="B275" t="s">
        <v>1384</v>
      </c>
    </row>
    <row r="276" spans="1:2" x14ac:dyDescent="0.4">
      <c r="A276" t="s">
        <v>1137</v>
      </c>
      <c r="B276" t="s">
        <v>1384</v>
      </c>
    </row>
    <row r="277" spans="1:2" x14ac:dyDescent="0.4">
      <c r="A277" t="s">
        <v>1139</v>
      </c>
      <c r="B277" t="s">
        <v>1384</v>
      </c>
    </row>
    <row r="278" spans="1:2" x14ac:dyDescent="0.4">
      <c r="A278" t="s">
        <v>1141</v>
      </c>
      <c r="B278" t="s">
        <v>1384</v>
      </c>
    </row>
    <row r="279" spans="1:2" x14ac:dyDescent="0.4">
      <c r="A279" t="s">
        <v>1143</v>
      </c>
      <c r="B279" t="s">
        <v>1384</v>
      </c>
    </row>
    <row r="280" spans="1:2" x14ac:dyDescent="0.4">
      <c r="A280" t="s">
        <v>1145</v>
      </c>
      <c r="B280" t="s">
        <v>1384</v>
      </c>
    </row>
    <row r="281" spans="1:2" x14ac:dyDescent="0.4">
      <c r="A281" t="s">
        <v>1147</v>
      </c>
      <c r="B281" t="s">
        <v>1384</v>
      </c>
    </row>
    <row r="282" spans="1:2" x14ac:dyDescent="0.4">
      <c r="A282" t="s">
        <v>1149</v>
      </c>
      <c r="B282" t="s">
        <v>1384</v>
      </c>
    </row>
    <row r="283" spans="1:2" x14ac:dyDescent="0.4">
      <c r="A283" t="s">
        <v>1151</v>
      </c>
      <c r="B283" t="s">
        <v>1384</v>
      </c>
    </row>
    <row r="284" spans="1:2" x14ac:dyDescent="0.4">
      <c r="A284" t="s">
        <v>1153</v>
      </c>
      <c r="B284" t="s">
        <v>1384</v>
      </c>
    </row>
    <row r="285" spans="1:2" x14ac:dyDescent="0.4">
      <c r="A285" t="s">
        <v>1155</v>
      </c>
      <c r="B285" t="s">
        <v>1384</v>
      </c>
    </row>
    <row r="286" spans="1:2" x14ac:dyDescent="0.4">
      <c r="A286" t="s">
        <v>1157</v>
      </c>
      <c r="B286" t="s">
        <v>1384</v>
      </c>
    </row>
    <row r="287" spans="1:2" x14ac:dyDescent="0.4">
      <c r="A287" t="s">
        <v>1159</v>
      </c>
      <c r="B287" t="s">
        <v>1384</v>
      </c>
    </row>
    <row r="288" spans="1:2" x14ac:dyDescent="0.4">
      <c r="A288" t="s">
        <v>1161</v>
      </c>
      <c r="B288" t="s">
        <v>1384</v>
      </c>
    </row>
    <row r="289" spans="1:2" x14ac:dyDescent="0.4">
      <c r="A289" t="s">
        <v>1163</v>
      </c>
      <c r="B289" t="s">
        <v>1384</v>
      </c>
    </row>
    <row r="290" spans="1:2" x14ac:dyDescent="0.4">
      <c r="A290" t="s">
        <v>1165</v>
      </c>
      <c r="B290" t="s">
        <v>1384</v>
      </c>
    </row>
    <row r="291" spans="1:2" x14ac:dyDescent="0.4">
      <c r="A291" t="s">
        <v>1167</v>
      </c>
      <c r="B291" t="s">
        <v>1384</v>
      </c>
    </row>
    <row r="292" spans="1:2" x14ac:dyDescent="0.4">
      <c r="A292" t="s">
        <v>1169</v>
      </c>
      <c r="B292" t="s">
        <v>1384</v>
      </c>
    </row>
    <row r="293" spans="1:2" x14ac:dyDescent="0.4">
      <c r="A293" t="s">
        <v>1171</v>
      </c>
      <c r="B293" t="s">
        <v>1384</v>
      </c>
    </row>
    <row r="294" spans="1:2" x14ac:dyDescent="0.4">
      <c r="A294" t="s">
        <v>1173</v>
      </c>
      <c r="B294" t="s">
        <v>1384</v>
      </c>
    </row>
    <row r="295" spans="1:2" x14ac:dyDescent="0.4">
      <c r="A295" t="s">
        <v>1175</v>
      </c>
      <c r="B295" t="s">
        <v>1384</v>
      </c>
    </row>
    <row r="296" spans="1:2" x14ac:dyDescent="0.4">
      <c r="A296" t="s">
        <v>602</v>
      </c>
      <c r="B296" t="s">
        <v>1388</v>
      </c>
    </row>
    <row r="297" spans="1:2" x14ac:dyDescent="0.4">
      <c r="A297" t="s">
        <v>604</v>
      </c>
      <c r="B297" t="s">
        <v>1386</v>
      </c>
    </row>
    <row r="298" spans="1:2" x14ac:dyDescent="0.4">
      <c r="A298" t="s">
        <v>606</v>
      </c>
      <c r="B298" t="s">
        <v>1388</v>
      </c>
    </row>
    <row r="299" spans="1:2" x14ac:dyDescent="0.4">
      <c r="A299" t="s">
        <v>608</v>
      </c>
      <c r="B299" t="s">
        <v>1386</v>
      </c>
    </row>
    <row r="300" spans="1:2" x14ac:dyDescent="0.4">
      <c r="A300" t="s">
        <v>610</v>
      </c>
      <c r="B300" t="s">
        <v>1388</v>
      </c>
    </row>
    <row r="301" spans="1:2" x14ac:dyDescent="0.4">
      <c r="A301" t="s">
        <v>612</v>
      </c>
      <c r="B301" t="s">
        <v>1386</v>
      </c>
    </row>
    <row r="302" spans="1:2" x14ac:dyDescent="0.4">
      <c r="A302" t="s">
        <v>614</v>
      </c>
      <c r="B302" t="s">
        <v>1388</v>
      </c>
    </row>
    <row r="303" spans="1:2" x14ac:dyDescent="0.4">
      <c r="A303" t="s">
        <v>616</v>
      </c>
      <c r="B303" t="s">
        <v>1386</v>
      </c>
    </row>
    <row r="304" spans="1:2" x14ac:dyDescent="0.4">
      <c r="A304" t="s">
        <v>618</v>
      </c>
      <c r="B304" t="s">
        <v>1388</v>
      </c>
    </row>
    <row r="305" spans="1:2" x14ac:dyDescent="0.4">
      <c r="A305" t="s">
        <v>620</v>
      </c>
      <c r="B305" t="s">
        <v>1386</v>
      </c>
    </row>
    <row r="306" spans="1:2" x14ac:dyDescent="0.4">
      <c r="A306" t="s">
        <v>622</v>
      </c>
      <c r="B306" t="s">
        <v>1384</v>
      </c>
    </row>
    <row r="307" spans="1:2" x14ac:dyDescent="0.4">
      <c r="A307" t="s">
        <v>564</v>
      </c>
      <c r="B307" t="s">
        <v>1390</v>
      </c>
    </row>
    <row r="308" spans="1:2" x14ac:dyDescent="0.4">
      <c r="A308" t="s">
        <v>566</v>
      </c>
      <c r="B308" t="s">
        <v>1390</v>
      </c>
    </row>
    <row r="309" spans="1:2" x14ac:dyDescent="0.4">
      <c r="A309" t="s">
        <v>568</v>
      </c>
      <c r="B309" t="s">
        <v>1390</v>
      </c>
    </row>
    <row r="310" spans="1:2" x14ac:dyDescent="0.4">
      <c r="A310" t="s">
        <v>570</v>
      </c>
      <c r="B310" t="s">
        <v>1390</v>
      </c>
    </row>
    <row r="311" spans="1:2" x14ac:dyDescent="0.4">
      <c r="A311" t="s">
        <v>572</v>
      </c>
      <c r="B311" t="s">
        <v>1386</v>
      </c>
    </row>
    <row r="312" spans="1:2" x14ac:dyDescent="0.4">
      <c r="A312" t="s">
        <v>574</v>
      </c>
      <c r="B312" t="s">
        <v>1390</v>
      </c>
    </row>
    <row r="313" spans="1:2" x14ac:dyDescent="0.4">
      <c r="A313" t="s">
        <v>576</v>
      </c>
      <c r="B313" t="s">
        <v>1386</v>
      </c>
    </row>
    <row r="314" spans="1:2" x14ac:dyDescent="0.4">
      <c r="A314" t="s">
        <v>578</v>
      </c>
      <c r="B314" t="s">
        <v>1386</v>
      </c>
    </row>
    <row r="315" spans="1:2" x14ac:dyDescent="0.4">
      <c r="A315" t="s">
        <v>580</v>
      </c>
      <c r="B315" t="s">
        <v>1386</v>
      </c>
    </row>
    <row r="316" spans="1:2" x14ac:dyDescent="0.4">
      <c r="A316" t="s">
        <v>582</v>
      </c>
      <c r="B316" t="s">
        <v>1388</v>
      </c>
    </row>
    <row r="317" spans="1:2" x14ac:dyDescent="0.4">
      <c r="A317" t="s">
        <v>584</v>
      </c>
      <c r="B317" t="s">
        <v>1388</v>
      </c>
    </row>
    <row r="318" spans="1:2" x14ac:dyDescent="0.4">
      <c r="A318" t="s">
        <v>586</v>
      </c>
      <c r="B318" t="s">
        <v>1388</v>
      </c>
    </row>
    <row r="319" spans="1:2" x14ac:dyDescent="0.4">
      <c r="A319" t="s">
        <v>588</v>
      </c>
      <c r="B319" t="s">
        <v>1388</v>
      </c>
    </row>
    <row r="320" spans="1:2" x14ac:dyDescent="0.4">
      <c r="A320" t="s">
        <v>590</v>
      </c>
      <c r="B320" t="s">
        <v>1384</v>
      </c>
    </row>
    <row r="321" spans="1:2" x14ac:dyDescent="0.4">
      <c r="A321" t="s">
        <v>592</v>
      </c>
      <c r="B321" t="s">
        <v>1384</v>
      </c>
    </row>
    <row r="322" spans="1:2" x14ac:dyDescent="0.4">
      <c r="A322" t="s">
        <v>594</v>
      </c>
      <c r="B322" t="s">
        <v>1386</v>
      </c>
    </row>
    <row r="323" spans="1:2" x14ac:dyDescent="0.4">
      <c r="A323" t="s">
        <v>596</v>
      </c>
      <c r="B323" t="s">
        <v>1384</v>
      </c>
    </row>
    <row r="324" spans="1:2" x14ac:dyDescent="0.4">
      <c r="A324" t="s">
        <v>598</v>
      </c>
      <c r="B324" t="s">
        <v>1384</v>
      </c>
    </row>
    <row r="325" spans="1:2" x14ac:dyDescent="0.4">
      <c r="A325" t="s">
        <v>600</v>
      </c>
      <c r="B325" t="s">
        <v>1384</v>
      </c>
    </row>
    <row r="326" spans="1:2" x14ac:dyDescent="0.4">
      <c r="A326" t="s">
        <v>1241</v>
      </c>
      <c r="B326" t="s">
        <v>1384</v>
      </c>
    </row>
    <row r="327" spans="1:2" x14ac:dyDescent="0.4">
      <c r="A327" t="s">
        <v>1243</v>
      </c>
      <c r="B327" t="s">
        <v>1384</v>
      </c>
    </row>
    <row r="328" spans="1:2" x14ac:dyDescent="0.4">
      <c r="A328" t="s">
        <v>1245</v>
      </c>
      <c r="B328" t="s">
        <v>1384</v>
      </c>
    </row>
    <row r="329" spans="1:2" x14ac:dyDescent="0.4">
      <c r="A329" t="s">
        <v>1247</v>
      </c>
      <c r="B329" t="s">
        <v>1384</v>
      </c>
    </row>
    <row r="330" spans="1:2" x14ac:dyDescent="0.4">
      <c r="A330" t="s">
        <v>1249</v>
      </c>
      <c r="B330" t="s">
        <v>1384</v>
      </c>
    </row>
    <row r="331" spans="1:2" x14ac:dyDescent="0.4">
      <c r="A331" t="s">
        <v>1251</v>
      </c>
      <c r="B331" t="s">
        <v>1384</v>
      </c>
    </row>
    <row r="332" spans="1:2" x14ac:dyDescent="0.4">
      <c r="A332" t="s">
        <v>1253</v>
      </c>
      <c r="B332" t="s">
        <v>1384</v>
      </c>
    </row>
    <row r="333" spans="1:2" x14ac:dyDescent="0.4">
      <c r="A333" t="s">
        <v>1255</v>
      </c>
      <c r="B333" t="s">
        <v>1384</v>
      </c>
    </row>
    <row r="334" spans="1:2" x14ac:dyDescent="0.4">
      <c r="A334" t="s">
        <v>1257</v>
      </c>
      <c r="B334" t="s">
        <v>1384</v>
      </c>
    </row>
    <row r="335" spans="1:2" x14ac:dyDescent="0.4">
      <c r="A335" t="s">
        <v>1259</v>
      </c>
      <c r="B335" t="s">
        <v>1384</v>
      </c>
    </row>
    <row r="336" spans="1:2" x14ac:dyDescent="0.4">
      <c r="A336" t="s">
        <v>1261</v>
      </c>
      <c r="B336" t="s">
        <v>1384</v>
      </c>
    </row>
    <row r="337" spans="1:2" x14ac:dyDescent="0.4">
      <c r="A337" t="s">
        <v>1097</v>
      </c>
      <c r="B337" t="s">
        <v>1384</v>
      </c>
    </row>
    <row r="338" spans="1:2" x14ac:dyDescent="0.4">
      <c r="A338" t="s">
        <v>1099</v>
      </c>
      <c r="B338" t="s">
        <v>1384</v>
      </c>
    </row>
    <row r="339" spans="1:2" x14ac:dyDescent="0.4">
      <c r="A339" t="s">
        <v>1101</v>
      </c>
      <c r="B339" t="s">
        <v>1384</v>
      </c>
    </row>
    <row r="340" spans="1:2" x14ac:dyDescent="0.4">
      <c r="A340" t="s">
        <v>1103</v>
      </c>
      <c r="B340" t="s">
        <v>1384</v>
      </c>
    </row>
    <row r="341" spans="1:2" x14ac:dyDescent="0.4">
      <c r="A341" t="s">
        <v>1105</v>
      </c>
      <c r="B341" t="s">
        <v>1384</v>
      </c>
    </row>
    <row r="342" spans="1:2" x14ac:dyDescent="0.4">
      <c r="A342" t="s">
        <v>1109</v>
      </c>
      <c r="B342" t="s">
        <v>1386</v>
      </c>
    </row>
    <row r="343" spans="1:2" x14ac:dyDescent="0.4">
      <c r="A343" t="s">
        <v>1111</v>
      </c>
      <c r="B343" t="s">
        <v>1386</v>
      </c>
    </row>
    <row r="344" spans="1:2" x14ac:dyDescent="0.4">
      <c r="A344" t="s">
        <v>1113</v>
      </c>
      <c r="B344" t="s">
        <v>1386</v>
      </c>
    </row>
    <row r="345" spans="1:2" x14ac:dyDescent="0.4">
      <c r="A345" t="s">
        <v>1115</v>
      </c>
      <c r="B345" t="s">
        <v>1386</v>
      </c>
    </row>
    <row r="346" spans="1:2" x14ac:dyDescent="0.4">
      <c r="A346" t="s">
        <v>1107</v>
      </c>
      <c r="B346" t="s">
        <v>1386</v>
      </c>
    </row>
    <row r="347" spans="1:2" x14ac:dyDescent="0.4">
      <c r="A347" t="s">
        <v>480</v>
      </c>
      <c r="B347" t="s">
        <v>1384</v>
      </c>
    </row>
    <row r="348" spans="1:2" x14ac:dyDescent="0.4">
      <c r="A348" t="s">
        <v>482</v>
      </c>
      <c r="B348" t="s">
        <v>1384</v>
      </c>
    </row>
    <row r="349" spans="1:2" x14ac:dyDescent="0.4">
      <c r="A349" t="s">
        <v>484</v>
      </c>
      <c r="B349" t="s">
        <v>1384</v>
      </c>
    </row>
    <row r="350" spans="1:2" x14ac:dyDescent="0.4">
      <c r="A350" t="s">
        <v>486</v>
      </c>
      <c r="B350" t="s">
        <v>1386</v>
      </c>
    </row>
    <row r="351" spans="1:2" x14ac:dyDescent="0.4">
      <c r="A351" t="s">
        <v>488</v>
      </c>
      <c r="B351" t="s">
        <v>1384</v>
      </c>
    </row>
    <row r="352" spans="1:2" x14ac:dyDescent="0.4">
      <c r="A352" t="s">
        <v>490</v>
      </c>
      <c r="B352" t="s">
        <v>1384</v>
      </c>
    </row>
    <row r="353" spans="1:2" x14ac:dyDescent="0.4">
      <c r="A353" t="s">
        <v>492</v>
      </c>
      <c r="B353" t="s">
        <v>1386</v>
      </c>
    </row>
    <row r="354" spans="1:2" x14ac:dyDescent="0.4">
      <c r="A354" t="s">
        <v>494</v>
      </c>
      <c r="B354" t="s">
        <v>1386</v>
      </c>
    </row>
    <row r="355" spans="1:2" x14ac:dyDescent="0.4">
      <c r="A355" t="s">
        <v>1263</v>
      </c>
      <c r="B355" t="s">
        <v>1384</v>
      </c>
    </row>
    <row r="356" spans="1:2" x14ac:dyDescent="0.4">
      <c r="A356" t="s">
        <v>1265</v>
      </c>
      <c r="B356" t="s">
        <v>1384</v>
      </c>
    </row>
    <row r="357" spans="1:2" x14ac:dyDescent="0.4">
      <c r="A357" t="s">
        <v>1267</v>
      </c>
      <c r="B357" t="s">
        <v>1384</v>
      </c>
    </row>
    <row r="358" spans="1:2" x14ac:dyDescent="0.4">
      <c r="A358" t="s">
        <v>1269</v>
      </c>
      <c r="B358" t="s">
        <v>1384</v>
      </c>
    </row>
    <row r="359" spans="1:2" x14ac:dyDescent="0.4">
      <c r="A359" t="s">
        <v>1271</v>
      </c>
      <c r="B359" t="s">
        <v>1384</v>
      </c>
    </row>
    <row r="360" spans="1:2" x14ac:dyDescent="0.4">
      <c r="A360" t="s">
        <v>1273</v>
      </c>
      <c r="B360" t="s">
        <v>1384</v>
      </c>
    </row>
    <row r="361" spans="1:2" x14ac:dyDescent="0.4">
      <c r="A361" t="s">
        <v>1275</v>
      </c>
      <c r="B361" t="s">
        <v>1384</v>
      </c>
    </row>
    <row r="362" spans="1:2" x14ac:dyDescent="0.4">
      <c r="A362" t="s">
        <v>1277</v>
      </c>
      <c r="B362" t="s">
        <v>1384</v>
      </c>
    </row>
    <row r="363" spans="1:2" x14ac:dyDescent="0.4">
      <c r="A363" t="s">
        <v>1279</v>
      </c>
      <c r="B363" t="s">
        <v>1384</v>
      </c>
    </row>
    <row r="364" spans="1:2" x14ac:dyDescent="0.4">
      <c r="A364" t="s">
        <v>1281</v>
      </c>
      <c r="B364" t="s">
        <v>1384</v>
      </c>
    </row>
    <row r="365" spans="1:2" x14ac:dyDescent="0.4">
      <c r="A365" t="s">
        <v>1283</v>
      </c>
      <c r="B365" t="s">
        <v>1384</v>
      </c>
    </row>
    <row r="366" spans="1:2" x14ac:dyDescent="0.4">
      <c r="A366" t="s">
        <v>1285</v>
      </c>
      <c r="B366" t="s">
        <v>1384</v>
      </c>
    </row>
    <row r="367" spans="1:2" x14ac:dyDescent="0.4">
      <c r="A367" t="s">
        <v>1287</v>
      </c>
      <c r="B367" t="s">
        <v>1384</v>
      </c>
    </row>
    <row r="368" spans="1:2" x14ac:dyDescent="0.4">
      <c r="A368" t="s">
        <v>1289</v>
      </c>
      <c r="B368" t="s">
        <v>1384</v>
      </c>
    </row>
    <row r="369" spans="1:2" x14ac:dyDescent="0.4">
      <c r="A369" t="s">
        <v>1291</v>
      </c>
      <c r="B369" t="s">
        <v>1384</v>
      </c>
    </row>
    <row r="370" spans="1:2" x14ac:dyDescent="0.4">
      <c r="A370" t="s">
        <v>1293</v>
      </c>
      <c r="B370" t="s">
        <v>1384</v>
      </c>
    </row>
    <row r="371" spans="1:2" x14ac:dyDescent="0.4">
      <c r="A371" t="s">
        <v>1295</v>
      </c>
      <c r="B371" t="s">
        <v>1384</v>
      </c>
    </row>
    <row r="372" spans="1:2" x14ac:dyDescent="0.4">
      <c r="A372" t="s">
        <v>1297</v>
      </c>
      <c r="B372" t="s">
        <v>1384</v>
      </c>
    </row>
    <row r="373" spans="1:2" x14ac:dyDescent="0.4">
      <c r="A373" t="s">
        <v>1299</v>
      </c>
      <c r="B373" t="s">
        <v>1384</v>
      </c>
    </row>
    <row r="374" spans="1:2" x14ac:dyDescent="0.4">
      <c r="A374" t="s">
        <v>1301</v>
      </c>
      <c r="B374" t="s">
        <v>1384</v>
      </c>
    </row>
    <row r="375" spans="1:2" x14ac:dyDescent="0.4">
      <c r="A375" t="s">
        <v>119</v>
      </c>
      <c r="B375" t="s">
        <v>1384</v>
      </c>
    </row>
    <row r="376" spans="1:2" x14ac:dyDescent="0.4">
      <c r="A376" t="s">
        <v>121</v>
      </c>
      <c r="B376" t="s">
        <v>1384</v>
      </c>
    </row>
    <row r="377" spans="1:2" x14ac:dyDescent="0.4">
      <c r="A377" t="s">
        <v>123</v>
      </c>
      <c r="B377" t="s">
        <v>1384</v>
      </c>
    </row>
    <row r="378" spans="1:2" x14ac:dyDescent="0.4">
      <c r="A378" t="s">
        <v>125</v>
      </c>
      <c r="B378" t="s">
        <v>1383</v>
      </c>
    </row>
    <row r="379" spans="1:2" x14ac:dyDescent="0.4">
      <c r="A379" t="s">
        <v>127</v>
      </c>
      <c r="B379" t="s">
        <v>1384</v>
      </c>
    </row>
    <row r="380" spans="1:2" x14ac:dyDescent="0.4">
      <c r="A380" t="s">
        <v>129</v>
      </c>
      <c r="B380" t="s">
        <v>1383</v>
      </c>
    </row>
    <row r="381" spans="1:2" x14ac:dyDescent="0.4">
      <c r="A381" t="s">
        <v>131</v>
      </c>
      <c r="B381" t="s">
        <v>1384</v>
      </c>
    </row>
    <row r="382" spans="1:2" x14ac:dyDescent="0.4">
      <c r="A382" t="s">
        <v>133</v>
      </c>
      <c r="B382" t="s">
        <v>1384</v>
      </c>
    </row>
    <row r="383" spans="1:2" x14ac:dyDescent="0.4">
      <c r="A383" t="s">
        <v>135</v>
      </c>
      <c r="B383" t="s">
        <v>1389</v>
      </c>
    </row>
    <row r="384" spans="1:2" x14ac:dyDescent="0.4">
      <c r="A384" t="s">
        <v>137</v>
      </c>
      <c r="B384" t="s">
        <v>1384</v>
      </c>
    </row>
    <row r="385" spans="1:2" x14ac:dyDescent="0.4">
      <c r="A385" t="s">
        <v>139</v>
      </c>
      <c r="B385" t="s">
        <v>1389</v>
      </c>
    </row>
    <row r="386" spans="1:2" x14ac:dyDescent="0.4">
      <c r="A386" t="s">
        <v>141</v>
      </c>
      <c r="B386" t="s">
        <v>1389</v>
      </c>
    </row>
    <row r="387" spans="1:2" x14ac:dyDescent="0.4">
      <c r="A387" t="s">
        <v>143</v>
      </c>
      <c r="B387" t="s">
        <v>1384</v>
      </c>
    </row>
    <row r="388" spans="1:2" x14ac:dyDescent="0.4">
      <c r="A388" t="s">
        <v>145</v>
      </c>
      <c r="B388" t="s">
        <v>1383</v>
      </c>
    </row>
    <row r="389" spans="1:2" x14ac:dyDescent="0.4">
      <c r="A389" t="s">
        <v>147</v>
      </c>
      <c r="B389" t="s">
        <v>1384</v>
      </c>
    </row>
    <row r="390" spans="1:2" x14ac:dyDescent="0.4">
      <c r="A390" t="s">
        <v>200</v>
      </c>
      <c r="B390" t="s">
        <v>1384</v>
      </c>
    </row>
    <row r="391" spans="1:2" x14ac:dyDescent="0.4">
      <c r="A391" t="s">
        <v>202</v>
      </c>
      <c r="B391" t="s">
        <v>1384</v>
      </c>
    </row>
    <row r="392" spans="1:2" x14ac:dyDescent="0.4">
      <c r="A392" t="s">
        <v>204</v>
      </c>
      <c r="B392" t="s">
        <v>1384</v>
      </c>
    </row>
    <row r="393" spans="1:2" x14ac:dyDescent="0.4">
      <c r="A393" t="s">
        <v>236</v>
      </c>
      <c r="B393" t="s">
        <v>1384</v>
      </c>
    </row>
    <row r="394" spans="1:2" x14ac:dyDescent="0.4">
      <c r="A394" t="s">
        <v>238</v>
      </c>
      <c r="B394" t="s">
        <v>1386</v>
      </c>
    </row>
    <row r="395" spans="1:2" x14ac:dyDescent="0.4">
      <c r="A395" t="s">
        <v>240</v>
      </c>
      <c r="B395" t="s">
        <v>1385</v>
      </c>
    </row>
    <row r="396" spans="1:2" x14ac:dyDescent="0.4">
      <c r="A396" t="s">
        <v>242</v>
      </c>
      <c r="B396" t="s">
        <v>1386</v>
      </c>
    </row>
    <row r="397" spans="1:2" x14ac:dyDescent="0.4">
      <c r="A397" t="s">
        <v>244</v>
      </c>
      <c r="B397" t="s">
        <v>1385</v>
      </c>
    </row>
    <row r="398" spans="1:2" x14ac:dyDescent="0.4">
      <c r="A398" t="s">
        <v>246</v>
      </c>
      <c r="B398" t="s">
        <v>1385</v>
      </c>
    </row>
    <row r="399" spans="1:2" x14ac:dyDescent="0.4">
      <c r="A399" t="s">
        <v>248</v>
      </c>
      <c r="B399" t="s">
        <v>1387</v>
      </c>
    </row>
    <row r="400" spans="1:2" x14ac:dyDescent="0.4">
      <c r="A400" t="s">
        <v>250</v>
      </c>
      <c r="B400" t="s">
        <v>1387</v>
      </c>
    </row>
    <row r="401" spans="1:2" x14ac:dyDescent="0.4">
      <c r="A401" t="s">
        <v>252</v>
      </c>
      <c r="B401" t="s">
        <v>1387</v>
      </c>
    </row>
    <row r="402" spans="1:2" x14ac:dyDescent="0.4">
      <c r="A402" t="s">
        <v>254</v>
      </c>
      <c r="B402" t="s">
        <v>1387</v>
      </c>
    </row>
    <row r="403" spans="1:2" x14ac:dyDescent="0.4">
      <c r="A403" t="s">
        <v>256</v>
      </c>
      <c r="B403" t="s">
        <v>1386</v>
      </c>
    </row>
    <row r="404" spans="1:2" x14ac:dyDescent="0.4">
      <c r="A404" t="s">
        <v>258</v>
      </c>
      <c r="B404" t="s">
        <v>1386</v>
      </c>
    </row>
    <row r="405" spans="1:2" x14ac:dyDescent="0.4">
      <c r="A405" t="s">
        <v>260</v>
      </c>
      <c r="B405" t="s">
        <v>1385</v>
      </c>
    </row>
    <row r="406" spans="1:2" x14ac:dyDescent="0.4">
      <c r="A406" t="s">
        <v>262</v>
      </c>
      <c r="B406" t="s">
        <v>1390</v>
      </c>
    </row>
    <row r="407" spans="1:2" x14ac:dyDescent="0.4">
      <c r="A407" t="s">
        <v>264</v>
      </c>
      <c r="B407" t="s">
        <v>1390</v>
      </c>
    </row>
    <row r="408" spans="1:2" x14ac:dyDescent="0.4">
      <c r="A408" t="s">
        <v>266</v>
      </c>
      <c r="B408" t="s">
        <v>1385</v>
      </c>
    </row>
    <row r="409" spans="1:2" x14ac:dyDescent="0.4">
      <c r="A409" t="s">
        <v>268</v>
      </c>
      <c r="B409" t="s">
        <v>1390</v>
      </c>
    </row>
    <row r="410" spans="1:2" x14ac:dyDescent="0.4">
      <c r="A410" t="s">
        <v>270</v>
      </c>
      <c r="B410" t="s">
        <v>1385</v>
      </c>
    </row>
    <row r="411" spans="1:2" x14ac:dyDescent="0.4">
      <c r="A411" t="s">
        <v>272</v>
      </c>
      <c r="B411" t="s">
        <v>1390</v>
      </c>
    </row>
    <row r="412" spans="1:2" x14ac:dyDescent="0.4">
      <c r="A412" t="s">
        <v>33</v>
      </c>
      <c r="B412" t="s">
        <v>1385</v>
      </c>
    </row>
    <row r="413" spans="1:2" x14ac:dyDescent="0.4">
      <c r="A413" t="s">
        <v>35</v>
      </c>
      <c r="B413" t="s">
        <v>1384</v>
      </c>
    </row>
    <row r="414" spans="1:2" x14ac:dyDescent="0.4">
      <c r="A414" t="s">
        <v>37</v>
      </c>
      <c r="B414" t="s">
        <v>1384</v>
      </c>
    </row>
    <row r="415" spans="1:2" x14ac:dyDescent="0.4">
      <c r="A415" t="s">
        <v>39</v>
      </c>
      <c r="B415" t="s">
        <v>1384</v>
      </c>
    </row>
    <row r="416" spans="1:2" x14ac:dyDescent="0.4">
      <c r="A416" t="s">
        <v>41</v>
      </c>
      <c r="B416" t="s">
        <v>1384</v>
      </c>
    </row>
    <row r="417" spans="1:2" x14ac:dyDescent="0.4">
      <c r="A417" t="s">
        <v>43</v>
      </c>
      <c r="B417" t="s">
        <v>1384</v>
      </c>
    </row>
    <row r="418" spans="1:2" x14ac:dyDescent="0.4">
      <c r="A418" t="s">
        <v>45</v>
      </c>
      <c r="B418" t="s">
        <v>1387</v>
      </c>
    </row>
    <row r="419" spans="1:2" x14ac:dyDescent="0.4">
      <c r="A419" t="s">
        <v>47</v>
      </c>
      <c r="B419" t="s">
        <v>1387</v>
      </c>
    </row>
    <row r="420" spans="1:2" x14ac:dyDescent="0.4">
      <c r="A420" t="s">
        <v>49</v>
      </c>
      <c r="B420" t="s">
        <v>1387</v>
      </c>
    </row>
    <row r="421" spans="1:2" x14ac:dyDescent="0.4">
      <c r="A421" t="s">
        <v>77</v>
      </c>
      <c r="B421" t="s">
        <v>1385</v>
      </c>
    </row>
    <row r="422" spans="1:2" x14ac:dyDescent="0.4">
      <c r="A422" t="s">
        <v>79</v>
      </c>
      <c r="B422" t="s">
        <v>1386</v>
      </c>
    </row>
    <row r="423" spans="1:2" x14ac:dyDescent="0.4">
      <c r="A423" t="s">
        <v>81</v>
      </c>
      <c r="B423" t="s">
        <v>1387</v>
      </c>
    </row>
    <row r="424" spans="1:2" x14ac:dyDescent="0.4">
      <c r="A424" t="s">
        <v>83</v>
      </c>
      <c r="B424" t="s">
        <v>1387</v>
      </c>
    </row>
    <row r="425" spans="1:2" x14ac:dyDescent="0.4">
      <c r="A425" t="s">
        <v>85</v>
      </c>
      <c r="B425" t="s">
        <v>1386</v>
      </c>
    </row>
    <row r="426" spans="1:2" x14ac:dyDescent="0.4">
      <c r="A426" t="s">
        <v>87</v>
      </c>
      <c r="B426" t="s">
        <v>1385</v>
      </c>
    </row>
    <row r="427" spans="1:2" x14ac:dyDescent="0.4">
      <c r="A427" t="s">
        <v>89</v>
      </c>
      <c r="B427" t="s">
        <v>1385</v>
      </c>
    </row>
    <row r="428" spans="1:2" x14ac:dyDescent="0.4">
      <c r="A428" t="s">
        <v>91</v>
      </c>
      <c r="B428" t="s">
        <v>1385</v>
      </c>
    </row>
    <row r="429" spans="1:2" x14ac:dyDescent="0.4">
      <c r="A429" t="s">
        <v>93</v>
      </c>
      <c r="B429" t="s">
        <v>1386</v>
      </c>
    </row>
    <row r="430" spans="1:2" x14ac:dyDescent="0.4">
      <c r="A430" t="s">
        <v>95</v>
      </c>
      <c r="B430" t="s">
        <v>1386</v>
      </c>
    </row>
    <row r="431" spans="1:2" x14ac:dyDescent="0.4">
      <c r="A431" t="s">
        <v>97</v>
      </c>
      <c r="B431" t="s">
        <v>1386</v>
      </c>
    </row>
    <row r="432" spans="1:2" x14ac:dyDescent="0.4">
      <c r="A432" t="s">
        <v>206</v>
      </c>
      <c r="B432" t="s">
        <v>1385</v>
      </c>
    </row>
    <row r="433" spans="1:2" x14ac:dyDescent="0.4">
      <c r="A433" t="s">
        <v>208</v>
      </c>
      <c r="B433" t="s">
        <v>1387</v>
      </c>
    </row>
    <row r="434" spans="1:2" x14ac:dyDescent="0.4">
      <c r="A434" t="s">
        <v>210</v>
      </c>
      <c r="B434" t="s">
        <v>1386</v>
      </c>
    </row>
    <row r="435" spans="1:2" x14ac:dyDescent="0.4">
      <c r="A435" t="s">
        <v>212</v>
      </c>
      <c r="B435" t="s">
        <v>1387</v>
      </c>
    </row>
    <row r="436" spans="1:2" x14ac:dyDescent="0.4">
      <c r="A436" t="s">
        <v>214</v>
      </c>
      <c r="B436" t="s">
        <v>1386</v>
      </c>
    </row>
    <row r="437" spans="1:2" x14ac:dyDescent="0.4">
      <c r="A437" t="s">
        <v>216</v>
      </c>
      <c r="B437" t="s">
        <v>1385</v>
      </c>
    </row>
    <row r="438" spans="1:2" x14ac:dyDescent="0.4">
      <c r="A438" t="s">
        <v>218</v>
      </c>
      <c r="B438" t="s">
        <v>1387</v>
      </c>
    </row>
    <row r="439" spans="1:2" x14ac:dyDescent="0.4">
      <c r="A439" t="s">
        <v>220</v>
      </c>
      <c r="B439" t="s">
        <v>1387</v>
      </c>
    </row>
    <row r="440" spans="1:2" x14ac:dyDescent="0.4">
      <c r="A440" t="s">
        <v>222</v>
      </c>
      <c r="B440" t="s">
        <v>1385</v>
      </c>
    </row>
    <row r="441" spans="1:2" x14ac:dyDescent="0.4">
      <c r="A441" t="s">
        <v>224</v>
      </c>
      <c r="B441" t="s">
        <v>1385</v>
      </c>
    </row>
    <row r="442" spans="1:2" x14ac:dyDescent="0.4">
      <c r="A442" t="s">
        <v>226</v>
      </c>
      <c r="B442" t="s">
        <v>1387</v>
      </c>
    </row>
    <row r="443" spans="1:2" x14ac:dyDescent="0.4">
      <c r="A443" t="s">
        <v>228</v>
      </c>
      <c r="B443" t="s">
        <v>1386</v>
      </c>
    </row>
    <row r="444" spans="1:2" x14ac:dyDescent="0.4">
      <c r="A444" t="s">
        <v>230</v>
      </c>
      <c r="B444" t="s">
        <v>1385</v>
      </c>
    </row>
    <row r="445" spans="1:2" x14ac:dyDescent="0.4">
      <c r="A445" t="s">
        <v>232</v>
      </c>
      <c r="B445" t="s">
        <v>1386</v>
      </c>
    </row>
    <row r="446" spans="1:2" x14ac:dyDescent="0.4">
      <c r="A446" t="s">
        <v>234</v>
      </c>
      <c r="B446" t="s">
        <v>1386</v>
      </c>
    </row>
    <row r="447" spans="1:2" x14ac:dyDescent="0.4">
      <c r="A447" t="s">
        <v>1209</v>
      </c>
      <c r="B447" t="s">
        <v>1384</v>
      </c>
    </row>
    <row r="448" spans="1:2" x14ac:dyDescent="0.4">
      <c r="A448" t="s">
        <v>1211</v>
      </c>
      <c r="B448" t="s">
        <v>1384</v>
      </c>
    </row>
    <row r="449" spans="1:2" x14ac:dyDescent="0.4">
      <c r="A449" t="s">
        <v>1213</v>
      </c>
      <c r="B449" t="s">
        <v>1384</v>
      </c>
    </row>
    <row r="450" spans="1:2" x14ac:dyDescent="0.4">
      <c r="A450" t="s">
        <v>1215</v>
      </c>
      <c r="B450" t="s">
        <v>1384</v>
      </c>
    </row>
    <row r="451" spans="1:2" x14ac:dyDescent="0.4">
      <c r="A451" t="s">
        <v>1217</v>
      </c>
      <c r="B451" t="s">
        <v>1384</v>
      </c>
    </row>
    <row r="452" spans="1:2" x14ac:dyDescent="0.4">
      <c r="A452" t="s">
        <v>1219</v>
      </c>
      <c r="B452" t="s">
        <v>1384</v>
      </c>
    </row>
    <row r="453" spans="1:2" x14ac:dyDescent="0.4">
      <c r="A453" t="s">
        <v>788</v>
      </c>
      <c r="B453" t="s">
        <v>1386</v>
      </c>
    </row>
    <row r="454" spans="1:2" x14ac:dyDescent="0.4">
      <c r="A454" t="s">
        <v>786</v>
      </c>
      <c r="B454" t="s">
        <v>1390</v>
      </c>
    </row>
    <row r="455" spans="1:2" x14ac:dyDescent="0.4">
      <c r="A455" t="s">
        <v>790</v>
      </c>
      <c r="B455" t="s">
        <v>1390</v>
      </c>
    </row>
    <row r="456" spans="1:2" x14ac:dyDescent="0.4">
      <c r="A456" t="s">
        <v>792</v>
      </c>
      <c r="B456" t="s">
        <v>1390</v>
      </c>
    </row>
    <row r="457" spans="1:2" x14ac:dyDescent="0.4">
      <c r="A457" t="s">
        <v>794</v>
      </c>
      <c r="B457" t="s">
        <v>1390</v>
      </c>
    </row>
    <row r="458" spans="1:2" x14ac:dyDescent="0.4">
      <c r="A458" t="s">
        <v>796</v>
      </c>
      <c r="B458" t="s">
        <v>1386</v>
      </c>
    </row>
    <row r="459" spans="1:2" x14ac:dyDescent="0.4">
      <c r="A459" t="s">
        <v>798</v>
      </c>
      <c r="B459" t="s">
        <v>1386</v>
      </c>
    </row>
    <row r="460" spans="1:2" x14ac:dyDescent="0.4">
      <c r="A460" t="s">
        <v>800</v>
      </c>
      <c r="B460" t="s">
        <v>1386</v>
      </c>
    </row>
    <row r="461" spans="1:2" x14ac:dyDescent="0.4">
      <c r="A461" t="s">
        <v>802</v>
      </c>
      <c r="B461" t="s">
        <v>1390</v>
      </c>
    </row>
    <row r="462" spans="1:2" x14ac:dyDescent="0.4">
      <c r="A462" t="s">
        <v>688</v>
      </c>
      <c r="B462" t="s">
        <v>1384</v>
      </c>
    </row>
    <row r="463" spans="1:2" x14ac:dyDescent="0.4">
      <c r="A463" t="s">
        <v>690</v>
      </c>
      <c r="B463" t="s">
        <v>1384</v>
      </c>
    </row>
    <row r="464" spans="1:2" x14ac:dyDescent="0.4">
      <c r="A464" t="s">
        <v>692</v>
      </c>
      <c r="B464" t="s">
        <v>1384</v>
      </c>
    </row>
    <row r="465" spans="1:2" x14ac:dyDescent="0.4">
      <c r="A465" t="s">
        <v>694</v>
      </c>
      <c r="B465" t="s">
        <v>1384</v>
      </c>
    </row>
    <row r="466" spans="1:2" x14ac:dyDescent="0.4">
      <c r="A466" t="s">
        <v>696</v>
      </c>
      <c r="B466" t="s">
        <v>1386</v>
      </c>
    </row>
    <row r="467" spans="1:2" x14ac:dyDescent="0.4">
      <c r="A467" t="s">
        <v>698</v>
      </c>
      <c r="B467" t="s">
        <v>1388</v>
      </c>
    </row>
    <row r="468" spans="1:2" x14ac:dyDescent="0.4">
      <c r="A468" t="s">
        <v>700</v>
      </c>
      <c r="B468" t="s">
        <v>1386</v>
      </c>
    </row>
    <row r="469" spans="1:2" x14ac:dyDescent="0.4">
      <c r="A469" t="s">
        <v>702</v>
      </c>
      <c r="B469" t="s">
        <v>1386</v>
      </c>
    </row>
    <row r="470" spans="1:2" x14ac:dyDescent="0.4">
      <c r="A470" t="s">
        <v>704</v>
      </c>
      <c r="B470" t="s">
        <v>1388</v>
      </c>
    </row>
    <row r="471" spans="1:2" x14ac:dyDescent="0.4">
      <c r="A471" t="s">
        <v>706</v>
      </c>
      <c r="B471" t="s">
        <v>1384</v>
      </c>
    </row>
    <row r="472" spans="1:2" x14ac:dyDescent="0.4">
      <c r="A472" t="s">
        <v>708</v>
      </c>
      <c r="B472" t="s">
        <v>1388</v>
      </c>
    </row>
    <row r="473" spans="1:2" x14ac:dyDescent="0.4">
      <c r="A473" t="s">
        <v>710</v>
      </c>
      <c r="B473" t="s">
        <v>1386</v>
      </c>
    </row>
    <row r="474" spans="1:2" x14ac:dyDescent="0.4">
      <c r="A474" t="s">
        <v>712</v>
      </c>
      <c r="B474" t="s">
        <v>1388</v>
      </c>
    </row>
    <row r="475" spans="1:2" x14ac:dyDescent="0.4">
      <c r="A475" t="s">
        <v>714</v>
      </c>
      <c r="B475" t="s">
        <v>1388</v>
      </c>
    </row>
    <row r="476" spans="1:2" x14ac:dyDescent="0.4">
      <c r="A476" t="s">
        <v>774</v>
      </c>
      <c r="B476" t="s">
        <v>1408</v>
      </c>
    </row>
    <row r="477" spans="1:2" x14ac:dyDescent="0.4">
      <c r="A477" t="s">
        <v>776</v>
      </c>
      <c r="B477" t="s">
        <v>1386</v>
      </c>
    </row>
    <row r="478" spans="1:2" x14ac:dyDescent="0.4">
      <c r="A478" t="s">
        <v>778</v>
      </c>
      <c r="B478" t="s">
        <v>1408</v>
      </c>
    </row>
    <row r="479" spans="1:2" x14ac:dyDescent="0.4">
      <c r="A479" t="s">
        <v>780</v>
      </c>
      <c r="B479" t="s">
        <v>1408</v>
      </c>
    </row>
    <row r="480" spans="1:2" x14ac:dyDescent="0.4">
      <c r="A480" t="s">
        <v>782</v>
      </c>
      <c r="B480" t="s">
        <v>1408</v>
      </c>
    </row>
    <row r="481" spans="1:2" x14ac:dyDescent="0.4">
      <c r="A481" t="s">
        <v>784</v>
      </c>
      <c r="B481" t="s">
        <v>1408</v>
      </c>
    </row>
    <row r="482" spans="1:2" x14ac:dyDescent="0.4">
      <c r="A482" t="s">
        <v>804</v>
      </c>
      <c r="B482" t="s">
        <v>1386</v>
      </c>
    </row>
    <row r="483" spans="1:2" x14ac:dyDescent="0.4">
      <c r="A483" t="s">
        <v>736</v>
      </c>
      <c r="B483" t="s">
        <v>1384</v>
      </c>
    </row>
    <row r="484" spans="1:2" x14ac:dyDescent="0.4">
      <c r="A484" t="s">
        <v>738</v>
      </c>
      <c r="B484" t="s">
        <v>1384</v>
      </c>
    </row>
    <row r="485" spans="1:2" x14ac:dyDescent="0.4">
      <c r="A485" t="s">
        <v>740</v>
      </c>
      <c r="B485" t="s">
        <v>1384</v>
      </c>
    </row>
    <row r="486" spans="1:2" x14ac:dyDescent="0.4">
      <c r="A486" t="s">
        <v>742</v>
      </c>
      <c r="B486" t="s">
        <v>1384</v>
      </c>
    </row>
    <row r="487" spans="1:2" x14ac:dyDescent="0.4">
      <c r="A487" t="s">
        <v>744</v>
      </c>
      <c r="B487" t="s">
        <v>1386</v>
      </c>
    </row>
    <row r="488" spans="1:2" x14ac:dyDescent="0.4">
      <c r="A488" t="s">
        <v>746</v>
      </c>
      <c r="B488" t="s">
        <v>1384</v>
      </c>
    </row>
    <row r="489" spans="1:2" x14ac:dyDescent="0.4">
      <c r="A489" t="s">
        <v>748</v>
      </c>
      <c r="B489" t="s">
        <v>1386</v>
      </c>
    </row>
    <row r="490" spans="1:2" x14ac:dyDescent="0.4">
      <c r="A490" t="s">
        <v>750</v>
      </c>
      <c r="B490" t="s">
        <v>1386</v>
      </c>
    </row>
    <row r="491" spans="1:2" x14ac:dyDescent="0.4">
      <c r="A491" t="s">
        <v>752</v>
      </c>
      <c r="B491" t="s">
        <v>1386</v>
      </c>
    </row>
    <row r="492" spans="1:2" x14ac:dyDescent="0.4">
      <c r="A492" t="s">
        <v>754</v>
      </c>
      <c r="B492" t="s">
        <v>1386</v>
      </c>
    </row>
    <row r="493" spans="1:2" x14ac:dyDescent="0.4">
      <c r="A493" t="s">
        <v>716</v>
      </c>
      <c r="B493" t="s">
        <v>1386</v>
      </c>
    </row>
    <row r="494" spans="1:2" x14ac:dyDescent="0.4">
      <c r="A494" t="s">
        <v>718</v>
      </c>
      <c r="B494" t="s">
        <v>1386</v>
      </c>
    </row>
    <row r="495" spans="1:2" x14ac:dyDescent="0.4">
      <c r="A495" t="s">
        <v>720</v>
      </c>
      <c r="B495" t="s">
        <v>1386</v>
      </c>
    </row>
    <row r="496" spans="1:2" x14ac:dyDescent="0.4">
      <c r="A496" t="s">
        <v>722</v>
      </c>
      <c r="B496" t="s">
        <v>1386</v>
      </c>
    </row>
    <row r="497" spans="1:2" x14ac:dyDescent="0.4">
      <c r="A497" t="s">
        <v>724</v>
      </c>
      <c r="B497" t="s">
        <v>1386</v>
      </c>
    </row>
    <row r="498" spans="1:2" x14ac:dyDescent="0.4">
      <c r="A498" t="s">
        <v>726</v>
      </c>
      <c r="B498" t="s">
        <v>1384</v>
      </c>
    </row>
    <row r="499" spans="1:2" x14ac:dyDescent="0.4">
      <c r="A499" t="s">
        <v>728</v>
      </c>
      <c r="B499" t="s">
        <v>1384</v>
      </c>
    </row>
    <row r="500" spans="1:2" x14ac:dyDescent="0.4">
      <c r="A500" t="s">
        <v>730</v>
      </c>
      <c r="B500" t="s">
        <v>1384</v>
      </c>
    </row>
    <row r="501" spans="1:2" x14ac:dyDescent="0.4">
      <c r="A501" t="s">
        <v>732</v>
      </c>
      <c r="B501" t="s">
        <v>1384</v>
      </c>
    </row>
    <row r="502" spans="1:2" x14ac:dyDescent="0.4">
      <c r="A502" t="s">
        <v>734</v>
      </c>
      <c r="B502" t="s">
        <v>1384</v>
      </c>
    </row>
    <row r="503" spans="1:2" x14ac:dyDescent="0.4">
      <c r="A503" t="s">
        <v>534</v>
      </c>
      <c r="B503" t="s">
        <v>1388</v>
      </c>
    </row>
    <row r="504" spans="1:2" x14ac:dyDescent="0.4">
      <c r="A504" t="s">
        <v>536</v>
      </c>
      <c r="B504" t="s">
        <v>1388</v>
      </c>
    </row>
    <row r="505" spans="1:2" x14ac:dyDescent="0.4">
      <c r="A505" t="s">
        <v>538</v>
      </c>
      <c r="B505" t="s">
        <v>1387</v>
      </c>
    </row>
    <row r="506" spans="1:2" x14ac:dyDescent="0.4">
      <c r="A506" t="s">
        <v>540</v>
      </c>
      <c r="B506" t="s">
        <v>1384</v>
      </c>
    </row>
    <row r="507" spans="1:2" x14ac:dyDescent="0.4">
      <c r="A507" t="s">
        <v>542</v>
      </c>
      <c r="B507" t="s">
        <v>1387</v>
      </c>
    </row>
    <row r="508" spans="1:2" x14ac:dyDescent="0.4">
      <c r="A508" t="s">
        <v>544</v>
      </c>
      <c r="B508" t="s">
        <v>1384</v>
      </c>
    </row>
    <row r="509" spans="1:2" x14ac:dyDescent="0.4">
      <c r="A509" t="s">
        <v>546</v>
      </c>
      <c r="B509" t="s">
        <v>1386</v>
      </c>
    </row>
    <row r="510" spans="1:2" x14ac:dyDescent="0.4">
      <c r="A510" t="s">
        <v>548</v>
      </c>
      <c r="B510" t="s">
        <v>1384</v>
      </c>
    </row>
    <row r="511" spans="1:2" x14ac:dyDescent="0.4">
      <c r="A511" t="s">
        <v>550</v>
      </c>
      <c r="B511" t="s">
        <v>1386</v>
      </c>
    </row>
    <row r="512" spans="1:2" x14ac:dyDescent="0.4">
      <c r="A512" t="s">
        <v>552</v>
      </c>
      <c r="B512" t="s">
        <v>1384</v>
      </c>
    </row>
    <row r="513" spans="1:2" x14ac:dyDescent="0.4">
      <c r="A513" t="s">
        <v>554</v>
      </c>
      <c r="B513" t="s">
        <v>1384</v>
      </c>
    </row>
    <row r="514" spans="1:2" x14ac:dyDescent="0.4">
      <c r="A514" t="s">
        <v>556</v>
      </c>
      <c r="B514" t="s">
        <v>1387</v>
      </c>
    </row>
    <row r="515" spans="1:2" x14ac:dyDescent="0.4">
      <c r="A515" t="s">
        <v>558</v>
      </c>
      <c r="B515" t="s">
        <v>1386</v>
      </c>
    </row>
    <row r="516" spans="1:2" x14ac:dyDescent="0.4">
      <c r="A516" t="s">
        <v>560</v>
      </c>
      <c r="B516" t="s">
        <v>1387</v>
      </c>
    </row>
    <row r="517" spans="1:2" x14ac:dyDescent="0.4">
      <c r="A517" t="s">
        <v>562</v>
      </c>
      <c r="B517" t="s">
        <v>1386</v>
      </c>
    </row>
    <row r="518" spans="1:2" x14ac:dyDescent="0.4">
      <c r="A518" t="s">
        <v>1062</v>
      </c>
      <c r="B518" t="s">
        <v>1387</v>
      </c>
    </row>
    <row r="519" spans="1:2" x14ac:dyDescent="0.4">
      <c r="A519" t="s">
        <v>1064</v>
      </c>
      <c r="B519" t="s">
        <v>1387</v>
      </c>
    </row>
    <row r="520" spans="1:2" x14ac:dyDescent="0.4">
      <c r="A520" t="s">
        <v>1066</v>
      </c>
      <c r="B520" t="s">
        <v>1386</v>
      </c>
    </row>
    <row r="521" spans="1:2" x14ac:dyDescent="0.4">
      <c r="A521" t="s">
        <v>1069</v>
      </c>
      <c r="B521" t="s">
        <v>1386</v>
      </c>
    </row>
    <row r="522" spans="1:2" x14ac:dyDescent="0.4">
      <c r="A522" t="s">
        <v>1071</v>
      </c>
      <c r="B522" t="s">
        <v>1408</v>
      </c>
    </row>
    <row r="523" spans="1:2" x14ac:dyDescent="0.4">
      <c r="A523" t="s">
        <v>1073</v>
      </c>
      <c r="B523" t="s">
        <v>1408</v>
      </c>
    </row>
    <row r="524" spans="1:2" x14ac:dyDescent="0.4">
      <c r="A524" t="s">
        <v>1075</v>
      </c>
      <c r="B524" t="s">
        <v>1408</v>
      </c>
    </row>
    <row r="525" spans="1:2" x14ac:dyDescent="0.4">
      <c r="A525" t="s">
        <v>1303</v>
      </c>
      <c r="B525" t="s">
        <v>1384</v>
      </c>
    </row>
    <row r="526" spans="1:2" x14ac:dyDescent="0.4">
      <c r="A526" t="s">
        <v>1305</v>
      </c>
      <c r="B526" t="s">
        <v>1384</v>
      </c>
    </row>
    <row r="527" spans="1:2" x14ac:dyDescent="0.4">
      <c r="A527" t="s">
        <v>1307</v>
      </c>
      <c r="B527" t="s">
        <v>1384</v>
      </c>
    </row>
    <row r="528" spans="1:2" x14ac:dyDescent="0.4">
      <c r="A528" t="s">
        <v>1309</v>
      </c>
      <c r="B528" t="s">
        <v>1384</v>
      </c>
    </row>
    <row r="529" spans="1:2" x14ac:dyDescent="0.4">
      <c r="A529" t="s">
        <v>1311</v>
      </c>
      <c r="B529" t="s">
        <v>1384</v>
      </c>
    </row>
    <row r="530" spans="1:2" x14ac:dyDescent="0.4">
      <c r="A530" t="s">
        <v>1313</v>
      </c>
      <c r="B530" t="s">
        <v>1385</v>
      </c>
    </row>
    <row r="531" spans="1:2" x14ac:dyDescent="0.4">
      <c r="A531" t="s">
        <v>1315</v>
      </c>
      <c r="B531" t="s">
        <v>1384</v>
      </c>
    </row>
    <row r="532" spans="1:2" x14ac:dyDescent="0.4">
      <c r="A532" t="s">
        <v>1317</v>
      </c>
      <c r="B532" t="s">
        <v>1384</v>
      </c>
    </row>
    <row r="533" spans="1:2" x14ac:dyDescent="0.4">
      <c r="A533" t="s">
        <v>1319</v>
      </c>
      <c r="B533" t="s">
        <v>1384</v>
      </c>
    </row>
    <row r="534" spans="1:2" x14ac:dyDescent="0.4">
      <c r="A534" t="s">
        <v>1321</v>
      </c>
      <c r="B534" t="s">
        <v>1384</v>
      </c>
    </row>
    <row r="535" spans="1:2" x14ac:dyDescent="0.4">
      <c r="A535" t="s">
        <v>1323</v>
      </c>
      <c r="B535" t="s">
        <v>1384</v>
      </c>
    </row>
    <row r="536" spans="1:2" x14ac:dyDescent="0.4">
      <c r="A536" t="s">
        <v>1325</v>
      </c>
      <c r="B536" t="s">
        <v>1384</v>
      </c>
    </row>
    <row r="537" spans="1:2" x14ac:dyDescent="0.4">
      <c r="A537" t="s">
        <v>1327</v>
      </c>
      <c r="B537" t="s">
        <v>1384</v>
      </c>
    </row>
    <row r="538" spans="1:2" x14ac:dyDescent="0.4">
      <c r="A538" t="s">
        <v>1329</v>
      </c>
      <c r="B538" t="s">
        <v>1384</v>
      </c>
    </row>
    <row r="539" spans="1:2" x14ac:dyDescent="0.4">
      <c r="A539" t="s">
        <v>1331</v>
      </c>
      <c r="B539" t="s">
        <v>1384</v>
      </c>
    </row>
    <row r="540" spans="1:2" x14ac:dyDescent="0.4">
      <c r="A540" t="s">
        <v>1333</v>
      </c>
      <c r="B540" t="s">
        <v>1384</v>
      </c>
    </row>
    <row r="541" spans="1:2" x14ac:dyDescent="0.4">
      <c r="A541" t="s">
        <v>1335</v>
      </c>
      <c r="B541" t="s">
        <v>1384</v>
      </c>
    </row>
    <row r="542" spans="1:2" x14ac:dyDescent="0.4">
      <c r="A542" t="s">
        <v>1337</v>
      </c>
      <c r="B542" t="s">
        <v>1384</v>
      </c>
    </row>
    <row r="543" spans="1:2" x14ac:dyDescent="0.4">
      <c r="A543" t="s">
        <v>1339</v>
      </c>
      <c r="B543" t="s">
        <v>1384</v>
      </c>
    </row>
    <row r="544" spans="1:2" x14ac:dyDescent="0.4">
      <c r="A544" t="s">
        <v>1341</v>
      </c>
      <c r="B544" t="s">
        <v>1384</v>
      </c>
    </row>
    <row r="545" spans="1:2" x14ac:dyDescent="0.4">
      <c r="A545" t="s">
        <v>278</v>
      </c>
      <c r="B545" t="s">
        <v>1409</v>
      </c>
    </row>
    <row r="546" spans="1:2" x14ac:dyDescent="0.4">
      <c r="A546" t="s">
        <v>274</v>
      </c>
      <c r="B546" t="s">
        <v>1387</v>
      </c>
    </row>
    <row r="547" spans="1:2" x14ac:dyDescent="0.4">
      <c r="A547" t="s">
        <v>276</v>
      </c>
      <c r="B547" t="s">
        <v>1409</v>
      </c>
    </row>
    <row r="548" spans="1:2" x14ac:dyDescent="0.4">
      <c r="A548" t="s">
        <v>280</v>
      </c>
      <c r="B548" t="s">
        <v>1387</v>
      </c>
    </row>
    <row r="549" spans="1:2" x14ac:dyDescent="0.4">
      <c r="A549" t="s">
        <v>282</v>
      </c>
      <c r="B549" t="s">
        <v>1384</v>
      </c>
    </row>
    <row r="550" spans="1:2" x14ac:dyDescent="0.4">
      <c r="A550" t="s">
        <v>284</v>
      </c>
      <c r="B550" t="s">
        <v>1409</v>
      </c>
    </row>
    <row r="551" spans="1:2" x14ac:dyDescent="0.4">
      <c r="A551" t="s">
        <v>286</v>
      </c>
      <c r="B551" t="s">
        <v>1409</v>
      </c>
    </row>
    <row r="552" spans="1:2" x14ac:dyDescent="0.4">
      <c r="A552" t="s">
        <v>288</v>
      </c>
      <c r="B552" t="s">
        <v>1409</v>
      </c>
    </row>
    <row r="553" spans="1:2" x14ac:dyDescent="0.4">
      <c r="A553" t="s">
        <v>290</v>
      </c>
      <c r="B553" t="s">
        <v>1409</v>
      </c>
    </row>
    <row r="554" spans="1:2" x14ac:dyDescent="0.4">
      <c r="A554" t="s">
        <v>292</v>
      </c>
      <c r="B554" t="s">
        <v>1387</v>
      </c>
    </row>
    <row r="555" spans="1:2" x14ac:dyDescent="0.4">
      <c r="A555" t="s">
        <v>294</v>
      </c>
      <c r="B555" t="s">
        <v>1387</v>
      </c>
    </row>
    <row r="556" spans="1:2" x14ac:dyDescent="0.4">
      <c r="A556" t="s">
        <v>296</v>
      </c>
      <c r="B556" t="s">
        <v>1387</v>
      </c>
    </row>
    <row r="557" spans="1:2" x14ac:dyDescent="0.4">
      <c r="A557" t="s">
        <v>298</v>
      </c>
      <c r="B557" t="s">
        <v>1384</v>
      </c>
    </row>
    <row r="558" spans="1:2" x14ac:dyDescent="0.4">
      <c r="A558" t="s">
        <v>300</v>
      </c>
      <c r="B558" t="s">
        <v>1384</v>
      </c>
    </row>
    <row r="559" spans="1:2" x14ac:dyDescent="0.4">
      <c r="A559" t="s">
        <v>302</v>
      </c>
      <c r="B559" t="s">
        <v>1384</v>
      </c>
    </row>
    <row r="560" spans="1:2" x14ac:dyDescent="0.4">
      <c r="A560" t="s">
        <v>304</v>
      </c>
      <c r="B560" t="s">
        <v>1384</v>
      </c>
    </row>
    <row r="561" spans="1:2" x14ac:dyDescent="0.4">
      <c r="A561" t="s">
        <v>306</v>
      </c>
      <c r="B561" t="s">
        <v>1409</v>
      </c>
    </row>
    <row r="562" spans="1:2" x14ac:dyDescent="0.4">
      <c r="A562" t="s">
        <v>308</v>
      </c>
      <c r="B562" t="s">
        <v>1384</v>
      </c>
    </row>
    <row r="563" spans="1:2" x14ac:dyDescent="0.4">
      <c r="A563" t="s">
        <v>310</v>
      </c>
      <c r="B563" t="s">
        <v>1384</v>
      </c>
    </row>
    <row r="564" spans="1:2" x14ac:dyDescent="0.4">
      <c r="A564" t="s">
        <v>312</v>
      </c>
      <c r="B564" t="s">
        <v>1385</v>
      </c>
    </row>
    <row r="565" spans="1:2" x14ac:dyDescent="0.4">
      <c r="A565" t="s">
        <v>314</v>
      </c>
      <c r="B565" t="s">
        <v>1387</v>
      </c>
    </row>
    <row r="566" spans="1:2" x14ac:dyDescent="0.4">
      <c r="A566" t="s">
        <v>316</v>
      </c>
      <c r="B566" t="s">
        <v>1384</v>
      </c>
    </row>
    <row r="567" spans="1:2" x14ac:dyDescent="0.4">
      <c r="A567" t="s">
        <v>318</v>
      </c>
      <c r="B567" t="s">
        <v>1384</v>
      </c>
    </row>
    <row r="568" spans="1:2" x14ac:dyDescent="0.4">
      <c r="A568" t="s">
        <v>320</v>
      </c>
      <c r="B568" t="s">
        <v>1387</v>
      </c>
    </row>
    <row r="569" spans="1:2" x14ac:dyDescent="0.4">
      <c r="A569" t="s">
        <v>322</v>
      </c>
      <c r="B569" t="s">
        <v>1385</v>
      </c>
    </row>
    <row r="570" spans="1:2" x14ac:dyDescent="0.4">
      <c r="A570" t="s">
        <v>324</v>
      </c>
      <c r="B570" t="s">
        <v>1385</v>
      </c>
    </row>
    <row r="571" spans="1:2" x14ac:dyDescent="0.4">
      <c r="A571" t="s">
        <v>326</v>
      </c>
      <c r="B571" t="s">
        <v>1384</v>
      </c>
    </row>
    <row r="572" spans="1:2" x14ac:dyDescent="0.4">
      <c r="A572" t="s">
        <v>328</v>
      </c>
      <c r="B572" t="s">
        <v>1385</v>
      </c>
    </row>
    <row r="573" spans="1:2" x14ac:dyDescent="0.4">
      <c r="A573" t="s">
        <v>330</v>
      </c>
      <c r="B573" t="s">
        <v>1385</v>
      </c>
    </row>
    <row r="574" spans="1:2" x14ac:dyDescent="0.4">
      <c r="A574" t="s">
        <v>332</v>
      </c>
      <c r="B574" t="s">
        <v>1387</v>
      </c>
    </row>
    <row r="575" spans="1:2" x14ac:dyDescent="0.4">
      <c r="A575" t="s">
        <v>1189</v>
      </c>
      <c r="B575" t="s">
        <v>1384</v>
      </c>
    </row>
    <row r="576" spans="1:2" x14ac:dyDescent="0.4">
      <c r="A576" t="s">
        <v>1191</v>
      </c>
      <c r="B576" t="s">
        <v>1384</v>
      </c>
    </row>
    <row r="577" spans="1:2" x14ac:dyDescent="0.4">
      <c r="A577" t="s">
        <v>1193</v>
      </c>
      <c r="B577" t="s">
        <v>1384</v>
      </c>
    </row>
    <row r="578" spans="1:2" x14ac:dyDescent="0.4">
      <c r="A578" t="s">
        <v>1195</v>
      </c>
      <c r="B578" t="s">
        <v>1384</v>
      </c>
    </row>
    <row r="579" spans="1:2" x14ac:dyDescent="0.4">
      <c r="A579" t="s">
        <v>1197</v>
      </c>
      <c r="B579" t="s">
        <v>1384</v>
      </c>
    </row>
    <row r="580" spans="1:2" x14ac:dyDescent="0.4">
      <c r="A580" t="s">
        <v>1199</v>
      </c>
      <c r="B580" t="s">
        <v>1384</v>
      </c>
    </row>
    <row r="581" spans="1:2" x14ac:dyDescent="0.4">
      <c r="A581" t="s">
        <v>1201</v>
      </c>
      <c r="B581" t="s">
        <v>1384</v>
      </c>
    </row>
    <row r="582" spans="1:2" x14ac:dyDescent="0.4">
      <c r="A582" t="s">
        <v>1203</v>
      </c>
      <c r="B582" t="s">
        <v>1384</v>
      </c>
    </row>
    <row r="583" spans="1:2" x14ac:dyDescent="0.4">
      <c r="A583" t="s">
        <v>1205</v>
      </c>
      <c r="B583" t="s">
        <v>1384</v>
      </c>
    </row>
    <row r="584" spans="1:2" x14ac:dyDescent="0.4">
      <c r="A584" t="s">
        <v>1207</v>
      </c>
      <c r="B584" t="s">
        <v>1384</v>
      </c>
    </row>
    <row r="585" spans="1:2" x14ac:dyDescent="0.4">
      <c r="A585" t="s">
        <v>1343</v>
      </c>
      <c r="B585" t="s">
        <v>1384</v>
      </c>
    </row>
    <row r="586" spans="1:2" x14ac:dyDescent="0.4">
      <c r="A586" t="s">
        <v>1345</v>
      </c>
      <c r="B586" t="s">
        <v>1384</v>
      </c>
    </row>
    <row r="587" spans="1:2" x14ac:dyDescent="0.4">
      <c r="A587" t="s">
        <v>1347</v>
      </c>
      <c r="B587" t="s">
        <v>1384</v>
      </c>
    </row>
    <row r="588" spans="1:2" x14ac:dyDescent="0.4">
      <c r="A588" t="s">
        <v>1349</v>
      </c>
      <c r="B588" t="s">
        <v>1384</v>
      </c>
    </row>
    <row r="589" spans="1:2" x14ac:dyDescent="0.4">
      <c r="A589" t="s">
        <v>1351</v>
      </c>
      <c r="B589" t="s">
        <v>1384</v>
      </c>
    </row>
    <row r="590" spans="1:2" x14ac:dyDescent="0.4">
      <c r="A590" t="s">
        <v>1353</v>
      </c>
      <c r="B590" t="s">
        <v>1384</v>
      </c>
    </row>
    <row r="591" spans="1:2" x14ac:dyDescent="0.4">
      <c r="A591" t="s">
        <v>1355</v>
      </c>
      <c r="B591" t="s">
        <v>1384</v>
      </c>
    </row>
    <row r="592" spans="1:2" x14ac:dyDescent="0.4">
      <c r="A592" t="s">
        <v>1357</v>
      </c>
      <c r="B592" t="s">
        <v>1384</v>
      </c>
    </row>
    <row r="593" spans="1:2" x14ac:dyDescent="0.4">
      <c r="A593" t="s">
        <v>1359</v>
      </c>
      <c r="B593" t="s">
        <v>1384</v>
      </c>
    </row>
    <row r="594" spans="1:2" x14ac:dyDescent="0.4">
      <c r="A594" t="s">
        <v>1363</v>
      </c>
      <c r="B594" t="s">
        <v>1384</v>
      </c>
    </row>
    <row r="595" spans="1:2" x14ac:dyDescent="0.4">
      <c r="A595" t="s">
        <v>1365</v>
      </c>
      <c r="B595" t="s">
        <v>1384</v>
      </c>
    </row>
    <row r="596" spans="1:2" x14ac:dyDescent="0.4">
      <c r="A596" t="s">
        <v>1367</v>
      </c>
      <c r="B596" t="s">
        <v>1384</v>
      </c>
    </row>
    <row r="597" spans="1:2" x14ac:dyDescent="0.4">
      <c r="A597" t="s">
        <v>1369</v>
      </c>
      <c r="B597" t="s">
        <v>1384</v>
      </c>
    </row>
    <row r="598" spans="1:2" x14ac:dyDescent="0.4">
      <c r="A598" t="s">
        <v>1371</v>
      </c>
      <c r="B598" t="s">
        <v>1384</v>
      </c>
    </row>
    <row r="599" spans="1:2" x14ac:dyDescent="0.4">
      <c r="A599" t="s">
        <v>1373</v>
      </c>
      <c r="B599" t="s">
        <v>1384</v>
      </c>
    </row>
    <row r="600" spans="1:2" x14ac:dyDescent="0.4">
      <c r="A600" t="s">
        <v>1375</v>
      </c>
      <c r="B600" t="s">
        <v>1384</v>
      </c>
    </row>
    <row r="601" spans="1:2" x14ac:dyDescent="0.4">
      <c r="A601" t="s">
        <v>1377</v>
      </c>
      <c r="B601" t="s">
        <v>1384</v>
      </c>
    </row>
    <row r="602" spans="1:2" x14ac:dyDescent="0.4">
      <c r="A602" t="s">
        <v>1379</v>
      </c>
      <c r="B602" t="s">
        <v>1384</v>
      </c>
    </row>
    <row r="603" spans="1:2" x14ac:dyDescent="0.4">
      <c r="A603" t="s">
        <v>1381</v>
      </c>
      <c r="B603" t="s">
        <v>1384</v>
      </c>
    </row>
    <row r="604" spans="1:2" x14ac:dyDescent="0.4">
      <c r="A604" t="s">
        <v>1361</v>
      </c>
      <c r="B604" t="s">
        <v>1384</v>
      </c>
    </row>
    <row r="605" spans="1:2" x14ac:dyDescent="0.4">
      <c r="A605" t="s">
        <v>334</v>
      </c>
      <c r="B605" t="s">
        <v>1384</v>
      </c>
    </row>
    <row r="606" spans="1:2" x14ac:dyDescent="0.4">
      <c r="A606" t="s">
        <v>336</v>
      </c>
      <c r="B606" t="s">
        <v>1387</v>
      </c>
    </row>
    <row r="607" spans="1:2" x14ac:dyDescent="0.4">
      <c r="A607" t="s">
        <v>338</v>
      </c>
      <c r="B607" t="s">
        <v>1384</v>
      </c>
    </row>
    <row r="608" spans="1:2" x14ac:dyDescent="0.4">
      <c r="A608" t="s">
        <v>340</v>
      </c>
      <c r="B608" t="s">
        <v>1384</v>
      </c>
    </row>
    <row r="609" spans="1:2" x14ac:dyDescent="0.4">
      <c r="A609" t="s">
        <v>342</v>
      </c>
      <c r="B609" t="s">
        <v>1387</v>
      </c>
    </row>
    <row r="610" spans="1:2" x14ac:dyDescent="0.4">
      <c r="A610" t="s">
        <v>344</v>
      </c>
      <c r="B610" t="s">
        <v>1384</v>
      </c>
    </row>
    <row r="611" spans="1:2" x14ac:dyDescent="0.4">
      <c r="A611" t="s">
        <v>346</v>
      </c>
      <c r="B611" t="s">
        <v>1387</v>
      </c>
    </row>
    <row r="612" spans="1:2" x14ac:dyDescent="0.4">
      <c r="A612" t="s">
        <v>348</v>
      </c>
      <c r="B612" t="s">
        <v>1386</v>
      </c>
    </row>
    <row r="613" spans="1:2" x14ac:dyDescent="0.4">
      <c r="A613" t="s">
        <v>350</v>
      </c>
      <c r="B613" t="s">
        <v>1384</v>
      </c>
    </row>
    <row r="614" spans="1:2" x14ac:dyDescent="0.4">
      <c r="A614" t="s">
        <v>352</v>
      </c>
      <c r="B614" t="s">
        <v>1386</v>
      </c>
    </row>
    <row r="615" spans="1:2" x14ac:dyDescent="0.4">
      <c r="A615" t="s">
        <v>354</v>
      </c>
      <c r="B615" t="s">
        <v>1387</v>
      </c>
    </row>
    <row r="616" spans="1:2" x14ac:dyDescent="0.4">
      <c r="A616" t="s">
        <v>356</v>
      </c>
      <c r="B616" t="s">
        <v>1386</v>
      </c>
    </row>
    <row r="617" spans="1:2" x14ac:dyDescent="0.4">
      <c r="A617" t="s">
        <v>358</v>
      </c>
      <c r="B617" t="s">
        <v>1387</v>
      </c>
    </row>
    <row r="618" spans="1:2" x14ac:dyDescent="0.4">
      <c r="A618" t="s">
        <v>360</v>
      </c>
      <c r="B618" t="s">
        <v>1386</v>
      </c>
    </row>
    <row r="619" spans="1:2" x14ac:dyDescent="0.4">
      <c r="A619" t="s">
        <v>362</v>
      </c>
      <c r="B619" t="s">
        <v>1386</v>
      </c>
    </row>
    <row r="620" spans="1:2" x14ac:dyDescent="0.4">
      <c r="A620" t="s">
        <v>364</v>
      </c>
      <c r="B620" t="s">
        <v>1387</v>
      </c>
    </row>
    <row r="621" spans="1:2" x14ac:dyDescent="0.4">
      <c r="A621" t="s">
        <v>366</v>
      </c>
      <c r="B621" t="s">
        <v>1385</v>
      </c>
    </row>
    <row r="622" spans="1:2" x14ac:dyDescent="0.4">
      <c r="A622" t="s">
        <v>368</v>
      </c>
      <c r="B622" t="s">
        <v>1387</v>
      </c>
    </row>
    <row r="623" spans="1:2" x14ac:dyDescent="0.4">
      <c r="A623" t="s">
        <v>370</v>
      </c>
      <c r="B623" t="s">
        <v>1385</v>
      </c>
    </row>
    <row r="624" spans="1:2" x14ac:dyDescent="0.4">
      <c r="A624" t="s">
        <v>372</v>
      </c>
      <c r="B624" t="s">
        <v>1386</v>
      </c>
    </row>
    <row r="625" spans="1:2" x14ac:dyDescent="0.4">
      <c r="A625" t="s">
        <v>894</v>
      </c>
      <c r="B625" t="s">
        <v>1384</v>
      </c>
    </row>
    <row r="626" spans="1:2" x14ac:dyDescent="0.4">
      <c r="A626" t="s">
        <v>896</v>
      </c>
      <c r="B626" t="s">
        <v>1384</v>
      </c>
    </row>
    <row r="627" spans="1:2" x14ac:dyDescent="0.4">
      <c r="A627" t="s">
        <v>898</v>
      </c>
      <c r="B627" t="s">
        <v>1384</v>
      </c>
    </row>
    <row r="628" spans="1:2" x14ac:dyDescent="0.4">
      <c r="A628" t="s">
        <v>900</v>
      </c>
      <c r="B628" t="s">
        <v>1384</v>
      </c>
    </row>
    <row r="629" spans="1:2" x14ac:dyDescent="0.4">
      <c r="A629" t="s">
        <v>902</v>
      </c>
      <c r="B629" t="s">
        <v>1389</v>
      </c>
    </row>
    <row r="630" spans="1:2" x14ac:dyDescent="0.4">
      <c r="A630" t="s">
        <v>904</v>
      </c>
      <c r="B630" t="s">
        <v>1389</v>
      </c>
    </row>
    <row r="631" spans="1:2" x14ac:dyDescent="0.4">
      <c r="A631" t="s">
        <v>906</v>
      </c>
      <c r="B631" t="s">
        <v>1384</v>
      </c>
    </row>
    <row r="632" spans="1:2" x14ac:dyDescent="0.4">
      <c r="A632" t="s">
        <v>908</v>
      </c>
      <c r="B632" t="s">
        <v>1383</v>
      </c>
    </row>
    <row r="633" spans="1:2" x14ac:dyDescent="0.4">
      <c r="A633" t="s">
        <v>932</v>
      </c>
      <c r="B633" t="s">
        <v>1385</v>
      </c>
    </row>
    <row r="634" spans="1:2" x14ac:dyDescent="0.4">
      <c r="A634" t="s">
        <v>934</v>
      </c>
      <c r="B634" t="s">
        <v>1385</v>
      </c>
    </row>
    <row r="635" spans="1:2" x14ac:dyDescent="0.4">
      <c r="A635" t="s">
        <v>936</v>
      </c>
      <c r="B635" t="s">
        <v>1384</v>
      </c>
    </row>
    <row r="636" spans="1:2" x14ac:dyDescent="0.4">
      <c r="A636" t="s">
        <v>938</v>
      </c>
      <c r="B636" t="s">
        <v>1385</v>
      </c>
    </row>
    <row r="637" spans="1:2" x14ac:dyDescent="0.4">
      <c r="A637" t="s">
        <v>940</v>
      </c>
      <c r="B637" t="s">
        <v>1385</v>
      </c>
    </row>
    <row r="638" spans="1:2" x14ac:dyDescent="0.4">
      <c r="A638" t="s">
        <v>942</v>
      </c>
      <c r="B638" t="s">
        <v>1384</v>
      </c>
    </row>
    <row r="639" spans="1:2" x14ac:dyDescent="0.4">
      <c r="A639" t="s">
        <v>944</v>
      </c>
      <c r="B639" t="s">
        <v>1385</v>
      </c>
    </row>
    <row r="640" spans="1:2" x14ac:dyDescent="0.4">
      <c r="A640" t="s">
        <v>946</v>
      </c>
      <c r="B640" t="s">
        <v>1384</v>
      </c>
    </row>
    <row r="641" spans="1:2" x14ac:dyDescent="0.4">
      <c r="A641" t="s">
        <v>948</v>
      </c>
      <c r="B641" t="s">
        <v>1384</v>
      </c>
    </row>
    <row r="642" spans="1:2" x14ac:dyDescent="0.4">
      <c r="A642" t="s">
        <v>950</v>
      </c>
      <c r="B642" t="s">
        <v>1410</v>
      </c>
    </row>
    <row r="643" spans="1:2" x14ac:dyDescent="0.4">
      <c r="A643" t="s">
        <v>952</v>
      </c>
      <c r="B643" t="s">
        <v>1384</v>
      </c>
    </row>
    <row r="644" spans="1:2" x14ac:dyDescent="0.4">
      <c r="A644" t="s">
        <v>910</v>
      </c>
      <c r="B644" t="s">
        <v>1409</v>
      </c>
    </row>
    <row r="645" spans="1:2" x14ac:dyDescent="0.4">
      <c r="A645" t="s">
        <v>912</v>
      </c>
      <c r="B645" t="s">
        <v>1384</v>
      </c>
    </row>
    <row r="646" spans="1:2" x14ac:dyDescent="0.4">
      <c r="A646" t="s">
        <v>914</v>
      </c>
      <c r="B646" t="s">
        <v>1410</v>
      </c>
    </row>
    <row r="647" spans="1:2" x14ac:dyDescent="0.4">
      <c r="A647" t="s">
        <v>916</v>
      </c>
      <c r="B647" t="s">
        <v>1384</v>
      </c>
    </row>
    <row r="648" spans="1:2" x14ac:dyDescent="0.4">
      <c r="A648" t="s">
        <v>918</v>
      </c>
      <c r="B648" t="s">
        <v>1410</v>
      </c>
    </row>
    <row r="649" spans="1:2" x14ac:dyDescent="0.4">
      <c r="A649" t="s">
        <v>920</v>
      </c>
      <c r="B649" t="s">
        <v>1384</v>
      </c>
    </row>
    <row r="650" spans="1:2" x14ac:dyDescent="0.4">
      <c r="A650" t="s">
        <v>922</v>
      </c>
      <c r="B650" t="s">
        <v>1384</v>
      </c>
    </row>
    <row r="651" spans="1:2" x14ac:dyDescent="0.4">
      <c r="A651" t="s">
        <v>924</v>
      </c>
      <c r="B651" t="s">
        <v>1410</v>
      </c>
    </row>
    <row r="652" spans="1:2" x14ac:dyDescent="0.4">
      <c r="A652" t="s">
        <v>926</v>
      </c>
      <c r="B652" t="s">
        <v>1410</v>
      </c>
    </row>
    <row r="653" spans="1:2" x14ac:dyDescent="0.4">
      <c r="A653" t="s">
        <v>928</v>
      </c>
      <c r="B653" t="s">
        <v>1410</v>
      </c>
    </row>
    <row r="654" spans="1:2" x14ac:dyDescent="0.4">
      <c r="A654" t="s">
        <v>930</v>
      </c>
      <c r="B654" t="s">
        <v>1384</v>
      </c>
    </row>
    <row r="655" spans="1:2" x14ac:dyDescent="0.4">
      <c r="A655" t="s">
        <v>756</v>
      </c>
      <c r="B655" t="s">
        <v>1386</v>
      </c>
    </row>
    <row r="656" spans="1:2" x14ac:dyDescent="0.4">
      <c r="A656" t="s">
        <v>758</v>
      </c>
      <c r="B656" t="s">
        <v>1384</v>
      </c>
    </row>
    <row r="657" spans="1:2" x14ac:dyDescent="0.4">
      <c r="A657" t="s">
        <v>760</v>
      </c>
      <c r="B657" t="s">
        <v>1384</v>
      </c>
    </row>
    <row r="658" spans="1:2" x14ac:dyDescent="0.4">
      <c r="A658" t="s">
        <v>762</v>
      </c>
      <c r="B658" t="s">
        <v>1386</v>
      </c>
    </row>
    <row r="659" spans="1:2" x14ac:dyDescent="0.4">
      <c r="A659" t="s">
        <v>764</v>
      </c>
      <c r="B659" t="s">
        <v>1384</v>
      </c>
    </row>
    <row r="660" spans="1:2" x14ac:dyDescent="0.4">
      <c r="A660" t="s">
        <v>766</v>
      </c>
      <c r="B660" t="s">
        <v>1384</v>
      </c>
    </row>
    <row r="661" spans="1:2" x14ac:dyDescent="0.4">
      <c r="A661" t="s">
        <v>768</v>
      </c>
      <c r="B661" t="s">
        <v>1386</v>
      </c>
    </row>
    <row r="662" spans="1:2" x14ac:dyDescent="0.4">
      <c r="A662" t="s">
        <v>770</v>
      </c>
      <c r="B662" t="s">
        <v>1384</v>
      </c>
    </row>
    <row r="663" spans="1:2" x14ac:dyDescent="0.4">
      <c r="A663" t="s">
        <v>772</v>
      </c>
      <c r="B663" t="s">
        <v>1386</v>
      </c>
    </row>
    <row r="664" spans="1:2" x14ac:dyDescent="0.4">
      <c r="A664" t="s">
        <v>496</v>
      </c>
      <c r="B664" t="s">
        <v>1386</v>
      </c>
    </row>
    <row r="665" spans="1:2" x14ac:dyDescent="0.4">
      <c r="A665" t="s">
        <v>498</v>
      </c>
      <c r="B665" t="s">
        <v>1386</v>
      </c>
    </row>
    <row r="666" spans="1:2" x14ac:dyDescent="0.4">
      <c r="A666" t="s">
        <v>500</v>
      </c>
      <c r="B666" t="s">
        <v>1386</v>
      </c>
    </row>
    <row r="667" spans="1:2" x14ac:dyDescent="0.4">
      <c r="A667" t="s">
        <v>502</v>
      </c>
      <c r="B667" t="s">
        <v>1384</v>
      </c>
    </row>
    <row r="668" spans="1:2" x14ac:dyDescent="0.4">
      <c r="A668" t="s">
        <v>504</v>
      </c>
      <c r="B668" t="s">
        <v>1384</v>
      </c>
    </row>
    <row r="669" spans="1:2" x14ac:dyDescent="0.4">
      <c r="A669" t="s">
        <v>506</v>
      </c>
      <c r="B669" t="s">
        <v>1384</v>
      </c>
    </row>
    <row r="670" spans="1:2" x14ac:dyDescent="0.4">
      <c r="A670" t="s">
        <v>508</v>
      </c>
      <c r="B670" t="s">
        <v>1384</v>
      </c>
    </row>
    <row r="671" spans="1:2" x14ac:dyDescent="0.4">
      <c r="A671" t="s">
        <v>510</v>
      </c>
      <c r="B671" t="s">
        <v>1384</v>
      </c>
    </row>
    <row r="672" spans="1:2" x14ac:dyDescent="0.4">
      <c r="A672" t="s">
        <v>512</v>
      </c>
      <c r="B672" t="s">
        <v>1384</v>
      </c>
    </row>
    <row r="673" spans="1:2" x14ac:dyDescent="0.4">
      <c r="A673" t="s">
        <v>468</v>
      </c>
      <c r="B673" t="s">
        <v>1384</v>
      </c>
    </row>
    <row r="674" spans="1:2" x14ac:dyDescent="0.4">
      <c r="A674" t="s">
        <v>470</v>
      </c>
      <c r="B674" t="s">
        <v>1386</v>
      </c>
    </row>
    <row r="675" spans="1:2" x14ac:dyDescent="0.4">
      <c r="A675" t="s">
        <v>472</v>
      </c>
      <c r="B675" t="s">
        <v>1386</v>
      </c>
    </row>
    <row r="676" spans="1:2" x14ac:dyDescent="0.4">
      <c r="A676" t="s">
        <v>474</v>
      </c>
      <c r="B676" t="s">
        <v>1386</v>
      </c>
    </row>
    <row r="677" spans="1:2" x14ac:dyDescent="0.4">
      <c r="A677" t="s">
        <v>476</v>
      </c>
      <c r="B677" t="s">
        <v>1386</v>
      </c>
    </row>
    <row r="678" spans="1:2" x14ac:dyDescent="0.4">
      <c r="A678" t="s">
        <v>478</v>
      </c>
      <c r="B678" t="s">
        <v>1384</v>
      </c>
    </row>
    <row r="679" spans="1:2" x14ac:dyDescent="0.4">
      <c r="A679" t="s">
        <v>514</v>
      </c>
      <c r="B679" t="s">
        <v>1384</v>
      </c>
    </row>
    <row r="680" spans="1:2" x14ac:dyDescent="0.4">
      <c r="A680" t="s">
        <v>516</v>
      </c>
      <c r="B680" t="s">
        <v>1384</v>
      </c>
    </row>
    <row r="681" spans="1:2" x14ac:dyDescent="0.4">
      <c r="A681" t="s">
        <v>518</v>
      </c>
      <c r="B681" t="s">
        <v>1384</v>
      </c>
    </row>
    <row r="682" spans="1:2" x14ac:dyDescent="0.4">
      <c r="A682" t="s">
        <v>520</v>
      </c>
      <c r="B682" t="s">
        <v>1384</v>
      </c>
    </row>
    <row r="683" spans="1:2" x14ac:dyDescent="0.4">
      <c r="A683" t="s">
        <v>522</v>
      </c>
      <c r="B683" t="s">
        <v>1386</v>
      </c>
    </row>
    <row r="684" spans="1:2" x14ac:dyDescent="0.4">
      <c r="A684" t="s">
        <v>524</v>
      </c>
      <c r="B684" t="s">
        <v>1386</v>
      </c>
    </row>
    <row r="685" spans="1:2" x14ac:dyDescent="0.4">
      <c r="A685" t="s">
        <v>526</v>
      </c>
      <c r="B685" t="s">
        <v>1386</v>
      </c>
    </row>
    <row r="686" spans="1:2" x14ac:dyDescent="0.4">
      <c r="A686" t="s">
        <v>528</v>
      </c>
      <c r="B686" t="s">
        <v>1386</v>
      </c>
    </row>
    <row r="687" spans="1:2" x14ac:dyDescent="0.4">
      <c r="A687" t="s">
        <v>530</v>
      </c>
      <c r="B687" t="s">
        <v>1384</v>
      </c>
    </row>
    <row r="688" spans="1:2" x14ac:dyDescent="0.4">
      <c r="A688" t="s">
        <v>532</v>
      </c>
      <c r="B688" t="s">
        <v>1386</v>
      </c>
    </row>
    <row r="689" spans="1:2" x14ac:dyDescent="0.4">
      <c r="A689" t="s">
        <v>1177</v>
      </c>
      <c r="B689" t="s">
        <v>1384</v>
      </c>
    </row>
    <row r="690" spans="1:2" x14ac:dyDescent="0.4">
      <c r="A690" t="s">
        <v>1179</v>
      </c>
      <c r="B690" t="s">
        <v>1384</v>
      </c>
    </row>
    <row r="691" spans="1:2" x14ac:dyDescent="0.4">
      <c r="A691" t="s">
        <v>1181</v>
      </c>
      <c r="B691" t="s">
        <v>1384</v>
      </c>
    </row>
    <row r="692" spans="1:2" x14ac:dyDescent="0.4">
      <c r="A692" t="s">
        <v>1183</v>
      </c>
      <c r="B692" t="s">
        <v>1384</v>
      </c>
    </row>
    <row r="693" spans="1:2" x14ac:dyDescent="0.4">
      <c r="A693" t="s">
        <v>1185</v>
      </c>
      <c r="B693" t="s">
        <v>1384</v>
      </c>
    </row>
    <row r="694" spans="1:2" x14ac:dyDescent="0.4">
      <c r="A694" t="s">
        <v>1187</v>
      </c>
      <c r="B694" t="s">
        <v>1384</v>
      </c>
    </row>
    <row r="695" spans="1:2" x14ac:dyDescent="0.4">
      <c r="B695" t="s">
        <v>1411</v>
      </c>
    </row>
    <row r="696" spans="1:2" x14ac:dyDescent="0.4">
      <c r="B696" t="s">
        <v>1411</v>
      </c>
    </row>
    <row r="697" spans="1:2" x14ac:dyDescent="0.4">
      <c r="B697" t="s">
        <v>1411</v>
      </c>
    </row>
    <row r="698" spans="1:2" x14ac:dyDescent="0.4">
      <c r="B698" t="s">
        <v>1411</v>
      </c>
    </row>
    <row r="699" spans="1:2" x14ac:dyDescent="0.4">
      <c r="B699" t="s">
        <v>1411</v>
      </c>
    </row>
    <row r="700" spans="1:2" x14ac:dyDescent="0.4">
      <c r="B700" t="s">
        <v>1411</v>
      </c>
    </row>
    <row r="701" spans="1:2" x14ac:dyDescent="0.4">
      <c r="B701" t="s">
        <v>1411</v>
      </c>
    </row>
    <row r="702" spans="1:2" x14ac:dyDescent="0.4">
      <c r="B702" t="s">
        <v>1411</v>
      </c>
    </row>
    <row r="703" spans="1:2" x14ac:dyDescent="0.4">
      <c r="B703" t="s">
        <v>1411</v>
      </c>
    </row>
    <row r="704" spans="1:2" x14ac:dyDescent="0.4">
      <c r="B704" t="s">
        <v>1411</v>
      </c>
    </row>
    <row r="705" spans="2:2" x14ac:dyDescent="0.4">
      <c r="B705" t="s">
        <v>1411</v>
      </c>
    </row>
    <row r="706" spans="2:2" x14ac:dyDescent="0.4">
      <c r="B706" t="s">
        <v>1411</v>
      </c>
    </row>
    <row r="707" spans="2:2" x14ac:dyDescent="0.4">
      <c r="B707" t="s">
        <v>1411</v>
      </c>
    </row>
    <row r="708" spans="2:2" x14ac:dyDescent="0.4">
      <c r="B708" t="s">
        <v>1411</v>
      </c>
    </row>
    <row r="709" spans="2:2" x14ac:dyDescent="0.4">
      <c r="B709" t="s">
        <v>1411</v>
      </c>
    </row>
    <row r="710" spans="2:2" x14ac:dyDescent="0.4">
      <c r="B710" t="s">
        <v>1411</v>
      </c>
    </row>
    <row r="711" spans="2:2" x14ac:dyDescent="0.4">
      <c r="B711" t="s">
        <v>1412</v>
      </c>
    </row>
    <row r="712" spans="2:2" x14ac:dyDescent="0.4">
      <c r="B712" t="s">
        <v>1412</v>
      </c>
    </row>
    <row r="713" spans="2:2" x14ac:dyDescent="0.4">
      <c r="B713" t="s">
        <v>1412</v>
      </c>
    </row>
    <row r="714" spans="2:2" x14ac:dyDescent="0.4">
      <c r="B714" t="s">
        <v>1412</v>
      </c>
    </row>
    <row r="715" spans="2:2" x14ac:dyDescent="0.4">
      <c r="B715" t="s">
        <v>1412</v>
      </c>
    </row>
    <row r="716" spans="2:2" x14ac:dyDescent="0.4">
      <c r="B716" t="s">
        <v>1412</v>
      </c>
    </row>
    <row r="717" spans="2:2" x14ac:dyDescent="0.4">
      <c r="B717" t="s">
        <v>1412</v>
      </c>
    </row>
    <row r="718" spans="2:2" x14ac:dyDescent="0.4">
      <c r="B718" t="s">
        <v>1412</v>
      </c>
    </row>
    <row r="719" spans="2:2" x14ac:dyDescent="0.4">
      <c r="B719" t="s">
        <v>1412</v>
      </c>
    </row>
    <row r="720" spans="2:2" x14ac:dyDescent="0.4">
      <c r="B720" t="s">
        <v>1412</v>
      </c>
    </row>
    <row r="721" spans="2:2" x14ac:dyDescent="0.4">
      <c r="B72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s8_hyb_wide_v3_RMnotes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2026-04-16T21:11:57Z</dcterms:created>
  <dcterms:modified xsi:type="dcterms:W3CDTF">2026-05-07T22:18:11Z</dcterms:modified>
</cp:coreProperties>
</file>